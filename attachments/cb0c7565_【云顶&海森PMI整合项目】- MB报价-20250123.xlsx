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720"/>
  </bookViews>
  <sheets>
    <sheet name="1.报价单 PMI并购整合项目-EMS " sheetId="2" r:id="rId1"/>
    <sheet name="2. EMS系统部署和实施" sheetId="1" r:id="rId2"/>
  </sheets>
  <definedNames>
    <definedName name="_xlnm._FilterDatabase" localSheetId="0" hidden="1">'1.报价单 PMI并购整合项目-EMS '!#REF!</definedName>
    <definedName name="_xlnm.Print_Area" localSheetId="0">'1.报价单 PMI并购整合项目-EMS '!$A$1:$H$15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<sst xmlns="http://schemas.openxmlformats.org/spreadsheetml/2006/main" count="63" uniqueCount="58">
  <si>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报价项目</t>
  </si>
  <si>
    <t>Post-Merger Integration - EMS 整合Project</t>
  </si>
  <si>
    <t>报价人</t>
  </si>
  <si>
    <t>Tyler Tang  18621626838  tyler@meetingbest.com</t>
  </si>
  <si>
    <t>报价有效期：</t>
  </si>
  <si>
    <t>30 days</t>
  </si>
  <si>
    <t>类别</t>
  </si>
  <si>
    <t>项目说明</t>
  </si>
  <si>
    <t>补充描述</t>
  </si>
  <si>
    <t>单位</t>
  </si>
  <si>
    <t>未税单价
RMB</t>
  </si>
  <si>
    <t>数量</t>
  </si>
  <si>
    <t>未税小计</t>
  </si>
  <si>
    <t>备注</t>
  </si>
  <si>
    <t>Event流程梳理和变革管理</t>
  </si>
  <si>
    <t>业务和流程梳理，以及海森和云顶业务管控SOP的Gap Analysis, 并组织撰写 业务合并融合的项目培训手册</t>
  </si>
  <si>
    <t>人天</t>
  </si>
  <si>
    <t>consulting discovery</t>
  </si>
  <si>
    <t>Event系统整合 (业务并入EMS)</t>
  </si>
  <si>
    <t>系统实施费用-海森Events融入云顶EMS系统</t>
  </si>
  <si>
    <t>针对海森生物当下的业务情况，针对性的做相关的定制和配置开发，以及加急的测试和部署</t>
  </si>
  <si>
    <t>system implementation</t>
  </si>
  <si>
    <t>未税总计</t>
  </si>
  <si>
    <t>税费（6%）</t>
  </si>
  <si>
    <r>
      <rPr>
        <sz val="11"/>
        <color theme="1"/>
        <rFont val="Arial"/>
        <charset val="134"/>
      </rPr>
      <t>VAT</t>
    </r>
    <r>
      <rPr>
        <sz val="11"/>
        <color theme="1"/>
        <rFont val="宋体"/>
        <charset val="134"/>
      </rPr>
      <t>增值税</t>
    </r>
  </si>
  <si>
    <t>老客户折让</t>
  </si>
  <si>
    <t>含税折扣价</t>
  </si>
  <si>
    <t>序号</t>
  </si>
  <si>
    <t>需求分类</t>
  </si>
  <si>
    <t>需求子类</t>
  </si>
  <si>
    <t>需求描述/解决方案</t>
  </si>
  <si>
    <t>项目经理</t>
  </si>
  <si>
    <t>产品</t>
  </si>
  <si>
    <t>开发</t>
  </si>
  <si>
    <t>测试</t>
  </si>
  <si>
    <t>合计</t>
  </si>
  <si>
    <t>建议实施阶段</t>
  </si>
  <si>
    <t>PMI - EMS整合</t>
  </si>
  <si>
    <t>主数据更新</t>
  </si>
  <si>
    <t>高效完成讲者、学术推广材料、HCO、会务供应商及产品等核心主数据的初始化清洗导入。将优先实施数据映射与数据结构兼容，并设计部署查重校验与匹配规则，为后续所有流程提供数据支撑与保障。</t>
  </si>
  <si>
    <t>1期</t>
  </si>
  <si>
    <t>业务数据更新及清洗</t>
  </si>
  <si>
    <t>对费用类型、系统角色等关键业务数据进行快速清洗、标准化与迁移。工作重点在于高效整合多源异构数据，统一业务语义，以敏捷响应后续流程与管控规则的配置需求。</t>
  </si>
  <si>
    <t>DOA审批流及角色权限更新</t>
  </si>
  <si>
    <t>依据新业务规则，敏捷配置与优化DOA审批流程（如新增审批条件与审批节点）。同步实现角色数据权限与操作权限的配置管理。确保新流程快速落地且权责清晰。</t>
  </si>
  <si>
    <t>系统表单字段及数据范围更新</t>
  </si>
  <si>
    <t>针对特定会议类型，高效优化申请表单（如实现产品多选）。并根据海森部门严格规范关键字段（如参会医生、讲者、会议讲解材料）的数据可选范围，此举旨在显著提升一线用户操作效率与数据质量，从源头控制误差。</t>
  </si>
  <si>
    <t>2期</t>
  </si>
  <si>
    <t>上下游8-10个接口更新</t>
  </si>
  <si>
    <t>快速适配上游系统（如组织架构）的格式变化；同步协调下游系统（如BPM、ERP）的接口调整与测试。鉴于集成复杂度高，将建立专项联调机制，全力保障全链路数据贯通与业务协同.</t>
  </si>
  <si>
    <t>2期（上游接口涵盖在1期）</t>
  </si>
  <si>
    <t>合规流程管控点兼容</t>
  </si>
  <si>
    <t>在无缝继承现有合规管控点的基础上，精准嵌入并入海森后新增业务规则对应的管控规则。通过配置化、引擎化的实现方式，确保合规要求能够自动化、无感化落地，长效降低合规风险。</t>
  </si>
  <si>
    <t>预算管理模块兼容</t>
  </si>
  <si>
    <t>全面兼容现有预算管理模式，并需支持多套预算管控规则并行。首要保障海森IO数据平滑导入与精准迁移，同时确保预算扣减、释放等核心动作逻辑无缝兼容，支撑复杂业务管理场景。</t>
  </si>
  <si>
    <t>人天总计</t>
  </si>
  <si>
    <t>不含税总价</t>
  </si>
  <si>
    <t>备注：EMS系统部署和实施不包含 软件授权许可费（License Fee 账号费），系统账号费用跟随26年运维合同执行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</si>
</sst>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</numFmts>
  <fonts count="34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sz val="14"/>
      <color theme="1"/>
      <name val="微软雅黑"/>
      <charset val="134"/>
    </font>
    <font>
      <strike/>
      <sz val="14"/>
      <color theme="1"/>
      <name val="微软雅黑"/>
      <charset val="134"/>
    </font>
    <font>
      <b/>
      <sz val="11"/>
      <color rgb="FFC00000"/>
      <name val="微软雅黑"/>
      <charset val="134"/>
    </font>
    <font>
      <sz val="11"/>
      <color theme="1"/>
      <name val="Arial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b/>
      <u/>
      <sz val="11"/>
      <color theme="1"/>
      <name val="微软雅黑"/>
      <charset val="134"/>
    </font>
    <font>
      <b/>
      <sz val="9"/>
      <color theme="0"/>
      <name val="微软雅黑"/>
      <charset val="134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 vertical="center"/>
    </xf>
    <xf numFmtId="7" fontId="3" fillId="3" borderId="1" xfId="0" applyNumberFormat="1" applyFont="1" applyFill="1" applyBorder="1">
      <alignment vertical="center"/>
    </xf>
    <xf numFmtId="0" fontId="6" fillId="0" borderId="0" xfId="49" applyFont="1" applyAlignment="1">
      <alignment horizontal="center" vertical="center"/>
    </xf>
    <xf numFmtId="0" fontId="7" fillId="0" borderId="0" xfId="49" applyFont="1" applyAlignment="1">
      <alignment horizontal="center" vertical="center"/>
    </xf>
    <xf numFmtId="0" fontId="7" fillId="0" borderId="0" xfId="49" applyFont="1">
      <alignment vertical="center"/>
    </xf>
    <xf numFmtId="43" fontId="7" fillId="0" borderId="0" xfId="50" applyFont="1" applyAlignment="1">
      <alignment horizontal="center" vertical="center"/>
    </xf>
    <xf numFmtId="0" fontId="6" fillId="0" borderId="0" xfId="49" applyFont="1">
      <alignment vertical="center"/>
    </xf>
    <xf numFmtId="0" fontId="8" fillId="0" borderId="0" xfId="49" applyFont="1" applyAlignment="1">
      <alignment horizontal="left" vertical="center"/>
    </xf>
    <xf numFmtId="0" fontId="9" fillId="0" borderId="0" xfId="49" applyFont="1" applyAlignment="1">
      <alignment horizontal="left" vertical="center"/>
    </xf>
    <xf numFmtId="0" fontId="7" fillId="0" borderId="0" xfId="49" applyFont="1" applyAlignment="1">
      <alignment horizontal="left" vertical="center"/>
    </xf>
    <xf numFmtId="0" fontId="10" fillId="2" borderId="1" xfId="49" applyFont="1" applyFill="1" applyBorder="1" applyAlignment="1">
      <alignment horizontal="center" vertical="center"/>
    </xf>
    <xf numFmtId="0" fontId="11" fillId="3" borderId="1" xfId="49" applyFont="1" applyFill="1" applyBorder="1" applyAlignment="1">
      <alignment vertical="center" wrapText="1"/>
    </xf>
    <xf numFmtId="0" fontId="12" fillId="3" borderId="2" xfId="49" applyFont="1" applyFill="1" applyBorder="1" applyAlignment="1">
      <alignment horizontal="center" vertical="center" wrapText="1"/>
    </xf>
    <xf numFmtId="0" fontId="12" fillId="3" borderId="7" xfId="49" applyFont="1" applyFill="1" applyBorder="1" applyAlignment="1">
      <alignment horizontal="center" vertical="center" wrapText="1"/>
    </xf>
    <xf numFmtId="0" fontId="12" fillId="0" borderId="1" xfId="49" applyFont="1" applyBorder="1" applyAlignment="1">
      <alignment horizontal="center" vertical="center" wrapText="1"/>
    </xf>
    <xf numFmtId="0" fontId="12" fillId="3" borderId="1" xfId="49" applyFont="1" applyFill="1" applyBorder="1" applyAlignment="1">
      <alignment horizontal="left" vertical="center" wrapText="1"/>
    </xf>
    <xf numFmtId="0" fontId="11" fillId="0" borderId="1" xfId="49" applyFont="1" applyBorder="1" applyAlignment="1">
      <alignment horizontal="center" vertical="center" wrapText="1"/>
    </xf>
    <xf numFmtId="43" fontId="10" fillId="2" borderId="1" xfId="50" applyFont="1" applyFill="1" applyBorder="1" applyAlignment="1">
      <alignment horizontal="center" vertical="center" wrapText="1"/>
    </xf>
    <xf numFmtId="43" fontId="10" fillId="2" borderId="1" xfId="50" applyFont="1" applyFill="1" applyBorder="1" applyAlignment="1">
      <alignment horizontal="center" vertical="center"/>
    </xf>
    <xf numFmtId="43" fontId="7" fillId="0" borderId="1" xfId="50" applyFont="1" applyBorder="1" applyAlignment="1">
      <alignment horizontal="center" vertical="center"/>
    </xf>
    <xf numFmtId="43" fontId="6" fillId="0" borderId="1" xfId="49" applyNumberFormat="1" applyFont="1" applyBorder="1">
      <alignment vertical="center"/>
    </xf>
    <xf numFmtId="0" fontId="6" fillId="0" borderId="1" xfId="49" applyFont="1" applyBorder="1" applyAlignment="1">
      <alignment vertical="center" wrapText="1"/>
    </xf>
    <xf numFmtId="43" fontId="13" fillId="0" borderId="1" xfId="50" applyFont="1" applyFill="1" applyBorder="1" applyAlignment="1">
      <alignment horizontal="center" vertical="center" wrapText="1"/>
    </xf>
    <xf numFmtId="0" fontId="6" fillId="0" borderId="1" xfId="49" applyFont="1" applyBorder="1">
      <alignment vertical="center"/>
    </xf>
    <xf numFmtId="43" fontId="12" fillId="0" borderId="1" xfId="50" applyFont="1" applyFill="1" applyBorder="1" applyAlignment="1">
      <alignment horizontal="center" vertical="center" wrapText="1"/>
    </xf>
    <xf numFmtId="176" fontId="12" fillId="0" borderId="1" xfId="50" applyNumberFormat="1" applyFont="1" applyFill="1" applyBorder="1" applyAlignment="1">
      <alignment horizontal="righ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12"/>
  <sheetViews>
    <sheetView showGridLines="0" tabSelected="1" workbookViewId="0">
      <pane xSplit="1" ySplit="6" topLeftCell="B7" activePane="bottomRight" state="frozen"/>
      <selection/>
      <selection pane="topRight"/>
      <selection pane="bottomLeft"/>
      <selection pane="bottomRight" activeCell="G17" sqref="G17"/>
    </sheetView>
  </sheetViews>
  <sheetFormatPr defaultColWidth="9.81730769230769" defaultRowHeight="16.8" outlineLevelCol="7"/>
  <cols>
    <col min="1" max="1" width="21.9038461538462" style="27" customWidth="1"/>
    <col min="2" max="2" width="33.9038461538462" style="28" customWidth="1"/>
    <col min="3" max="3" width="30.6346153846154" style="28" customWidth="1"/>
    <col min="4" max="4" width="9.81730769230769" style="28" customWidth="1"/>
    <col min="5" max="5" width="10.7307692307692" style="29" customWidth="1"/>
    <col min="6" max="6" width="9.53846153846154" style="29" customWidth="1"/>
    <col min="7" max="7" width="15.7307692307692" style="29" customWidth="1"/>
    <col min="8" max="8" width="20.6346153846154" style="30" customWidth="1"/>
    <col min="9" max="16384" width="9.81730769230769" style="30"/>
  </cols>
  <sheetData>
    <row r="1" spans="1:4">
      <c r="A1" s="31"/>
      <c r="B1" s="31"/>
      <c r="C1" s="31"/>
      <c r="D1" s="31"/>
    </row>
    <row r="2" spans="1:2">
      <c r="A2" s="32" t="s">
        <v>0</v>
      </c>
      <c r="B2" s="28" t="s">
        <v>1</v>
      </c>
    </row>
    <row r="3" spans="1:2">
      <c r="A3" s="32" t="s">
        <v>2</v>
      </c>
      <c r="B3" s="28" t="s">
        <v>3</v>
      </c>
    </row>
    <row r="4" spans="1:2">
      <c r="A4" s="32" t="s">
        <v>4</v>
      </c>
      <c r="B4" s="28" t="s">
        <v>5</v>
      </c>
    </row>
    <row r="5" spans="1:1">
      <c r="A5" s="33"/>
    </row>
    <row r="6" s="26" customFormat="1" ht="23.5" customHeight="1" spans="1:8">
      <c r="A6" s="34" t="s">
        <v>6</v>
      </c>
      <c r="B6" s="34" t="s">
        <v>7</v>
      </c>
      <c r="C6" s="34" t="s">
        <v>8</v>
      </c>
      <c r="D6" s="34" t="s">
        <v>9</v>
      </c>
      <c r="E6" s="41" t="s">
        <v>10</v>
      </c>
      <c r="F6" s="42" t="s">
        <v>11</v>
      </c>
      <c r="G6" s="42" t="s">
        <v>12</v>
      </c>
      <c r="H6" s="42" t="s">
        <v>13</v>
      </c>
    </row>
    <row r="7" ht="41" spans="1:8">
      <c r="A7" s="35" t="s">
        <v>14</v>
      </c>
      <c r="B7" s="36" t="s">
        <v>15</v>
      </c>
      <c r="C7" s="37"/>
      <c r="D7" s="38" t="s">
        <v>16</v>
      </c>
      <c r="E7" s="43">
        <v>3500</v>
      </c>
      <c r="F7" s="38">
        <v>10</v>
      </c>
      <c r="G7" s="43">
        <f>F7*E7</f>
        <v>35000</v>
      </c>
      <c r="H7" s="44" t="s">
        <v>17</v>
      </c>
    </row>
    <row r="8" ht="41" spans="1:8">
      <c r="A8" s="35" t="s">
        <v>18</v>
      </c>
      <c r="B8" s="39" t="s">
        <v>19</v>
      </c>
      <c r="C8" s="39" t="s">
        <v>20</v>
      </c>
      <c r="D8" s="38" t="s">
        <v>16</v>
      </c>
      <c r="E8" s="43">
        <v>2300</v>
      </c>
      <c r="F8" s="38">
        <f>'2. EMS系统部署和实施'!J9</f>
        <v>96</v>
      </c>
      <c r="G8" s="43">
        <f>F8*E8</f>
        <v>220800</v>
      </c>
      <c r="H8" s="45" t="s">
        <v>21</v>
      </c>
    </row>
    <row r="9" spans="1:8">
      <c r="A9" s="40" t="s">
        <v>22</v>
      </c>
      <c r="B9" s="40"/>
      <c r="C9" s="40"/>
      <c r="D9" s="40"/>
      <c r="E9" s="40"/>
      <c r="F9" s="40"/>
      <c r="G9" s="46">
        <f>SUM(G7:G8)</f>
        <v>255800</v>
      </c>
      <c r="H9" s="47"/>
    </row>
    <row r="10" ht="17" spans="1:8">
      <c r="A10" s="40" t="s">
        <v>23</v>
      </c>
      <c r="B10" s="40"/>
      <c r="C10" s="40"/>
      <c r="D10" s="40"/>
      <c r="E10" s="40"/>
      <c r="F10" s="40"/>
      <c r="G10" s="48">
        <f>G9*0.06</f>
        <v>15348</v>
      </c>
      <c r="H10" s="47" t="s">
        <v>24</v>
      </c>
    </row>
    <row r="11" spans="1:8">
      <c r="A11" s="40" t="s">
        <v>25</v>
      </c>
      <c r="B11" s="40"/>
      <c r="C11" s="40"/>
      <c r="D11" s="40"/>
      <c r="E11" s="40"/>
      <c r="F11" s="40"/>
      <c r="G11" s="49">
        <v>-56148</v>
      </c>
      <c r="H11" s="47"/>
    </row>
    <row r="12" spans="1:8">
      <c r="A12" s="40" t="s">
        <v>26</v>
      </c>
      <c r="B12" s="40"/>
      <c r="C12" s="40"/>
      <c r="D12" s="40"/>
      <c r="E12" s="40"/>
      <c r="F12" s="40"/>
      <c r="G12" s="48">
        <f>G9+G10+G11</f>
        <v>215000</v>
      </c>
      <c r="H12" s="47"/>
    </row>
  </sheetData>
  <mergeCells count="6">
    <mergeCell ref="A1:D1"/>
    <mergeCell ref="B7:C7"/>
    <mergeCell ref="A9:E9"/>
    <mergeCell ref="A10:E10"/>
    <mergeCell ref="A11:E11"/>
    <mergeCell ref="A12:E12"/>
  </mergeCells>
  <pageMargins left="0.7" right="0.7" top="0.75" bottom="0.75" header="0.3" footer="0.3"/>
  <pageSetup paperSize="9" scale="6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FD11"/>
  <sheetViews>
    <sheetView showGridLines="0" zoomScale="74" zoomScaleNormal="74" topLeftCell="A3" workbookViewId="0">
      <selection activeCell="I16" sqref="I16"/>
    </sheetView>
  </sheetViews>
  <sheetFormatPr defaultColWidth="9.26923076923077" defaultRowHeight="16.8"/>
  <cols>
    <col min="1" max="1" width="7.36538461538461" customWidth="1"/>
    <col min="2" max="2" width="13.0865384615385" customWidth="1"/>
    <col min="3" max="3" width="36.2692307692308" style="3" customWidth="1"/>
    <col min="4" max="4" width="64.7307692307692" style="3" customWidth="1"/>
    <col min="5" max="5" width="13.6346153846154" customWidth="1"/>
    <col min="6" max="6" width="15.5384615384615" customWidth="1"/>
    <col min="7" max="7" width="13.9038461538462" customWidth="1"/>
    <col min="8" max="8" width="11.1826923076923" customWidth="1"/>
    <col min="9" max="9" width="11.9038461538462" customWidth="1"/>
    <col min="10" max="10" width="22.5384615384615" customWidth="1"/>
  </cols>
  <sheetData>
    <row r="1" s="1" customFormat="1" ht="20.4" spans="1:10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</row>
    <row r="2" ht="82" spans="1:10">
      <c r="A2" s="5">
        <v>1</v>
      </c>
      <c r="B2" s="5" t="s">
        <v>37</v>
      </c>
      <c r="C2" s="6" t="s">
        <v>38</v>
      </c>
      <c r="D2" s="6" t="s">
        <v>39</v>
      </c>
      <c r="E2" s="18">
        <v>8</v>
      </c>
      <c r="F2" s="7">
        <v>1</v>
      </c>
      <c r="G2" s="7">
        <v>6</v>
      </c>
      <c r="H2" s="7">
        <v>2</v>
      </c>
      <c r="I2" s="7">
        <f t="shared" ref="I2:I8" si="0">SUM(E2:H2)</f>
        <v>17</v>
      </c>
      <c r="J2" s="7" t="s">
        <v>40</v>
      </c>
    </row>
    <row r="3" ht="82" spans="1:10">
      <c r="A3" s="7">
        <v>2</v>
      </c>
      <c r="B3" s="5"/>
      <c r="C3" s="8" t="s">
        <v>41</v>
      </c>
      <c r="D3" s="6" t="s">
        <v>42</v>
      </c>
      <c r="E3" s="19"/>
      <c r="F3" s="7">
        <v>2</v>
      </c>
      <c r="G3" s="7">
        <v>10</v>
      </c>
      <c r="H3" s="7">
        <v>3</v>
      </c>
      <c r="I3" s="7">
        <f t="shared" si="0"/>
        <v>15</v>
      </c>
      <c r="J3" s="7" t="s">
        <v>40</v>
      </c>
    </row>
    <row r="4" ht="82" spans="1:10">
      <c r="A4" s="7">
        <v>3</v>
      </c>
      <c r="B4" s="5"/>
      <c r="C4" s="8" t="s">
        <v>43</v>
      </c>
      <c r="D4" s="6" t="s">
        <v>44</v>
      </c>
      <c r="E4" s="19"/>
      <c r="F4" s="7">
        <v>1</v>
      </c>
      <c r="G4" s="7">
        <v>5</v>
      </c>
      <c r="H4" s="7">
        <v>5</v>
      </c>
      <c r="I4" s="7">
        <f t="shared" si="0"/>
        <v>11</v>
      </c>
      <c r="J4" s="7" t="s">
        <v>40</v>
      </c>
    </row>
    <row r="5" ht="102" spans="1:10">
      <c r="A5" s="7">
        <v>4</v>
      </c>
      <c r="B5" s="5"/>
      <c r="C5" s="8" t="s">
        <v>45</v>
      </c>
      <c r="D5" s="6" t="s">
        <v>46</v>
      </c>
      <c r="E5" s="19"/>
      <c r="F5" s="7">
        <v>3</v>
      </c>
      <c r="G5" s="7">
        <v>12</v>
      </c>
      <c r="H5" s="7">
        <v>4</v>
      </c>
      <c r="I5" s="7">
        <f t="shared" si="0"/>
        <v>19</v>
      </c>
      <c r="J5" s="7" t="s">
        <v>47</v>
      </c>
    </row>
    <row r="6" ht="82" spans="1:10">
      <c r="A6" s="7">
        <v>5</v>
      </c>
      <c r="B6" s="5"/>
      <c r="C6" s="8" t="s">
        <v>48</v>
      </c>
      <c r="D6" s="6" t="s">
        <v>49</v>
      </c>
      <c r="E6" s="19"/>
      <c r="F6" s="7">
        <v>3</v>
      </c>
      <c r="G6" s="7">
        <v>12</v>
      </c>
      <c r="H6" s="7">
        <v>4</v>
      </c>
      <c r="I6" s="7">
        <f t="shared" si="0"/>
        <v>19</v>
      </c>
      <c r="J6" s="5" t="s">
        <v>50</v>
      </c>
    </row>
    <row r="7" s="2" customFormat="1" ht="82" spans="1:10">
      <c r="A7" s="9">
        <v>6</v>
      </c>
      <c r="B7" s="10"/>
      <c r="C7" s="11" t="s">
        <v>51</v>
      </c>
      <c r="D7" s="12" t="s">
        <v>52</v>
      </c>
      <c r="E7" s="20"/>
      <c r="F7" s="9">
        <v>0</v>
      </c>
      <c r="G7" s="9">
        <v>0</v>
      </c>
      <c r="H7" s="9">
        <v>0</v>
      </c>
      <c r="I7" s="9">
        <v>0</v>
      </c>
      <c r="J7" s="9" t="s">
        <v>47</v>
      </c>
    </row>
    <row r="8" ht="82" spans="1:10">
      <c r="A8" s="7">
        <v>7</v>
      </c>
      <c r="B8" s="5"/>
      <c r="C8" s="8" t="s">
        <v>53</v>
      </c>
      <c r="D8" s="6" t="s">
        <v>54</v>
      </c>
      <c r="E8" s="21"/>
      <c r="F8" s="7">
        <v>2</v>
      </c>
      <c r="G8" s="7">
        <v>10</v>
      </c>
      <c r="H8" s="7">
        <v>3</v>
      </c>
      <c r="I8" s="7">
        <f t="shared" si="0"/>
        <v>15</v>
      </c>
      <c r="J8" s="7" t="s">
        <v>47</v>
      </c>
    </row>
    <row r="9" ht="20.4" spans="1:10">
      <c r="A9" s="13" t="s">
        <v>55</v>
      </c>
      <c r="B9" s="14"/>
      <c r="C9" s="14"/>
      <c r="D9" s="14"/>
      <c r="E9" s="14"/>
      <c r="F9" s="14"/>
      <c r="G9" s="14"/>
      <c r="H9" s="14"/>
      <c r="I9" s="22"/>
      <c r="J9" s="23">
        <f>SUM(I2:I8)</f>
        <v>96</v>
      </c>
    </row>
    <row r="10" ht="20.4" spans="1:10">
      <c r="A10" s="15" t="s">
        <v>56</v>
      </c>
      <c r="B10" s="16"/>
      <c r="C10" s="16"/>
      <c r="D10" s="16"/>
      <c r="E10" s="16"/>
      <c r="F10" s="16"/>
      <c r="G10" s="16"/>
      <c r="H10" s="16"/>
      <c r="I10" s="24"/>
      <c r="J10" s="25">
        <f>J9*2300</f>
        <v>220800</v>
      </c>
    </row>
    <row r="11" s="3" customFormat="1" spans="1:1">
      <c r="A11" s="17" t="s">
        <v>57</v>
      </c>
    </row>
  </sheetData>
  <mergeCells count="5">
    <mergeCell ref="A9:I9"/>
    <mergeCell ref="A10:I10"/>
    <mergeCell ref="A11:XFD11"/>
    <mergeCell ref="B2:B8"/>
    <mergeCell ref="E2:E8"/>
  </mergeCells>
  <pageMargins left="0.748031496062992" right="0.748031496062992" top="0.984251968503937" bottom="0.984251968503937" header="0.511811023622047" footer="0.511811023622047"/>
  <pageSetup paperSize="9" scale="6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1.报价单 PMI并购整合项目-EMS </vt:lpstr>
      <vt:lpstr>2. EMS系统部署和实施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WPS_1761633435</cp:lastModifiedBy>
  <dcterms:created xsi:type="dcterms:W3CDTF">2025-12-18T17:40:00Z</dcterms:created>
  <cp:lastPrinted>2025-12-19T22:46:00Z</cp:lastPrinted>
  <dcterms:modified xsi:type="dcterms:W3CDTF">2026-01-23T16:53:26Z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FB208478121C9C6706377369A7611743_43</vt:lpwstr>
  </property>
  <property fmtid="{D5CDD505-2E9C-101B-9397-08002B2CF9AE}" pid="3" name="KSOProductBuildVer">
    <vt:lpwstr>2052-7.5.1.8994</vt:lpwstr>
  </property>
</Properties>
</file>