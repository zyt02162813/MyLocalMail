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Everest\Finance\Etrasimod\Budget\2026\2026 Final\Commercial预算下放底稿\Final下发\"/>
    </mc:Choice>
  </mc:AlternateContent>
  <xr:revisionPtr revIDLastSave="0" documentId="8_{1EA17653-EA12-47CB-860D-4BA6F8C9ED28}" xr6:coauthVersionLast="47" xr6:coauthVersionMax="47" xr10:uidLastSave="{00000000-0000-0000-0000-000000000000}"/>
  <bookViews>
    <workbookView xWindow="-108" yWindow="-108" windowWidth="29880" windowHeight="17496" tabRatio="788" firstSheet="2" activeTab="2" xr2:uid="{00000000-000D-0000-FFFF-FFFF00000000}"/>
  </bookViews>
  <sheets>
    <sheet name="T&amp;E_" sheetId="26" state="hidden" r:id="rId1"/>
    <sheet name="Sales HC by Dept &amp; T&amp;E Segment" sheetId="25" state="hidden" r:id="rId2"/>
    <sheet name="Velsipity Sales - 费用 Phasing" sheetId="17" r:id="rId3"/>
    <sheet name="Sales T&amp;E &amp; 科室会WP" sheetId="11" state="hidden" r:id="rId4"/>
    <sheet name="1. Velsipity Summary" sheetId="23" state="hidden" r:id="rId5"/>
    <sheet name="3. HC &amp; T&amp;E Calculation" sheetId="27" state="hidden" r:id="rId6"/>
    <sheet name="To-MKT Phasing-Mainland" sheetId="18" state="hidden" r:id="rId7"/>
    <sheet name="IN-MKT WP" sheetId="8" state="hidden" r:id="rId8"/>
    <sheet name="Nef CSO Target Draft" sheetId="24" state="hidden" r:id="rId9"/>
    <sheet name="S&amp;OP Template (2)" sheetId="22" state="hidden" r:id="rId10"/>
    <sheet name="S&amp;OP Template" sheetId="20" state="hidden" r:id="rId11"/>
    <sheet name="Brand P&amp;L-In-MKT" sheetId="2" state="hidden" r:id="rId12"/>
    <sheet name="Brand P&amp;L-To-MKT" sheetId="15" state="hidden" r:id="rId13"/>
    <sheet name="Sheet7" sheetId="12" state="hidden" r:id="rId14"/>
    <sheet name="Royalty&amp;Milestone" sheetId="13" state="hidden" r:id="rId15"/>
    <sheet name="Royalty &amp; Milestone Ref" sheetId="14" state="hidden" r:id="rId16"/>
    <sheet name="Nefecon A&amp;P" sheetId="3" state="hidden" r:id="rId17"/>
    <sheet name="Xerava A&amp;P" sheetId="7" state="hidden" r:id="rId18"/>
    <sheet name="Etrasimod A&amp;P" sheetId="6" state="hidden" r:id="rId19"/>
    <sheet name="2026 A&amp;P + T&amp;E Consol" sheetId="10" state="hidden" r:id="rId20"/>
    <sheet name="Sheet2" sheetId="19" state="hidden" r:id="rId21"/>
    <sheet name="HC" sheetId="9" state="hidden" r:id="rId22"/>
    <sheet name="Sheet5" sheetId="5" state="hidden" r:id="rId23"/>
    <sheet name="Xerava A&amp;P-Draft" sheetId="4" state="hidden" r:id="rId24"/>
    <sheet name="Sheet1" sheetId="1" state="hidden" r:id="rId25"/>
  </sheets>
  <externalReferences>
    <externalReference r:id="rId26"/>
  </externalReferences>
  <definedNames>
    <definedName name="\한" localSheetId="10" hidden="1">{#N/A,#N/A,FALSE,"BS";#N/A,#N/A,FALSE,"PL";#N/A,#N/A,FALSE,"처분";#N/A,#N/A,FALSE,"현금";#N/A,#N/A,FALSE,"매출";#N/A,#N/A,FALSE,"원가";#N/A,#N/A,FALSE,"경영"}</definedName>
    <definedName name="\한" localSheetId="9" hidden="1">{#N/A,#N/A,FALSE,"BS";#N/A,#N/A,FALSE,"PL";#N/A,#N/A,FALSE,"처분";#N/A,#N/A,FALSE,"현금";#N/A,#N/A,FALSE,"매출";#N/A,#N/A,FALSE,"원가";#N/A,#N/A,FALSE,"경영"}</definedName>
    <definedName name="\한" hidden="1">{#N/A,#N/A,FALSE,"BS";#N/A,#N/A,FALSE,"PL";#N/A,#N/A,FALSE,"처분";#N/A,#N/A,FALSE,"현금";#N/A,#N/A,FALSE,"매출";#N/A,#N/A,FALSE,"원가";#N/A,#N/A,FALSE,"경영"}</definedName>
    <definedName name="__" hidden="1">#REF!</definedName>
    <definedName name="___" hidden="1">#REF!</definedName>
    <definedName name="_______________________KO2" hidden="1">#REF!</definedName>
    <definedName name="______________________KO2" hidden="1">#REF!</definedName>
    <definedName name="_____________________KO2" hidden="1">#REF!</definedName>
    <definedName name="____________________KO2" hidden="1">#REF!</definedName>
    <definedName name="___________________KO2" hidden="1">#REF!</definedName>
    <definedName name="__________________KO2" hidden="1">#REF!</definedName>
    <definedName name="_________________hk1" hidden="1">#REF!</definedName>
    <definedName name="_________________KO2" hidden="1">#REF!</definedName>
    <definedName name="________________hk1" hidden="1">#REF!</definedName>
    <definedName name="________________KO2" hidden="1">#REF!</definedName>
    <definedName name="________________TT20" localSheetId="10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__________TT20" localSheetId="9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__________TT20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__________TT20_1" localSheetId="10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__________TT20_1" localSheetId="9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__________TT20_1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_________hk1" hidden="1">#REF!</definedName>
    <definedName name="_______________KO2" hidden="1">#REF!</definedName>
    <definedName name="_______________TT20" localSheetId="10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_________TT20" localSheetId="9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_________TT20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_________TT20_1" localSheetId="10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_________TT20_1" localSheetId="9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_________TT20_1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________hk1" hidden="1">#REF!</definedName>
    <definedName name="______________KO2" hidden="1">#REF!</definedName>
    <definedName name="______________TT20" localSheetId="10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________TT20" localSheetId="9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________TT20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________TT20_1" localSheetId="10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________TT20_1" localSheetId="9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________TT20_1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_______hk1" hidden="1">#REF!</definedName>
    <definedName name="_____________KO2" hidden="1">#REF!</definedName>
    <definedName name="____________A3" localSheetId="10" hidden="1">{#N/A,#N/A,FALSE,"단축1";#N/A,#N/A,FALSE,"단축2";#N/A,#N/A,FALSE,"단축3";#N/A,#N/A,FALSE,"장축";#N/A,#N/A,FALSE,"4WD"}</definedName>
    <definedName name="____________A3" localSheetId="9" hidden="1">{#N/A,#N/A,FALSE,"단축1";#N/A,#N/A,FALSE,"단축2";#N/A,#N/A,FALSE,"단축3";#N/A,#N/A,FALSE,"장축";#N/A,#N/A,FALSE,"4WD"}</definedName>
    <definedName name="____________A3" hidden="1">{#N/A,#N/A,FALSE,"단축1";#N/A,#N/A,FALSE,"단축2";#N/A,#N/A,FALSE,"단축3";#N/A,#N/A,FALSE,"장축";#N/A,#N/A,FALSE,"4WD"}</definedName>
    <definedName name="____________hk1" hidden="1">#REF!</definedName>
    <definedName name="____________KO2" hidden="1">#REF!</definedName>
    <definedName name="____________SUM1" localSheetId="10" hidden="1">{#N/A,#N/A,FALSE,"단축1";#N/A,#N/A,FALSE,"단축2";#N/A,#N/A,FALSE,"단축3";#N/A,#N/A,FALSE,"장축";#N/A,#N/A,FALSE,"4WD"}</definedName>
    <definedName name="____________SUM1" localSheetId="9" hidden="1">{#N/A,#N/A,FALSE,"단축1";#N/A,#N/A,FALSE,"단축2";#N/A,#N/A,FALSE,"단축3";#N/A,#N/A,FALSE,"장축";#N/A,#N/A,FALSE,"4WD"}</definedName>
    <definedName name="____________SUM1" hidden="1">{#N/A,#N/A,FALSE,"단축1";#N/A,#N/A,FALSE,"단축2";#N/A,#N/A,FALSE,"단축3";#N/A,#N/A,FALSE,"장축";#N/A,#N/A,FALSE,"4WD"}</definedName>
    <definedName name="____________TT20" localSheetId="10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______TT20" localSheetId="9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______TT20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______TT20_1" localSheetId="10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______TT20_1" localSheetId="9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______TT20_1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_____hk1" hidden="1">#REF!</definedName>
    <definedName name="___________KO2" hidden="1">#REF!</definedName>
    <definedName name="___________TT20" localSheetId="10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_____TT20" localSheetId="9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_____TT20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_____TT20_1" localSheetId="10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_____TT20_1" localSheetId="9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_____TT20_1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____A3" localSheetId="10" hidden="1">{#N/A,#N/A,FALSE,"단축1";#N/A,#N/A,FALSE,"단축2";#N/A,#N/A,FALSE,"단축3";#N/A,#N/A,FALSE,"장축";#N/A,#N/A,FALSE,"4WD"}</definedName>
    <definedName name="__________A3" localSheetId="9" hidden="1">{#N/A,#N/A,FALSE,"단축1";#N/A,#N/A,FALSE,"단축2";#N/A,#N/A,FALSE,"단축3";#N/A,#N/A,FALSE,"장축";#N/A,#N/A,FALSE,"4WD"}</definedName>
    <definedName name="__________A3" hidden="1">{#N/A,#N/A,FALSE,"단축1";#N/A,#N/A,FALSE,"단축2";#N/A,#N/A,FALSE,"단축3";#N/A,#N/A,FALSE,"장축";#N/A,#N/A,FALSE,"4WD"}</definedName>
    <definedName name="__________HGP1010" localSheetId="10" hidden="1">{"'Sheet1'!$A$1:$H$36"}</definedName>
    <definedName name="__________HGP1010" localSheetId="9" hidden="1">{"'Sheet1'!$A$1:$H$36"}</definedName>
    <definedName name="__________HGP1010" hidden="1">{"'Sheet1'!$A$1:$H$36"}</definedName>
    <definedName name="__________hk1" hidden="1">#REF!</definedName>
    <definedName name="__________jyr6" localSheetId="1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_jyr6" localSheetId="9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_KO2" hidden="1">#REF!</definedName>
    <definedName name="__________SUM1" localSheetId="10" hidden="1">{#N/A,#N/A,FALSE,"단축1";#N/A,#N/A,FALSE,"단축2";#N/A,#N/A,FALSE,"단축3";#N/A,#N/A,FALSE,"장축";#N/A,#N/A,FALSE,"4WD"}</definedName>
    <definedName name="__________SUM1" localSheetId="9" hidden="1">{#N/A,#N/A,FALSE,"단축1";#N/A,#N/A,FALSE,"단축2";#N/A,#N/A,FALSE,"단축3";#N/A,#N/A,FALSE,"장축";#N/A,#N/A,FALSE,"4WD"}</definedName>
    <definedName name="__________SUM1" hidden="1">{#N/A,#N/A,FALSE,"단축1";#N/A,#N/A,FALSE,"단축2";#N/A,#N/A,FALSE,"단축3";#N/A,#N/A,FALSE,"장축";#N/A,#N/A,FALSE,"4WD"}</definedName>
    <definedName name="__________TT20" localSheetId="10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____TT20" localSheetId="9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____TT20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____TT20_1" localSheetId="10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____TT20_1" localSheetId="9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____TT20_1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____wpl2" localSheetId="10" hidden="1">{#N/A,#N/A,FALSE,"Aging Summary";#N/A,#N/A,FALSE,"Ratio Analysis";#N/A,#N/A,FALSE,"Test 120 Day Accts";#N/A,#N/A,FALSE,"Tickmarks"}</definedName>
    <definedName name="__________wpl2" localSheetId="9" hidden="1">{#N/A,#N/A,FALSE,"Aging Summary";#N/A,#N/A,FALSE,"Ratio Analysis";#N/A,#N/A,FALSE,"Test 120 Day Accts";#N/A,#N/A,FALSE,"Tickmarks"}</definedName>
    <definedName name="__________wpl2" hidden="1">{#N/A,#N/A,FALSE,"Aging Summary";#N/A,#N/A,FALSE,"Ratio Analysis";#N/A,#N/A,FALSE,"Test 120 Day Accts";#N/A,#N/A,FALSE,"Tickmarks"}</definedName>
    <definedName name="_________A3" localSheetId="10" hidden="1">{#N/A,#N/A,FALSE,"단축1";#N/A,#N/A,FALSE,"단축2";#N/A,#N/A,FALSE,"단축3";#N/A,#N/A,FALSE,"장축";#N/A,#N/A,FALSE,"4WD"}</definedName>
    <definedName name="_________A3" localSheetId="9" hidden="1">{#N/A,#N/A,FALSE,"단축1";#N/A,#N/A,FALSE,"단축2";#N/A,#N/A,FALSE,"단축3";#N/A,#N/A,FALSE,"장축";#N/A,#N/A,FALSE,"4WD"}</definedName>
    <definedName name="_________A3" hidden="1">{#N/A,#N/A,FALSE,"단축1";#N/A,#N/A,FALSE,"단축2";#N/A,#N/A,FALSE,"단축3";#N/A,#N/A,FALSE,"장축";#N/A,#N/A,FALSE,"4WD"}</definedName>
    <definedName name="_________KO2" hidden="1">#REF!</definedName>
    <definedName name="_________SUM1" localSheetId="10" hidden="1">{#N/A,#N/A,FALSE,"단축1";#N/A,#N/A,FALSE,"단축2";#N/A,#N/A,FALSE,"단축3";#N/A,#N/A,FALSE,"장축";#N/A,#N/A,FALSE,"4WD"}</definedName>
    <definedName name="_________SUM1" localSheetId="9" hidden="1">{#N/A,#N/A,FALSE,"단축1";#N/A,#N/A,FALSE,"단축2";#N/A,#N/A,FALSE,"단축3";#N/A,#N/A,FALSE,"장축";#N/A,#N/A,FALSE,"4WD"}</definedName>
    <definedName name="_________SUM1" hidden="1">{#N/A,#N/A,FALSE,"단축1";#N/A,#N/A,FALSE,"단축2";#N/A,#N/A,FALSE,"단축3";#N/A,#N/A,FALSE,"장축";#N/A,#N/A,FALSE,"4WD"}</definedName>
    <definedName name="________A3" localSheetId="10" hidden="1">{#N/A,#N/A,FALSE,"단축1";#N/A,#N/A,FALSE,"단축2";#N/A,#N/A,FALSE,"단축3";#N/A,#N/A,FALSE,"장축";#N/A,#N/A,FALSE,"4WD"}</definedName>
    <definedName name="________A3" localSheetId="9" hidden="1">{#N/A,#N/A,FALSE,"단축1";#N/A,#N/A,FALSE,"단축2";#N/A,#N/A,FALSE,"단축3";#N/A,#N/A,FALSE,"장축";#N/A,#N/A,FALSE,"4WD"}</definedName>
    <definedName name="________A3" hidden="1">{#N/A,#N/A,FALSE,"단축1";#N/A,#N/A,FALSE,"단축2";#N/A,#N/A,FALSE,"단축3";#N/A,#N/A,FALSE,"장축";#N/A,#N/A,FALSE,"4WD"}</definedName>
    <definedName name="________KO2" hidden="1">#REF!</definedName>
    <definedName name="________s1" localSheetId="10" hidden="1">{#N/A,#N/A,FALSE,"UNIT";#N/A,#N/A,FALSE,"UNIT";#N/A,#N/A,FALSE,"계정"}</definedName>
    <definedName name="________s1" localSheetId="9" hidden="1">{#N/A,#N/A,FALSE,"UNIT";#N/A,#N/A,FALSE,"UNIT";#N/A,#N/A,FALSE,"계정"}</definedName>
    <definedName name="________s1" hidden="1">{#N/A,#N/A,FALSE,"UNIT";#N/A,#N/A,FALSE,"UNIT";#N/A,#N/A,FALSE,"계정"}</definedName>
    <definedName name="________s10" localSheetId="10" hidden="1">{#N/A,#N/A,FALSE,"UNIT";#N/A,#N/A,FALSE,"UNIT";#N/A,#N/A,FALSE,"계정"}</definedName>
    <definedName name="________s10" localSheetId="9" hidden="1">{#N/A,#N/A,FALSE,"UNIT";#N/A,#N/A,FALSE,"UNIT";#N/A,#N/A,FALSE,"계정"}</definedName>
    <definedName name="________s10" hidden="1">{#N/A,#N/A,FALSE,"UNIT";#N/A,#N/A,FALSE,"UNIT";#N/A,#N/A,FALSE,"계정"}</definedName>
    <definedName name="________s11" localSheetId="10" hidden="1">{#N/A,#N/A,FALSE,"UNIT";#N/A,#N/A,FALSE,"UNIT";#N/A,#N/A,FALSE,"계정"}</definedName>
    <definedName name="________s11" localSheetId="9" hidden="1">{#N/A,#N/A,FALSE,"UNIT";#N/A,#N/A,FALSE,"UNIT";#N/A,#N/A,FALSE,"계정"}</definedName>
    <definedName name="________s11" hidden="1">{#N/A,#N/A,FALSE,"UNIT";#N/A,#N/A,FALSE,"UNIT";#N/A,#N/A,FALSE,"계정"}</definedName>
    <definedName name="________s12" localSheetId="10" hidden="1">{#N/A,#N/A,FALSE,"UNIT";#N/A,#N/A,FALSE,"UNIT";#N/A,#N/A,FALSE,"계정"}</definedName>
    <definedName name="________s12" localSheetId="9" hidden="1">{#N/A,#N/A,FALSE,"UNIT";#N/A,#N/A,FALSE,"UNIT";#N/A,#N/A,FALSE,"계정"}</definedName>
    <definedName name="________s12" hidden="1">{#N/A,#N/A,FALSE,"UNIT";#N/A,#N/A,FALSE,"UNIT";#N/A,#N/A,FALSE,"계정"}</definedName>
    <definedName name="________s13" localSheetId="10" hidden="1">{#N/A,#N/A,FALSE,"UNIT";#N/A,#N/A,FALSE,"UNIT";#N/A,#N/A,FALSE,"계정"}</definedName>
    <definedName name="________s13" localSheetId="9" hidden="1">{#N/A,#N/A,FALSE,"UNIT";#N/A,#N/A,FALSE,"UNIT";#N/A,#N/A,FALSE,"계정"}</definedName>
    <definedName name="________s13" hidden="1">{#N/A,#N/A,FALSE,"UNIT";#N/A,#N/A,FALSE,"UNIT";#N/A,#N/A,FALSE,"계정"}</definedName>
    <definedName name="________s14" localSheetId="10" hidden="1">{#N/A,#N/A,FALSE,"UNIT";#N/A,#N/A,FALSE,"UNIT";#N/A,#N/A,FALSE,"계정"}</definedName>
    <definedName name="________s14" localSheetId="9" hidden="1">{#N/A,#N/A,FALSE,"UNIT";#N/A,#N/A,FALSE,"UNIT";#N/A,#N/A,FALSE,"계정"}</definedName>
    <definedName name="________s14" hidden="1">{#N/A,#N/A,FALSE,"UNIT";#N/A,#N/A,FALSE,"UNIT";#N/A,#N/A,FALSE,"계정"}</definedName>
    <definedName name="________s16" localSheetId="10" hidden="1">{#N/A,#N/A,FALSE,"UNIT";#N/A,#N/A,FALSE,"UNIT";#N/A,#N/A,FALSE,"계정"}</definedName>
    <definedName name="________s16" localSheetId="9" hidden="1">{#N/A,#N/A,FALSE,"UNIT";#N/A,#N/A,FALSE,"UNIT";#N/A,#N/A,FALSE,"계정"}</definedName>
    <definedName name="________s16" hidden="1">{#N/A,#N/A,FALSE,"UNIT";#N/A,#N/A,FALSE,"UNIT";#N/A,#N/A,FALSE,"계정"}</definedName>
    <definedName name="________s17" localSheetId="10" hidden="1">{#N/A,#N/A,FALSE,"UNIT";#N/A,#N/A,FALSE,"UNIT";#N/A,#N/A,FALSE,"계정"}</definedName>
    <definedName name="________s17" localSheetId="9" hidden="1">{#N/A,#N/A,FALSE,"UNIT";#N/A,#N/A,FALSE,"UNIT";#N/A,#N/A,FALSE,"계정"}</definedName>
    <definedName name="________s17" hidden="1">{#N/A,#N/A,FALSE,"UNIT";#N/A,#N/A,FALSE,"UNIT";#N/A,#N/A,FALSE,"계정"}</definedName>
    <definedName name="________s2" localSheetId="10" hidden="1">{#N/A,#N/A,FALSE,"UNIT";#N/A,#N/A,FALSE,"UNIT";#N/A,#N/A,FALSE,"계정"}</definedName>
    <definedName name="________s2" localSheetId="9" hidden="1">{#N/A,#N/A,FALSE,"UNIT";#N/A,#N/A,FALSE,"UNIT";#N/A,#N/A,FALSE,"계정"}</definedName>
    <definedName name="________s2" hidden="1">{#N/A,#N/A,FALSE,"UNIT";#N/A,#N/A,FALSE,"UNIT";#N/A,#N/A,FALSE,"계정"}</definedName>
    <definedName name="________s3" localSheetId="10" hidden="1">{#N/A,#N/A,FALSE,"UNIT";#N/A,#N/A,FALSE,"UNIT";#N/A,#N/A,FALSE,"계정"}</definedName>
    <definedName name="________s3" localSheetId="9" hidden="1">{#N/A,#N/A,FALSE,"UNIT";#N/A,#N/A,FALSE,"UNIT";#N/A,#N/A,FALSE,"계정"}</definedName>
    <definedName name="________s3" hidden="1">{#N/A,#N/A,FALSE,"UNIT";#N/A,#N/A,FALSE,"UNIT";#N/A,#N/A,FALSE,"계정"}</definedName>
    <definedName name="________s4" localSheetId="10" hidden="1">{#N/A,#N/A,FALSE,"UNIT";#N/A,#N/A,FALSE,"UNIT";#N/A,#N/A,FALSE,"계정"}</definedName>
    <definedName name="________s4" localSheetId="9" hidden="1">{#N/A,#N/A,FALSE,"UNIT";#N/A,#N/A,FALSE,"UNIT";#N/A,#N/A,FALSE,"계정"}</definedName>
    <definedName name="________s4" hidden="1">{#N/A,#N/A,FALSE,"UNIT";#N/A,#N/A,FALSE,"UNIT";#N/A,#N/A,FALSE,"계정"}</definedName>
    <definedName name="________s5" localSheetId="10" hidden="1">{#N/A,#N/A,FALSE,"UNIT";#N/A,#N/A,FALSE,"UNIT";#N/A,#N/A,FALSE,"계정"}</definedName>
    <definedName name="________s5" localSheetId="9" hidden="1">{#N/A,#N/A,FALSE,"UNIT";#N/A,#N/A,FALSE,"UNIT";#N/A,#N/A,FALSE,"계정"}</definedName>
    <definedName name="________s5" hidden="1">{#N/A,#N/A,FALSE,"UNIT";#N/A,#N/A,FALSE,"UNIT";#N/A,#N/A,FALSE,"계정"}</definedName>
    <definedName name="________s6" localSheetId="10" hidden="1">{#N/A,#N/A,FALSE,"UNIT";#N/A,#N/A,FALSE,"UNIT";#N/A,#N/A,FALSE,"계정"}</definedName>
    <definedName name="________s6" localSheetId="9" hidden="1">{#N/A,#N/A,FALSE,"UNIT";#N/A,#N/A,FALSE,"UNIT";#N/A,#N/A,FALSE,"계정"}</definedName>
    <definedName name="________s6" hidden="1">{#N/A,#N/A,FALSE,"UNIT";#N/A,#N/A,FALSE,"UNIT";#N/A,#N/A,FALSE,"계정"}</definedName>
    <definedName name="________s9" localSheetId="10" hidden="1">{#N/A,#N/A,FALSE,"UNIT";#N/A,#N/A,FALSE,"UNIT";#N/A,#N/A,FALSE,"계정"}</definedName>
    <definedName name="________s9" localSheetId="9" hidden="1">{#N/A,#N/A,FALSE,"UNIT";#N/A,#N/A,FALSE,"UNIT";#N/A,#N/A,FALSE,"계정"}</definedName>
    <definedName name="________s9" hidden="1">{#N/A,#N/A,FALSE,"UNIT";#N/A,#N/A,FALSE,"UNIT";#N/A,#N/A,FALSE,"계정"}</definedName>
    <definedName name="________SUM1" localSheetId="10" hidden="1">{#N/A,#N/A,FALSE,"단축1";#N/A,#N/A,FALSE,"단축2";#N/A,#N/A,FALSE,"단축3";#N/A,#N/A,FALSE,"장축";#N/A,#N/A,FALSE,"4WD"}</definedName>
    <definedName name="________SUM1" localSheetId="9" hidden="1">{#N/A,#N/A,FALSE,"단축1";#N/A,#N/A,FALSE,"단축2";#N/A,#N/A,FALSE,"단축3";#N/A,#N/A,FALSE,"장축";#N/A,#N/A,FALSE,"4WD"}</definedName>
    <definedName name="________SUM1" hidden="1">{#N/A,#N/A,FALSE,"단축1";#N/A,#N/A,FALSE,"단축2";#N/A,#N/A,FALSE,"단축3";#N/A,#N/A,FALSE,"장축";#N/A,#N/A,FALSE,"4WD"}</definedName>
    <definedName name="________TT20" localSheetId="10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__TT20" localSheetId="9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__TT20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__TT20_1" localSheetId="10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__TT20_1" localSheetId="9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__TT20_1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_KO2" hidden="1">#REF!</definedName>
    <definedName name="_______SUM1" localSheetId="10" hidden="1">{#N/A,#N/A,FALSE,"단축1";#N/A,#N/A,FALSE,"단축2";#N/A,#N/A,FALSE,"단축3";#N/A,#N/A,FALSE,"장축";#N/A,#N/A,FALSE,"4WD"}</definedName>
    <definedName name="_______SUM1" localSheetId="9" hidden="1">{#N/A,#N/A,FALSE,"단축1";#N/A,#N/A,FALSE,"단축2";#N/A,#N/A,FALSE,"단축3";#N/A,#N/A,FALSE,"장축";#N/A,#N/A,FALSE,"4WD"}</definedName>
    <definedName name="_______SUM1" hidden="1">{#N/A,#N/A,FALSE,"단축1";#N/A,#N/A,FALSE,"단축2";#N/A,#N/A,FALSE,"단축3";#N/A,#N/A,FALSE,"장축";#N/A,#N/A,FALSE,"4WD"}</definedName>
    <definedName name="______A3" localSheetId="10" hidden="1">{#N/A,#N/A,FALSE,"단축1";#N/A,#N/A,FALSE,"단축2";#N/A,#N/A,FALSE,"단축3";#N/A,#N/A,FALSE,"장축";#N/A,#N/A,FALSE,"4WD"}</definedName>
    <definedName name="______A3" localSheetId="9" hidden="1">{#N/A,#N/A,FALSE,"단축1";#N/A,#N/A,FALSE,"단축2";#N/A,#N/A,FALSE,"단축3";#N/A,#N/A,FALSE,"장축";#N/A,#N/A,FALSE,"4WD"}</definedName>
    <definedName name="______A3" hidden="1">{#N/A,#N/A,FALSE,"단축1";#N/A,#N/A,FALSE,"단축2";#N/A,#N/A,FALSE,"단축3";#N/A,#N/A,FALSE,"장축";#N/A,#N/A,FALSE,"4WD"}</definedName>
    <definedName name="______KO2" hidden="1">#REF!</definedName>
    <definedName name="______s1" localSheetId="10" hidden="1">{#N/A,#N/A,FALSE,"UNIT";#N/A,#N/A,FALSE,"UNIT";#N/A,#N/A,FALSE,"계정"}</definedName>
    <definedName name="______s1" localSheetId="9" hidden="1">{#N/A,#N/A,FALSE,"UNIT";#N/A,#N/A,FALSE,"UNIT";#N/A,#N/A,FALSE,"계정"}</definedName>
    <definedName name="______s1" hidden="1">{#N/A,#N/A,FALSE,"UNIT";#N/A,#N/A,FALSE,"UNIT";#N/A,#N/A,FALSE,"계정"}</definedName>
    <definedName name="______s10" localSheetId="10" hidden="1">{#N/A,#N/A,FALSE,"UNIT";#N/A,#N/A,FALSE,"UNIT";#N/A,#N/A,FALSE,"계정"}</definedName>
    <definedName name="______s10" localSheetId="9" hidden="1">{#N/A,#N/A,FALSE,"UNIT";#N/A,#N/A,FALSE,"UNIT";#N/A,#N/A,FALSE,"계정"}</definedName>
    <definedName name="______s10" hidden="1">{#N/A,#N/A,FALSE,"UNIT";#N/A,#N/A,FALSE,"UNIT";#N/A,#N/A,FALSE,"계정"}</definedName>
    <definedName name="______s11" localSheetId="10" hidden="1">{#N/A,#N/A,FALSE,"UNIT";#N/A,#N/A,FALSE,"UNIT";#N/A,#N/A,FALSE,"계정"}</definedName>
    <definedName name="______s11" localSheetId="9" hidden="1">{#N/A,#N/A,FALSE,"UNIT";#N/A,#N/A,FALSE,"UNIT";#N/A,#N/A,FALSE,"계정"}</definedName>
    <definedName name="______s11" hidden="1">{#N/A,#N/A,FALSE,"UNIT";#N/A,#N/A,FALSE,"UNIT";#N/A,#N/A,FALSE,"계정"}</definedName>
    <definedName name="______s12" localSheetId="10" hidden="1">{#N/A,#N/A,FALSE,"UNIT";#N/A,#N/A,FALSE,"UNIT";#N/A,#N/A,FALSE,"계정"}</definedName>
    <definedName name="______s12" localSheetId="9" hidden="1">{#N/A,#N/A,FALSE,"UNIT";#N/A,#N/A,FALSE,"UNIT";#N/A,#N/A,FALSE,"계정"}</definedName>
    <definedName name="______s12" hidden="1">{#N/A,#N/A,FALSE,"UNIT";#N/A,#N/A,FALSE,"UNIT";#N/A,#N/A,FALSE,"계정"}</definedName>
    <definedName name="______s13" localSheetId="10" hidden="1">{#N/A,#N/A,FALSE,"UNIT";#N/A,#N/A,FALSE,"UNIT";#N/A,#N/A,FALSE,"계정"}</definedName>
    <definedName name="______s13" localSheetId="9" hidden="1">{#N/A,#N/A,FALSE,"UNIT";#N/A,#N/A,FALSE,"UNIT";#N/A,#N/A,FALSE,"계정"}</definedName>
    <definedName name="______s13" hidden="1">{#N/A,#N/A,FALSE,"UNIT";#N/A,#N/A,FALSE,"UNIT";#N/A,#N/A,FALSE,"계정"}</definedName>
    <definedName name="______s14" localSheetId="10" hidden="1">{#N/A,#N/A,FALSE,"UNIT";#N/A,#N/A,FALSE,"UNIT";#N/A,#N/A,FALSE,"계정"}</definedName>
    <definedName name="______s14" localSheetId="9" hidden="1">{#N/A,#N/A,FALSE,"UNIT";#N/A,#N/A,FALSE,"UNIT";#N/A,#N/A,FALSE,"계정"}</definedName>
    <definedName name="______s14" hidden="1">{#N/A,#N/A,FALSE,"UNIT";#N/A,#N/A,FALSE,"UNIT";#N/A,#N/A,FALSE,"계정"}</definedName>
    <definedName name="______s16" localSheetId="10" hidden="1">{#N/A,#N/A,FALSE,"UNIT";#N/A,#N/A,FALSE,"UNIT";#N/A,#N/A,FALSE,"계정"}</definedName>
    <definedName name="______s16" localSheetId="9" hidden="1">{#N/A,#N/A,FALSE,"UNIT";#N/A,#N/A,FALSE,"UNIT";#N/A,#N/A,FALSE,"계정"}</definedName>
    <definedName name="______s16" hidden="1">{#N/A,#N/A,FALSE,"UNIT";#N/A,#N/A,FALSE,"UNIT";#N/A,#N/A,FALSE,"계정"}</definedName>
    <definedName name="______s17" localSheetId="10" hidden="1">{#N/A,#N/A,FALSE,"UNIT";#N/A,#N/A,FALSE,"UNIT";#N/A,#N/A,FALSE,"계정"}</definedName>
    <definedName name="______s17" localSheetId="9" hidden="1">{#N/A,#N/A,FALSE,"UNIT";#N/A,#N/A,FALSE,"UNIT";#N/A,#N/A,FALSE,"계정"}</definedName>
    <definedName name="______s17" hidden="1">{#N/A,#N/A,FALSE,"UNIT";#N/A,#N/A,FALSE,"UNIT";#N/A,#N/A,FALSE,"계정"}</definedName>
    <definedName name="______s2" localSheetId="10" hidden="1">{#N/A,#N/A,FALSE,"UNIT";#N/A,#N/A,FALSE,"UNIT";#N/A,#N/A,FALSE,"계정"}</definedName>
    <definedName name="______s2" localSheetId="9" hidden="1">{#N/A,#N/A,FALSE,"UNIT";#N/A,#N/A,FALSE,"UNIT";#N/A,#N/A,FALSE,"계정"}</definedName>
    <definedName name="______s2" hidden="1">{#N/A,#N/A,FALSE,"UNIT";#N/A,#N/A,FALSE,"UNIT";#N/A,#N/A,FALSE,"계정"}</definedName>
    <definedName name="______s3" localSheetId="10" hidden="1">{#N/A,#N/A,FALSE,"UNIT";#N/A,#N/A,FALSE,"UNIT";#N/A,#N/A,FALSE,"계정"}</definedName>
    <definedName name="______s3" localSheetId="9" hidden="1">{#N/A,#N/A,FALSE,"UNIT";#N/A,#N/A,FALSE,"UNIT";#N/A,#N/A,FALSE,"계정"}</definedName>
    <definedName name="______s3" hidden="1">{#N/A,#N/A,FALSE,"UNIT";#N/A,#N/A,FALSE,"UNIT";#N/A,#N/A,FALSE,"계정"}</definedName>
    <definedName name="______s4" localSheetId="10" hidden="1">{#N/A,#N/A,FALSE,"UNIT";#N/A,#N/A,FALSE,"UNIT";#N/A,#N/A,FALSE,"계정"}</definedName>
    <definedName name="______s4" localSheetId="9" hidden="1">{#N/A,#N/A,FALSE,"UNIT";#N/A,#N/A,FALSE,"UNIT";#N/A,#N/A,FALSE,"계정"}</definedName>
    <definedName name="______s4" hidden="1">{#N/A,#N/A,FALSE,"UNIT";#N/A,#N/A,FALSE,"UNIT";#N/A,#N/A,FALSE,"계정"}</definedName>
    <definedName name="______s5" localSheetId="10" hidden="1">{#N/A,#N/A,FALSE,"UNIT";#N/A,#N/A,FALSE,"UNIT";#N/A,#N/A,FALSE,"계정"}</definedName>
    <definedName name="______s5" localSheetId="9" hidden="1">{#N/A,#N/A,FALSE,"UNIT";#N/A,#N/A,FALSE,"UNIT";#N/A,#N/A,FALSE,"계정"}</definedName>
    <definedName name="______s5" hidden="1">{#N/A,#N/A,FALSE,"UNIT";#N/A,#N/A,FALSE,"UNIT";#N/A,#N/A,FALSE,"계정"}</definedName>
    <definedName name="______s6" localSheetId="10" hidden="1">{#N/A,#N/A,FALSE,"UNIT";#N/A,#N/A,FALSE,"UNIT";#N/A,#N/A,FALSE,"계정"}</definedName>
    <definedName name="______s6" localSheetId="9" hidden="1">{#N/A,#N/A,FALSE,"UNIT";#N/A,#N/A,FALSE,"UNIT";#N/A,#N/A,FALSE,"계정"}</definedName>
    <definedName name="______s6" hidden="1">{#N/A,#N/A,FALSE,"UNIT";#N/A,#N/A,FALSE,"UNIT";#N/A,#N/A,FALSE,"계정"}</definedName>
    <definedName name="______s9" localSheetId="10" hidden="1">{#N/A,#N/A,FALSE,"UNIT";#N/A,#N/A,FALSE,"UNIT";#N/A,#N/A,FALSE,"계정"}</definedName>
    <definedName name="______s9" localSheetId="9" hidden="1">{#N/A,#N/A,FALSE,"UNIT";#N/A,#N/A,FALSE,"UNIT";#N/A,#N/A,FALSE,"계정"}</definedName>
    <definedName name="______s9" hidden="1">{#N/A,#N/A,FALSE,"UNIT";#N/A,#N/A,FALSE,"UNIT";#N/A,#N/A,FALSE,"계정"}</definedName>
    <definedName name="______SUM1" localSheetId="10" hidden="1">{#N/A,#N/A,FALSE,"단축1";#N/A,#N/A,FALSE,"단축2";#N/A,#N/A,FALSE,"단축3";#N/A,#N/A,FALSE,"장축";#N/A,#N/A,FALSE,"4WD"}</definedName>
    <definedName name="______SUM1" localSheetId="9" hidden="1">{#N/A,#N/A,FALSE,"단축1";#N/A,#N/A,FALSE,"단축2";#N/A,#N/A,FALSE,"단축3";#N/A,#N/A,FALSE,"장축";#N/A,#N/A,FALSE,"4WD"}</definedName>
    <definedName name="______SUM1" hidden="1">{#N/A,#N/A,FALSE,"단축1";#N/A,#N/A,FALSE,"단축2";#N/A,#N/A,FALSE,"단축3";#N/A,#N/A,FALSE,"장축";#N/A,#N/A,FALSE,"4WD"}</definedName>
    <definedName name="______TT20" localSheetId="10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TT20" localSheetId="9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TT20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TT20_1" localSheetId="10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TT20_1" localSheetId="9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_TT20_1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_A3" localSheetId="10" hidden="1">{#N/A,#N/A,FALSE,"단축1";#N/A,#N/A,FALSE,"단축2";#N/A,#N/A,FALSE,"단축3";#N/A,#N/A,FALSE,"장축";#N/A,#N/A,FALSE,"4WD"}</definedName>
    <definedName name="_____A3" localSheetId="9" hidden="1">{#N/A,#N/A,FALSE,"단축1";#N/A,#N/A,FALSE,"단축2";#N/A,#N/A,FALSE,"단축3";#N/A,#N/A,FALSE,"장축";#N/A,#N/A,FALSE,"4WD"}</definedName>
    <definedName name="_____A3" hidden="1">{#N/A,#N/A,FALSE,"단축1";#N/A,#N/A,FALSE,"단축2";#N/A,#N/A,FALSE,"단축3";#N/A,#N/A,FALSE,"장축";#N/A,#N/A,FALSE,"4WD"}</definedName>
    <definedName name="_____ae2" localSheetId="10" hidden="1">{"'Inventory &amp; Anal-Cur Wkbk'!$A$7:$AP$71"}</definedName>
    <definedName name="_____ae2" localSheetId="9" hidden="1">{"'Inventory &amp; Anal-Cur Wkbk'!$A$7:$AP$71"}</definedName>
    <definedName name="_____ae2" hidden="1">{"'Inventory &amp; Anal-Cur Wkbk'!$A$7:$AP$71"}</definedName>
    <definedName name="_____ae2_1" localSheetId="10" hidden="1">{"'Inventory &amp; Anal-Cur Wkbk'!$A$7:$AP$71"}</definedName>
    <definedName name="_____ae2_1" localSheetId="9" hidden="1">{"'Inventory &amp; Anal-Cur Wkbk'!$A$7:$AP$71"}</definedName>
    <definedName name="_____ae2_1" hidden="1">{"'Inventory &amp; Anal-Cur Wkbk'!$A$7:$AP$71"}</definedName>
    <definedName name="_____KO2" hidden="1">#REF!</definedName>
    <definedName name="_____SUM1" localSheetId="10" hidden="1">{#N/A,#N/A,FALSE,"단축1";#N/A,#N/A,FALSE,"단축2";#N/A,#N/A,FALSE,"단축3";#N/A,#N/A,FALSE,"장축";#N/A,#N/A,FALSE,"4WD"}</definedName>
    <definedName name="_____SUM1" localSheetId="9" hidden="1">{#N/A,#N/A,FALSE,"단축1";#N/A,#N/A,FALSE,"단축2";#N/A,#N/A,FALSE,"단축3";#N/A,#N/A,FALSE,"장축";#N/A,#N/A,FALSE,"4WD"}</definedName>
    <definedName name="_____SUM1" hidden="1">{#N/A,#N/A,FALSE,"단축1";#N/A,#N/A,FALSE,"단축2";#N/A,#N/A,FALSE,"단축3";#N/A,#N/A,FALSE,"장축";#N/A,#N/A,FALSE,"4WD"}</definedName>
    <definedName name="_____t9" localSheetId="10" hidden="1">{#N/A,#N/A,FALSE,"UNIT";#N/A,#N/A,FALSE,"UNIT";#N/A,#N/A,FALSE,"계정"}</definedName>
    <definedName name="_____t9" localSheetId="9" hidden="1">{#N/A,#N/A,FALSE,"UNIT";#N/A,#N/A,FALSE,"UNIT";#N/A,#N/A,FALSE,"계정"}</definedName>
    <definedName name="_____t9" hidden="1">{#N/A,#N/A,FALSE,"UNIT";#N/A,#N/A,FALSE,"UNIT";#N/A,#N/A,FALSE,"계정"}</definedName>
    <definedName name="_____t9_1" localSheetId="10" hidden="1">{#N/A,#N/A,FALSE,"UNIT";#N/A,#N/A,FALSE,"UNIT";#N/A,#N/A,FALSE,"계정"}</definedName>
    <definedName name="_____t9_1" localSheetId="9" hidden="1">{#N/A,#N/A,FALSE,"UNIT";#N/A,#N/A,FALSE,"UNIT";#N/A,#N/A,FALSE,"계정"}</definedName>
    <definedName name="_____t9_1" hidden="1">{#N/A,#N/A,FALSE,"UNIT";#N/A,#N/A,FALSE,"UNIT";#N/A,#N/A,FALSE,"계정"}</definedName>
    <definedName name="____A3" localSheetId="10" hidden="1">{#N/A,#N/A,FALSE,"단축1";#N/A,#N/A,FALSE,"단축2";#N/A,#N/A,FALSE,"단축3";#N/A,#N/A,FALSE,"장축";#N/A,#N/A,FALSE,"4WD"}</definedName>
    <definedName name="____A3" localSheetId="9" hidden="1">{#N/A,#N/A,FALSE,"단축1";#N/A,#N/A,FALSE,"단축2";#N/A,#N/A,FALSE,"단축3";#N/A,#N/A,FALSE,"장축";#N/A,#N/A,FALSE,"4WD"}</definedName>
    <definedName name="____A3" hidden="1">{#N/A,#N/A,FALSE,"단축1";#N/A,#N/A,FALSE,"단축2";#N/A,#N/A,FALSE,"단축3";#N/A,#N/A,FALSE,"장축";#N/A,#N/A,FALSE,"4WD"}</definedName>
    <definedName name="____ae2" localSheetId="10" hidden="1">{"'Inventory &amp; Anal-Cur Wkbk'!$A$7:$AP$71"}</definedName>
    <definedName name="____ae2" localSheetId="9" hidden="1">{"'Inventory &amp; Anal-Cur Wkbk'!$A$7:$AP$71"}</definedName>
    <definedName name="____ae2" hidden="1">{"'Inventory &amp; Anal-Cur Wkbk'!$A$7:$AP$71"}</definedName>
    <definedName name="____ae2_1" localSheetId="10" hidden="1">{"'Inventory &amp; Anal-Cur Wkbk'!$A$7:$AP$71"}</definedName>
    <definedName name="____ae2_1" localSheetId="9" hidden="1">{"'Inventory &amp; Anal-Cur Wkbk'!$A$7:$AP$71"}</definedName>
    <definedName name="____ae2_1" hidden="1">{"'Inventory &amp; Anal-Cur Wkbk'!$A$7:$AP$71"}</definedName>
    <definedName name="____key2" hidden="1">#REF!</definedName>
    <definedName name="____KO2" hidden="1">#REF!</definedName>
    <definedName name="____r" hidden="1">"Formula removed, name can be deleted."</definedName>
    <definedName name="____s1" localSheetId="10" hidden="1">{#N/A,#N/A,FALSE,"UNIT";#N/A,#N/A,FALSE,"UNIT";#N/A,#N/A,FALSE,"계정"}</definedName>
    <definedName name="____s1" localSheetId="9" hidden="1">{#N/A,#N/A,FALSE,"UNIT";#N/A,#N/A,FALSE,"UNIT";#N/A,#N/A,FALSE,"계정"}</definedName>
    <definedName name="____s1" hidden="1">{#N/A,#N/A,FALSE,"UNIT";#N/A,#N/A,FALSE,"UNIT";#N/A,#N/A,FALSE,"계정"}</definedName>
    <definedName name="____s10" localSheetId="10" hidden="1">{#N/A,#N/A,FALSE,"UNIT";#N/A,#N/A,FALSE,"UNIT";#N/A,#N/A,FALSE,"계정"}</definedName>
    <definedName name="____s10" localSheetId="9" hidden="1">{#N/A,#N/A,FALSE,"UNIT";#N/A,#N/A,FALSE,"UNIT";#N/A,#N/A,FALSE,"계정"}</definedName>
    <definedName name="____s10" hidden="1">{#N/A,#N/A,FALSE,"UNIT";#N/A,#N/A,FALSE,"UNIT";#N/A,#N/A,FALSE,"계정"}</definedName>
    <definedName name="____s11" localSheetId="10" hidden="1">{#N/A,#N/A,FALSE,"UNIT";#N/A,#N/A,FALSE,"UNIT";#N/A,#N/A,FALSE,"계정"}</definedName>
    <definedName name="____s11" localSheetId="9" hidden="1">{#N/A,#N/A,FALSE,"UNIT";#N/A,#N/A,FALSE,"UNIT";#N/A,#N/A,FALSE,"계정"}</definedName>
    <definedName name="____s11" hidden="1">{#N/A,#N/A,FALSE,"UNIT";#N/A,#N/A,FALSE,"UNIT";#N/A,#N/A,FALSE,"계정"}</definedName>
    <definedName name="____s12" localSheetId="10" hidden="1">{#N/A,#N/A,FALSE,"UNIT";#N/A,#N/A,FALSE,"UNIT";#N/A,#N/A,FALSE,"계정"}</definedName>
    <definedName name="____s12" localSheetId="9" hidden="1">{#N/A,#N/A,FALSE,"UNIT";#N/A,#N/A,FALSE,"UNIT";#N/A,#N/A,FALSE,"계정"}</definedName>
    <definedName name="____s12" hidden="1">{#N/A,#N/A,FALSE,"UNIT";#N/A,#N/A,FALSE,"UNIT";#N/A,#N/A,FALSE,"계정"}</definedName>
    <definedName name="____s13" localSheetId="10" hidden="1">{#N/A,#N/A,FALSE,"UNIT";#N/A,#N/A,FALSE,"UNIT";#N/A,#N/A,FALSE,"계정"}</definedName>
    <definedName name="____s13" localSheetId="9" hidden="1">{#N/A,#N/A,FALSE,"UNIT";#N/A,#N/A,FALSE,"UNIT";#N/A,#N/A,FALSE,"계정"}</definedName>
    <definedName name="____s13" hidden="1">{#N/A,#N/A,FALSE,"UNIT";#N/A,#N/A,FALSE,"UNIT";#N/A,#N/A,FALSE,"계정"}</definedName>
    <definedName name="____s14" localSheetId="10" hidden="1">{#N/A,#N/A,FALSE,"UNIT";#N/A,#N/A,FALSE,"UNIT";#N/A,#N/A,FALSE,"계정"}</definedName>
    <definedName name="____s14" localSheetId="9" hidden="1">{#N/A,#N/A,FALSE,"UNIT";#N/A,#N/A,FALSE,"UNIT";#N/A,#N/A,FALSE,"계정"}</definedName>
    <definedName name="____s14" hidden="1">{#N/A,#N/A,FALSE,"UNIT";#N/A,#N/A,FALSE,"UNIT";#N/A,#N/A,FALSE,"계정"}</definedName>
    <definedName name="____s16" localSheetId="10" hidden="1">{#N/A,#N/A,FALSE,"UNIT";#N/A,#N/A,FALSE,"UNIT";#N/A,#N/A,FALSE,"계정"}</definedName>
    <definedName name="____s16" localSheetId="9" hidden="1">{#N/A,#N/A,FALSE,"UNIT";#N/A,#N/A,FALSE,"UNIT";#N/A,#N/A,FALSE,"계정"}</definedName>
    <definedName name="____s16" hidden="1">{#N/A,#N/A,FALSE,"UNIT";#N/A,#N/A,FALSE,"UNIT";#N/A,#N/A,FALSE,"계정"}</definedName>
    <definedName name="____s17" localSheetId="10" hidden="1">{#N/A,#N/A,FALSE,"UNIT";#N/A,#N/A,FALSE,"UNIT";#N/A,#N/A,FALSE,"계정"}</definedName>
    <definedName name="____s17" localSheetId="9" hidden="1">{#N/A,#N/A,FALSE,"UNIT";#N/A,#N/A,FALSE,"UNIT";#N/A,#N/A,FALSE,"계정"}</definedName>
    <definedName name="____s17" hidden="1">{#N/A,#N/A,FALSE,"UNIT";#N/A,#N/A,FALSE,"UNIT";#N/A,#N/A,FALSE,"계정"}</definedName>
    <definedName name="____s2" localSheetId="10" hidden="1">{#N/A,#N/A,FALSE,"UNIT";#N/A,#N/A,FALSE,"UNIT";#N/A,#N/A,FALSE,"계정"}</definedName>
    <definedName name="____s2" localSheetId="9" hidden="1">{#N/A,#N/A,FALSE,"UNIT";#N/A,#N/A,FALSE,"UNIT";#N/A,#N/A,FALSE,"계정"}</definedName>
    <definedName name="____s2" hidden="1">{#N/A,#N/A,FALSE,"UNIT";#N/A,#N/A,FALSE,"UNIT";#N/A,#N/A,FALSE,"계정"}</definedName>
    <definedName name="____s3" localSheetId="10" hidden="1">{#N/A,#N/A,FALSE,"UNIT";#N/A,#N/A,FALSE,"UNIT";#N/A,#N/A,FALSE,"계정"}</definedName>
    <definedName name="____s3" localSheetId="9" hidden="1">{#N/A,#N/A,FALSE,"UNIT";#N/A,#N/A,FALSE,"UNIT";#N/A,#N/A,FALSE,"계정"}</definedName>
    <definedName name="____s3" hidden="1">{#N/A,#N/A,FALSE,"UNIT";#N/A,#N/A,FALSE,"UNIT";#N/A,#N/A,FALSE,"계정"}</definedName>
    <definedName name="____s4" localSheetId="10" hidden="1">{#N/A,#N/A,FALSE,"UNIT";#N/A,#N/A,FALSE,"UNIT";#N/A,#N/A,FALSE,"계정"}</definedName>
    <definedName name="____s4" localSheetId="9" hidden="1">{#N/A,#N/A,FALSE,"UNIT";#N/A,#N/A,FALSE,"UNIT";#N/A,#N/A,FALSE,"계정"}</definedName>
    <definedName name="____s4" hidden="1">{#N/A,#N/A,FALSE,"UNIT";#N/A,#N/A,FALSE,"UNIT";#N/A,#N/A,FALSE,"계정"}</definedName>
    <definedName name="____s5" localSheetId="10" hidden="1">{#N/A,#N/A,FALSE,"UNIT";#N/A,#N/A,FALSE,"UNIT";#N/A,#N/A,FALSE,"계정"}</definedName>
    <definedName name="____s5" localSheetId="9" hidden="1">{#N/A,#N/A,FALSE,"UNIT";#N/A,#N/A,FALSE,"UNIT";#N/A,#N/A,FALSE,"계정"}</definedName>
    <definedName name="____s5" hidden="1">{#N/A,#N/A,FALSE,"UNIT";#N/A,#N/A,FALSE,"UNIT";#N/A,#N/A,FALSE,"계정"}</definedName>
    <definedName name="____s6" localSheetId="10" hidden="1">{#N/A,#N/A,FALSE,"UNIT";#N/A,#N/A,FALSE,"UNIT";#N/A,#N/A,FALSE,"계정"}</definedName>
    <definedName name="____s6" localSheetId="9" hidden="1">{#N/A,#N/A,FALSE,"UNIT";#N/A,#N/A,FALSE,"UNIT";#N/A,#N/A,FALSE,"계정"}</definedName>
    <definedName name="____s6" hidden="1">{#N/A,#N/A,FALSE,"UNIT";#N/A,#N/A,FALSE,"UNIT";#N/A,#N/A,FALSE,"계정"}</definedName>
    <definedName name="____s9" localSheetId="10" hidden="1">{#N/A,#N/A,FALSE,"UNIT";#N/A,#N/A,FALSE,"UNIT";#N/A,#N/A,FALSE,"계정"}</definedName>
    <definedName name="____s9" localSheetId="9" hidden="1">{#N/A,#N/A,FALSE,"UNIT";#N/A,#N/A,FALSE,"UNIT";#N/A,#N/A,FALSE,"계정"}</definedName>
    <definedName name="____s9" hidden="1">{#N/A,#N/A,FALSE,"UNIT";#N/A,#N/A,FALSE,"UNIT";#N/A,#N/A,FALSE,"계정"}</definedName>
    <definedName name="____SUM1" localSheetId="10" hidden="1">{#N/A,#N/A,FALSE,"단축1";#N/A,#N/A,FALSE,"단축2";#N/A,#N/A,FALSE,"단축3";#N/A,#N/A,FALSE,"장축";#N/A,#N/A,FALSE,"4WD"}</definedName>
    <definedName name="____SUM1" localSheetId="9" hidden="1">{#N/A,#N/A,FALSE,"단축1";#N/A,#N/A,FALSE,"단축2";#N/A,#N/A,FALSE,"단축3";#N/A,#N/A,FALSE,"장축";#N/A,#N/A,FALSE,"4WD"}</definedName>
    <definedName name="____SUM1" hidden="1">{#N/A,#N/A,FALSE,"단축1";#N/A,#N/A,FALSE,"단축2";#N/A,#N/A,FALSE,"단축3";#N/A,#N/A,FALSE,"장축";#N/A,#N/A,FALSE,"4WD"}</definedName>
    <definedName name="____t9" localSheetId="10" hidden="1">{#N/A,#N/A,FALSE,"UNIT";#N/A,#N/A,FALSE,"UNIT";#N/A,#N/A,FALSE,"계정"}</definedName>
    <definedName name="____t9" localSheetId="9" hidden="1">{#N/A,#N/A,FALSE,"UNIT";#N/A,#N/A,FALSE,"UNIT";#N/A,#N/A,FALSE,"계정"}</definedName>
    <definedName name="____t9" hidden="1">{#N/A,#N/A,FALSE,"UNIT";#N/A,#N/A,FALSE,"UNIT";#N/A,#N/A,FALSE,"계정"}</definedName>
    <definedName name="____t9_1" localSheetId="10" hidden="1">{#N/A,#N/A,FALSE,"UNIT";#N/A,#N/A,FALSE,"UNIT";#N/A,#N/A,FALSE,"계정"}</definedName>
    <definedName name="____t9_1" localSheetId="9" hidden="1">{#N/A,#N/A,FALSE,"UNIT";#N/A,#N/A,FALSE,"UNIT";#N/A,#N/A,FALSE,"계정"}</definedName>
    <definedName name="____t9_1" hidden="1">{#N/A,#N/A,FALSE,"UNIT";#N/A,#N/A,FALSE,"UNIT";#N/A,#N/A,FALSE,"계정"}</definedName>
    <definedName name="____TT20" localSheetId="10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TT20" localSheetId="9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TT20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TT20_1" localSheetId="10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TT20_1" localSheetId="9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_TT20_1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_1__123Graph_ACHART_1" hidden="1">#REF!</definedName>
    <definedName name="___2__123Graph_ACHART_2" hidden="1">#REF!</definedName>
    <definedName name="___3__123Graph_BCHART_1" hidden="1">#REF!</definedName>
    <definedName name="___4__123Graph_CCHART_1" hidden="1">#REF!</definedName>
    <definedName name="___5__123Graph_DCHART_1" hidden="1">#REF!</definedName>
    <definedName name="___6__123Graph_ECHART_1" hidden="1">#REF!</definedName>
    <definedName name="___7__123Graph_XCHART_2" hidden="1">#REF!</definedName>
    <definedName name="___A3" localSheetId="10" hidden="1">{#N/A,#N/A,FALSE,"단축1";#N/A,#N/A,FALSE,"단축2";#N/A,#N/A,FALSE,"단축3";#N/A,#N/A,FALSE,"장축";#N/A,#N/A,FALSE,"4WD"}</definedName>
    <definedName name="___A3" localSheetId="9" hidden="1">{#N/A,#N/A,FALSE,"단축1";#N/A,#N/A,FALSE,"단축2";#N/A,#N/A,FALSE,"단축3";#N/A,#N/A,FALSE,"장축";#N/A,#N/A,FALSE,"4WD"}</definedName>
    <definedName name="___A3" hidden="1">{#N/A,#N/A,FALSE,"단축1";#N/A,#N/A,FALSE,"단축2";#N/A,#N/A,FALSE,"단축3";#N/A,#N/A,FALSE,"장축";#N/A,#N/A,FALSE,"4WD"}</definedName>
    <definedName name="___ae2" localSheetId="10" hidden="1">{"'Inventory &amp; Anal-Cur Wkbk'!$A$7:$AP$71"}</definedName>
    <definedName name="___ae2" localSheetId="9" hidden="1">{"'Inventory &amp; Anal-Cur Wkbk'!$A$7:$AP$71"}</definedName>
    <definedName name="___ae2" hidden="1">{"'Inventory &amp; Anal-Cur Wkbk'!$A$7:$AP$71"}</definedName>
    <definedName name="___ae2_1" localSheetId="10" hidden="1">{"'Inventory &amp; Anal-Cur Wkbk'!$A$7:$AP$71"}</definedName>
    <definedName name="___ae2_1" localSheetId="9" hidden="1">{"'Inventory &amp; Anal-Cur Wkbk'!$A$7:$AP$71"}</definedName>
    <definedName name="___ae2_1" hidden="1">{"'Inventory &amp; Anal-Cur Wkbk'!$A$7:$AP$71"}</definedName>
    <definedName name="___hk1" hidden="1">#REF!</definedName>
    <definedName name="___key2" hidden="1">#REF!</definedName>
    <definedName name="___KO2" hidden="1">#REF!</definedName>
    <definedName name="___r" hidden="1">"Formula removed, name can be deleted."</definedName>
    <definedName name="___SUM1" localSheetId="10" hidden="1">{#N/A,#N/A,FALSE,"단축1";#N/A,#N/A,FALSE,"단축2";#N/A,#N/A,FALSE,"단축3";#N/A,#N/A,FALSE,"장축";#N/A,#N/A,FALSE,"4WD"}</definedName>
    <definedName name="___SUM1" localSheetId="9" hidden="1">{#N/A,#N/A,FALSE,"단축1";#N/A,#N/A,FALSE,"단축2";#N/A,#N/A,FALSE,"단축3";#N/A,#N/A,FALSE,"장축";#N/A,#N/A,FALSE,"4WD"}</definedName>
    <definedName name="___SUM1" hidden="1">{#N/A,#N/A,FALSE,"단축1";#N/A,#N/A,FALSE,"단축2";#N/A,#N/A,FALSE,"단축3";#N/A,#N/A,FALSE,"장축";#N/A,#N/A,FALSE,"4WD"}</definedName>
    <definedName name="___t9" localSheetId="10" hidden="1">{#N/A,#N/A,FALSE,"UNIT";#N/A,#N/A,FALSE,"UNIT";#N/A,#N/A,FALSE,"계정"}</definedName>
    <definedName name="___t9" localSheetId="9" hidden="1">{#N/A,#N/A,FALSE,"UNIT";#N/A,#N/A,FALSE,"UNIT";#N/A,#N/A,FALSE,"계정"}</definedName>
    <definedName name="___t9" hidden="1">{#N/A,#N/A,FALSE,"UNIT";#N/A,#N/A,FALSE,"UNIT";#N/A,#N/A,FALSE,"계정"}</definedName>
    <definedName name="___t9_1" localSheetId="10" hidden="1">{#N/A,#N/A,FALSE,"UNIT";#N/A,#N/A,FALSE,"UNIT";#N/A,#N/A,FALSE,"계정"}</definedName>
    <definedName name="___t9_1" localSheetId="9" hidden="1">{#N/A,#N/A,FALSE,"UNIT";#N/A,#N/A,FALSE,"UNIT";#N/A,#N/A,FALSE,"계정"}</definedName>
    <definedName name="___t9_1" hidden="1">{#N/A,#N/A,FALSE,"UNIT";#N/A,#N/A,FALSE,"UNIT";#N/A,#N/A,FALSE,"계정"}</definedName>
    <definedName name="___wpl2" localSheetId="10" hidden="1">{#N/A,#N/A,FALSE,"Aging Summary";#N/A,#N/A,FALSE,"Ratio Analysis";#N/A,#N/A,FALSE,"Test 120 Day Accts";#N/A,#N/A,FALSE,"Tickmarks"}</definedName>
    <definedName name="___wpl2" localSheetId="9" hidden="1">{#N/A,#N/A,FALSE,"Aging Summary";#N/A,#N/A,FALSE,"Ratio Analysis";#N/A,#N/A,FALSE,"Test 120 Day Accts";#N/A,#N/A,FALSE,"Tickmarks"}</definedName>
    <definedName name="___wpl2" hidden="1">{#N/A,#N/A,FALSE,"Aging Summary";#N/A,#N/A,FALSE,"Ratio Analysis";#N/A,#N/A,FALSE,"Test 120 Day Accts";#N/A,#N/A,FALSE,"Tickmarks"}</definedName>
    <definedName name="__1__123Graph_ACHART_1" hidden="1">#REF!</definedName>
    <definedName name="__1__123Graph_AChart_1A" hidden="1">#N/A</definedName>
    <definedName name="__123Graph_A" hidden="1">#REF!</definedName>
    <definedName name="__123Graph_AARREARSB" hidden="1">#REF!</definedName>
    <definedName name="__123Graph_AARREARSG" hidden="1">#REF!</definedName>
    <definedName name="__123Graph_AARREARSS" hidden="1">#REF!</definedName>
    <definedName name="__123Graph_AARREARST" hidden="1">#REF!</definedName>
    <definedName name="__123Graph_ACHART7" hidden="1">#REF!</definedName>
    <definedName name="__123Graph_ACurrent" hidden="1">#REF!</definedName>
    <definedName name="__123Graph_AGRPH_EXPIRE" hidden="1">#REF!</definedName>
    <definedName name="__123Graph_AMODELE" hidden="1">#REF!</definedName>
    <definedName name="__123Graph_APRINCIPAL" hidden="1">#REF!</definedName>
    <definedName name="__123Graph_APROFIT" hidden="1">#REF!</definedName>
    <definedName name="__123Graph_ARECOVERIESG" hidden="1">#REF!</definedName>
    <definedName name="__123Graph_ARECOVERIESS" hidden="1">#REF!</definedName>
    <definedName name="__123Graph_AREFFO" hidden="1">#REF!</definedName>
    <definedName name="__123Graph_AVISITSFO" hidden="1">#REF!</definedName>
    <definedName name="__123Graph_A그래프2" hidden="1">#REF!</definedName>
    <definedName name="__123Graph_B" hidden="1">#REF!</definedName>
    <definedName name="__123Graph_BARREARSB" hidden="1">#REF!</definedName>
    <definedName name="__123Graph_BARREARSG" hidden="1">#REF!</definedName>
    <definedName name="__123Graph_BARREARSS" hidden="1">#REF!</definedName>
    <definedName name="__123Graph_BARREARST" hidden="1">#REF!</definedName>
    <definedName name="__123Graph_BCurrent" hidden="1">#REF!</definedName>
    <definedName name="__123Graph_BHOBKEN4H" hidden="1">#REF!</definedName>
    <definedName name="__123Graph_BHOBOKEN" hidden="1">#REF!</definedName>
    <definedName name="__123Graph_BPROFIT" hidden="1">#REF!</definedName>
    <definedName name="__123Graph_BRECOVERIESG" hidden="1">#REF!</definedName>
    <definedName name="__123Graph_BRECOVERIESS" hidden="1">#REF!</definedName>
    <definedName name="__123Graph_BREFFO" hidden="1">#REF!</definedName>
    <definedName name="__123Graph_BTURNOVER" hidden="1">#REF!</definedName>
    <definedName name="__123Graph_BVISITSFO" hidden="1">#REF!</definedName>
    <definedName name="__123Graph_B그래프2" hidden="1">#REF!</definedName>
    <definedName name="__123Graph_C" hidden="1">#REF!</definedName>
    <definedName name="__123Graph_CCurrent" hidden="1">#REF!</definedName>
    <definedName name="__123Graph_CPROFIT" hidden="1">#REF!</definedName>
    <definedName name="__123Graph_CRECOVERIESG" hidden="1">#REF!</definedName>
    <definedName name="__123Graph_CRECOVERIESS" hidden="1">#REF!</definedName>
    <definedName name="__123Graph_CTURNOVER" hidden="1">#REF!</definedName>
    <definedName name="__123Graph_CVISITSFO" hidden="1">#REF!</definedName>
    <definedName name="__123Graph_D" hidden="1">#REF!</definedName>
    <definedName name="__123Graph_DARREARSB" hidden="1">#REF!</definedName>
    <definedName name="__123Graph_DARREARSG" hidden="1">#REF!</definedName>
    <definedName name="__123Graph_DARREARSS" hidden="1">#REF!</definedName>
    <definedName name="__123Graph_DARREARST" hidden="1">#REF!</definedName>
    <definedName name="__123Graph_DCurrent" hidden="1">#REF!</definedName>
    <definedName name="__123Graph_DPROFIT" hidden="1">#REF!</definedName>
    <definedName name="__123Graph_DRECOVERIESG" hidden="1">#REF!</definedName>
    <definedName name="__123Graph_DRECOVERIESS" hidden="1">#REF!</definedName>
    <definedName name="__123Graph_DREFFO" hidden="1">#REF!</definedName>
    <definedName name="__123Graph_DTURNOVER" hidden="1">#REF!</definedName>
    <definedName name="__123Graph_DVISITSFO" hidden="1">#REF!</definedName>
    <definedName name="__123Graph_E" hidden="1">#REF!</definedName>
    <definedName name="__123Graph_ECurrent" hidden="1">#REF!</definedName>
    <definedName name="__123Graph_F" hidden="1">#REF!</definedName>
    <definedName name="__123Graph_FCurrent" hidden="1">#REF!</definedName>
    <definedName name="__123Graph_LBL_A" hidden="1">#REF!</definedName>
    <definedName name="__123Graph_LBL_APRINCIPAL" hidden="1">#REF!</definedName>
    <definedName name="__123Graph_LBL_B" hidden="1">#REF!</definedName>
    <definedName name="__123Graph_LBL_C" hidden="1">#REF!</definedName>
    <definedName name="__123Graph_X" hidden="1">#REF!</definedName>
    <definedName name="__123Graph_XARREARSB" hidden="1">#REF!</definedName>
    <definedName name="__123Graph_XARREARSG" hidden="1">#REF!</definedName>
    <definedName name="__123Graph_XARREARSS" hidden="1">#REF!</definedName>
    <definedName name="__123Graph_XARREARST" hidden="1">#REF!</definedName>
    <definedName name="__123Graph_XCurrent" hidden="1">#REF!</definedName>
    <definedName name="__123Graph_XGRPH_EXPIRE" hidden="1">#REF!</definedName>
    <definedName name="__123Graph_XRECOVERIESG" hidden="1">#REF!</definedName>
    <definedName name="__123Graph_XRECOVERIESS" hidden="1">#REF!</definedName>
    <definedName name="__123Graph_XVISITSFO" hidden="1">#REF!</definedName>
    <definedName name="__123Graph_X그래프2" hidden="1">#REF!</definedName>
    <definedName name="__2__123Graph_ACHART_2" hidden="1">#REF!</definedName>
    <definedName name="__2__123Graph_BChart_1A" hidden="1">#N/A</definedName>
    <definedName name="__3__123Graph_BCHART_1" hidden="1">#REF!</definedName>
    <definedName name="__3__123Graph_XChart_1A" hidden="1">#N/A</definedName>
    <definedName name="__4__123Graph_CCHART_1" hidden="1">#REF!</definedName>
    <definedName name="__5__123Graph_DCHART_1" hidden="1">#REF!</definedName>
    <definedName name="__6__123Graph_ECHART_1" hidden="1">#REF!</definedName>
    <definedName name="__7__123Graph_XCHART_2" hidden="1">#REF!</definedName>
    <definedName name="__a1" localSheetId="10" hidden="1">{"comp1",#N/A,FALSE,"COMPS";"footnotes",#N/A,FALSE,"COMPS"}</definedName>
    <definedName name="__a1" localSheetId="9" hidden="1">{"comp1",#N/A,FALSE,"COMPS";"footnotes",#N/A,FALSE,"COMPS"}</definedName>
    <definedName name="__a1" hidden="1">{"comp1",#N/A,FALSE,"COMPS";"footnotes",#N/A,FALSE,"COMPS"}</definedName>
    <definedName name="__A100" localSheetId="10" hidden="1">{#N/A,#N/A,FALSE,"Ocean";#N/A,#N/A,FALSE,"NewYork";#N/A,#N/A,FALSE,"Gateway";#N/A,#N/A,FALSE,"GVH";#N/A,#N/A,FALSE,"GVM";#N/A,#N/A,FALSE,"GVT"}</definedName>
    <definedName name="__A100" localSheetId="9" hidden="1">{#N/A,#N/A,FALSE,"Ocean";#N/A,#N/A,FALSE,"NewYork";#N/A,#N/A,FALSE,"Gateway";#N/A,#N/A,FALSE,"GVH";#N/A,#N/A,FALSE,"GVM";#N/A,#N/A,FALSE,"GVT"}</definedName>
    <definedName name="__A100" hidden="1">{#N/A,#N/A,FALSE,"Ocean";#N/A,#N/A,FALSE,"NewYork";#N/A,#N/A,FALSE,"Gateway";#N/A,#N/A,FALSE,"GVH";#N/A,#N/A,FALSE,"GVM";#N/A,#N/A,FALSE,"GVT"}</definedName>
    <definedName name="__A100_1" localSheetId="10" hidden="1">{#N/A,#N/A,FALSE,"Ocean";#N/A,#N/A,FALSE,"NewYork";#N/A,#N/A,FALSE,"Gateway";#N/A,#N/A,FALSE,"GVH";#N/A,#N/A,FALSE,"GVM";#N/A,#N/A,FALSE,"GVT"}</definedName>
    <definedName name="__A100_1" localSheetId="9" hidden="1">{#N/A,#N/A,FALSE,"Ocean";#N/A,#N/A,FALSE,"NewYork";#N/A,#N/A,FALSE,"Gateway";#N/A,#N/A,FALSE,"GVH";#N/A,#N/A,FALSE,"GVM";#N/A,#N/A,FALSE,"GVT"}</definedName>
    <definedName name="__A100_1" hidden="1">{#N/A,#N/A,FALSE,"Ocean";#N/A,#N/A,FALSE,"NewYork";#N/A,#N/A,FALSE,"Gateway";#N/A,#N/A,FALSE,"GVH";#N/A,#N/A,FALSE,"GVM";#N/A,#N/A,FALSE,"GVT"}</definedName>
    <definedName name="__A11" localSheetId="10" hidden="1">{#N/A,#N/A,FALSE,"Umsatz 99";#N/A,#N/A,FALSE,"ER 99 "}</definedName>
    <definedName name="__A11" localSheetId="9" hidden="1">{#N/A,#N/A,FALSE,"Umsatz 99";#N/A,#N/A,FALSE,"ER 99 "}</definedName>
    <definedName name="__A11" hidden="1">{#N/A,#N/A,FALSE,"Umsatz 99";#N/A,#N/A,FALSE,"ER 99 "}</definedName>
    <definedName name="__A231" localSheetId="1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A231" localSheetId="9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A23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A231_1" localSheetId="1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A231_1" localSheetId="9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A231_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A3" localSheetId="10" hidden="1">{#N/A,#N/A,FALSE,"단축1";#N/A,#N/A,FALSE,"단축2";#N/A,#N/A,FALSE,"단축3";#N/A,#N/A,FALSE,"장축";#N/A,#N/A,FALSE,"4WD"}</definedName>
    <definedName name="__A3" localSheetId="9" hidden="1">{#N/A,#N/A,FALSE,"단축1";#N/A,#N/A,FALSE,"단축2";#N/A,#N/A,FALSE,"단축3";#N/A,#N/A,FALSE,"장축";#N/A,#N/A,FALSE,"4WD"}</definedName>
    <definedName name="__A3" hidden="1">{#N/A,#N/A,FALSE,"단축1";#N/A,#N/A,FALSE,"단축2";#N/A,#N/A,FALSE,"단축3";#N/A,#N/A,FALSE,"장축";#N/A,#N/A,FALSE,"4WD"}</definedName>
    <definedName name="__A401" localSheetId="1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A401" localSheetId="9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A40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A401_1" localSheetId="1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A401_1" localSheetId="9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A401_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aa1" localSheetId="10" hidden="1">{#N/A,#N/A,TRUE,"Pro Forma";#N/A,#N/A,TRUE,"PF_Bal";#N/A,#N/A,TRUE,"PF_INC";#N/A,#N/A,TRUE,"CBE";#N/A,#N/A,TRUE,"SWK"}</definedName>
    <definedName name="__aa1" localSheetId="9" hidden="1">{#N/A,#N/A,TRUE,"Pro Forma";#N/A,#N/A,TRUE,"PF_Bal";#N/A,#N/A,TRUE,"PF_INC";#N/A,#N/A,TRUE,"CBE";#N/A,#N/A,TRUE,"SWK"}</definedName>
    <definedName name="__aa1" hidden="1">{#N/A,#N/A,TRUE,"Pro Forma";#N/A,#N/A,TRUE,"PF_Bal";#N/A,#N/A,TRUE,"PF_INC";#N/A,#N/A,TRUE,"CBE";#N/A,#N/A,TRUE,"SWK"}</definedName>
    <definedName name="__aaa1" localSheetId="10" hidden="1">{#N/A,#N/A,FALSE,"REPORT"}</definedName>
    <definedName name="__aaa1" localSheetId="9" hidden="1">{#N/A,#N/A,FALSE,"REPORT"}</definedName>
    <definedName name="__aaa1" hidden="1">{#N/A,#N/A,FALSE,"REPORT"}</definedName>
    <definedName name="__aaa2" localSheetId="10" hidden="1">{#N/A,#N/A,FALSE,"Aging Summary";#N/A,#N/A,FALSE,"Ratio Analysis";#N/A,#N/A,FALSE,"Test 120 Day Accts";#N/A,#N/A,FALSE,"Tickmarks"}</definedName>
    <definedName name="__aaa2" localSheetId="9" hidden="1">{#N/A,#N/A,FALSE,"Aging Summary";#N/A,#N/A,FALSE,"Ratio Analysis";#N/A,#N/A,FALSE,"Test 120 Day Accts";#N/A,#N/A,FALSE,"Tickmarks"}</definedName>
    <definedName name="__aaa2" hidden="1">{#N/A,#N/A,FALSE,"Aging Summary";#N/A,#N/A,FALSE,"Ratio Analysis";#N/A,#N/A,FALSE,"Test 120 Day Accts";#N/A,#N/A,FALSE,"Tickmarks"}</definedName>
    <definedName name="__aas1" localSheetId="10" hidden="1">{#N/A,#N/A,FALSE,"REPORT"}</definedName>
    <definedName name="__aas1" localSheetId="9" hidden="1">{#N/A,#N/A,FALSE,"REPORT"}</definedName>
    <definedName name="__aas1" hidden="1">{#N/A,#N/A,FALSE,"REPORT"}</definedName>
    <definedName name="__ab1" localSheetId="10" hidden="1">{"comp1",#N/A,FALSE,"COMPS";"footnotes",#N/A,FALSE,"COMPS"}</definedName>
    <definedName name="__ab1" localSheetId="9" hidden="1">{"comp1",#N/A,FALSE,"COMPS";"footnotes",#N/A,FALSE,"COMPS"}</definedName>
    <definedName name="__ab1" hidden="1">{"comp1",#N/A,FALSE,"COMPS";"footnotes",#N/A,FALSE,"COMPS"}</definedName>
    <definedName name="__ACS2000" localSheetId="10" hidden="1">{#N/A,#N/A,FALSE,"REPORT"}</definedName>
    <definedName name="__ACS2000" localSheetId="9" hidden="1">{#N/A,#N/A,FALSE,"REPORT"}</definedName>
    <definedName name="__ACS2000" hidden="1">{#N/A,#N/A,FALSE,"REPORT"}</definedName>
    <definedName name="__ae1" localSheetId="10" hidden="1">{#N/A,#N/A,FALSE,"Calc";#N/A,#N/A,FALSE,"Sensitivity";#N/A,#N/A,FALSE,"LT Earn.Dil.";#N/A,#N/A,FALSE,"Dil. AVP"}</definedName>
    <definedName name="__ae1" localSheetId="9" hidden="1">{#N/A,#N/A,FALSE,"Calc";#N/A,#N/A,FALSE,"Sensitivity";#N/A,#N/A,FALSE,"LT Earn.Dil.";#N/A,#N/A,FALSE,"Dil. AVP"}</definedName>
    <definedName name="__ae1" hidden="1">{#N/A,#N/A,FALSE,"Calc";#N/A,#N/A,FALSE,"Sensitivity";#N/A,#N/A,FALSE,"LT Earn.Dil.";#N/A,#N/A,FALSE,"Dil. AVP"}</definedName>
    <definedName name="__ae2" localSheetId="10" hidden="1">{"'Inventory &amp; Anal-Cur Wkbk'!$A$7:$AP$71"}</definedName>
    <definedName name="__ae2" localSheetId="9" hidden="1">{"'Inventory &amp; Anal-Cur Wkbk'!$A$7:$AP$71"}</definedName>
    <definedName name="__ae2" hidden="1">{"'Inventory &amp; Anal-Cur Wkbk'!$A$7:$AP$71"}</definedName>
    <definedName name="__ae2_1" localSheetId="10" hidden="1">{"'Inventory &amp; Anal-Cur Wkbk'!$A$7:$AP$71"}</definedName>
    <definedName name="__ae2_1" localSheetId="9" hidden="1">{"'Inventory &amp; Anal-Cur Wkbk'!$A$7:$AP$71"}</definedName>
    <definedName name="__ae2_1" hidden="1">{"'Inventory &amp; Anal-Cur Wkbk'!$A$7:$AP$71"}</definedName>
    <definedName name="__am1" localSheetId="10" hidden="1">{#N/A,#N/A,TRUE,"Pro Forma";#N/A,#N/A,TRUE,"PF_Bal";#N/A,#N/A,TRUE,"PF_INC";#N/A,#N/A,TRUE,"CBE";#N/A,#N/A,TRUE,"SWK"}</definedName>
    <definedName name="__am1" localSheetId="9" hidden="1">{#N/A,#N/A,TRUE,"Pro Forma";#N/A,#N/A,TRUE,"PF_Bal";#N/A,#N/A,TRUE,"PF_INC";#N/A,#N/A,TRUE,"CBE";#N/A,#N/A,TRUE,"SWK"}</definedName>
    <definedName name="__am1" hidden="1">{#N/A,#N/A,TRUE,"Pro Forma";#N/A,#N/A,TRUE,"PF_Bal";#N/A,#N/A,TRUE,"PF_INC";#N/A,#N/A,TRUE,"CBE";#N/A,#N/A,TRUE,"SWK"}</definedName>
    <definedName name="__APW_RESTORE_DATA0__" hidden="1">#REF!,#REF!,#REF!,#REF!,#REF!,#REF!,#REF!,#REF!,#REF!,#REF!,#REF!,#REF!,#REF!,#REF!,#REF!,#REF!,#REF!</definedName>
    <definedName name="__APW_RESTORE_DATA1__" hidden="1">#REF!,#REF!,#REF!,#REF!,#REF!,#REF!,#REF!,#REF!,#REF!,#REF!,#REF!,#REF!,#REF!,#REF!,#REF!,#REF!</definedName>
    <definedName name="__APW_RESTORE_DATA10__" hidden="1">#REF!,#REF!,#REF!,#REF!,#REF!,#REF!,#REF!,#REF!,#REF!,#REF!,#REF!,#REF!,#REF!,#REF!,#REF!</definedName>
    <definedName name="__APW_RESTORE_DATA100__" hidden="1">#REF!,#REF!,#REF!,#REF!,#REF!,#REF!,#REF!,#REF!,#REF!,#REF!,#REF!,#REF!,#REF!,#REF!,#REF!,#REF!</definedName>
    <definedName name="__APW_RESTORE_DATA101__" hidden="1">#REF!,#REF!,#REF!,#REF!,#REF!,#REF!,#REF!,#REF!,#REF!,#REF!,#REF!,#REF!,#REF!,#REF!,#REF!,#REF!</definedName>
    <definedName name="__APW_RESTORE_DATA102__" hidden="1">#REF!,#REF!,#REF!,#REF!,#REF!,#REF!,#REF!,#REF!,#REF!,#REF!,#REF!,#REF!,#REF!,#REF!,#REF!</definedName>
    <definedName name="__APW_RESTORE_DATA103__" hidden="1">#REF!,#REF!,#REF!,#REF!,#REF!,#REF!,#REF!,#REF!,#REF!,#REF!,#REF!,#REF!,#REF!,#REF!,#REF!</definedName>
    <definedName name="__APW_RESTORE_DATA104__" hidden="1">#REF!,#REF!,#REF!,#REF!,#REF!,#REF!,#REF!,#REF!,#REF!,#REF!,#REF!,#REF!,#REF!,#REF!,#REF!</definedName>
    <definedName name="__APW_RESTORE_DATA105__" hidden="1">#REF!,#REF!,#REF!,#REF!,#REF!,#REF!,#REF!,#REF!,#REF!,#REF!,#REF!,#REF!,#REF!,#REF!,#REF!</definedName>
    <definedName name="__APW_RESTORE_DATA106__" hidden="1">#REF!,#REF!,#REF!,#REF!,#REF!,#REF!,#REF!,#REF!,#REF!,#REF!,#REF!,#REF!,#REF!,#REF!,#REF!</definedName>
    <definedName name="__APW_RESTORE_DATA107__" hidden="1">#REF!,#REF!,#REF!,#REF!,#REF!,#REF!</definedName>
    <definedName name="__APW_RESTORE_DATA108__" hidden="1">#REF!,#REF!,#REF!,#REF!,#REF!,#REF!,#REF!,#REF!,#REF!,#REF!,#REF!,#REF!,#REF!,#REF!,#REF!,#REF!,#REF!</definedName>
    <definedName name="__APW_RESTORE_DATA109__" hidden="1">#REF!,#REF!,#REF!,#REF!,#REF!,#REF!,#REF!,#REF!,#REF!,#REF!,#REF!,#REF!,#REF!,#REF!,#REF!,#REF!</definedName>
    <definedName name="__APW_RESTORE_DATA11__" hidden="1">#REF!,#REF!,#REF!,#REF!,#REF!,#REF!</definedName>
    <definedName name="__APW_RESTORE_DATA110__" hidden="1">#REF!,#REF!,#REF!,#REF!,#REF!,#REF!,#REF!,#REF!,#REF!,#REF!,#REF!,#REF!,#REF!,#REF!,#REF!,#REF!</definedName>
    <definedName name="__APW_RESTORE_DATA111__" hidden="1">#REF!,#REF!,#REF!,#REF!,#REF!,#REF!,#REF!,#REF!,#REF!,#REF!,#REF!,#REF!,#REF!,#REF!,#REF!,#REF!</definedName>
    <definedName name="__APW_RESTORE_DATA112__" hidden="1">#REF!,#REF!,#REF!,#REF!,#REF!,#REF!,#REF!,#REF!,#REF!,#REF!,#REF!,#REF!,#REF!,#REF!,#REF!,#REF!</definedName>
    <definedName name="__APW_RESTORE_DATA113__" hidden="1">#REF!,#REF!,#REF!,#REF!,#REF!,#REF!,#REF!,#REF!,#REF!,#REF!,#REF!,#REF!,#REF!,#REF!,#REF!,#REF!</definedName>
    <definedName name="__APW_RESTORE_DATA114__" hidden="1">#REF!,#REF!,#REF!,#REF!,#REF!,#REF!,#REF!,#REF!,#REF!,#REF!,#REF!,#REF!,#REF!,#REF!,#REF!</definedName>
    <definedName name="__APW_RESTORE_DATA115__" hidden="1">#REF!,#REF!,#REF!,#REF!,#REF!,#REF!,#REF!,#REF!,#REF!,#REF!,#REF!,#REF!,#REF!,#REF!,#REF!</definedName>
    <definedName name="__APW_RESTORE_DATA116__" hidden="1">#REF!,#REF!,#REF!,#REF!,#REF!,#REF!,#REF!,#REF!,#REF!,#REF!,#REF!,#REF!,#REF!,#REF!,#REF!</definedName>
    <definedName name="__APW_RESTORE_DATA117__" hidden="1">#REF!,#REF!,#REF!,#REF!,#REF!,#REF!,#REF!,#REF!,#REF!,#REF!,#REF!,#REF!,#REF!,#REF!,#REF!</definedName>
    <definedName name="__APW_RESTORE_DATA118__" hidden="1">#REF!,#REF!,#REF!,#REF!,#REF!,#REF!,#REF!,#REF!,#REF!,#REF!,#REF!,#REF!,#REF!,#REF!,#REF!</definedName>
    <definedName name="__APW_RESTORE_DATA119__" hidden="1">#REF!,#REF!,#REF!,#REF!,#REF!,#REF!</definedName>
    <definedName name="__APW_RESTORE_DATA12__" hidden="1">#REF!,#REF!,#REF!,#REF!,#REF!,#REF!,#REF!,#REF!,#REF!,#REF!,#REF!,#REF!,#REF!,#REF!,#REF!,#REF!,#REF!</definedName>
    <definedName name="__APW_RESTORE_DATA120__" hidden="1">#REF!,#REF!,#REF!,#REF!,#REF!,#REF!,#REF!,#REF!,#REF!,#REF!,#REF!,#REF!,#REF!,#REF!,#REF!,#REF!,#REF!</definedName>
    <definedName name="__APW_RESTORE_DATA121__" hidden="1">#REF!,#REF!,#REF!,#REF!,#REF!,#REF!,#REF!,#REF!,#REF!,#REF!,#REF!,#REF!,#REF!,#REF!,#REF!,#REF!</definedName>
    <definedName name="__APW_RESTORE_DATA122__" hidden="1">#REF!,#REF!,#REF!,#REF!,#REF!,#REF!,#REF!,#REF!,#REF!,#REF!,#REF!,#REF!,#REF!,#REF!,#REF!,#REF!</definedName>
    <definedName name="__APW_RESTORE_DATA123__" hidden="1">#REF!,#REF!,#REF!,#REF!,#REF!,#REF!,#REF!,#REF!,#REF!,#REF!,#REF!,#REF!,#REF!,#REF!,#REF!,#REF!</definedName>
    <definedName name="__APW_RESTORE_DATA124__" hidden="1">#REF!,#REF!,#REF!,#REF!,#REF!,#REF!,#REF!,#REF!,#REF!,#REF!,#REF!,#REF!,#REF!,#REF!,#REF!,#REF!</definedName>
    <definedName name="__APW_RESTORE_DATA125__" hidden="1">#REF!,#REF!,#REF!,#REF!,#REF!,#REF!,#REF!,#REF!,#REF!,#REF!,#REF!,#REF!,#REF!,#REF!,#REF!,#REF!</definedName>
    <definedName name="__APW_RESTORE_DATA126__" hidden="1">#REF!,#REF!,#REF!,#REF!,#REF!,#REF!,#REF!,#REF!,#REF!,#REF!,#REF!,#REF!,#REF!,#REF!,#REF!</definedName>
    <definedName name="__APW_RESTORE_DATA127__" hidden="1">#REF!,#REF!,#REF!,#REF!,#REF!,#REF!,#REF!,#REF!,#REF!,#REF!,#REF!,#REF!,#REF!,#REF!,#REF!</definedName>
    <definedName name="__APW_RESTORE_DATA128__" hidden="1">#REF!,#REF!,#REF!,#REF!,#REF!,#REF!,#REF!,#REF!,#REF!,#REF!,#REF!,#REF!,#REF!,#REF!,#REF!</definedName>
    <definedName name="__APW_RESTORE_DATA129__" hidden="1">#REF!,#REF!,#REF!,#REF!,#REF!,#REF!,#REF!,#REF!,#REF!,#REF!,#REF!,#REF!,#REF!,#REF!,#REF!</definedName>
    <definedName name="__APW_RESTORE_DATA13__" hidden="1">#REF!,#REF!,#REF!,#REF!,#REF!,#REF!,#REF!,#REF!,#REF!,#REF!,#REF!,#REF!,#REF!,#REF!,#REF!,#REF!</definedName>
    <definedName name="__APW_RESTORE_DATA130__" hidden="1">#REF!,#REF!,#REF!,#REF!,#REF!,#REF!,#REF!,#REF!,#REF!,#REF!,#REF!,#REF!,#REF!,#REF!,#REF!</definedName>
    <definedName name="__APW_RESTORE_DATA131__" hidden="1">#REF!,#REF!,#REF!,#REF!,#REF!,#REF!</definedName>
    <definedName name="__APW_RESTORE_DATA132__" hidden="1">#REF!,#REF!,#REF!,#REF!,#REF!,#REF!,#REF!,#REF!,#REF!,#REF!,#REF!,#REF!,#REF!,#REF!,#REF!,#REF!,#REF!</definedName>
    <definedName name="__APW_RESTORE_DATA133__" hidden="1">#REF!,#REF!,#REF!,#REF!,#REF!,#REF!,#REF!,#REF!,#REF!,#REF!,#REF!,#REF!,#REF!,#REF!,#REF!,#REF!</definedName>
    <definedName name="__APW_RESTORE_DATA134__" hidden="1">#REF!,#REF!,#REF!,#REF!,#REF!,#REF!,#REF!,#REF!,#REF!,#REF!,#REF!,#REF!,#REF!,#REF!,#REF!,#REF!</definedName>
    <definedName name="__APW_RESTORE_DATA135__" hidden="1">#REF!,#REF!,#REF!,#REF!,#REF!,#REF!,#REF!,#REF!,#REF!,#REF!,#REF!,#REF!,#REF!,#REF!,#REF!,#REF!</definedName>
    <definedName name="__APW_RESTORE_DATA136__" hidden="1">#REF!,#REF!,#REF!,#REF!,#REF!,#REF!,#REF!,#REF!,#REF!,#REF!,#REF!,#REF!,#REF!,#REF!,#REF!,#REF!</definedName>
    <definedName name="__APW_RESTORE_DATA137__" hidden="1">#REF!,#REF!,#REF!,#REF!,#REF!,#REF!,#REF!,#REF!,#REF!,#REF!,#REF!,#REF!,#REF!,#REF!,#REF!,#REF!</definedName>
    <definedName name="__APW_RESTORE_DATA138__" hidden="1">#REF!,#REF!,#REF!,#REF!,#REF!,#REF!,#REF!,#REF!,#REF!,#REF!,#REF!,#REF!,#REF!,#REF!,#REF!</definedName>
    <definedName name="__APW_RESTORE_DATA139__" hidden="1">#REF!,#REF!,#REF!,#REF!,#REF!,#REF!,#REF!,#REF!,#REF!,#REF!,#REF!,#REF!,#REF!,#REF!,#REF!</definedName>
    <definedName name="__APW_RESTORE_DATA14__" hidden="1">#REF!,#REF!,#REF!,#REF!,#REF!,#REF!,#REF!,#REF!,#REF!,#REF!,#REF!,#REF!,#REF!,#REF!,#REF!,#REF!</definedName>
    <definedName name="__APW_RESTORE_DATA140__" hidden="1">#REF!,#REF!,#REF!,#REF!,#REF!,#REF!,#REF!,#REF!,#REF!,#REF!,#REF!,#REF!,#REF!,#REF!,#REF!</definedName>
    <definedName name="__APW_RESTORE_DATA141__" hidden="1">#REF!,#REF!,#REF!,#REF!,#REF!,#REF!,#REF!,#REF!,#REF!,#REF!,#REF!,#REF!,#REF!,#REF!,#REF!</definedName>
    <definedName name="__APW_RESTORE_DATA142__" hidden="1">#REF!,#REF!,#REF!,#REF!,#REF!,#REF!,#REF!,#REF!,#REF!,#REF!,#REF!,#REF!,#REF!,#REF!,#REF!</definedName>
    <definedName name="__APW_RESTORE_DATA143__" hidden="1">#REF!,#REF!,#REF!,#REF!,#REF!,#REF!</definedName>
    <definedName name="__APW_RESTORE_DATA144__" hidden="1">#REF!,#REF!,#REF!,#REF!,#REF!,#REF!,#REF!,#REF!,#REF!,#REF!,#REF!,#REF!,#REF!,#REF!,#REF!,#REF!,#REF!</definedName>
    <definedName name="__APW_RESTORE_DATA145__" hidden="1">#REF!,#REF!,#REF!,#REF!,#REF!,#REF!,#REF!,#REF!,#REF!,#REF!,#REF!,#REF!,#REF!,#REF!,#REF!,#REF!</definedName>
    <definedName name="__APW_RESTORE_DATA146__" hidden="1">#REF!,#REF!,#REF!,#REF!,#REF!,#REF!,#REF!,#REF!,#REF!,#REF!,#REF!,#REF!,#REF!,#REF!,#REF!,#REF!</definedName>
    <definedName name="__APW_RESTORE_DATA147__" hidden="1">#REF!,#REF!,#REF!,#REF!,#REF!,#REF!,#REF!,#REF!,#REF!,#REF!,#REF!,#REF!,#REF!,#REF!,#REF!,#REF!</definedName>
    <definedName name="__APW_RESTORE_DATA148__" hidden="1">#REF!,#REF!,#REF!,#REF!,#REF!,#REF!,#REF!,#REF!,#REF!,#REF!,#REF!,#REF!,#REF!,#REF!,#REF!,#REF!</definedName>
    <definedName name="__APW_RESTORE_DATA149__" hidden="1">#REF!,#REF!,#REF!,#REF!,#REF!,#REF!,#REF!,#REF!,#REF!,#REF!,#REF!,#REF!,#REF!,#REF!,#REF!,#REF!</definedName>
    <definedName name="__APW_RESTORE_DATA15__" hidden="1">#REF!,#REF!,#REF!,#REF!,#REF!,#REF!,#REF!,#REF!,#REF!,#REF!,#REF!,#REF!,#REF!,#REF!,#REF!,#REF!</definedName>
    <definedName name="__APW_RESTORE_DATA150__" hidden="1">#REF!,#REF!,#REF!,#REF!,#REF!,#REF!,#REF!,#REF!,#REF!,#REF!,#REF!,#REF!,#REF!,#REF!,#REF!</definedName>
    <definedName name="__APW_RESTORE_DATA151__" hidden="1">#REF!,#REF!,#REF!,#REF!,#REF!,#REF!,#REF!,#REF!,#REF!,#REF!,#REF!,#REF!,#REF!,#REF!,#REF!</definedName>
    <definedName name="__APW_RESTORE_DATA152__" hidden="1">#REF!,#REF!,#REF!,#REF!,#REF!,#REF!,#REF!,#REF!,#REF!,#REF!,#REF!,#REF!,#REF!,#REF!,#REF!</definedName>
    <definedName name="__APW_RESTORE_DATA153__" hidden="1">#REF!,#REF!,#REF!,#REF!,#REF!,#REF!,#REF!,#REF!,#REF!,#REF!,#REF!,#REF!,#REF!,#REF!,#REF!</definedName>
    <definedName name="__APW_RESTORE_DATA154__" hidden="1">#REF!,#REF!,#REF!,#REF!,#REF!,#REF!,#REF!,#REF!,#REF!,#REF!,#REF!,#REF!,#REF!,#REF!,#REF!</definedName>
    <definedName name="__APW_RESTORE_DATA155__" hidden="1">#REF!,#REF!,#REF!,#REF!,#REF!,#REF!</definedName>
    <definedName name="__APW_RESTORE_DATA156__" hidden="1">#REF!,#REF!,#REF!,#REF!,#REF!,#REF!,#REF!,#REF!,#REF!,#REF!,#REF!,#REF!,#REF!,#REF!,#REF!,#REF!,#REF!</definedName>
    <definedName name="__APW_RESTORE_DATA157__" hidden="1">#REF!,#REF!,#REF!,#REF!,#REF!,#REF!,#REF!,#REF!,#REF!,#REF!,#REF!,#REF!,#REF!,#REF!,#REF!,#REF!</definedName>
    <definedName name="__APW_RESTORE_DATA158__" hidden="1">#REF!,#REF!,#REF!,#REF!,#REF!,#REF!,#REF!,#REF!,#REF!,#REF!,#REF!,#REF!,#REF!,#REF!,#REF!,#REF!</definedName>
    <definedName name="__APW_RESTORE_DATA159__" hidden="1">#REF!,#REF!,#REF!,#REF!,#REF!,#REF!,#REF!,#REF!,#REF!,#REF!,#REF!,#REF!,#REF!,#REF!,#REF!,#REF!</definedName>
    <definedName name="__APW_RESTORE_DATA16__" hidden="1">#REF!,#REF!,#REF!,#REF!,#REF!,#REF!,#REF!,#REF!,#REF!,#REF!,#REF!,#REF!,#REF!,#REF!,#REF!,#REF!</definedName>
    <definedName name="__APW_RESTORE_DATA160__" hidden="1">#REF!,#REF!,#REF!,#REF!,#REF!,#REF!,#REF!,#REF!,#REF!,#REF!,#REF!,#REF!,#REF!,#REF!,#REF!,#REF!</definedName>
    <definedName name="__APW_RESTORE_DATA161__" hidden="1">#REF!,#REF!,#REF!,#REF!,#REF!,#REF!,#REF!,#REF!,#REF!,#REF!,#REF!,#REF!,#REF!,#REF!,#REF!,#REF!</definedName>
    <definedName name="__APW_RESTORE_DATA162__" hidden="1">#REF!,#REF!,#REF!,#REF!,#REF!,#REF!,#REF!,#REF!,#REF!,#REF!,#REF!,#REF!,#REF!,#REF!,#REF!</definedName>
    <definedName name="__APW_RESTORE_DATA163__" hidden="1">#REF!,#REF!,#REF!,#REF!,#REF!,#REF!,#REF!,#REF!,#REF!,#REF!,#REF!,#REF!,#REF!,#REF!,#REF!</definedName>
    <definedName name="__APW_RESTORE_DATA164__" hidden="1">#REF!,#REF!,#REF!,#REF!,#REF!,#REF!,#REF!,#REF!,#REF!,#REF!,#REF!,#REF!,#REF!,#REF!,#REF!</definedName>
    <definedName name="__APW_RESTORE_DATA165__" hidden="1">#REF!,#REF!,#REF!,#REF!,#REF!,#REF!,#REF!,#REF!,#REF!,#REF!,#REF!,#REF!,#REF!,#REF!,#REF!</definedName>
    <definedName name="__APW_RESTORE_DATA166__" hidden="1">#REF!,#REF!,#REF!,#REF!,#REF!,#REF!,#REF!,#REF!,#REF!,#REF!,#REF!,#REF!,#REF!,#REF!,#REF!</definedName>
    <definedName name="__APW_RESTORE_DATA167__" hidden="1">#REF!,#REF!,#REF!,#REF!,#REF!,#REF!</definedName>
    <definedName name="__APW_RESTORE_DATA168__" hidden="1">#REF!,#REF!,#REF!,#REF!,#REF!,#REF!,#REF!,#REF!,#REF!,#REF!,#REF!,#REF!,#REF!,#REF!,#REF!,#REF!,#REF!</definedName>
    <definedName name="__APW_RESTORE_DATA169__" hidden="1">#REF!,#REF!,#REF!,#REF!,#REF!,#REF!,#REF!,#REF!,#REF!,#REF!,#REF!,#REF!,#REF!,#REF!,#REF!,#REF!</definedName>
    <definedName name="__APW_RESTORE_DATA17__" hidden="1">#REF!,#REF!,#REF!,#REF!,#REF!,#REF!,#REF!,#REF!,#REF!,#REF!,#REF!,#REF!,#REF!,#REF!,#REF!,#REF!</definedName>
    <definedName name="__APW_RESTORE_DATA170__" hidden="1">#REF!,#REF!,#REF!,#REF!,#REF!,#REF!,#REF!,#REF!,#REF!,#REF!,#REF!,#REF!,#REF!,#REF!,#REF!,#REF!</definedName>
    <definedName name="__APW_RESTORE_DATA171__" hidden="1">#REF!,#REF!,#REF!,#REF!,#REF!,#REF!,#REF!,#REF!,#REF!,#REF!,#REF!,#REF!,#REF!,#REF!,#REF!,#REF!</definedName>
    <definedName name="__APW_RESTORE_DATA172__" hidden="1">#REF!,#REF!,#REF!,#REF!,#REF!,#REF!,#REF!,#REF!,#REF!,#REF!,#REF!,#REF!,#REF!,#REF!,#REF!,#REF!</definedName>
    <definedName name="__APW_RESTORE_DATA173__" hidden="1">#REF!,#REF!,#REF!,#REF!,#REF!,#REF!,#REF!,#REF!,#REF!,#REF!,#REF!,#REF!,#REF!,#REF!,#REF!,#REF!</definedName>
    <definedName name="__APW_RESTORE_DATA174__" hidden="1">#REF!,#REF!,#REF!,#REF!,#REF!,#REF!,#REF!,#REF!,#REF!,#REF!,#REF!,#REF!,#REF!,#REF!,#REF!</definedName>
    <definedName name="__APW_RESTORE_DATA175__" hidden="1">#REF!,#REF!,#REF!,#REF!,#REF!,#REF!,#REF!,#REF!,#REF!,#REF!,#REF!,#REF!,#REF!,#REF!,#REF!</definedName>
    <definedName name="__APW_RESTORE_DATA176__" hidden="1">#REF!,#REF!,#REF!,#REF!,#REF!,#REF!,#REF!,#REF!,#REF!,#REF!,#REF!,#REF!,#REF!,#REF!,#REF!</definedName>
    <definedName name="__APW_RESTORE_DATA177__" hidden="1">#REF!,#REF!,#REF!,#REF!,#REF!,#REF!,#REF!,#REF!,#REF!,#REF!,#REF!,#REF!,#REF!,#REF!,#REF!</definedName>
    <definedName name="__APW_RESTORE_DATA178__" hidden="1">#REF!,#REF!,#REF!,#REF!,#REF!,#REF!,#REF!,#REF!,#REF!,#REF!,#REF!,#REF!,#REF!,#REF!,#REF!</definedName>
    <definedName name="__APW_RESTORE_DATA179__" hidden="1">#REF!,#REF!,#REF!,#REF!,#REF!,#REF!</definedName>
    <definedName name="__APW_RESTORE_DATA18__" hidden="1">#REF!,#REF!,#REF!,#REF!,#REF!,#REF!,#REF!,#REF!,#REF!,#REF!,#REF!,#REF!,#REF!,#REF!,#REF!</definedName>
    <definedName name="__APW_RESTORE_DATA180__" hidden="1">#REF!,#REF!,#REF!,#REF!,#REF!,#REF!,#REF!,#REF!,#REF!,#REF!,#REF!,#REF!,#REF!,#REF!,#REF!,#REF!,#REF!</definedName>
    <definedName name="__APW_RESTORE_DATA181__" hidden="1">#REF!,#REF!,#REF!,#REF!,#REF!,#REF!,#REF!,#REF!,#REF!,#REF!,#REF!,#REF!,#REF!,#REF!,#REF!,#REF!</definedName>
    <definedName name="__APW_RESTORE_DATA182__" hidden="1">#REF!,#REF!,#REF!,#REF!,#REF!,#REF!,#REF!,#REF!,#REF!,#REF!,#REF!,#REF!,#REF!,#REF!,#REF!,#REF!</definedName>
    <definedName name="__APW_RESTORE_DATA183__" hidden="1">#REF!,#REF!,#REF!,#REF!,#REF!,#REF!,#REF!,#REF!,#REF!,#REF!,#REF!,#REF!,#REF!,#REF!,#REF!,#REF!</definedName>
    <definedName name="__APW_RESTORE_DATA184__" hidden="1">#REF!,#REF!,#REF!,#REF!,#REF!,#REF!,#REF!,#REF!,#REF!,#REF!,#REF!,#REF!,#REF!,#REF!,#REF!,#REF!</definedName>
    <definedName name="__APW_RESTORE_DATA185__" hidden="1">#REF!,#REF!,#REF!,#REF!,#REF!,#REF!,#REF!,#REF!,#REF!,#REF!,#REF!,#REF!,#REF!,#REF!,#REF!,#REF!</definedName>
    <definedName name="__APW_RESTORE_DATA186__" hidden="1">#REF!,#REF!,#REF!,#REF!,#REF!,#REF!,#REF!,#REF!,#REF!,#REF!,#REF!,#REF!,#REF!,#REF!,#REF!</definedName>
    <definedName name="__APW_RESTORE_DATA187__" hidden="1">#REF!,#REF!,#REF!,#REF!,#REF!,#REF!,#REF!,#REF!,#REF!,#REF!,#REF!,#REF!,#REF!,#REF!,#REF!</definedName>
    <definedName name="__APW_RESTORE_DATA188__" hidden="1">#REF!,#REF!,#REF!,#REF!,#REF!,#REF!,#REF!,#REF!,#REF!,#REF!,#REF!,#REF!,#REF!,#REF!,#REF!</definedName>
    <definedName name="__APW_RESTORE_DATA189__" hidden="1">#REF!,#REF!,#REF!,#REF!,#REF!,#REF!,#REF!,#REF!,#REF!,#REF!,#REF!,#REF!,#REF!,#REF!,#REF!</definedName>
    <definedName name="__APW_RESTORE_DATA19__" hidden="1">#REF!,#REF!,#REF!,#REF!,#REF!,#REF!,#REF!,#REF!,#REF!,#REF!,#REF!,#REF!,#REF!,#REF!,#REF!</definedName>
    <definedName name="__APW_RESTORE_DATA190__" hidden="1">#REF!,#REF!,#REF!,#REF!,#REF!,#REF!,#REF!,#REF!,#REF!,#REF!,#REF!,#REF!,#REF!,#REF!,#REF!</definedName>
    <definedName name="__APW_RESTORE_DATA191__" hidden="1">#REF!,#REF!,#REF!,#REF!,#REF!,#REF!</definedName>
    <definedName name="__APW_RESTORE_DATA192__" hidden="1">#REF!,#REF!,#REF!,#REF!,#REF!,#REF!,#REF!,#REF!,#REF!,#REF!,#REF!,#REF!,#REF!,#REF!,#REF!,#REF!,#REF!</definedName>
    <definedName name="__APW_RESTORE_DATA193__" hidden="1">#REF!,#REF!,#REF!,#REF!,#REF!,#REF!,#REF!,#REF!,#REF!,#REF!,#REF!,#REF!,#REF!,#REF!,#REF!,#REF!</definedName>
    <definedName name="__APW_RESTORE_DATA194__" hidden="1">#REF!,#REF!,#REF!,#REF!,#REF!,#REF!,#REF!,#REF!,#REF!,#REF!,#REF!,#REF!,#REF!,#REF!,#REF!,#REF!</definedName>
    <definedName name="__APW_RESTORE_DATA195__" hidden="1">#REF!,#REF!,#REF!,#REF!,#REF!,#REF!,#REF!,#REF!,#REF!,#REF!,#REF!,#REF!,#REF!,#REF!,#REF!,#REF!</definedName>
    <definedName name="__APW_RESTORE_DATA196__" hidden="1">#REF!,#REF!,#REF!,#REF!,#REF!,#REF!,#REF!,#REF!,#REF!,#REF!,#REF!,#REF!,#REF!,#REF!,#REF!,#REF!</definedName>
    <definedName name="__APW_RESTORE_DATA197__" hidden="1">#REF!,#REF!,#REF!,#REF!,#REF!,#REF!,#REF!,#REF!,#REF!,#REF!,#REF!,#REF!,#REF!,#REF!,#REF!,#REF!</definedName>
    <definedName name="__APW_RESTORE_DATA198__" hidden="1">#REF!,#REF!,#REF!,#REF!,#REF!,#REF!,#REF!,#REF!,#REF!,#REF!,#REF!,#REF!,#REF!,#REF!,#REF!</definedName>
    <definedName name="__APW_RESTORE_DATA199__" hidden="1">#REF!,#REF!,#REF!,#REF!,#REF!,#REF!,#REF!,#REF!,#REF!,#REF!,#REF!,#REF!,#REF!,#REF!,#REF!,#REF!,#REF!</definedName>
    <definedName name="__APW_RESTORE_DATA2__" hidden="1">#REF!,#REF!,#REF!,#REF!,#REF!,#REF!,#REF!,#REF!,#REF!,#REF!,#REF!,#REF!,#REF!,#REF!,#REF!,#REF!</definedName>
    <definedName name="__APW_RESTORE_DATA20__" hidden="1">#REF!,#REF!,#REF!,#REF!,#REF!,#REF!,#REF!,#REF!,#REF!,#REF!,#REF!,#REF!,#REF!,#REF!,#REF!</definedName>
    <definedName name="__APW_RESTORE_DATA200__" hidden="1">#REF!,#REF!,#REF!,#REF!,#REF!,#REF!,#REF!,#REF!,#REF!,#REF!,#REF!,#REF!,#REF!,#REF!,#REF!,#REF!</definedName>
    <definedName name="__APW_RESTORE_DATA201__" hidden="1">#REF!,#REF!,#REF!,#REF!,#REF!,#REF!,#REF!,#REF!,#REF!,#REF!,#REF!,#REF!,#REF!,#REF!,#REF!,#REF!</definedName>
    <definedName name="__APW_RESTORE_DATA202__" hidden="1">#REF!,#REF!,#REF!,#REF!,#REF!,#REF!,#REF!,#REF!,#REF!,#REF!,#REF!,#REF!,#REF!,#REF!,#REF!,#REF!</definedName>
    <definedName name="__APW_RESTORE_DATA203__" hidden="1">#REF!,#REF!,#REF!,#REF!,#REF!,#REF!,#REF!,#REF!,#REF!,#REF!,#REF!,#REF!,#REF!,#REF!,#REF!,#REF!</definedName>
    <definedName name="__APW_RESTORE_DATA204__" hidden="1">#REF!,#REF!,#REF!,#REF!,#REF!,#REF!,#REF!,#REF!,#REF!,#REF!,#REF!,#REF!,#REF!,#REF!,#REF!,#REF!</definedName>
    <definedName name="__APW_RESTORE_DATA205__" hidden="1">#REF!,#REF!,#REF!,#REF!,#REF!,#REF!,#REF!,#REF!,#REF!,#REF!,#REF!,#REF!,#REF!,#REF!,#REF!</definedName>
    <definedName name="__APW_RESTORE_DATA206__" hidden="1">#REF!,#REF!,#REF!,#REF!,#REF!,#REF!,#REF!,#REF!,#REF!,#REF!,#REF!,#REF!,#REF!,#REF!,#REF!</definedName>
    <definedName name="__APW_RESTORE_DATA207__" hidden="1">#REF!,#REF!,#REF!,#REF!,#REF!,#REF!,#REF!,#REF!,#REF!,#REF!,#REF!,#REF!,#REF!,#REF!,#REF!</definedName>
    <definedName name="__APW_RESTORE_DATA208__" hidden="1">#REF!,#REF!,#REF!,#REF!,#REF!,#REF!,#REF!,#REF!,#REF!,#REF!,#REF!,#REF!,#REF!,#REF!,#REF!</definedName>
    <definedName name="__APW_RESTORE_DATA209__" hidden="1">#REF!,#REF!,#REF!,#REF!,#REF!,#REF!,#REF!,#REF!,#REF!,#REF!,#REF!,#REF!,#REF!,#REF!</definedName>
    <definedName name="__APW_RESTORE_DATA21__" hidden="1">#REF!,#REF!,#REF!,#REF!,#REF!,#REF!,#REF!,#REF!,#REF!,#REF!,#REF!,#REF!,#REF!,#REF!,#REF!</definedName>
    <definedName name="__APW_RESTORE_DATA210__" hidden="1">#REF!,#REF!,#REF!,#REF!,#REF!,#REF!,#REF!,#REF!,#REF!,#REF!,#REF!,#REF!,#REF!,#REF!,#REF!,#REF!,#REF!</definedName>
    <definedName name="__APW_RESTORE_DATA211__" hidden="1">#REF!,#REF!,#REF!,#REF!,#REF!,#REF!,#REF!,#REF!,#REF!,#REF!,#REF!,#REF!,#REF!,#REF!,#REF!,#REF!</definedName>
    <definedName name="__APW_RESTORE_DATA212__" hidden="1">#REF!,#REF!,#REF!,#REF!,#REF!,#REF!,#REF!,#REF!,#REF!,#REF!,#REF!,#REF!,#REF!,#REF!,#REF!,#REF!</definedName>
    <definedName name="__APW_RESTORE_DATA213__" hidden="1">#REF!,#REF!,#REF!,#REF!,#REF!,#REF!,#REF!,#REF!,#REF!,#REF!,#REF!,#REF!,#REF!,#REF!,#REF!,#REF!</definedName>
    <definedName name="__APW_RESTORE_DATA214__" hidden="1">#REF!,#REF!,#REF!,#REF!,#REF!,#REF!,#REF!,#REF!,#REF!,#REF!,#REF!,#REF!,#REF!,#REF!,#REF!,#REF!</definedName>
    <definedName name="__APW_RESTORE_DATA215__" hidden="1">#REF!,#REF!,#REF!,#REF!,#REF!,#REF!,#REF!,#REF!,#REF!,#REF!,#REF!,#REF!,#REF!,#REF!,#REF!,#REF!</definedName>
    <definedName name="__APW_RESTORE_DATA216__" hidden="1">#REF!,#REF!,#REF!,#REF!,#REF!,#REF!,#REF!,#REF!,#REF!,#REF!,#REF!,#REF!,#REF!,#REF!,#REF!</definedName>
    <definedName name="__APW_RESTORE_DATA217__" hidden="1">#REF!,#REF!,#REF!,#REF!,#REF!,#REF!,#REF!,#REF!,#REF!,#REF!,#REF!,#REF!,#REF!,#REF!,#REF!</definedName>
    <definedName name="__APW_RESTORE_DATA218__" hidden="1">#REF!,#REF!,#REF!,#REF!,#REF!,#REF!,#REF!,#REF!,#REF!,#REF!,#REF!,#REF!,#REF!,#REF!,#REF!</definedName>
    <definedName name="__APW_RESTORE_DATA219__" hidden="1">#REF!,#REF!,#REF!,#REF!,#REF!,#REF!,#REF!,#REF!,#REF!,#REF!,#REF!,#REF!,#REF!,#REF!,#REF!</definedName>
    <definedName name="__APW_RESTORE_DATA22__" hidden="1">#REF!,#REF!,#REF!,#REF!,#REF!,#REF!,#REF!,#REF!,#REF!,#REF!,#REF!,#REF!,#REF!,#REF!,#REF!</definedName>
    <definedName name="__APW_RESTORE_DATA220__" hidden="1">#REF!,#REF!,#REF!,#REF!,#REF!,#REF!,#REF!,#REF!,#REF!,#REF!,#REF!,#REF!,#REF!,#REF!</definedName>
    <definedName name="__APW_RESTORE_DATA221__" hidden="1">#REF!,#REF!,#REF!,#REF!,#REF!,#REF!,#REF!,#REF!,#REF!,#REF!,#REF!,#REF!,#REF!,#REF!,#REF!,#REF!,#REF!</definedName>
    <definedName name="__APW_RESTORE_DATA222__" hidden="1">#REF!,#REF!,#REF!,#REF!,#REF!,#REF!,#REF!,#REF!,#REF!,#REF!,#REF!,#REF!,#REF!,#REF!,#REF!,#REF!</definedName>
    <definedName name="__APW_RESTORE_DATA223__" hidden="1">#REF!,#REF!,#REF!,#REF!,#REF!,#REF!,#REF!,#REF!,#REF!,#REF!,#REF!,#REF!,#REF!,#REF!,#REF!,#REF!</definedName>
    <definedName name="__APW_RESTORE_DATA224__" hidden="1">#REF!,#REF!,#REF!,#REF!,#REF!,#REF!,#REF!,#REF!,#REF!,#REF!,#REF!,#REF!,#REF!,#REF!,#REF!,#REF!</definedName>
    <definedName name="__APW_RESTORE_DATA225__" hidden="1">#REF!,#REF!,#REF!,#REF!,#REF!,#REF!,#REF!,#REF!,#REF!,#REF!,#REF!,#REF!,#REF!,#REF!,#REF!,#REF!</definedName>
    <definedName name="__APW_RESTORE_DATA226__" hidden="1">#REF!,#REF!,#REF!,#REF!,#REF!,#REF!,#REF!,#REF!,#REF!,#REF!,#REF!,#REF!,#REF!,#REF!,#REF!,#REF!</definedName>
    <definedName name="__APW_RESTORE_DATA227__" hidden="1">#REF!,#REF!,#REF!,#REF!,#REF!,#REF!,#REF!,#REF!,#REF!,#REF!,#REF!,#REF!,#REF!,#REF!,#REF!</definedName>
    <definedName name="__APW_RESTORE_DATA228__" hidden="1">#REF!,#REF!,#REF!,#REF!,#REF!,#REF!,#REF!,#REF!,#REF!,#REF!,#REF!,#REF!,#REF!,#REF!,#REF!</definedName>
    <definedName name="__APW_RESTORE_DATA229__" hidden="1">#REF!,#REF!,#REF!,#REF!,#REF!,#REF!,#REF!,#REF!,#REF!,#REF!,#REF!,#REF!,#REF!,#REF!,#REF!</definedName>
    <definedName name="__APW_RESTORE_DATA23__" hidden="1">#REF!,#REF!,#REF!,#REF!,#REF!,#REF!</definedName>
    <definedName name="__APW_RESTORE_DATA230__" hidden="1">#REF!,#REF!,#REF!,#REF!,#REF!,#REF!,#REF!,#REF!,#REF!,#REF!,#REF!,#REF!,#REF!,#REF!,#REF!</definedName>
    <definedName name="__APW_RESTORE_DATA231__" hidden="1">#REF!,#REF!,#REF!,#REF!,#REF!,#REF!,#REF!,#REF!,#REF!,#REF!,#REF!,#REF!,#REF!,#REF!</definedName>
    <definedName name="__APW_RESTORE_DATA232__" hidden="1">#REF!,#REF!,#REF!,#REF!,#REF!,#REF!,#REF!,#REF!,#REF!,#REF!,#REF!,#REF!,#REF!,#REF!,#REF!,#REF!,#REF!</definedName>
    <definedName name="__APW_RESTORE_DATA233__" hidden="1">#REF!,#REF!,#REF!,#REF!,#REF!,#REF!,#REF!,#REF!,#REF!,#REF!,#REF!,#REF!,#REF!,#REF!,#REF!,#REF!</definedName>
    <definedName name="__APW_RESTORE_DATA234__" hidden="1">#REF!,#REF!,#REF!,#REF!,#REF!,#REF!,#REF!,#REF!,#REF!,#REF!,#REF!,#REF!,#REF!,#REF!,#REF!,#REF!</definedName>
    <definedName name="__APW_RESTORE_DATA235__" hidden="1">#REF!,#REF!,#REF!,#REF!,#REF!,#REF!,#REF!,#REF!,#REF!,#REF!,#REF!,#REF!,#REF!,#REF!,#REF!,#REF!</definedName>
    <definedName name="__APW_RESTORE_DATA236__" hidden="1">#REF!,#REF!,#REF!,#REF!,#REF!,#REF!,#REF!,#REF!,#REF!,#REF!,#REF!,#REF!,#REF!,#REF!,#REF!,#REF!</definedName>
    <definedName name="__APW_RESTORE_DATA237__" hidden="1">#REF!,#REF!,#REF!,#REF!,#REF!,#REF!,#REF!,#REF!,#REF!,#REF!,#REF!,#REF!,#REF!,#REF!,#REF!,#REF!</definedName>
    <definedName name="__APW_RESTORE_DATA238__" hidden="1">#REF!,#REF!,#REF!,#REF!,#REF!,#REF!,#REF!,#REF!,#REF!,#REF!,#REF!,#REF!,#REF!,#REF!,#REF!</definedName>
    <definedName name="__APW_RESTORE_DATA239__" hidden="1">#REF!,#REF!,#REF!,#REF!,#REF!,#REF!,#REF!,#REF!,#REF!,#REF!,#REF!,#REF!,#REF!,#REF!,#REF!</definedName>
    <definedName name="__APW_RESTORE_DATA24__" hidden="1">#REF!,#REF!,#REF!,#REF!,#REF!,#REF!,#REF!,#REF!,#REF!,#REF!,#REF!,#REF!,#REF!,#REF!,#REF!,#REF!,#REF!</definedName>
    <definedName name="__APW_RESTORE_DATA240__" hidden="1">#REF!,#REF!,#REF!,#REF!,#REF!,#REF!,#REF!,#REF!,#REF!,#REF!,#REF!,#REF!,#REF!,#REF!,#REF!</definedName>
    <definedName name="__APW_RESTORE_DATA241__" hidden="1">#REF!,#REF!,#REF!,#REF!,#REF!,#REF!,#REF!,#REF!,#REF!,#REF!,#REF!,#REF!,#REF!,#REF!,#REF!</definedName>
    <definedName name="__APW_RESTORE_DATA242__" hidden="1">#REF!,#REF!,#REF!,#REF!,#REF!,#REF!,#REF!,#REF!,#REF!,#REF!,#REF!,#REF!,#REF!,#REF!</definedName>
    <definedName name="__APW_RESTORE_DATA243__" hidden="1">#REF!,#REF!,#REF!,#REF!,#REF!,#REF!,#REF!,#REF!,#REF!,#REF!,#REF!,#REF!,#REF!,#REF!,#REF!,#REF!,#REF!</definedName>
    <definedName name="__APW_RESTORE_DATA244__" hidden="1">#REF!,#REF!,#REF!,#REF!,#REF!,#REF!,#REF!,#REF!,#REF!,#REF!,#REF!,#REF!,#REF!,#REF!,#REF!,#REF!</definedName>
    <definedName name="__APW_RESTORE_DATA245__" hidden="1">#REF!,#REF!,#REF!,#REF!,#REF!,#REF!,#REF!,#REF!,#REF!,#REF!,#REF!,#REF!,#REF!,#REF!,#REF!,#REF!</definedName>
    <definedName name="__APW_RESTORE_DATA246__" hidden="1">#REF!,#REF!,#REF!,#REF!,#REF!,#REF!,#REF!,#REF!,#REF!,#REF!,#REF!,#REF!,#REF!,#REF!,#REF!,#REF!</definedName>
    <definedName name="__APW_RESTORE_DATA247__" hidden="1">#REF!,#REF!,#REF!,#REF!,#REF!,#REF!,#REF!,#REF!,#REF!,#REF!,#REF!,#REF!,#REF!,#REF!,#REF!,#REF!</definedName>
    <definedName name="__APW_RESTORE_DATA248__" hidden="1">#REF!,#REF!,#REF!,#REF!,#REF!,#REF!,#REF!,#REF!,#REF!,#REF!,#REF!,#REF!,#REF!,#REF!,#REF!,#REF!</definedName>
    <definedName name="__APW_RESTORE_DATA249__" hidden="1">#REF!,#REF!,#REF!,#REF!,#REF!,#REF!,#REF!,#REF!,#REF!,#REF!,#REF!,#REF!,#REF!,#REF!,#REF!</definedName>
    <definedName name="__APW_RESTORE_DATA25__" hidden="1">#REF!,#REF!,#REF!,#REF!,#REF!,#REF!,#REF!,#REF!,#REF!,#REF!,#REF!,#REF!,#REF!,#REF!,#REF!,#REF!</definedName>
    <definedName name="__APW_RESTORE_DATA250__" hidden="1">#REF!,#REF!,#REF!,#REF!,#REF!,#REF!,#REF!,#REF!,#REF!,#REF!,#REF!,#REF!,#REF!,#REF!,#REF!</definedName>
    <definedName name="__APW_RESTORE_DATA251__" hidden="1">#REF!,#REF!,#REF!,#REF!,#REF!,#REF!,#REF!,#REF!,#REF!,#REF!,#REF!,#REF!,#REF!,#REF!,#REF!</definedName>
    <definedName name="__APW_RESTORE_DATA252__" hidden="1">#REF!,#REF!,#REF!,#REF!,#REF!,#REF!,#REF!,#REF!,#REF!,#REF!,#REF!,#REF!,#REF!,#REF!,#REF!</definedName>
    <definedName name="__APW_RESTORE_DATA253__" hidden="1">#REF!,#REF!,#REF!,#REF!,#REF!,#REF!,#REF!,#REF!,#REF!,#REF!,#REF!,#REF!,#REF!,#REF!</definedName>
    <definedName name="__APW_RESTORE_DATA254__" hidden="1">#REF!,#REF!,#REF!,#REF!,#REF!,#REF!,#REF!,#REF!,#REF!,#REF!,#REF!,#REF!,#REF!,#REF!,#REF!,#REF!,#REF!</definedName>
    <definedName name="__APW_RESTORE_DATA255__" hidden="1">#REF!,#REF!,#REF!,#REF!,#REF!,#REF!,#REF!,#REF!,#REF!,#REF!,#REF!,#REF!,#REF!,#REF!,#REF!,#REF!</definedName>
    <definedName name="__APW_RESTORE_DATA256__" hidden="1">#REF!,#REF!,#REF!,#REF!,#REF!,#REF!,#REF!,#REF!,#REF!,#REF!,#REF!,#REF!,#REF!,#REF!,#REF!,#REF!</definedName>
    <definedName name="__APW_RESTORE_DATA257__" hidden="1">#REF!,#REF!,#REF!,#REF!,#REF!,#REF!,#REF!,#REF!,#REF!,#REF!,#REF!,#REF!,#REF!,#REF!,#REF!,#REF!</definedName>
    <definedName name="__APW_RESTORE_DATA258__" hidden="1">#REF!,#REF!,#REF!,#REF!,#REF!,#REF!,#REF!,#REF!,#REF!,#REF!,#REF!,#REF!,#REF!,#REF!,#REF!,#REF!</definedName>
    <definedName name="__APW_RESTORE_DATA259__" hidden="1">#REF!,#REF!,#REF!,#REF!,#REF!,#REF!,#REF!,#REF!,#REF!,#REF!,#REF!,#REF!,#REF!,#REF!,#REF!,#REF!</definedName>
    <definedName name="__APW_RESTORE_DATA26__" hidden="1">#REF!,#REF!,#REF!,#REF!,#REF!,#REF!,#REF!,#REF!,#REF!,#REF!,#REF!,#REF!,#REF!,#REF!,#REF!,#REF!</definedName>
    <definedName name="__APW_RESTORE_DATA260__" hidden="1">#REF!,#REF!,#REF!,#REF!,#REF!,#REF!,#REF!,#REF!,#REF!,#REF!,#REF!,#REF!,#REF!,#REF!,#REF!</definedName>
    <definedName name="__APW_RESTORE_DATA261__" hidden="1">#REF!,#REF!,#REF!,#REF!,#REF!,#REF!,#REF!,#REF!,#REF!,#REF!,#REF!,#REF!,#REF!,#REF!,#REF!</definedName>
    <definedName name="__APW_RESTORE_DATA262__" hidden="1">#REF!,#REF!,#REF!,#REF!,#REF!,#REF!,#REF!,#REF!,#REF!,#REF!,#REF!,#REF!,#REF!,#REF!,#REF!</definedName>
    <definedName name="__APW_RESTORE_DATA263__" hidden="1">#REF!,#REF!,#REF!,#REF!,#REF!,#REF!,#REF!,#REF!,#REF!,#REF!,#REF!,#REF!,#REF!,#REF!,#REF!</definedName>
    <definedName name="__APW_RESTORE_DATA264__" hidden="1">#REF!,#REF!,#REF!,#REF!,#REF!,#REF!,#REF!,#REF!,#REF!,#REF!,#REF!,#REF!,#REF!,#REF!</definedName>
    <definedName name="__APW_RESTORE_DATA265__" hidden="1">#REF!,#REF!,#REF!,#REF!,#REF!,#REF!,#REF!,#REF!,#REF!,#REF!,#REF!,#REF!,#REF!,#REF!,#REF!,#REF!,#REF!</definedName>
    <definedName name="__APW_RESTORE_DATA266__" hidden="1">#REF!,#REF!,#REF!,#REF!,#REF!,#REF!,#REF!,#REF!,#REF!,#REF!,#REF!,#REF!,#REF!,#REF!,#REF!,#REF!</definedName>
    <definedName name="__APW_RESTORE_DATA267__" hidden="1">#REF!,#REF!,#REF!,#REF!,#REF!,#REF!,#REF!,#REF!,#REF!,#REF!,#REF!,#REF!,#REF!,#REF!,#REF!,#REF!</definedName>
    <definedName name="__APW_RESTORE_DATA268__" hidden="1">#REF!,#REF!,#REF!,#REF!,#REF!,#REF!,#REF!,#REF!,#REF!,#REF!,#REF!,#REF!,#REF!,#REF!,#REF!,#REF!</definedName>
    <definedName name="__APW_RESTORE_DATA269__" hidden="1">#REF!,#REF!,#REF!,#REF!,#REF!,#REF!,#REF!,#REF!,#REF!,#REF!,#REF!,#REF!,#REF!,#REF!,#REF!,#REF!</definedName>
    <definedName name="__APW_RESTORE_DATA27__" hidden="1">#REF!,#REF!,#REF!,#REF!,#REF!,#REF!,#REF!,#REF!,#REF!,#REF!,#REF!,#REF!,#REF!,#REF!,#REF!,#REF!</definedName>
    <definedName name="__APW_RESTORE_DATA270__" hidden="1">#REF!,#REF!,#REF!,#REF!,#REF!,#REF!,#REF!,#REF!,#REF!,#REF!,#REF!,#REF!,#REF!,#REF!,#REF!,#REF!</definedName>
    <definedName name="__APW_RESTORE_DATA271__" hidden="1">#REF!,#REF!,#REF!,#REF!,#REF!,#REF!,#REF!,#REF!,#REF!,#REF!,#REF!,#REF!,#REF!,#REF!,#REF!</definedName>
    <definedName name="__APW_RESTORE_DATA272__" hidden="1">#REF!,#REF!,#REF!,#REF!,#REF!,#REF!,#REF!,#REF!,#REF!,#REF!,#REF!,#REF!,#REF!,#REF!,#REF!</definedName>
    <definedName name="__APW_RESTORE_DATA273__" hidden="1">#REF!,#REF!,#REF!,#REF!,#REF!,#REF!,#REF!,#REF!,#REF!,#REF!,#REF!,#REF!,#REF!,#REF!,#REF!</definedName>
    <definedName name="__APW_RESTORE_DATA274__" hidden="1">#REF!,#REF!,#REF!,#REF!,#REF!,#REF!,#REF!,#REF!,#REF!,#REF!,#REF!,#REF!,#REF!,#REF!,#REF!</definedName>
    <definedName name="__APW_RESTORE_DATA275__" hidden="1">#REF!,#REF!,#REF!,#REF!,#REF!,#REF!,#REF!,#REF!,#REF!,#REF!,#REF!,#REF!,#REF!,#REF!</definedName>
    <definedName name="__APW_RESTORE_DATA276__" hidden="1">#REF!,#REF!,#REF!,#REF!,#REF!,#REF!,#REF!,#REF!,#REF!,#REF!,#REF!,#REF!,#REF!,#REF!,#REF!,#REF!,#REF!</definedName>
    <definedName name="__APW_RESTORE_DATA277__" hidden="1">#REF!,#REF!,#REF!,#REF!,#REF!,#REF!,#REF!,#REF!,#REF!,#REF!,#REF!,#REF!,#REF!,#REF!,#REF!,#REF!</definedName>
    <definedName name="__APW_RESTORE_DATA278__" hidden="1">#REF!,#REF!,#REF!,#REF!,#REF!,#REF!,#REF!,#REF!,#REF!,#REF!,#REF!,#REF!,#REF!,#REF!,#REF!,#REF!</definedName>
    <definedName name="__APW_RESTORE_DATA279__" hidden="1">#REF!,#REF!,#REF!,#REF!,#REF!,#REF!,#REF!,#REF!,#REF!,#REF!,#REF!,#REF!,#REF!,#REF!,#REF!,#REF!</definedName>
    <definedName name="__APW_RESTORE_DATA28__" hidden="1">#REF!,#REF!,#REF!,#REF!,#REF!,#REF!,#REF!,#REF!,#REF!,#REF!,#REF!,#REF!,#REF!,#REF!,#REF!,#REF!</definedName>
    <definedName name="__APW_RESTORE_DATA280__" hidden="1">#REF!,#REF!,#REF!,#REF!,#REF!,#REF!,#REF!,#REF!,#REF!,#REF!,#REF!,#REF!,#REF!,#REF!,#REF!,#REF!</definedName>
    <definedName name="__APW_RESTORE_DATA281__" hidden="1">#REF!,#REF!,#REF!,#REF!,#REF!,#REF!,#REF!,#REF!,#REF!,#REF!,#REF!,#REF!,#REF!,#REF!,#REF!,#REF!</definedName>
    <definedName name="__APW_RESTORE_DATA282__" hidden="1">#REF!,#REF!,#REF!,#REF!,#REF!,#REF!,#REF!,#REF!,#REF!,#REF!,#REF!,#REF!,#REF!,#REF!,#REF!</definedName>
    <definedName name="__APW_RESTORE_DATA283__" hidden="1">#REF!,#REF!,#REF!,#REF!,#REF!,#REF!,#REF!,#REF!,#REF!,#REF!,#REF!,#REF!,#REF!,#REF!,#REF!</definedName>
    <definedName name="__APW_RESTORE_DATA284__" hidden="1">#REF!,#REF!,#REF!,#REF!,#REF!,#REF!,#REF!,#REF!,#REF!,#REF!,#REF!,#REF!,#REF!,#REF!,#REF!</definedName>
    <definedName name="__APW_RESTORE_DATA285__" hidden="1">#REF!,#REF!,#REF!,#REF!,#REF!,#REF!,#REF!,#REF!,#REF!,#REF!,#REF!,#REF!,#REF!,#REF!,#REF!</definedName>
    <definedName name="__APW_RESTORE_DATA286__" hidden="1">#REF!,#REF!,#REF!,#REF!,#REF!,#REF!,#REF!,#REF!,#REF!,#REF!,#REF!,#REF!,#REF!,#REF!</definedName>
    <definedName name="__APW_RESTORE_DATA287__" hidden="1">#REF!,#REF!,#REF!,#REF!,#REF!,#REF!,#REF!,#REF!,#REF!,#REF!,#REF!,#REF!,#REF!,#REF!,#REF!,#REF!,#REF!</definedName>
    <definedName name="__APW_RESTORE_DATA288__" hidden="1">#REF!,#REF!,#REF!,#REF!,#REF!,#REF!,#REF!,#REF!,#REF!,#REF!,#REF!,#REF!,#REF!,#REF!,#REF!,#REF!</definedName>
    <definedName name="__APW_RESTORE_DATA289__" hidden="1">#REF!,#REF!,#REF!,#REF!,#REF!,#REF!,#REF!,#REF!,#REF!,#REF!,#REF!,#REF!,#REF!,#REF!,#REF!,#REF!</definedName>
    <definedName name="__APW_RESTORE_DATA29__" hidden="1">#REF!,#REF!,#REF!,#REF!,#REF!,#REF!,#REF!,#REF!,#REF!,#REF!,#REF!,#REF!,#REF!,#REF!,#REF!,#REF!</definedName>
    <definedName name="__APW_RESTORE_DATA290__" hidden="1">#REF!,#REF!,#REF!,#REF!,#REF!,#REF!,#REF!,#REF!,#REF!,#REF!,#REF!,#REF!,#REF!,#REF!,#REF!,#REF!</definedName>
    <definedName name="__APW_RESTORE_DATA291__" hidden="1">#REF!,#REF!,#REF!,#REF!,#REF!,#REF!,#REF!,#REF!,#REF!,#REF!,#REF!,#REF!,#REF!,#REF!,#REF!,#REF!</definedName>
    <definedName name="__APW_RESTORE_DATA292__" hidden="1">#REF!,#REF!,#REF!,#REF!,#REF!,#REF!,#REF!,#REF!,#REF!,#REF!,#REF!,#REF!,#REF!,#REF!,#REF!,#REF!</definedName>
    <definedName name="__APW_RESTORE_DATA293__" hidden="1">#REF!,#REF!,#REF!,#REF!,#REF!,#REF!,#REF!,#REF!,#REF!,#REF!,#REF!,#REF!,#REF!,#REF!,#REF!</definedName>
    <definedName name="__APW_RESTORE_DATA294__" hidden="1">#REF!,#REF!,#REF!,#REF!,#REF!,#REF!,#REF!,#REF!,#REF!,#REF!,#REF!,#REF!,#REF!,#REF!,#REF!</definedName>
    <definedName name="__APW_RESTORE_DATA295__" hidden="1">#REF!,#REF!,#REF!,#REF!,#REF!,#REF!,#REF!,#REF!,#REF!,#REF!,#REF!,#REF!,#REF!,#REF!,#REF!</definedName>
    <definedName name="__APW_RESTORE_DATA296__" hidden="1">#REF!,#REF!,#REF!,#REF!,#REF!,#REF!,#REF!,#REF!,#REF!,#REF!,#REF!,#REF!,#REF!,#REF!,#REF!</definedName>
    <definedName name="__APW_RESTORE_DATA297__" hidden="1">#REF!,#REF!,#REF!,#REF!,#REF!,#REF!,#REF!,#REF!,#REF!,#REF!,#REF!,#REF!,#REF!,#REF!</definedName>
    <definedName name="__APW_RESTORE_DATA298__" hidden="1">#REF!,#REF!,#REF!,#REF!,#REF!,#REF!,#REF!,#REF!,#REF!,#REF!,#REF!,#REF!,#REF!,#REF!,#REF!,#REF!,#REF!</definedName>
    <definedName name="__APW_RESTORE_DATA299__" hidden="1">#REF!,#REF!,#REF!,#REF!,#REF!,#REF!,#REF!,#REF!,#REF!,#REF!,#REF!,#REF!,#REF!,#REF!,#REF!,#REF!</definedName>
    <definedName name="__APW_RESTORE_DATA3__" hidden="1">#REF!,#REF!,#REF!,#REF!,#REF!,#REF!,#REF!,#REF!,#REF!,#REF!,#REF!,#REF!,#REF!,#REF!,#REF!,#REF!</definedName>
    <definedName name="__APW_RESTORE_DATA30__" hidden="1">#REF!,#REF!,#REF!,#REF!,#REF!,#REF!,#REF!,#REF!,#REF!,#REF!,#REF!,#REF!,#REF!,#REF!,#REF!</definedName>
    <definedName name="__APW_RESTORE_DATA300__" hidden="1">#REF!,#REF!,#REF!,#REF!,#REF!,#REF!,#REF!,#REF!,#REF!,#REF!,#REF!,#REF!,#REF!,#REF!,#REF!,#REF!</definedName>
    <definedName name="__APW_RESTORE_DATA301__" hidden="1">#REF!,#REF!,#REF!,#REF!,#REF!,#REF!,#REF!,#REF!,#REF!,#REF!,#REF!,#REF!,#REF!,#REF!,#REF!,#REF!</definedName>
    <definedName name="__APW_RESTORE_DATA302__" hidden="1">#REF!,#REF!,#REF!,#REF!,#REF!,#REF!,#REF!,#REF!,#REF!,#REF!,#REF!,#REF!,#REF!,#REF!,#REF!,#REF!</definedName>
    <definedName name="__APW_RESTORE_DATA303__" hidden="1">#REF!,#REF!,#REF!,#REF!,#REF!,#REF!,#REF!,#REF!,#REF!,#REF!,#REF!,#REF!,#REF!,#REF!,#REF!,#REF!</definedName>
    <definedName name="__APW_RESTORE_DATA304__" hidden="1">#REF!,#REF!,#REF!,#REF!,#REF!,#REF!,#REF!,#REF!,#REF!,#REF!,#REF!,#REF!,#REF!,#REF!,#REF!</definedName>
    <definedName name="__APW_RESTORE_DATA305__" hidden="1">#REF!,#REF!,#REF!,#REF!,#REF!,#REF!,#REF!,#REF!,#REF!,#REF!,#REF!,#REF!,#REF!,#REF!,#REF!</definedName>
    <definedName name="__APW_RESTORE_DATA306__" hidden="1">#REF!,#REF!,#REF!,#REF!,#REF!,#REF!,#REF!,#REF!,#REF!,#REF!,#REF!,#REF!,#REF!,#REF!,#REF!</definedName>
    <definedName name="__APW_RESTORE_DATA307__" hidden="1">#REF!,#REF!,#REF!,#REF!,#REF!,#REF!,#REF!,#REF!,#REF!,#REF!,#REF!,#REF!,#REF!,#REF!,#REF!</definedName>
    <definedName name="__APW_RESTORE_DATA308__" hidden="1">#REF!,#REF!,#REF!,#REF!,#REF!,#REF!,#REF!,#REF!,#REF!,#REF!,#REF!,#REF!,#REF!,#REF!</definedName>
    <definedName name="__APW_RESTORE_DATA309__" hidden="1">#REF!,#REF!,#REF!,#REF!,#REF!,#REF!,#REF!,#REF!,#REF!,#REF!,#REF!,#REF!,#REF!,#REF!,#REF!,#REF!,#REF!</definedName>
    <definedName name="__APW_RESTORE_DATA31__" hidden="1">#REF!,#REF!,#REF!,#REF!,#REF!,#REF!,#REF!,#REF!,#REF!,#REF!,#REF!,#REF!,#REF!,#REF!,#REF!</definedName>
    <definedName name="__APW_RESTORE_DATA310__" hidden="1">#REF!,#REF!,#REF!,#REF!,#REF!,#REF!,#REF!,#REF!,#REF!,#REF!,#REF!,#REF!,#REF!,#REF!,#REF!,#REF!</definedName>
    <definedName name="__APW_RESTORE_DATA311__" hidden="1">#REF!,#REF!,#REF!,#REF!,#REF!,#REF!,#REF!,#REF!,#REF!,#REF!,#REF!,#REF!,#REF!,#REF!,#REF!,#REF!</definedName>
    <definedName name="__APW_RESTORE_DATA312__" hidden="1">#REF!,#REF!,#REF!,#REF!,#REF!,#REF!,#REF!,#REF!,#REF!,#REF!,#REF!,#REF!,#REF!,#REF!,#REF!,#REF!</definedName>
    <definedName name="__APW_RESTORE_DATA313__" hidden="1">#REF!,#REF!,#REF!,#REF!,#REF!,#REF!,#REF!,#REF!,#REF!,#REF!,#REF!,#REF!,#REF!,#REF!,#REF!,#REF!</definedName>
    <definedName name="__APW_RESTORE_DATA314__" hidden="1">#REF!,#REF!,#REF!,#REF!,#REF!,#REF!,#REF!,#REF!,#REF!,#REF!,#REF!,#REF!,#REF!,#REF!,#REF!,#REF!</definedName>
    <definedName name="__APW_RESTORE_DATA315__" hidden="1">#REF!,#REF!,#REF!,#REF!,#REF!,#REF!,#REF!,#REF!,#REF!,#REF!,#REF!,#REF!,#REF!,#REF!,#REF!</definedName>
    <definedName name="__APW_RESTORE_DATA316__" hidden="1">#REF!,#REF!,#REF!,#REF!,#REF!,#REF!,#REF!,#REF!,#REF!,#REF!,#REF!,#REF!,#REF!,#REF!,#REF!</definedName>
    <definedName name="__APW_RESTORE_DATA317__" hidden="1">#REF!,#REF!,#REF!,#REF!,#REF!,#REF!,#REF!,#REF!,#REF!,#REF!,#REF!,#REF!,#REF!,#REF!,#REF!</definedName>
    <definedName name="__APW_RESTORE_DATA318__" hidden="1">#REF!,#REF!,#REF!,#REF!,#REF!,#REF!,#REF!,#REF!,#REF!,#REF!,#REF!,#REF!,#REF!,#REF!,#REF!</definedName>
    <definedName name="__APW_RESTORE_DATA319__" hidden="1">#REF!,#REF!,#REF!,#REF!,#REF!,#REF!,#REF!,#REF!,#REF!,#REF!,#REF!,#REF!,#REF!,#REF!</definedName>
    <definedName name="__APW_RESTORE_DATA32__" hidden="1">#REF!,#REF!,#REF!,#REF!,#REF!,#REF!,#REF!,#REF!,#REF!,#REF!,#REF!,#REF!,#REF!,#REF!,#REF!</definedName>
    <definedName name="__APW_RESTORE_DATA320__" hidden="1">#REF!,#REF!,#REF!,#REF!,#REF!,#REF!,#REF!,#REF!,#REF!,#REF!,#REF!,#REF!,#REF!,#REF!,#REF!,#REF!,#REF!</definedName>
    <definedName name="__APW_RESTORE_DATA321__" hidden="1">#REF!,#REF!,#REF!,#REF!,#REF!,#REF!,#REF!,#REF!,#REF!,#REF!,#REF!,#REF!,#REF!,#REF!,#REF!,#REF!</definedName>
    <definedName name="__APW_RESTORE_DATA322__" hidden="1">#REF!,#REF!,#REF!,#REF!,#REF!,#REF!,#REF!,#REF!,#REF!,#REF!,#REF!,#REF!,#REF!,#REF!,#REF!,#REF!</definedName>
    <definedName name="__APW_RESTORE_DATA323__" hidden="1">#REF!,#REF!,#REF!,#REF!,#REF!,#REF!,#REF!,#REF!,#REF!,#REF!,#REF!,#REF!,#REF!,#REF!,#REF!,#REF!</definedName>
    <definedName name="__APW_RESTORE_DATA324__" hidden="1">#REF!,#REF!,#REF!,#REF!,#REF!,#REF!,#REF!,#REF!,#REF!,#REF!,#REF!,#REF!,#REF!,#REF!,#REF!,#REF!</definedName>
    <definedName name="__APW_RESTORE_DATA325__" hidden="1">#REF!,#REF!,#REF!,#REF!,#REF!,#REF!,#REF!,#REF!,#REF!,#REF!,#REF!,#REF!,#REF!,#REF!,#REF!,#REF!</definedName>
    <definedName name="__APW_RESTORE_DATA326__" hidden="1">#REF!,#REF!,#REF!,#REF!,#REF!,#REF!,#REF!,#REF!,#REF!,#REF!,#REF!,#REF!,#REF!,#REF!,#REF!</definedName>
    <definedName name="__APW_RESTORE_DATA327__" hidden="1">#REF!,#REF!,#REF!,#REF!,#REF!,#REF!,#REF!,#REF!,#REF!,#REF!,#REF!,#REF!,#REF!,#REF!,#REF!</definedName>
    <definedName name="__APW_RESTORE_DATA328__" hidden="1">#REF!,#REF!,#REF!,#REF!,#REF!,#REF!,#REF!,#REF!,#REF!,#REF!,#REF!,#REF!,#REF!,#REF!,#REF!</definedName>
    <definedName name="__APW_RESTORE_DATA329__" hidden="1">#REF!,#REF!,#REF!,#REF!,#REF!,#REF!,#REF!,#REF!,#REF!,#REF!,#REF!,#REF!,#REF!,#REF!,#REF!</definedName>
    <definedName name="__APW_RESTORE_DATA33__" hidden="1">#REF!,#REF!,#REF!,#REF!,#REF!,#REF!,#REF!,#REF!,#REF!,#REF!,#REF!,#REF!,#REF!,#REF!,#REF!</definedName>
    <definedName name="__APW_RESTORE_DATA330__" hidden="1">#REF!,#REF!,#REF!,#REF!,#REF!,#REF!,#REF!,#REF!,#REF!,#REF!,#REF!,#REF!,#REF!,#REF!</definedName>
    <definedName name="__APW_RESTORE_DATA331__" hidden="1">#REF!,#REF!,#REF!,#REF!,#REF!,#REF!,#REF!,#REF!,#REF!,#REF!,#REF!,#REF!,#REF!,#REF!,#REF!,#REF!,#REF!</definedName>
    <definedName name="__APW_RESTORE_DATA332__" hidden="1">#REF!,#REF!,#REF!,#REF!,#REF!,#REF!,#REF!,#REF!,#REF!,#REF!,#REF!,#REF!,#REF!,#REF!,#REF!,#REF!</definedName>
    <definedName name="__APW_RESTORE_DATA333__" hidden="1">#REF!,#REF!,#REF!,#REF!,#REF!,#REF!,#REF!,#REF!,#REF!,#REF!,#REF!,#REF!,#REF!,#REF!,#REF!,#REF!</definedName>
    <definedName name="__APW_RESTORE_DATA334__" hidden="1">#REF!,#REF!,#REF!,#REF!,#REF!,#REF!,#REF!,#REF!,#REF!,#REF!,#REF!,#REF!,#REF!,#REF!,#REF!,#REF!</definedName>
    <definedName name="__APW_RESTORE_DATA335__" hidden="1">#REF!,#REF!,#REF!,#REF!,#REF!,#REF!,#REF!,#REF!,#REF!,#REF!,#REF!,#REF!,#REF!,#REF!,#REF!,#REF!</definedName>
    <definedName name="__APW_RESTORE_DATA336__" hidden="1">#REF!,#REF!,#REF!,#REF!,#REF!,#REF!,#REF!,#REF!,#REF!,#REF!,#REF!,#REF!,#REF!,#REF!,#REF!,#REF!</definedName>
    <definedName name="__APW_RESTORE_DATA337__" hidden="1">#REF!,#REF!,#REF!,#REF!,#REF!,#REF!,#REF!,#REF!,#REF!,#REF!,#REF!,#REF!,#REF!,#REF!,#REF!</definedName>
    <definedName name="__APW_RESTORE_DATA338__" hidden="1">#REF!,#REF!,#REF!,#REF!,#REF!,#REF!,#REF!,#REF!,#REF!,#REF!,#REF!,#REF!,#REF!,#REF!,#REF!</definedName>
    <definedName name="__APW_RESTORE_DATA339__" hidden="1">#REF!,#REF!,#REF!,#REF!,#REF!,#REF!,#REF!,#REF!,#REF!,#REF!,#REF!,#REF!,#REF!,#REF!,#REF!</definedName>
    <definedName name="__APW_RESTORE_DATA34__" hidden="1">#REF!,#REF!,#REF!,#REF!,#REF!,#REF!,#REF!,#REF!,#REF!,#REF!,#REF!,#REF!,#REF!,#REF!,#REF!</definedName>
    <definedName name="__APW_RESTORE_DATA340__" hidden="1">#REF!,#REF!,#REF!,#REF!,#REF!,#REF!,#REF!,#REF!,#REF!,#REF!,#REF!,#REF!,#REF!,#REF!,#REF!</definedName>
    <definedName name="__APW_RESTORE_DATA341__" hidden="1">#REF!,#REF!,#REF!,#REF!,#REF!,#REF!,#REF!,#REF!,#REF!,#REF!,#REF!,#REF!,#REF!,#REF!</definedName>
    <definedName name="__APW_RESTORE_DATA342__" hidden="1">#REF!,#REF!,#REF!,#REF!,#REF!,#REF!,#REF!,#REF!,#REF!,#REF!,#REF!,#REF!,#REF!,#REF!,#REF!,#REF!,#REF!</definedName>
    <definedName name="__APW_RESTORE_DATA343__" hidden="1">#REF!,#REF!,#REF!,#REF!,#REF!,#REF!,#REF!,#REF!,#REF!,#REF!,#REF!,#REF!,#REF!,#REF!,#REF!,#REF!</definedName>
    <definedName name="__APW_RESTORE_DATA344__" hidden="1">#REF!,#REF!,#REF!,#REF!,#REF!,#REF!,#REF!,#REF!,#REF!,#REF!,#REF!,#REF!,#REF!,#REF!,#REF!,#REF!</definedName>
    <definedName name="__APW_RESTORE_DATA345__" hidden="1">#REF!,#REF!,#REF!,#REF!,#REF!,#REF!,#REF!,#REF!,#REF!,#REF!,#REF!,#REF!,#REF!,#REF!,#REF!,#REF!</definedName>
    <definedName name="__APW_RESTORE_DATA346__" hidden="1">#REF!,#REF!,#REF!,#REF!,#REF!,#REF!,#REF!,#REF!,#REF!,#REF!,#REF!,#REF!,#REF!,#REF!,#REF!,#REF!</definedName>
    <definedName name="__APW_RESTORE_DATA347__" hidden="1">#REF!,#REF!,#REF!,#REF!,#REF!,#REF!,#REF!,#REF!,#REF!,#REF!,#REF!,#REF!,#REF!,#REF!,#REF!,#REF!</definedName>
    <definedName name="__APW_RESTORE_DATA348__" hidden="1">#REF!,#REF!,#REF!,#REF!,#REF!,#REF!,#REF!,#REF!,#REF!,#REF!,#REF!,#REF!,#REF!,#REF!,#REF!</definedName>
    <definedName name="__APW_RESTORE_DATA349__" hidden="1">#REF!,#REF!,#REF!,#REF!,#REF!,#REF!,#REF!,#REF!,#REF!,#REF!,#REF!,#REF!,#REF!,#REF!,#REF!</definedName>
    <definedName name="__APW_RESTORE_DATA35__" hidden="1">#REF!,#REF!,#REF!,#REF!,#REF!,#REF!</definedName>
    <definedName name="__APW_RESTORE_DATA350__" hidden="1">#REF!,#REF!,#REF!,#REF!,#REF!,#REF!,#REF!,#REF!,#REF!,#REF!,#REF!,#REF!,#REF!,#REF!,#REF!</definedName>
    <definedName name="__APW_RESTORE_DATA351__" hidden="1">#REF!,#REF!,#REF!,#REF!,#REF!,#REF!,#REF!,#REF!,#REF!,#REF!,#REF!,#REF!,#REF!,#REF!,#REF!</definedName>
    <definedName name="__APW_RESTORE_DATA352__" hidden="1">#REF!,#REF!,#REF!,#REF!,#REF!,#REF!,#REF!,#REF!,#REF!,#REF!,#REF!,#REF!,#REF!,#REF!</definedName>
    <definedName name="__APW_RESTORE_DATA353__" hidden="1">#REF!,#REF!,#REF!,#REF!,#REF!,#REF!,#REF!,#REF!,#REF!,#REF!,#REF!,#REF!,#REF!,#REF!,#REF!,#REF!,#REF!</definedName>
    <definedName name="__APW_RESTORE_DATA354__" hidden="1">#REF!,#REF!,#REF!,#REF!,#REF!,#REF!,#REF!,#REF!,#REF!,#REF!,#REF!,#REF!,#REF!,#REF!,#REF!,#REF!</definedName>
    <definedName name="__APW_RESTORE_DATA355__" hidden="1">#REF!,#REF!,#REF!,#REF!,#REF!,#REF!,#REF!,#REF!,#REF!,#REF!,#REF!,#REF!,#REF!,#REF!,#REF!,#REF!</definedName>
    <definedName name="__APW_RESTORE_DATA356__" hidden="1">#REF!,#REF!,#REF!,#REF!,#REF!,#REF!,#REF!,#REF!,#REF!,#REF!,#REF!,#REF!,#REF!,#REF!,#REF!,#REF!</definedName>
    <definedName name="__APW_RESTORE_DATA357__" hidden="1">#REF!,#REF!,#REF!,#REF!,#REF!,#REF!,#REF!,#REF!,#REF!,#REF!,#REF!,#REF!,#REF!,#REF!,#REF!,#REF!</definedName>
    <definedName name="__APW_RESTORE_DATA358__" hidden="1">#REF!,#REF!,#REF!,#REF!,#REF!,#REF!,#REF!,#REF!,#REF!,#REF!,#REF!,#REF!,#REF!,#REF!,#REF!,#REF!</definedName>
    <definedName name="__APW_RESTORE_DATA359__" hidden="1">#REF!,#REF!,#REF!,#REF!,#REF!,#REF!,#REF!,#REF!,#REF!,#REF!,#REF!,#REF!,#REF!,#REF!,#REF!</definedName>
    <definedName name="__APW_RESTORE_DATA36__" hidden="1">#REF!,#REF!,#REF!,#REF!,#REF!,#REF!,#REF!,#REF!,#REF!,#REF!,#REF!,#REF!,#REF!,#REF!,#REF!,#REF!,#REF!</definedName>
    <definedName name="__APW_RESTORE_DATA360__" hidden="1">#REF!,#REF!,#REF!,#REF!,#REF!,#REF!,#REF!,#REF!,#REF!,#REF!,#REF!,#REF!,#REF!,#REF!,#REF!</definedName>
    <definedName name="__APW_RESTORE_DATA361__" hidden="1">#REF!,#REF!,#REF!,#REF!,#REF!,#REF!,#REF!,#REF!,#REF!,#REF!,#REF!,#REF!,#REF!,#REF!,#REF!</definedName>
    <definedName name="__APW_RESTORE_DATA362__" hidden="1">#REF!,#REF!,#REF!,#REF!,#REF!,#REF!,#REF!,#REF!,#REF!,#REF!,#REF!,#REF!,#REF!,#REF!,#REF!</definedName>
    <definedName name="__APW_RESTORE_DATA363__" hidden="1">#REF!,#REF!,#REF!,#REF!,#REF!,#REF!,#REF!,#REF!,#REF!,#REF!,#REF!,#REF!,#REF!,#REF!</definedName>
    <definedName name="__APW_RESTORE_DATA364__" hidden="1">#REF!,#REF!,#REF!,#REF!,#REF!,#REF!,#REF!,#REF!,#REF!,#REF!,#REF!,#REF!,#REF!,#REF!,#REF!,#REF!,#REF!</definedName>
    <definedName name="__APW_RESTORE_DATA365__" hidden="1">#REF!,#REF!,#REF!,#REF!,#REF!,#REF!,#REF!,#REF!,#REF!,#REF!,#REF!,#REF!,#REF!,#REF!,#REF!,#REF!</definedName>
    <definedName name="__APW_RESTORE_DATA366__" hidden="1">#REF!,#REF!,#REF!,#REF!,#REF!,#REF!,#REF!,#REF!,#REF!,#REF!,#REF!,#REF!,#REF!,#REF!,#REF!,#REF!</definedName>
    <definedName name="__APW_RESTORE_DATA367__" hidden="1">#REF!,#REF!,#REF!,#REF!,#REF!,#REF!,#REF!,#REF!,#REF!,#REF!,#REF!,#REF!,#REF!,#REF!,#REF!,#REF!</definedName>
    <definedName name="__APW_RESTORE_DATA368__" hidden="1">#REF!,#REF!,#REF!,#REF!,#REF!,#REF!,#REF!,#REF!,#REF!,#REF!,#REF!,#REF!,#REF!,#REF!,#REF!,#REF!</definedName>
    <definedName name="__APW_RESTORE_DATA369__" hidden="1">#REF!,#REF!,#REF!,#REF!,#REF!,#REF!,#REF!,#REF!,#REF!,#REF!,#REF!,#REF!,#REF!,#REF!,#REF!,#REF!</definedName>
    <definedName name="__APW_RESTORE_DATA37__" hidden="1">#REF!,#REF!,#REF!,#REF!,#REF!,#REF!,#REF!,#REF!,#REF!,#REF!,#REF!,#REF!,#REF!,#REF!,#REF!,#REF!</definedName>
    <definedName name="__APW_RESTORE_DATA370__" hidden="1">#REF!,#REF!,#REF!,#REF!,#REF!,#REF!,#REF!,#REF!,#REF!,#REF!,#REF!,#REF!,#REF!,#REF!,#REF!</definedName>
    <definedName name="__APW_RESTORE_DATA371__" hidden="1">#REF!,#REF!,#REF!,#REF!,#REF!,#REF!,#REF!,#REF!,#REF!,#REF!,#REF!,#REF!,#REF!,#REF!,#REF!</definedName>
    <definedName name="__APW_RESTORE_DATA372__" hidden="1">#REF!,#REF!,#REF!,#REF!,#REF!,#REF!,#REF!,#REF!,#REF!,#REF!,#REF!,#REF!,#REF!,#REF!,#REF!</definedName>
    <definedName name="__APW_RESTORE_DATA373__" hidden="1">#REF!,#REF!,#REF!,#REF!,#REF!,#REF!,#REF!,#REF!,#REF!,#REF!,#REF!,#REF!,#REF!,#REF!,#REF!</definedName>
    <definedName name="__APW_RESTORE_DATA374__" hidden="1">#REF!,#REF!,#REF!,#REF!,#REF!,#REF!,#REF!,#REF!,#REF!,#REF!,#REF!,#REF!,#REF!,#REF!</definedName>
    <definedName name="__APW_RESTORE_DATA375__" hidden="1">#REF!,#REF!,#REF!,#REF!,#REF!,#REF!,#REF!,#REF!,#REF!,#REF!,#REF!,#REF!,#REF!,#REF!,#REF!,#REF!,#REF!</definedName>
    <definedName name="__APW_RESTORE_DATA376__" hidden="1">#REF!,#REF!,#REF!,#REF!,#REF!,#REF!,#REF!,#REF!,#REF!,#REF!,#REF!,#REF!,#REF!,#REF!,#REF!,#REF!</definedName>
    <definedName name="__APW_RESTORE_DATA377__" hidden="1">#REF!,#REF!,#REF!,#REF!,#REF!,#REF!,#REF!,#REF!,#REF!,#REF!,#REF!,#REF!,#REF!,#REF!,#REF!,#REF!</definedName>
    <definedName name="__APW_RESTORE_DATA378__" hidden="1">#REF!,#REF!,#REF!,#REF!,#REF!,#REF!,#REF!,#REF!,#REF!,#REF!,#REF!,#REF!,#REF!,#REF!,#REF!,#REF!</definedName>
    <definedName name="__APW_RESTORE_DATA379__" hidden="1">#REF!,#REF!,#REF!,#REF!,#REF!,#REF!,#REF!,#REF!,#REF!,#REF!,#REF!,#REF!,#REF!,#REF!,#REF!,#REF!</definedName>
    <definedName name="__APW_RESTORE_DATA38__" hidden="1">#REF!,#REF!,#REF!,#REF!,#REF!,#REF!,#REF!,#REF!,#REF!,#REF!,#REF!,#REF!,#REF!,#REF!,#REF!,#REF!</definedName>
    <definedName name="__APW_RESTORE_DATA380__" hidden="1">#REF!,#REF!,#REF!,#REF!,#REF!,#REF!,#REF!,#REF!,#REF!,#REF!,#REF!,#REF!,#REF!,#REF!,#REF!,#REF!</definedName>
    <definedName name="__APW_RESTORE_DATA381__" hidden="1">#REF!,#REF!,#REF!,#REF!,#REF!,#REF!,#REF!,#REF!,#REF!,#REF!,#REF!,#REF!,#REF!,#REF!,#REF!</definedName>
    <definedName name="__APW_RESTORE_DATA382__" hidden="1">#REF!,#REF!,#REF!,#REF!,#REF!,#REF!,#REF!,#REF!,#REF!,#REF!,#REF!,#REF!,#REF!,#REF!,#REF!</definedName>
    <definedName name="__APW_RESTORE_DATA383__" hidden="1">#REF!,#REF!,#REF!,#REF!,#REF!,#REF!,#REF!,#REF!,#REF!,#REF!,#REF!,#REF!,#REF!,#REF!,#REF!</definedName>
    <definedName name="__APW_RESTORE_DATA384__" hidden="1">#REF!,#REF!,#REF!,#REF!,#REF!,#REF!,#REF!,#REF!,#REF!,#REF!,#REF!,#REF!,#REF!,#REF!,#REF!</definedName>
    <definedName name="__APW_RESTORE_DATA385__" hidden="1">#REF!,#REF!,#REF!,#REF!,#REF!,#REF!,#REF!,#REF!,#REF!,#REF!,#REF!,#REF!,#REF!,#REF!</definedName>
    <definedName name="__APW_RESTORE_DATA386__" hidden="1">#REF!,#REF!,#REF!,#REF!,#REF!,#REF!,#REF!,#REF!,#REF!,#REF!,#REF!,#REF!,#REF!,#REF!,#REF!,#REF!</definedName>
    <definedName name="__APW_RESTORE_DATA387__" hidden="1">#REF!,#REF!,#REF!,#REF!,#REF!,#REF!,#REF!,#REF!,#REF!,#REF!,#REF!,#REF!,#REF!,#REF!,#REF!</definedName>
    <definedName name="__APW_RESTORE_DATA388__" hidden="1">#REF!,#REF!,#REF!,#REF!,#REF!,#REF!,#REF!,#REF!,#REF!,#REF!,#REF!,#REF!,#REF!,#REF!,#REF!</definedName>
    <definedName name="__APW_RESTORE_DATA389__" hidden="1">#REF!,#REF!,#REF!,#REF!,#REF!,#REF!,#REF!,#REF!,#REF!,#REF!,#REF!,#REF!,#REF!,#REF!,#REF!</definedName>
    <definedName name="__APW_RESTORE_DATA39__" hidden="1">#REF!,#REF!,#REF!,#REF!,#REF!,#REF!,#REF!,#REF!,#REF!,#REF!,#REF!,#REF!,#REF!,#REF!,#REF!,#REF!</definedName>
    <definedName name="__APW_RESTORE_DATA390__" hidden="1">#REF!,#REF!,#REF!,#REF!,#REF!,#REF!,#REF!,#REF!,#REF!,#REF!,#REF!,#REF!,#REF!,#REF!,#REF!</definedName>
    <definedName name="__APW_RESTORE_DATA391__" hidden="1">#REF!,#REF!,#REF!,#REF!,#REF!,#REF!,#REF!,#REF!,#REF!,#REF!,#REF!,#REF!,#REF!,#REF!,#REF!</definedName>
    <definedName name="__APW_RESTORE_DATA392__" hidden="1">#REF!,#REF!,#REF!,#REF!,#REF!,#REF!,#REF!,#REF!,#REF!,#REF!,#REF!,#REF!,#REF!,#REF!,#REF!</definedName>
    <definedName name="__APW_RESTORE_DATA393__" hidden="1">#REF!,#REF!,#REF!,#REF!,#REF!,#REF!,#REF!,#REF!,#REF!,#REF!,#REF!,#REF!,#REF!,#REF!</definedName>
    <definedName name="__APW_RESTORE_DATA394__" hidden="1">#REF!,#REF!,#REF!,#REF!,#REF!,#REF!,#REF!,#REF!,#REF!,#REF!,#REF!,#REF!,#REF!,#REF!</definedName>
    <definedName name="__APW_RESTORE_DATA395__" hidden="1">#REF!,#REF!,#REF!,#REF!,#REF!,#REF!,#REF!,#REF!,#REF!,#REF!,#REF!,#REF!,#REF!,#REF!</definedName>
    <definedName name="__APW_RESTORE_DATA396__" hidden="1">#REF!,#REF!,#REF!,#REF!,#REF!,#REF!,#REF!,#REF!,#REF!,#REF!,#REF!,#REF!,#REF!,#REF!</definedName>
    <definedName name="__APW_RESTORE_DATA397__" hidden="1">#REF!,#REF!,#REF!,#REF!,#REF!,#REF!,#REF!,#REF!,#REF!</definedName>
    <definedName name="__APW_RESTORE_DATA398__" hidden="1">#REF!,#REF!,#REF!,#REF!,#REF!,#REF!,#REF!,#REF!,#REF!,#REF!,#REF!,#REF!,#REF!,#REF!,#REF!,#REF!</definedName>
    <definedName name="__APW_RESTORE_DATA399__" hidden="1">#REF!,#REF!,#REF!,#REF!,#REF!,#REF!,#REF!,#REF!,#REF!,#REF!,#REF!,#REF!,#REF!,#REF!,#REF!,#REF!</definedName>
    <definedName name="__APW_RESTORE_DATA4__" hidden="1">#REF!,#REF!,#REF!,#REF!,#REF!,#REF!,#REF!,#REF!,#REF!,#REF!,#REF!,#REF!,#REF!,#REF!,#REF!,#REF!</definedName>
    <definedName name="__APW_RESTORE_DATA40__" hidden="1">#REF!,#REF!,#REF!,#REF!,#REF!,#REF!,#REF!,#REF!,#REF!,#REF!,#REF!,#REF!,#REF!,#REF!,#REF!,#REF!</definedName>
    <definedName name="__APW_RESTORE_DATA400__" hidden="1">#REF!,#REF!,#REF!,#REF!,#REF!,#REF!,#REF!,#REF!,#REF!,#REF!,#REF!,#REF!,#REF!,#REF!,#REF!,#REF!</definedName>
    <definedName name="__APW_RESTORE_DATA401__" hidden="1">#REF!,#REF!,#REF!,#REF!,#REF!,#REF!,#REF!,#REF!,#REF!,#REF!,#REF!,#REF!,#REF!,#REF!,#REF!,#REF!</definedName>
    <definedName name="__APW_RESTORE_DATA402__" hidden="1">#REF!,#REF!,#REF!,#REF!,#REF!,#REF!,#REF!,#REF!,#REF!,#REF!,#REF!,#REF!,#REF!,#REF!,#REF!,#REF!</definedName>
    <definedName name="__APW_RESTORE_DATA403__" hidden="1">#REF!,#REF!,#REF!,#REF!,#REF!,#REF!,#REF!,#REF!,#REF!,#REF!,#REF!,#REF!,#REF!,#REF!,#REF!</definedName>
    <definedName name="__APW_RESTORE_DATA404__" hidden="1">#REF!,#REF!,#REF!,#REF!,#REF!,#REF!,#REF!,#REF!,#REF!,#REF!,#REF!,#REF!,#REF!,#REF!,#REF!</definedName>
    <definedName name="__APW_RESTORE_DATA405__" hidden="1">#REF!,#REF!,#REF!,#REF!,#REF!,#REF!,#REF!,#REF!,#REF!,#REF!,#REF!,#REF!,#REF!,#REF!,#REF!</definedName>
    <definedName name="__APW_RESTORE_DATA406__" hidden="1">#REF!,#REF!,#REF!,#REF!,#REF!,#REF!,#REF!,#REF!,#REF!,#REF!,#REF!,#REF!,#REF!,#REF!,#REF!</definedName>
    <definedName name="__APW_RESTORE_DATA407__" hidden="1">#REF!,#REF!,#REF!,#REF!,#REF!,#REF!,#REF!,#REF!,#REF!,#REF!,#REF!,#REF!,#REF!,#REF!,#REF!</definedName>
    <definedName name="__APW_RESTORE_DATA408__" hidden="1">#REF!,#REF!,#REF!,#REF!,#REF!,#REF!,#REF!,#REF!,#REF!,#REF!,#REF!</definedName>
    <definedName name="__APW_RESTORE_DATA409__" hidden="1">#REF!,#REF!,#REF!,#REF!,#REF!,#REF!,#REF!,#REF!,#REF!,#REF!,#REF!,#REF!,#REF!,#REF!,#REF!,#REF!,#REF!</definedName>
    <definedName name="__APW_RESTORE_DATA41__" hidden="1">#REF!,#REF!,#REF!,#REF!,#REF!,#REF!,#REF!,#REF!,#REF!,#REF!,#REF!,#REF!,#REF!,#REF!,#REF!,#REF!</definedName>
    <definedName name="__APW_RESTORE_DATA410__" hidden="1">#REF!,#REF!,#REF!,#REF!,#REF!,#REF!,#REF!,#REF!,#REF!,#REF!,#REF!,#REF!,#REF!,#REF!,#REF!,#REF!</definedName>
    <definedName name="__APW_RESTORE_DATA411__" hidden="1">#REF!,#REF!,#REF!,#REF!,#REF!,#REF!,#REF!,#REF!,#REF!,#REF!,#REF!,#REF!,#REF!,#REF!,#REF!,#REF!</definedName>
    <definedName name="__APW_RESTORE_DATA412__" hidden="1">#REF!,#REF!,#REF!,#REF!,#REF!,#REF!,#REF!,#REF!,#REF!,#REF!,#REF!,#REF!,#REF!,#REF!,#REF!,#REF!</definedName>
    <definedName name="__APW_RESTORE_DATA413__" hidden="1">#REF!,#REF!,#REF!,#REF!,#REF!,#REF!,#REF!,#REF!,#REF!,#REF!,#REF!,#REF!,#REF!,#REF!,#REF!,#REF!</definedName>
    <definedName name="__APW_RESTORE_DATA414__" hidden="1">#REF!,#REF!,#REF!,#REF!,#REF!,#REF!,#REF!,#REF!,#REF!,#REF!,#REF!,#REF!,#REF!,#REF!,#REF!,#REF!</definedName>
    <definedName name="__APW_RESTORE_DATA415__" hidden="1">#REF!,#REF!,#REF!,#REF!,#REF!,#REF!,#REF!,#REF!,#REF!,#REF!,#REF!,#REF!,#REF!,#REF!,#REF!</definedName>
    <definedName name="__APW_RESTORE_DATA416__" hidden="1">#REF!,#REF!,#REF!,#REF!,#REF!,#REF!,#REF!,#REF!,#REF!,#REF!,#REF!,#REF!,#REF!,#REF!,#REF!</definedName>
    <definedName name="__APW_RESTORE_DATA417__" hidden="1">#REF!,#REF!,#REF!,#REF!,#REF!,#REF!,#REF!,#REF!,#REF!,#REF!,#REF!,#REF!,#REF!,#REF!,#REF!</definedName>
    <definedName name="__APW_RESTORE_DATA418__" hidden="1">#REF!,#REF!,#REF!,#REF!,#REF!,#REF!,#REF!,#REF!,#REF!,#REF!,#REF!,#REF!,#REF!,#REF!,#REF!</definedName>
    <definedName name="__APW_RESTORE_DATA419__" hidden="1">#REF!,#REF!,#REF!,#REF!,#REF!,#REF!,#REF!,#REF!,#REF!,#REF!,#REF!,#REF!,#REF!,#REF!,#REF!</definedName>
    <definedName name="__APW_RESTORE_DATA42__" hidden="1">#REF!,#REF!,#REF!,#REF!,#REF!,#REF!,#REF!,#REF!,#REF!,#REF!,#REF!,#REF!,#REF!,#REF!,#REF!</definedName>
    <definedName name="__APW_RESTORE_DATA420__" hidden="1">#REF!,#REF!,#REF!,#REF!,#REF!,#REF!,#REF!,#REF!,#REF!,#REF!,#REF!</definedName>
    <definedName name="__APW_RESTORE_DATA421__" hidden="1">#REF!,#REF!,#REF!,#REF!,#REF!,#REF!,#REF!,#REF!,#REF!,#REF!,#REF!,#REF!,#REF!,#REF!,#REF!,#REF!</definedName>
    <definedName name="__APW_RESTORE_DATA422__" hidden="1">#REF!,#REF!,#REF!,#REF!,#REF!,#REF!,#REF!,#REF!,#REF!,#REF!,#REF!,#REF!,#REF!,#REF!,#REF!</definedName>
    <definedName name="__APW_RESTORE_DATA423__" hidden="1">#REF!,#REF!,#REF!,#REF!,#REF!,#REF!,#REF!,#REF!,#REF!,#REF!,#REF!,#REF!,#REF!,#REF!,#REF!</definedName>
    <definedName name="__APW_RESTORE_DATA424__" hidden="1">#REF!,#REF!,#REF!,#REF!,#REF!,#REF!,#REF!,#REF!,#REF!,#REF!,#REF!,#REF!,#REF!,#REF!,#REF!</definedName>
    <definedName name="__APW_RESTORE_DATA425__" hidden="1">#REF!,#REF!,#REF!,#REF!,#REF!,#REF!,#REF!,#REF!,#REF!,#REF!,#REF!,#REF!,#REF!,#REF!,#REF!</definedName>
    <definedName name="__APW_RESTORE_DATA426__" hidden="1">#REF!,#REF!,#REF!,#REF!,#REF!,#REF!,#REF!,#REF!,#REF!,#REF!,#REF!,#REF!,#REF!,#REF!,#REF!</definedName>
    <definedName name="__APW_RESTORE_DATA427__" hidden="1">#REF!,#REF!,#REF!,#REF!,#REF!,#REF!,#REF!,#REF!,#REF!,#REF!,#REF!,#REF!,#REF!,#REF!,#REF!</definedName>
    <definedName name="__APW_RESTORE_DATA428__" hidden="1">#REF!,#REF!,#REF!,#REF!,#REF!,#REF!,#REF!,#REF!,#REF!,#REF!,#REF!,#REF!,#REF!,#REF!</definedName>
    <definedName name="__APW_RESTORE_DATA429__" hidden="1">#REF!,#REF!,#REF!,#REF!,#REF!,#REF!,#REF!,#REF!,#REF!,#REF!,#REF!,#REF!,#REF!,#REF!</definedName>
    <definedName name="__APW_RESTORE_DATA43__" hidden="1">#REF!,#REF!,#REF!,#REF!,#REF!,#REF!,#REF!,#REF!,#REF!,#REF!,#REF!,#REF!,#REF!,#REF!,#REF!</definedName>
    <definedName name="__APW_RESTORE_DATA430__" hidden="1">#REF!,#REF!,#REF!,#REF!,#REF!,#REF!,#REF!,#REF!,#REF!,#REF!,#REF!,#REF!,#REF!,#REF!</definedName>
    <definedName name="__APW_RESTORE_DATA431__" hidden="1">#REF!,#REF!,#REF!,#REF!,#REF!,#REF!,#REF!,#REF!,#REF!,#REF!,#REF!,#REF!,#REF!,#REF!</definedName>
    <definedName name="__APW_RESTORE_DATA432__" hidden="1">#REF!,#REF!,#REF!,#REF!,#REF!,#REF!,#REF!,#REF!,#REF!,#REF!,#REF!,#REF!,#REF!,#REF!</definedName>
    <definedName name="__APW_RESTORE_DATA433__" hidden="1">#REF!,#REF!,#REF!,#REF!,#REF!,#REF!,#REF!</definedName>
    <definedName name="__APW_RESTORE_DATA44__" hidden="1">#REF!,#REF!,#REF!,#REF!,#REF!,#REF!,#REF!,#REF!,#REF!,#REF!,#REF!,#REF!,#REF!,#REF!,#REF!</definedName>
    <definedName name="__APW_RESTORE_DATA45__" hidden="1">#REF!,#REF!,#REF!,#REF!,#REF!,#REF!,#REF!,#REF!,#REF!,#REF!,#REF!,#REF!,#REF!,#REF!,#REF!</definedName>
    <definedName name="__APW_RESTORE_DATA46__" hidden="1">#REF!,#REF!,#REF!,#REF!,#REF!,#REF!,#REF!,#REF!,#REF!,#REF!,#REF!,#REF!,#REF!,#REF!,#REF!</definedName>
    <definedName name="__APW_RESTORE_DATA47__" hidden="1">#REF!,#REF!,#REF!,#REF!,#REF!,#REF!</definedName>
    <definedName name="__APW_RESTORE_DATA48__" hidden="1">#REF!,#REF!,#REF!,#REF!,#REF!,#REF!,#REF!,#REF!,#REF!,#REF!,#REF!,#REF!,#REF!,#REF!,#REF!,#REF!,#REF!</definedName>
    <definedName name="__APW_RESTORE_DATA49__" hidden="1">#REF!,#REF!,#REF!,#REF!,#REF!,#REF!,#REF!,#REF!,#REF!,#REF!,#REF!,#REF!,#REF!,#REF!,#REF!,#REF!</definedName>
    <definedName name="__APW_RESTORE_DATA5__" hidden="1">#REF!,#REF!,#REF!,#REF!,#REF!,#REF!,#REF!,#REF!,#REF!,#REF!,#REF!,#REF!,#REF!,#REF!,#REF!,#REF!</definedName>
    <definedName name="__APW_RESTORE_DATA50__" hidden="1">#REF!,#REF!,#REF!,#REF!,#REF!,#REF!,#REF!,#REF!,#REF!,#REF!,#REF!,#REF!,#REF!,#REF!,#REF!,#REF!</definedName>
    <definedName name="__APW_RESTORE_DATA51__" hidden="1">#REF!,#REF!,#REF!,#REF!,#REF!,#REF!,#REF!,#REF!,#REF!,#REF!,#REF!,#REF!,#REF!,#REF!,#REF!,#REF!</definedName>
    <definedName name="__APW_RESTORE_DATA52__" hidden="1">#REF!,#REF!,#REF!,#REF!,#REF!,#REF!,#REF!,#REF!,#REF!,#REF!,#REF!,#REF!,#REF!,#REF!,#REF!,#REF!</definedName>
    <definedName name="__APW_RESTORE_DATA53__" hidden="1">#REF!,#REF!,#REF!,#REF!,#REF!,#REF!,#REF!,#REF!,#REF!,#REF!,#REF!,#REF!,#REF!,#REF!,#REF!,#REF!</definedName>
    <definedName name="__APW_RESTORE_DATA54__" hidden="1">#REF!,#REF!,#REF!,#REF!,#REF!,#REF!,#REF!,#REF!,#REF!,#REF!,#REF!,#REF!,#REF!,#REF!,#REF!</definedName>
    <definedName name="__APW_RESTORE_DATA55__" hidden="1">#REF!,#REF!,#REF!,#REF!,#REF!,#REF!,#REF!,#REF!,#REF!,#REF!,#REF!,#REF!,#REF!,#REF!,#REF!</definedName>
    <definedName name="__APW_RESTORE_DATA56__" hidden="1">#REF!,#REF!,#REF!,#REF!,#REF!,#REF!,#REF!,#REF!,#REF!,#REF!,#REF!,#REF!,#REF!,#REF!,#REF!</definedName>
    <definedName name="__APW_RESTORE_DATA57__" hidden="1">#REF!,#REF!,#REF!,#REF!,#REF!,#REF!,#REF!,#REF!,#REF!,#REF!,#REF!,#REF!,#REF!,#REF!,#REF!</definedName>
    <definedName name="__APW_RESTORE_DATA58__" hidden="1">#REF!,#REF!,#REF!,#REF!,#REF!,#REF!,#REF!,#REF!,#REF!,#REF!,#REF!,#REF!,#REF!,#REF!,#REF!</definedName>
    <definedName name="__APW_RESTORE_DATA59__" hidden="1">#REF!,#REF!,#REF!,#REF!,#REF!,#REF!</definedName>
    <definedName name="__APW_RESTORE_DATA596__" hidden="1">#REF!,#REF!,#REF!,#REF!,#REF!,#REF!,#REF!,#REF!,#REF!,#REF!,#REF!,#REF!,#REF!,#REF!,#REF!,#REF!,#REF!</definedName>
    <definedName name="__APW_RESTORE_DATA597__" hidden="1">#REF!,#REF!,#REF!,#REF!,#REF!,#REF!,#REF!,#REF!,#REF!,#REF!,#REF!,#REF!,#REF!,#REF!,#REF!,#REF!</definedName>
    <definedName name="__APW_RESTORE_DATA598__" hidden="1">#REF!,#REF!,#REF!,#REF!,#REF!,#REF!,#REF!,#REF!,#REF!,#REF!,#REF!,#REF!,#REF!,#REF!,#REF!,#REF!</definedName>
    <definedName name="__APW_RESTORE_DATA599__" hidden="1">#REF!,#REF!,#REF!,#REF!,#REF!,#REF!,#REF!,#REF!,#REF!,#REF!,#REF!,#REF!,#REF!,#REF!,#REF!,#REF!</definedName>
    <definedName name="__APW_RESTORE_DATA6__" hidden="1">#REF!,#REF!,#REF!,#REF!,#REF!,#REF!,#REF!,#REF!,#REF!,#REF!,#REF!,#REF!,#REF!,#REF!,#REF!</definedName>
    <definedName name="__APW_RESTORE_DATA60__" hidden="1">#REF!,#REF!,#REF!,#REF!,#REF!,#REF!,#REF!,#REF!,#REF!,#REF!,#REF!,#REF!,#REF!,#REF!,#REF!,#REF!,#REF!</definedName>
    <definedName name="__APW_RESTORE_DATA600__" hidden="1">#REF!,#REF!,#REF!,#REF!,#REF!,#REF!,#REF!,#REF!,#REF!,#REF!,#REF!,#REF!,#REF!,#REF!,#REF!,#REF!</definedName>
    <definedName name="__APW_RESTORE_DATA601__" hidden="1">#REF!,#REF!,#REF!,#REF!,#REF!,#REF!,#REF!,#REF!,#REF!,#REF!,#REF!,#REF!,#REF!,#REF!,#REF!,#REF!</definedName>
    <definedName name="__APW_RESTORE_DATA602__" hidden="1">#REF!,#REF!,#REF!,#REF!,#REF!,#REF!,#REF!,#REF!,#REF!,#REF!,#REF!,#REF!,#REF!,#REF!,#REF!</definedName>
    <definedName name="__APW_RESTORE_DATA603__" hidden="1">#REF!,#REF!,#REF!,#REF!,#REF!,#REF!,#REF!,#REF!,#REF!,#REF!,#REF!,#REF!,#REF!,#REF!,#REF!</definedName>
    <definedName name="__APW_RESTORE_DATA604__" hidden="1">#REF!,#REF!,#REF!,#REF!,#REF!,#REF!,#REF!,#REF!,#REF!,#REF!,#REF!,#REF!,#REF!,#REF!,#REF!</definedName>
    <definedName name="__APW_RESTORE_DATA605__" hidden="1">#REF!,#REF!,#REF!,#REF!,#REF!,#REF!,#REF!,#REF!,#REF!,#REF!,#REF!,#REF!,#REF!,#REF!,#REF!</definedName>
    <definedName name="__APW_RESTORE_DATA606__" hidden="1">#REF!,#REF!,#REF!,#REF!,#REF!,#REF!,#REF!,#REF!,#REF!,#REF!,#REF!,#REF!,#REF!,#REF!,#REF!</definedName>
    <definedName name="__APW_RESTORE_DATA607__" hidden="1">#REF!,#REF!,#REF!,#REF!,#REF!,#REF!,#REF!,#REF!,#REF!,#REF!,#REF!,#REF!,#REF!,#REF!,#REF!</definedName>
    <definedName name="__APW_RESTORE_DATA608__" hidden="1">#REF!,#REF!,#REF!,#REF!,#REF!,#REF!,#REF!,#REF!,#REF!,#REF!,#REF!,#REF!,#REF!,#REF!,#REF!</definedName>
    <definedName name="__APW_RESTORE_DATA609__" hidden="1">#REF!,#REF!,#REF!,#REF!,#REF!,#REF!,#REF!,#REF!,#REF!,#REF!,#REF!,#REF!,#REF!,#REF!,#REF!</definedName>
    <definedName name="__APW_RESTORE_DATA61__" hidden="1">#REF!,#REF!,#REF!,#REF!,#REF!,#REF!,#REF!,#REF!,#REF!,#REF!,#REF!,#REF!,#REF!,#REF!,#REF!,#REF!</definedName>
    <definedName name="__APW_RESTORE_DATA610__" hidden="1">#REF!,#REF!,#REF!,#REF!,#REF!,#REF!,#REF!,#REF!,#REF!,#REF!,#REF!,#REF!,#REF!,#REF!,#REF!</definedName>
    <definedName name="__APW_RESTORE_DATA611__" hidden="1">#REF!,#REF!,#REF!,#REF!,#REF!,#REF!,#REF!,#REF!,#REF!,#REF!,#REF!,#REF!,#REF!,#REF!,#REF!</definedName>
    <definedName name="__APW_RESTORE_DATA612__" hidden="1">#REF!,#REF!,#REF!,#REF!,#REF!</definedName>
    <definedName name="__APW_RESTORE_DATA613__" hidden="1">#REF!,#REF!,#REF!,#REF!,#REF!,#REF!,#REF!,#REF!,#REF!,#REF!,#REF!,#REF!,#REF!,#REF!,#REF!,#REF!,#REF!</definedName>
    <definedName name="__APW_RESTORE_DATA614__" hidden="1">#REF!,#REF!,#REF!,#REF!,#REF!,#REF!,#REF!,#REF!,#REF!,#REF!,#REF!,#REF!,#REF!,#REF!,#REF!,#REF!</definedName>
    <definedName name="__APW_RESTORE_DATA615__" hidden="1">#REF!,#REF!,#REF!,#REF!,#REF!,#REF!,#REF!,#REF!,#REF!,#REF!,#REF!,#REF!,#REF!,#REF!,#REF!,#REF!</definedName>
    <definedName name="__APW_RESTORE_DATA616__" hidden="1">#REF!,#REF!,#REF!,#REF!,#REF!,#REF!,#REF!,#REF!,#REF!,#REF!,#REF!,#REF!,#REF!,#REF!,#REF!,#REF!</definedName>
    <definedName name="__APW_RESTORE_DATA617__" hidden="1">#REF!,#REF!,#REF!,#REF!,#REF!,#REF!,#REF!,#REF!,#REF!,#REF!,#REF!,#REF!,#REF!,#REF!,#REF!,#REF!</definedName>
    <definedName name="__APW_RESTORE_DATA618__" hidden="1">#REF!,#REF!,#REF!,#REF!,#REF!,#REF!,#REF!,#REF!,#REF!,#REF!,#REF!,#REF!,#REF!,#REF!,#REF!,#REF!</definedName>
    <definedName name="__APW_RESTORE_DATA619__" hidden="1">#REF!,#REF!,#REF!,#REF!,#REF!,#REF!,#REF!,#REF!,#REF!,#REF!,#REF!,#REF!,#REF!,#REF!,#REF!</definedName>
    <definedName name="__APW_RESTORE_DATA62__" hidden="1">#REF!,#REF!,#REF!,#REF!,#REF!,#REF!,#REF!,#REF!,#REF!,#REF!,#REF!,#REF!,#REF!,#REF!,#REF!,#REF!</definedName>
    <definedName name="__APW_RESTORE_DATA620__" hidden="1">#REF!,#REF!,#REF!,#REF!,#REF!,#REF!,#REF!,#REF!,#REF!,#REF!,#REF!,#REF!,#REF!,#REF!,#REF!</definedName>
    <definedName name="__APW_RESTORE_DATA621__" hidden="1">#REF!,#REF!,#REF!,#REF!,#REF!,#REF!,#REF!,#REF!,#REF!,#REF!,#REF!,#REF!,#REF!,#REF!,#REF!</definedName>
    <definedName name="__APW_RESTORE_DATA622__" hidden="1">#REF!,#REF!,#REF!,#REF!,#REF!,#REF!,#REF!,#REF!,#REF!,#REF!,#REF!,#REF!,#REF!,#REF!,#REF!</definedName>
    <definedName name="__APW_RESTORE_DATA623__" hidden="1">#REF!,#REF!,#REF!,#REF!,#REF!,#REF!,#REF!,#REF!,#REF!,#REF!,#REF!,#REF!,#REF!,#REF!,#REF!</definedName>
    <definedName name="__APW_RESTORE_DATA624__" hidden="1">#REF!,#REF!,#REF!,#REF!,#REF!,#REF!,#REF!,#REF!,#REF!,#REF!,#REF!,#REF!,#REF!,#REF!,#REF!</definedName>
    <definedName name="__APW_RESTORE_DATA625__" hidden="1">#REF!,#REF!,#REF!,#REF!,#REF!,#REF!,#REF!,#REF!,#REF!,#REF!,#REF!,#REF!,#REF!,#REF!,#REF!</definedName>
    <definedName name="__APW_RESTORE_DATA626__" hidden="1">#REF!,#REF!,#REF!,#REF!,#REF!,#REF!,#REF!,#REF!,#REF!,#REF!,#REF!,#REF!,#REF!,#REF!,#REF!</definedName>
    <definedName name="__APW_RESTORE_DATA627__" hidden="1">#REF!,#REF!,#REF!,#REF!,#REF!,#REF!,#REF!,#REF!,#REF!,#REF!,#REF!,#REF!,#REF!,#REF!,#REF!</definedName>
    <definedName name="__APW_RESTORE_DATA628__" hidden="1">#REF!,#REF!,#REF!,#REF!,#REF!,#REF!,#REF!,#REF!,#REF!,#REF!,#REF!,#REF!,#REF!,#REF!,#REF!</definedName>
    <definedName name="__APW_RESTORE_DATA629__" hidden="1">#REF!,#REF!,#REF!,#REF!,#REF!</definedName>
    <definedName name="__APW_RESTORE_DATA63__" hidden="1">#REF!,#REF!,#REF!,#REF!,#REF!,#REF!,#REF!,#REF!,#REF!,#REF!,#REF!,#REF!,#REF!,#REF!,#REF!,#REF!</definedName>
    <definedName name="__APW_RESTORE_DATA630__" hidden="1">#REF!,#REF!,#REF!,#REF!,#REF!,#REF!,#REF!,#REF!,#REF!,#REF!,#REF!,#REF!,#REF!,#REF!,#REF!,#REF!,#REF!</definedName>
    <definedName name="__APW_RESTORE_DATA631__" hidden="1">#REF!,#REF!,#REF!,#REF!,#REF!,#REF!,#REF!,#REF!,#REF!,#REF!,#REF!,#REF!,#REF!,#REF!,#REF!,#REF!</definedName>
    <definedName name="__APW_RESTORE_DATA632__" hidden="1">#REF!,#REF!,#REF!,#REF!,#REF!,#REF!,#REF!,#REF!,#REF!,#REF!,#REF!,#REF!,#REF!,#REF!,#REF!,#REF!</definedName>
    <definedName name="__APW_RESTORE_DATA633__" hidden="1">#REF!,#REF!,#REF!,#REF!,#REF!,#REF!,#REF!,#REF!,#REF!,#REF!,#REF!,#REF!,#REF!,#REF!,#REF!,#REF!</definedName>
    <definedName name="__APW_RESTORE_DATA634__" hidden="1">#REF!,#REF!,#REF!,#REF!,#REF!,#REF!,#REF!,#REF!,#REF!,#REF!,#REF!,#REF!,#REF!,#REF!,#REF!,#REF!</definedName>
    <definedName name="__APW_RESTORE_DATA635__" hidden="1">#REF!,#REF!,#REF!,#REF!,#REF!,#REF!,#REF!,#REF!,#REF!,#REF!,#REF!,#REF!,#REF!,#REF!,#REF!,#REF!</definedName>
    <definedName name="__APW_RESTORE_DATA636__" hidden="1">#REF!,#REF!,#REF!,#REF!,#REF!,#REF!,#REF!,#REF!,#REF!,#REF!,#REF!,#REF!,#REF!,#REF!,#REF!</definedName>
    <definedName name="__APW_RESTORE_DATA637__" hidden="1">#REF!,#REF!,#REF!,#REF!,#REF!,#REF!,#REF!,#REF!,#REF!,#REF!,#REF!,#REF!,#REF!,#REF!,#REF!</definedName>
    <definedName name="__APW_RESTORE_DATA638__" hidden="1">#REF!,#REF!,#REF!,#REF!,#REF!,#REF!,#REF!,#REF!,#REF!,#REF!,#REF!,#REF!,#REF!,#REF!,#REF!</definedName>
    <definedName name="__APW_RESTORE_DATA639__" hidden="1">#REF!,#REF!,#REF!,#REF!,#REF!,#REF!,#REF!,#REF!,#REF!,#REF!,#REF!,#REF!,#REF!,#REF!,#REF!</definedName>
    <definedName name="__APW_RESTORE_DATA64__" hidden="1">#REF!,#REF!,#REF!,#REF!,#REF!,#REF!,#REF!,#REF!,#REF!,#REF!,#REF!,#REF!,#REF!,#REF!,#REF!,#REF!</definedName>
    <definedName name="__APW_RESTORE_DATA640__" hidden="1">#REF!,#REF!,#REF!,#REF!,#REF!,#REF!,#REF!,#REF!,#REF!,#REF!,#REF!,#REF!,#REF!,#REF!,#REF!</definedName>
    <definedName name="__APW_RESTORE_DATA641__" hidden="1">#REF!,#REF!,#REF!,#REF!,#REF!,#REF!,#REF!,#REF!,#REF!,#REF!,#REF!,#REF!,#REF!,#REF!,#REF!</definedName>
    <definedName name="__APW_RESTORE_DATA642__" hidden="1">#REF!,#REF!,#REF!,#REF!,#REF!,#REF!,#REF!,#REF!,#REF!,#REF!,#REF!,#REF!,#REF!,#REF!,#REF!</definedName>
    <definedName name="__APW_RESTORE_DATA643__" hidden="1">#REF!,#REF!,#REF!,#REF!,#REF!,#REF!,#REF!,#REF!,#REF!,#REF!,#REF!,#REF!,#REF!,#REF!,#REF!</definedName>
    <definedName name="__APW_RESTORE_DATA644__" hidden="1">#REF!,#REF!,#REF!,#REF!,#REF!,#REF!,#REF!,#REF!,#REF!,#REF!,#REF!,#REF!,#REF!,#REF!,#REF!</definedName>
    <definedName name="__APW_RESTORE_DATA645__" hidden="1">#REF!,#REF!,#REF!,#REF!,#REF!,#REF!,#REF!,#REF!,#REF!,#REF!,#REF!,#REF!,#REF!,#REF!,#REF!</definedName>
    <definedName name="__APW_RESTORE_DATA646__" hidden="1">#REF!,#REF!,#REF!,#REF!,#REF!</definedName>
    <definedName name="__APW_RESTORE_DATA647__" hidden="1">#REF!,#REF!,#REF!,#REF!,#REF!,#REF!,#REF!,#REF!,#REF!,#REF!,#REF!,#REF!,#REF!,#REF!,#REF!,#REF!,#REF!</definedName>
    <definedName name="__APW_RESTORE_DATA648__" hidden="1">#REF!,#REF!,#REF!,#REF!,#REF!,#REF!,#REF!,#REF!,#REF!,#REF!,#REF!,#REF!,#REF!,#REF!,#REF!,#REF!</definedName>
    <definedName name="__APW_RESTORE_DATA649__" hidden="1">#REF!,#REF!,#REF!,#REF!,#REF!,#REF!,#REF!,#REF!,#REF!,#REF!,#REF!,#REF!,#REF!,#REF!,#REF!,#REF!</definedName>
    <definedName name="__APW_RESTORE_DATA65__" hidden="1">#REF!,#REF!,#REF!,#REF!,#REF!,#REF!,#REF!,#REF!,#REF!,#REF!,#REF!,#REF!,#REF!,#REF!,#REF!,#REF!</definedName>
    <definedName name="__APW_RESTORE_DATA650__" hidden="1">#REF!,#REF!,#REF!,#REF!,#REF!,#REF!,#REF!,#REF!,#REF!,#REF!,#REF!,#REF!,#REF!,#REF!,#REF!,#REF!</definedName>
    <definedName name="__APW_RESTORE_DATA651__" hidden="1">#REF!,#REF!,#REF!,#REF!,#REF!,#REF!,#REF!,#REF!,#REF!,#REF!,#REF!,#REF!,#REF!,#REF!,#REF!,#REF!</definedName>
    <definedName name="__APW_RESTORE_DATA652__" hidden="1">#REF!,#REF!,#REF!,#REF!,#REF!,#REF!,#REF!,#REF!,#REF!,#REF!,#REF!,#REF!,#REF!,#REF!,#REF!,#REF!</definedName>
    <definedName name="__APW_RESTORE_DATA653__" hidden="1">#REF!,#REF!,#REF!,#REF!,#REF!,#REF!,#REF!,#REF!,#REF!,#REF!,#REF!,#REF!,#REF!,#REF!,#REF!</definedName>
    <definedName name="__APW_RESTORE_DATA654__" hidden="1">#REF!,#REF!,#REF!,#REF!,#REF!,#REF!,#REF!,#REF!,#REF!,#REF!,#REF!,#REF!,#REF!,#REF!,#REF!</definedName>
    <definedName name="__APW_RESTORE_DATA655__" hidden="1">#REF!,#REF!,#REF!,#REF!,#REF!,#REF!,#REF!,#REF!,#REF!,#REF!,#REF!,#REF!,#REF!,#REF!,#REF!</definedName>
    <definedName name="__APW_RESTORE_DATA656__" hidden="1">#REF!,#REF!,#REF!,#REF!,#REF!,#REF!,#REF!,#REF!,#REF!,#REF!,#REF!,#REF!,#REF!,#REF!,#REF!</definedName>
    <definedName name="__APW_RESTORE_DATA657__" hidden="1">#REF!,#REF!,#REF!,#REF!,#REF!,#REF!,#REF!,#REF!,#REF!,#REF!,#REF!,#REF!,#REF!,#REF!,#REF!</definedName>
    <definedName name="__APW_RESTORE_DATA658__" hidden="1">#REF!,#REF!,#REF!,#REF!,#REF!,#REF!,#REF!,#REF!,#REF!,#REF!,#REF!,#REF!,#REF!,#REF!,#REF!</definedName>
    <definedName name="__APW_RESTORE_DATA659__" hidden="1">#REF!,#REF!,#REF!,#REF!,#REF!,#REF!,#REF!,#REF!,#REF!,#REF!,#REF!,#REF!,#REF!,#REF!,#REF!</definedName>
    <definedName name="__APW_RESTORE_DATA66__" hidden="1">#REF!,#REF!,#REF!,#REF!,#REF!,#REF!,#REF!,#REF!,#REF!,#REF!,#REF!,#REF!,#REF!,#REF!,#REF!</definedName>
    <definedName name="__APW_RESTORE_DATA660__" hidden="1">#REF!,#REF!,#REF!,#REF!,#REF!,#REF!,#REF!,#REF!,#REF!,#REF!,#REF!,#REF!,#REF!,#REF!,#REF!</definedName>
    <definedName name="__APW_RESTORE_DATA661__" hidden="1">#REF!,#REF!,#REF!,#REF!,#REF!,#REF!,#REF!,#REF!,#REF!,#REF!,#REF!,#REF!,#REF!,#REF!,#REF!</definedName>
    <definedName name="__APW_RESTORE_DATA662__" hidden="1">#REF!,#REF!,#REF!,#REF!,#REF!,#REF!,#REF!,#REF!,#REF!,#REF!,#REF!,#REF!,#REF!,#REF!,#REF!</definedName>
    <definedName name="__APW_RESTORE_DATA663__" hidden="1">#REF!,#REF!,#REF!,#REF!,#REF!</definedName>
    <definedName name="__APW_RESTORE_DATA664__" hidden="1">#REF!,#REF!,#REF!,#REF!,#REF!,#REF!,#REF!,#REF!,#REF!,#REF!,#REF!,#REF!,#REF!,#REF!,#REF!,#REF!,#REF!</definedName>
    <definedName name="__APW_RESTORE_DATA665__" hidden="1">#REF!,#REF!,#REF!,#REF!,#REF!,#REF!,#REF!,#REF!,#REF!,#REF!,#REF!,#REF!,#REF!,#REF!,#REF!,#REF!</definedName>
    <definedName name="__APW_RESTORE_DATA666__" hidden="1">#REF!,#REF!,#REF!,#REF!,#REF!,#REF!,#REF!,#REF!,#REF!,#REF!,#REF!,#REF!,#REF!,#REF!,#REF!,#REF!</definedName>
    <definedName name="__APW_RESTORE_DATA667__" hidden="1">#REF!,#REF!,#REF!,#REF!,#REF!,#REF!,#REF!,#REF!,#REF!,#REF!,#REF!,#REF!,#REF!,#REF!,#REF!,#REF!</definedName>
    <definedName name="__APW_RESTORE_DATA668__" hidden="1">#REF!,#REF!,#REF!,#REF!,#REF!,#REF!,#REF!,#REF!,#REF!,#REF!,#REF!,#REF!,#REF!,#REF!,#REF!,#REF!</definedName>
    <definedName name="__APW_RESTORE_DATA669__" hidden="1">#REF!,#REF!,#REF!,#REF!,#REF!,#REF!,#REF!,#REF!,#REF!,#REF!,#REF!,#REF!,#REF!,#REF!,#REF!,#REF!</definedName>
    <definedName name="__APW_RESTORE_DATA67__" hidden="1">#REF!,#REF!,#REF!,#REF!,#REF!,#REF!,#REF!,#REF!,#REF!,#REF!,#REF!,#REF!,#REF!,#REF!,#REF!</definedName>
    <definedName name="__APW_RESTORE_DATA670__" hidden="1">#REF!,#REF!,#REF!,#REF!,#REF!,#REF!,#REF!,#REF!,#REF!,#REF!,#REF!,#REF!,#REF!,#REF!,#REF!</definedName>
    <definedName name="__APW_RESTORE_DATA671__" hidden="1">#REF!,#REF!,#REF!,#REF!,#REF!,#REF!,#REF!,#REF!,#REF!,#REF!,#REF!,#REF!,#REF!,#REF!,#REF!</definedName>
    <definedName name="__APW_RESTORE_DATA672__" hidden="1">#REF!,#REF!,#REF!,#REF!,#REF!,#REF!,#REF!,#REF!,#REF!,#REF!,#REF!,#REF!,#REF!,#REF!,#REF!</definedName>
    <definedName name="__APW_RESTORE_DATA673__" hidden="1">#REF!,#REF!,#REF!,#REF!,#REF!,#REF!,#REF!,#REF!,#REF!,#REF!,#REF!,#REF!,#REF!,#REF!,#REF!</definedName>
    <definedName name="__APW_RESTORE_DATA674__" hidden="1">#REF!,#REF!,#REF!,#REF!,#REF!,#REF!,#REF!,#REF!,#REF!,#REF!,#REF!,#REF!,#REF!,#REF!,#REF!</definedName>
    <definedName name="__APW_RESTORE_DATA675__" hidden="1">#REF!,#REF!,#REF!,#REF!,#REF!,#REF!,#REF!,#REF!,#REF!,#REF!,#REF!,#REF!,#REF!,#REF!,#REF!</definedName>
    <definedName name="__APW_RESTORE_DATA676__" hidden="1">#REF!,#REF!,#REF!,#REF!,#REF!,#REF!,#REF!,#REF!,#REF!,#REF!,#REF!,#REF!,#REF!,#REF!,#REF!</definedName>
    <definedName name="__APW_RESTORE_DATA677__" hidden="1">#REF!,#REF!,#REF!,#REF!,#REF!,#REF!,#REF!,#REF!,#REF!,#REF!,#REF!,#REF!,#REF!,#REF!,#REF!</definedName>
    <definedName name="__APW_RESTORE_DATA678__" hidden="1">#REF!,#REF!,#REF!,#REF!,#REF!,#REF!,#REF!,#REF!,#REF!,#REF!,#REF!,#REF!,#REF!,#REF!,#REF!</definedName>
    <definedName name="__APW_RESTORE_DATA679__" hidden="1">#REF!,#REF!,#REF!,#REF!,#REF!,#REF!,#REF!,#REF!,#REF!,#REF!,#REF!,#REF!,#REF!,#REF!,#REF!</definedName>
    <definedName name="__APW_RESTORE_DATA68__" hidden="1">#REF!,#REF!,#REF!,#REF!,#REF!,#REF!,#REF!,#REF!,#REF!,#REF!,#REF!,#REF!,#REF!,#REF!,#REF!</definedName>
    <definedName name="__APW_RESTORE_DATA680__" hidden="1">#REF!,#REF!,#REF!,#REF!,#REF!</definedName>
    <definedName name="__APW_RESTORE_DATA681__" hidden="1">#REF!,#REF!,#REF!,#REF!,#REF!,#REF!,#REF!,#REF!,#REF!,#REF!,#REF!,#REF!,#REF!,#REF!,#REF!,#REF!,#REF!</definedName>
    <definedName name="__APW_RESTORE_DATA682__" hidden="1">#REF!,#REF!,#REF!,#REF!,#REF!,#REF!,#REF!,#REF!,#REF!,#REF!,#REF!,#REF!,#REF!,#REF!,#REF!,#REF!</definedName>
    <definedName name="__APW_RESTORE_DATA683__" hidden="1">#REF!,#REF!,#REF!,#REF!,#REF!,#REF!,#REF!,#REF!,#REF!,#REF!,#REF!,#REF!,#REF!,#REF!,#REF!,#REF!</definedName>
    <definedName name="__APW_RESTORE_DATA684__" hidden="1">#REF!,#REF!,#REF!,#REF!,#REF!,#REF!,#REF!,#REF!,#REF!,#REF!,#REF!,#REF!,#REF!,#REF!,#REF!,#REF!</definedName>
    <definedName name="__APW_RESTORE_DATA685__" hidden="1">#REF!,#REF!,#REF!,#REF!,#REF!,#REF!,#REF!,#REF!,#REF!,#REF!,#REF!,#REF!,#REF!,#REF!,#REF!,#REF!</definedName>
    <definedName name="__APW_RESTORE_DATA686__" hidden="1">#REF!,#REF!,#REF!,#REF!,#REF!,#REF!,#REF!,#REF!,#REF!,#REF!,#REF!,#REF!,#REF!,#REF!,#REF!,#REF!</definedName>
    <definedName name="__APW_RESTORE_DATA687__" hidden="1">#REF!,#REF!,#REF!,#REF!,#REF!,#REF!,#REF!,#REF!,#REF!,#REF!,#REF!,#REF!,#REF!,#REF!,#REF!</definedName>
    <definedName name="__APW_RESTORE_DATA688__" hidden="1">#REF!,#REF!,#REF!,#REF!,#REF!,#REF!,#REF!,#REF!,#REF!,#REF!,#REF!,#REF!,#REF!,#REF!,#REF!</definedName>
    <definedName name="__APW_RESTORE_DATA689__" hidden="1">#REF!,#REF!,#REF!,#REF!,#REF!,#REF!,#REF!,#REF!,#REF!,#REF!,#REF!,#REF!,#REF!,#REF!,#REF!</definedName>
    <definedName name="__APW_RESTORE_DATA69__" hidden="1">#REF!,#REF!,#REF!,#REF!,#REF!,#REF!,#REF!,#REF!,#REF!,#REF!,#REF!,#REF!,#REF!,#REF!,#REF!</definedName>
    <definedName name="__APW_RESTORE_DATA690__" hidden="1">#REF!,#REF!,#REF!,#REF!,#REF!,#REF!,#REF!,#REF!,#REF!,#REF!,#REF!,#REF!,#REF!,#REF!,#REF!</definedName>
    <definedName name="__APW_RESTORE_DATA691__" hidden="1">#REF!,#REF!,#REF!,#REF!,#REF!,#REF!,#REF!,#REF!,#REF!,#REF!,#REF!,#REF!,#REF!,#REF!,#REF!</definedName>
    <definedName name="__APW_RESTORE_DATA692__" hidden="1">#REF!,#REF!,#REF!,#REF!,#REF!,#REF!,#REF!,#REF!,#REF!,#REF!,#REF!,#REF!,#REF!,#REF!,#REF!</definedName>
    <definedName name="__APW_RESTORE_DATA693__" hidden="1">#REF!,#REF!,#REF!,#REF!,#REF!,#REF!,#REF!,#REF!,#REF!,#REF!,#REF!,#REF!,#REF!,#REF!,#REF!</definedName>
    <definedName name="__APW_RESTORE_DATA694__" hidden="1">#REF!,#REF!,#REF!,#REF!,#REF!,#REF!,#REF!,#REF!,#REF!,#REF!,#REF!,#REF!,#REF!,#REF!,#REF!</definedName>
    <definedName name="__APW_RESTORE_DATA695__" hidden="1">#REF!,#REF!,#REF!,#REF!,#REF!,#REF!,#REF!,#REF!,#REF!,#REF!,#REF!,#REF!,#REF!,#REF!,#REF!</definedName>
    <definedName name="__APW_RESTORE_DATA696__" hidden="1">#REF!,#REF!,#REF!,#REF!,#REF!,#REF!,#REF!,#REF!,#REF!,#REF!,#REF!,#REF!,#REF!,#REF!,#REF!</definedName>
    <definedName name="__APW_RESTORE_DATA697__" hidden="1">#REF!,#REF!,#REF!,#REF!,#REF!</definedName>
    <definedName name="__APW_RESTORE_DATA698__" hidden="1">#REF!,#REF!,#REF!,#REF!,#REF!,#REF!,#REF!,#REF!,#REF!,#REF!,#REF!,#REF!,#REF!,#REF!,#REF!,#REF!,#REF!</definedName>
    <definedName name="__APW_RESTORE_DATA699__" hidden="1">#REF!,#REF!,#REF!,#REF!,#REF!,#REF!,#REF!,#REF!,#REF!,#REF!,#REF!,#REF!,#REF!,#REF!,#REF!,#REF!</definedName>
    <definedName name="__APW_RESTORE_DATA7__" hidden="1">#REF!,#REF!,#REF!,#REF!,#REF!,#REF!,#REF!,#REF!,#REF!,#REF!,#REF!,#REF!,#REF!,#REF!,#REF!</definedName>
    <definedName name="__APW_RESTORE_DATA70__" hidden="1">#REF!,#REF!,#REF!,#REF!,#REF!,#REF!,#REF!,#REF!,#REF!,#REF!,#REF!,#REF!,#REF!,#REF!,#REF!</definedName>
    <definedName name="__APW_RESTORE_DATA700__" hidden="1">#REF!,#REF!,#REF!,#REF!,#REF!,#REF!,#REF!,#REF!,#REF!,#REF!,#REF!,#REF!,#REF!,#REF!,#REF!,#REF!</definedName>
    <definedName name="__APW_RESTORE_DATA701__" hidden="1">#REF!,#REF!,#REF!,#REF!,#REF!,#REF!,#REF!,#REF!,#REF!,#REF!,#REF!,#REF!,#REF!,#REF!,#REF!,#REF!</definedName>
    <definedName name="__APW_RESTORE_DATA702__" hidden="1">#REF!,#REF!,#REF!,#REF!,#REF!,#REF!,#REF!,#REF!,#REF!,#REF!,#REF!,#REF!,#REF!,#REF!,#REF!,#REF!</definedName>
    <definedName name="__APW_RESTORE_DATA703__" hidden="1">#REF!,#REF!,#REF!,#REF!,#REF!,#REF!,#REF!,#REF!,#REF!,#REF!,#REF!,#REF!,#REF!,#REF!,#REF!,#REF!</definedName>
    <definedName name="__APW_RESTORE_DATA704__" hidden="1">#REF!,#REF!,#REF!,#REF!,#REF!,#REF!,#REF!,#REF!,#REF!,#REF!,#REF!,#REF!,#REF!,#REF!,#REF!</definedName>
    <definedName name="__APW_RESTORE_DATA705__" hidden="1">#REF!,#REF!,#REF!,#REF!,#REF!,#REF!,#REF!,#REF!,#REF!,#REF!,#REF!,#REF!,#REF!,#REF!,#REF!,#REF!,#REF!</definedName>
    <definedName name="__APW_RESTORE_DATA706__" hidden="1">#REF!,#REF!,#REF!,#REF!,#REF!,#REF!,#REF!,#REF!,#REF!,#REF!,#REF!,#REF!,#REF!,#REF!,#REF!,#REF!</definedName>
    <definedName name="__APW_RESTORE_DATA707__" hidden="1">#REF!,#REF!,#REF!,#REF!,#REF!,#REF!,#REF!,#REF!,#REF!,#REF!,#REF!,#REF!,#REF!,#REF!,#REF!,#REF!</definedName>
    <definedName name="__APW_RESTORE_DATA708__" hidden="1">#REF!,#REF!,#REF!,#REF!,#REF!,#REF!,#REF!,#REF!,#REF!,#REF!,#REF!,#REF!,#REF!,#REF!,#REF!,#REF!</definedName>
    <definedName name="__APW_RESTORE_DATA709__" hidden="1">#REF!,#REF!,#REF!,#REF!,#REF!,#REF!,#REF!,#REF!,#REF!,#REF!,#REF!,#REF!,#REF!,#REF!,#REF!,#REF!</definedName>
    <definedName name="__APW_RESTORE_DATA71__" hidden="1">#REF!,#REF!,#REF!,#REF!,#REF!,#REF!</definedName>
    <definedName name="__APW_RESTORE_DATA710__" hidden="1">#REF!,#REF!,#REF!,#REF!,#REF!,#REF!,#REF!,#REF!,#REF!,#REF!,#REF!,#REF!,#REF!,#REF!,#REF!,#REF!</definedName>
    <definedName name="__APW_RESTORE_DATA711__" hidden="1">#REF!,#REF!,#REF!,#REF!,#REF!,#REF!,#REF!,#REF!,#REF!,#REF!,#REF!,#REF!,#REF!,#REF!,#REF!</definedName>
    <definedName name="__APW_RESTORE_DATA712__" hidden="1">#REF!,#REF!,#REF!,#REF!,#REF!,#REF!,#REF!,#REF!,#REF!,#REF!,#REF!,#REF!,#REF!,#REF!,#REF!</definedName>
    <definedName name="__APW_RESTORE_DATA713__" hidden="1">#REF!,#REF!,#REF!,#REF!,#REF!,#REF!,#REF!,#REF!,#REF!,#REF!,#REF!,#REF!,#REF!,#REF!,#REF!</definedName>
    <definedName name="__APW_RESTORE_DATA714__" hidden="1">#REF!,#REF!,#REF!,#REF!,#REF!,#REF!,#REF!,#REF!,#REF!,#REF!,#REF!,#REF!,#REF!,#REF!,#REF!</definedName>
    <definedName name="__APW_RESTORE_DATA715__" hidden="1">#REF!,#REF!,#REF!,#REF!,#REF!,#REF!,#REF!,#REF!,#REF!,#REF!,#REF!,#REF!,#REF!,#REF!,#REF!</definedName>
    <definedName name="__APW_RESTORE_DATA716__" hidden="1">#REF!,#REF!,#REF!,#REF!,#REF!,#REF!,#REF!,#REF!,#REF!,#REF!,#REF!,#REF!,#REF!,#REF!,#REF!</definedName>
    <definedName name="__APW_RESTORE_DATA717__" hidden="1">#REF!,#REF!,#REF!,#REF!,#REF!,#REF!,#REF!,#REF!,#REF!,#REF!,#REF!,#REF!,#REF!,#REF!,#REF!</definedName>
    <definedName name="__APW_RESTORE_DATA718__" hidden="1">#REF!,#REF!,#REF!,#REF!,#REF!,#REF!,#REF!,#REF!,#REF!,#REF!,#REF!,#REF!,#REF!,#REF!,#REF!</definedName>
    <definedName name="__APW_RESTORE_DATA719__" hidden="1">#REF!,#REF!,#REF!,#REF!,#REF!,#REF!,#REF!,#REF!,#REF!</definedName>
    <definedName name="__APW_RESTORE_DATA72__" hidden="1">#REF!,#REF!,#REF!,#REF!,#REF!,#REF!,#REF!,#REF!,#REF!,#REF!,#REF!,#REF!,#REF!,#REF!,#REF!,#REF!,#REF!</definedName>
    <definedName name="__APW_RESTORE_DATA720__" hidden="1">#REF!,#REF!,#REF!,#REF!,#REF!,#REF!,#REF!,#REF!,#REF!,#REF!,#REF!,#REF!,#REF!,#REF!,#REF!,#REF!,#REF!</definedName>
    <definedName name="__APW_RESTORE_DATA721__" hidden="1">#REF!,#REF!,#REF!,#REF!,#REF!,#REF!,#REF!,#REF!,#REF!,#REF!,#REF!,#REF!,#REF!,#REF!,#REF!,#REF!</definedName>
    <definedName name="__APW_RESTORE_DATA722__" hidden="1">#REF!,#REF!,#REF!,#REF!,#REF!,#REF!,#REF!,#REF!,#REF!,#REF!,#REF!,#REF!,#REF!,#REF!,#REF!,#REF!</definedName>
    <definedName name="__APW_RESTORE_DATA723__" hidden="1">#REF!,#REF!,#REF!,#REF!,#REF!,#REF!,#REF!,#REF!,#REF!,#REF!,#REF!,#REF!,#REF!,#REF!,#REF!,#REF!</definedName>
    <definedName name="__APW_RESTORE_DATA724__" hidden="1">#REF!,#REF!,#REF!,#REF!,#REF!,#REF!,#REF!,#REF!,#REF!,#REF!,#REF!,#REF!,#REF!,#REF!,#REF!,#REF!</definedName>
    <definedName name="__APW_RESTORE_DATA725__" hidden="1">#REF!,#REF!,#REF!,#REF!,#REF!,#REF!,#REF!,#REF!,#REF!,#REF!,#REF!,#REF!,#REF!,#REF!,#REF!,#REF!</definedName>
    <definedName name="__APW_RESTORE_DATA726__" hidden="1">#REF!,#REF!,#REF!,#REF!,#REF!,#REF!,#REF!,#REF!,#REF!,#REF!,#REF!,#REF!,#REF!,#REF!,#REF!</definedName>
    <definedName name="__APW_RESTORE_DATA727__" hidden="1">#REF!,#REF!,#REF!,#REF!,#REF!,#REF!,#REF!,#REF!,#REF!,#REF!,#REF!,#REF!,#REF!,#REF!,#REF!</definedName>
    <definedName name="__APW_RESTORE_DATA728__" hidden="1">#REF!,#REF!,#REF!,#REF!,#REF!,#REF!,#REF!,#REF!,#REF!,#REF!,#REF!,#REF!,#REF!,#REF!,#REF!</definedName>
    <definedName name="__APW_RESTORE_DATA729__" hidden="1">#REF!,#REF!,#REF!,#REF!,#REF!,#REF!,#REF!,#REF!,#REF!,#REF!,#REF!,#REF!,#REF!,#REF!,#REF!</definedName>
    <definedName name="__APW_RESTORE_DATA73__" hidden="1">#REF!,#REF!,#REF!,#REF!,#REF!,#REF!,#REF!,#REF!,#REF!,#REF!,#REF!,#REF!,#REF!,#REF!,#REF!,#REF!</definedName>
    <definedName name="__APW_RESTORE_DATA730__" hidden="1">#REF!,#REF!,#REF!,#REF!,#REF!,#REF!,#REF!,#REF!,#REF!,#REF!,#REF!,#REF!,#REF!,#REF!,#REF!</definedName>
    <definedName name="__APW_RESTORE_DATA731__" hidden="1">#REF!,#REF!,#REF!,#REF!,#REF!,#REF!,#REF!,#REF!,#REF!,#REF!,#REF!,#REF!,#REF!,#REF!,#REF!</definedName>
    <definedName name="__APW_RESTORE_DATA732__" hidden="1">#REF!,#REF!,#REF!,#REF!,#REF!,#REF!,#REF!,#REF!,#REF!,#REF!,#REF!,#REF!,#REF!,#REF!,#REF!</definedName>
    <definedName name="__APW_RESTORE_DATA733__" hidden="1">#REF!,#REF!,#REF!,#REF!,#REF!,#REF!,#REF!,#REF!,#REF!,#REF!,#REF!,#REF!,#REF!,#REF!,#REF!</definedName>
    <definedName name="__APW_RESTORE_DATA734__" hidden="1">#REF!,#REF!,#REF!,#REF!,#REF!,#REF!,#REF!,#REF!,#REF!</definedName>
    <definedName name="__APW_RESTORE_DATA735__" hidden="1">#REF!,#REF!,#REF!,#REF!,#REF!,#REF!,#REF!,#REF!,#REF!,#REF!,#REF!,#REF!,#REF!,#REF!,#REF!,#REF!,#REF!</definedName>
    <definedName name="__APW_RESTORE_DATA736__" hidden="1">#REF!,#REF!,#REF!,#REF!,#REF!,#REF!,#REF!,#REF!,#REF!,#REF!,#REF!,#REF!,#REF!,#REF!,#REF!,#REF!</definedName>
    <definedName name="__APW_RESTORE_DATA737__" hidden="1">#REF!,#REF!,#REF!,#REF!,#REF!,#REF!,#REF!,#REF!,#REF!,#REF!,#REF!,#REF!,#REF!,#REF!,#REF!,#REF!</definedName>
    <definedName name="__APW_RESTORE_DATA738__" hidden="1">#REF!,#REF!,#REF!,#REF!,#REF!,#REF!,#REF!,#REF!,#REF!,#REF!,#REF!,#REF!,#REF!,#REF!,#REF!,#REF!</definedName>
    <definedName name="__APW_RESTORE_DATA739__" hidden="1">#REF!,#REF!,#REF!,#REF!,#REF!,#REF!,#REF!,#REF!,#REF!,#REF!,#REF!,#REF!,#REF!,#REF!,#REF!,#REF!</definedName>
    <definedName name="__APW_RESTORE_DATA74__" hidden="1">#REF!,#REF!,#REF!,#REF!,#REF!,#REF!,#REF!,#REF!,#REF!,#REF!,#REF!,#REF!,#REF!,#REF!,#REF!,#REF!</definedName>
    <definedName name="__APW_RESTORE_DATA740__" hidden="1">#REF!,#REF!,#REF!,#REF!,#REF!,#REF!,#REF!,#REF!,#REF!,#REF!,#REF!,#REF!,#REF!,#REF!,#REF!,#REF!</definedName>
    <definedName name="__APW_RESTORE_DATA741__" hidden="1">#REF!,#REF!,#REF!,#REF!,#REF!,#REF!,#REF!,#REF!,#REF!,#REF!,#REF!,#REF!,#REF!,#REF!,#REF!</definedName>
    <definedName name="__APW_RESTORE_DATA742__" hidden="1">#REF!,#REF!,#REF!,#REF!,#REF!,#REF!,#REF!,#REF!,#REF!,#REF!,#REF!,#REF!,#REF!,#REF!,#REF!</definedName>
    <definedName name="__APW_RESTORE_DATA743__" hidden="1">#REF!,#REF!,#REF!,#REF!,#REF!,#REF!,#REF!,#REF!,#REF!,#REF!,#REF!,#REF!,#REF!,#REF!,#REF!</definedName>
    <definedName name="__APW_RESTORE_DATA744__" hidden="1">#REF!,#REF!,#REF!,#REF!,#REF!,#REF!,#REF!,#REF!,#REF!,#REF!,#REF!,#REF!,#REF!,#REF!,#REF!</definedName>
    <definedName name="__APW_RESTORE_DATA745__" hidden="1">#REF!,#REF!,#REF!,#REF!,#REF!,#REF!,#REF!,#REF!,#REF!,#REF!,#REF!,#REF!,#REF!,#REF!,#REF!</definedName>
    <definedName name="__APW_RESTORE_DATA746__" hidden="1">#REF!,#REF!,#REF!,#REF!,#REF!,#REF!,#REF!,#REF!,#REF!,#REF!,#REF!,#REF!,#REF!,#REF!,#REF!</definedName>
    <definedName name="__APW_RESTORE_DATA747__" hidden="1">#REF!,#REF!,#REF!,#REF!,#REF!,#REF!,#REF!,#REF!,#REF!,#REF!,#REF!,#REF!,#REF!,#REF!,#REF!</definedName>
    <definedName name="__APW_RESTORE_DATA748__" hidden="1">#REF!,#REF!,#REF!,#REF!,#REF!,#REF!,#REF!,#REF!,#REF!,#REF!,#REF!,#REF!,#REF!,#REF!,#REF!</definedName>
    <definedName name="__APW_RESTORE_DATA749__" hidden="1">#REF!,#REF!,#REF!,#REF!,#REF!,#REF!,#REF!,#REF!,#REF!</definedName>
    <definedName name="__APW_RESTORE_DATA75__" hidden="1">#REF!,#REF!,#REF!,#REF!,#REF!,#REF!,#REF!,#REF!,#REF!,#REF!,#REF!,#REF!,#REF!,#REF!,#REF!,#REF!</definedName>
    <definedName name="__APW_RESTORE_DATA750__" hidden="1">#REF!,#REF!,#REF!,#REF!,#REF!,#REF!,#REF!,#REF!,#REF!,#REF!,#REF!,#REF!,#REF!,#REF!,#REF!,#REF!,#REF!</definedName>
    <definedName name="__APW_RESTORE_DATA751__" hidden="1">#REF!,#REF!,#REF!,#REF!,#REF!,#REF!,#REF!,#REF!,#REF!,#REF!,#REF!,#REF!,#REF!,#REF!,#REF!,#REF!</definedName>
    <definedName name="__APW_RESTORE_DATA752__" hidden="1">#REF!,#REF!,#REF!,#REF!,#REF!,#REF!,#REF!,#REF!,#REF!,#REF!,#REF!,#REF!,#REF!,#REF!,#REF!,#REF!</definedName>
    <definedName name="__APW_RESTORE_DATA753__" hidden="1">#REF!,#REF!,#REF!,#REF!,#REF!,#REF!,#REF!,#REF!,#REF!,#REF!,#REF!,#REF!,#REF!,#REF!,#REF!,#REF!</definedName>
    <definedName name="__APW_RESTORE_DATA754__" hidden="1">#REF!,#REF!,#REF!,#REF!,#REF!,#REF!,#REF!,#REF!,#REF!,#REF!,#REF!,#REF!,#REF!,#REF!,#REF!,#REF!</definedName>
    <definedName name="__APW_RESTORE_DATA755__" hidden="1">#REF!,#REF!,#REF!,#REF!,#REF!,#REF!,#REF!,#REF!,#REF!,#REF!,#REF!,#REF!,#REF!,#REF!,#REF!,#REF!</definedName>
    <definedName name="__APW_RESTORE_DATA756__" hidden="1">#REF!,#REF!,#REF!,#REF!,#REF!,#REF!,#REF!,#REF!,#REF!,#REF!,#REF!,#REF!,#REF!,#REF!,#REF!</definedName>
    <definedName name="__APW_RESTORE_DATA757__" hidden="1">#REF!,#REF!,#REF!,#REF!,#REF!,#REF!,#REF!,#REF!,#REF!,#REF!,#REF!,#REF!,#REF!,#REF!,#REF!</definedName>
    <definedName name="__APW_RESTORE_DATA758__" hidden="1">#REF!,#REF!,#REF!,#REF!,#REF!,#REF!,#REF!,#REF!,#REF!,#REF!,#REF!,#REF!,#REF!,#REF!,#REF!</definedName>
    <definedName name="__APW_RESTORE_DATA759__" hidden="1">#REF!,#REF!,#REF!,#REF!,#REF!,#REF!,#REF!,#REF!,#REF!,#REF!,#REF!,#REF!,#REF!,#REF!,#REF!</definedName>
    <definedName name="__APW_RESTORE_DATA76__" hidden="1">#REF!,#REF!,#REF!,#REF!,#REF!,#REF!,#REF!,#REF!,#REF!,#REF!,#REF!,#REF!,#REF!,#REF!,#REF!,#REF!</definedName>
    <definedName name="__APW_RESTORE_DATA760__" hidden="1">#REF!,#REF!,#REF!,#REF!,#REF!,#REF!,#REF!,#REF!,#REF!,#REF!,#REF!,#REF!,#REF!,#REF!,#REF!</definedName>
    <definedName name="__APW_RESTORE_DATA761__" hidden="1">#REF!,#REF!,#REF!,#REF!,#REF!,#REF!,#REF!,#REF!,#REF!,#REF!,#REF!,#REF!,#REF!,#REF!,#REF!</definedName>
    <definedName name="__APW_RESTORE_DATA762__" hidden="1">#REF!,#REF!,#REF!,#REF!,#REF!,#REF!,#REF!,#REF!,#REF!,#REF!,#REF!,#REF!,#REF!,#REF!,#REF!</definedName>
    <definedName name="__APW_RESTORE_DATA763__" hidden="1">#REF!,#REF!,#REF!,#REF!,#REF!,#REF!,#REF!,#REF!,#REF!,#REF!,#REF!,#REF!,#REF!,#REF!,#REF!</definedName>
    <definedName name="__APW_RESTORE_DATA764__" hidden="1">#REF!,#REF!,#REF!,#REF!,#REF!,#REF!,#REF!,#REF!,#REF!</definedName>
    <definedName name="__APW_RESTORE_DATA765__" hidden="1">#REF!,#REF!,#REF!,#REF!,#REF!,#REF!,#REF!,#REF!,#REF!,#REF!,#REF!,#REF!,#REF!,#REF!,#REF!,#REF!,#REF!</definedName>
    <definedName name="__APW_RESTORE_DATA766__" hidden="1">#REF!,#REF!,#REF!,#REF!,#REF!,#REF!,#REF!,#REF!,#REF!,#REF!,#REF!,#REF!,#REF!,#REF!,#REF!,#REF!</definedName>
    <definedName name="__APW_RESTORE_DATA767__" hidden="1">#REF!,#REF!,#REF!,#REF!,#REF!,#REF!,#REF!,#REF!,#REF!,#REF!,#REF!,#REF!,#REF!,#REF!,#REF!,#REF!</definedName>
    <definedName name="__APW_RESTORE_DATA768__" hidden="1">#REF!,#REF!,#REF!,#REF!,#REF!,#REF!,#REF!,#REF!,#REF!,#REF!,#REF!,#REF!,#REF!,#REF!,#REF!,#REF!</definedName>
    <definedName name="__APW_RESTORE_DATA769__" hidden="1">#REF!,#REF!,#REF!,#REF!,#REF!,#REF!,#REF!,#REF!,#REF!,#REF!,#REF!,#REF!,#REF!,#REF!,#REF!,#REF!</definedName>
    <definedName name="__APW_RESTORE_DATA77__" hidden="1">#REF!,#REF!,#REF!,#REF!,#REF!,#REF!,#REF!,#REF!,#REF!,#REF!,#REF!,#REF!,#REF!,#REF!,#REF!,#REF!</definedName>
    <definedName name="__APW_RESTORE_DATA770__" hidden="1">#REF!,#REF!,#REF!,#REF!,#REF!,#REF!,#REF!,#REF!,#REF!,#REF!,#REF!,#REF!,#REF!,#REF!,#REF!,#REF!</definedName>
    <definedName name="__APW_RESTORE_DATA771__" hidden="1">#REF!,#REF!,#REF!,#REF!,#REF!,#REF!,#REF!,#REF!,#REF!,#REF!,#REF!,#REF!,#REF!,#REF!,#REF!</definedName>
    <definedName name="__APW_RESTORE_DATA772__" hidden="1">#REF!,#REF!,#REF!,#REF!,#REF!,#REF!,#REF!,#REF!,#REF!,#REF!,#REF!,#REF!,#REF!,#REF!,#REF!</definedName>
    <definedName name="__APW_RESTORE_DATA773__" hidden="1">#REF!,#REF!,#REF!,#REF!,#REF!,#REF!,#REF!,#REF!,#REF!,#REF!,#REF!,#REF!,#REF!,#REF!,#REF!</definedName>
    <definedName name="__APW_RESTORE_DATA774__" hidden="1">#REF!,#REF!,#REF!,#REF!,#REF!,#REF!,#REF!,#REF!,#REF!,#REF!,#REF!,#REF!,#REF!,#REF!,#REF!</definedName>
    <definedName name="__APW_RESTORE_DATA775__" hidden="1">#REF!,#REF!,#REF!,#REF!,#REF!,#REF!,#REF!,#REF!,#REF!,#REF!,#REF!,#REF!,#REF!,#REF!,#REF!</definedName>
    <definedName name="__APW_RESTORE_DATA776__" hidden="1">#REF!,#REF!,#REF!,#REF!,#REF!,#REF!,#REF!,#REF!,#REF!,#REF!,#REF!,#REF!,#REF!,#REF!,#REF!</definedName>
    <definedName name="__APW_RESTORE_DATA777__" hidden="1">#REF!,#REF!,#REF!,#REF!,#REF!,#REF!,#REF!,#REF!,#REF!,#REF!,#REF!,#REF!,#REF!,#REF!,#REF!</definedName>
    <definedName name="__APW_RESTORE_DATA778__" hidden="1">#REF!,#REF!,#REF!,#REF!,#REF!,#REF!,#REF!,#REF!,#REF!,#REF!,#REF!,#REF!,#REF!,#REF!,#REF!</definedName>
    <definedName name="__APW_RESTORE_DATA779__" hidden="1">#REF!,#REF!,#REF!,#REF!,#REF!,#REF!,#REF!,#REF!,#REF!</definedName>
    <definedName name="__APW_RESTORE_DATA78__" hidden="1">#REF!,#REF!,#REF!,#REF!,#REF!,#REF!,#REF!,#REF!,#REF!,#REF!,#REF!,#REF!,#REF!,#REF!,#REF!</definedName>
    <definedName name="__APW_RESTORE_DATA780__" hidden="1">#REF!,#REF!,#REF!,#REF!,#REF!,#REF!,#REF!,#REF!,#REF!,#REF!,#REF!,#REF!,#REF!,#REF!,#REF!,#REF!,#REF!</definedName>
    <definedName name="__APW_RESTORE_DATA781__" hidden="1">#REF!,#REF!,#REF!,#REF!,#REF!,#REF!,#REF!,#REF!,#REF!,#REF!,#REF!,#REF!,#REF!,#REF!,#REF!,#REF!</definedName>
    <definedName name="__APW_RESTORE_DATA782__" hidden="1">#REF!,#REF!,#REF!,#REF!,#REF!,#REF!,#REF!,#REF!,#REF!,#REF!,#REF!,#REF!,#REF!,#REF!,#REF!,#REF!</definedName>
    <definedName name="__APW_RESTORE_DATA783__" hidden="1">#REF!,#REF!,#REF!,#REF!,#REF!,#REF!,#REF!,#REF!,#REF!,#REF!,#REF!,#REF!,#REF!,#REF!,#REF!,#REF!</definedName>
    <definedName name="__APW_RESTORE_DATA784__" hidden="1">#REF!,#REF!,#REF!,#REF!,#REF!,#REF!,#REF!,#REF!,#REF!,#REF!,#REF!,#REF!,#REF!,#REF!,#REF!,#REF!</definedName>
    <definedName name="__APW_RESTORE_DATA785__" hidden="1">#REF!,#REF!,#REF!,#REF!,#REF!,#REF!,#REF!,#REF!,#REF!,#REF!,#REF!,#REF!,#REF!,#REF!,#REF!,#REF!</definedName>
    <definedName name="__APW_RESTORE_DATA786__" hidden="1">#REF!,#REF!,#REF!,#REF!,#REF!,#REF!,#REF!,#REF!,#REF!,#REF!,#REF!,#REF!,#REF!,#REF!,#REF!</definedName>
    <definedName name="__APW_RESTORE_DATA787__" hidden="1">#REF!,#REF!,#REF!,#REF!,#REF!,#REF!,#REF!,#REF!,#REF!,#REF!,#REF!,#REF!,#REF!,#REF!,#REF!</definedName>
    <definedName name="__APW_RESTORE_DATA788__" hidden="1">#REF!,#REF!,#REF!,#REF!,#REF!,#REF!,#REF!,#REF!,#REF!,#REF!,#REF!,#REF!,#REF!,#REF!,#REF!</definedName>
    <definedName name="__APW_RESTORE_DATA789__" hidden="1">#REF!,#REF!,#REF!,#REF!,#REF!,#REF!,#REF!,#REF!,#REF!,#REF!,#REF!,#REF!,#REF!,#REF!,#REF!</definedName>
    <definedName name="__APW_RESTORE_DATA79__" hidden="1">#REF!,#REF!,#REF!,#REF!,#REF!,#REF!,#REF!,#REF!,#REF!,#REF!,#REF!,#REF!,#REF!,#REF!,#REF!</definedName>
    <definedName name="__APW_RESTORE_DATA790__" hidden="1">#REF!,#REF!,#REF!,#REF!,#REF!,#REF!,#REF!,#REF!,#REF!,#REF!,#REF!,#REF!,#REF!,#REF!,#REF!</definedName>
    <definedName name="__APW_RESTORE_DATA791__" hidden="1">#REF!,#REF!,#REF!,#REF!,#REF!,#REF!,#REF!,#REF!,#REF!,#REF!,#REF!,#REF!,#REF!,#REF!,#REF!</definedName>
    <definedName name="__APW_RESTORE_DATA792__" hidden="1">#REF!,#REF!,#REF!,#REF!,#REF!,#REF!,#REF!,#REF!,#REF!,#REF!,#REF!,#REF!,#REF!,#REF!,#REF!</definedName>
    <definedName name="__APW_RESTORE_DATA793__" hidden="1">#REF!,#REF!,#REF!,#REF!,#REF!,#REF!,#REF!,#REF!,#REF!,#REF!,#REF!,#REF!,#REF!,#REF!,#REF!</definedName>
    <definedName name="__APW_RESTORE_DATA794__" hidden="1">#REF!,#REF!,#REF!,#REF!,#REF!,#REF!,#REF!,#REF!,#REF!</definedName>
    <definedName name="__APW_RESTORE_DATA795__" hidden="1">#REF!,#REF!,#REF!,#REF!,#REF!,#REF!,#REF!,#REF!,#REF!,#REF!,#REF!,#REF!,#REF!,#REF!,#REF!,#REF!,#REF!</definedName>
    <definedName name="__APW_RESTORE_DATA796__" hidden="1">#REF!,#REF!,#REF!,#REF!,#REF!,#REF!,#REF!,#REF!,#REF!,#REF!,#REF!,#REF!,#REF!,#REF!,#REF!,#REF!</definedName>
    <definedName name="__APW_RESTORE_DATA797__" hidden="1">#REF!,#REF!,#REF!,#REF!,#REF!,#REF!,#REF!,#REF!,#REF!,#REF!,#REF!,#REF!,#REF!,#REF!,#REF!,#REF!</definedName>
    <definedName name="__APW_RESTORE_DATA798__" hidden="1">#REF!,#REF!,#REF!,#REF!,#REF!,#REF!,#REF!,#REF!,#REF!,#REF!,#REF!,#REF!,#REF!,#REF!,#REF!,#REF!</definedName>
    <definedName name="__APW_RESTORE_DATA799__" hidden="1">#REF!,#REF!,#REF!,#REF!,#REF!,#REF!,#REF!,#REF!,#REF!,#REF!,#REF!,#REF!,#REF!,#REF!,#REF!,#REF!</definedName>
    <definedName name="__APW_RESTORE_DATA8__" hidden="1">#REF!,#REF!,#REF!,#REF!,#REF!,#REF!,#REF!,#REF!,#REF!,#REF!,#REF!,#REF!,#REF!,#REF!,#REF!</definedName>
    <definedName name="__APW_RESTORE_DATA80__" hidden="1">#REF!,#REF!,#REF!,#REF!,#REF!,#REF!,#REF!,#REF!,#REF!,#REF!,#REF!,#REF!,#REF!,#REF!,#REF!</definedName>
    <definedName name="__APW_RESTORE_DATA800__" hidden="1">#REF!,#REF!,#REF!,#REF!,#REF!,#REF!,#REF!,#REF!,#REF!,#REF!,#REF!,#REF!,#REF!,#REF!,#REF!,#REF!</definedName>
    <definedName name="__APW_RESTORE_DATA801__" hidden="1">#REF!,#REF!,#REF!,#REF!,#REF!,#REF!,#REF!,#REF!,#REF!,#REF!,#REF!,#REF!,#REF!,#REF!,#REF!</definedName>
    <definedName name="__APW_RESTORE_DATA802__" hidden="1">#REF!,#REF!,#REF!,#REF!,#REF!,#REF!,#REF!,#REF!,#REF!,#REF!,#REF!,#REF!,#REF!,#REF!,#REF!</definedName>
    <definedName name="__APW_RESTORE_DATA803__" hidden="1">#REF!,#REF!,#REF!,#REF!,#REF!,#REF!,#REF!,#REF!,#REF!,#REF!,#REF!,#REF!,#REF!,#REF!,#REF!</definedName>
    <definedName name="__APW_RESTORE_DATA804__" hidden="1">#REF!,#REF!,#REF!,#REF!,#REF!,#REF!,#REF!,#REF!,#REF!,#REF!,#REF!,#REF!,#REF!,#REF!,#REF!</definedName>
    <definedName name="__APW_RESTORE_DATA805__" hidden="1">#REF!,#REF!,#REF!,#REF!,#REF!,#REF!,#REF!,#REF!,#REF!,#REF!,#REF!,#REF!,#REF!,#REF!,#REF!</definedName>
    <definedName name="__APW_RESTORE_DATA806__" hidden="1">#REF!,#REF!,#REF!,#REF!,#REF!,#REF!,#REF!,#REF!,#REF!,#REF!,#REF!,#REF!,#REF!,#REF!,#REF!</definedName>
    <definedName name="__APW_RESTORE_DATA807__" hidden="1">#REF!,#REF!,#REF!,#REF!,#REF!,#REF!,#REF!,#REF!,#REF!,#REF!,#REF!,#REF!,#REF!,#REF!,#REF!</definedName>
    <definedName name="__APW_RESTORE_DATA808__" hidden="1">#REF!,#REF!,#REF!,#REF!,#REF!,#REF!,#REF!,#REF!,#REF!,#REF!,#REF!,#REF!,#REF!,#REF!,#REF!</definedName>
    <definedName name="__APW_RESTORE_DATA809__" hidden="1">#REF!,#REF!,#REF!,#REF!,#REF!,#REF!,#REF!,#REF!,#REF!</definedName>
    <definedName name="__APW_RESTORE_DATA81__" hidden="1">#REF!,#REF!,#REF!,#REF!,#REF!,#REF!,#REF!,#REF!,#REF!,#REF!,#REF!,#REF!,#REF!,#REF!,#REF!</definedName>
    <definedName name="__APW_RESTORE_DATA810__" hidden="1">#REF!,#REF!,#REF!,#REF!,#REF!,#REF!,#REF!,#REF!,#REF!,#REF!,#REF!,#REF!,#REF!,#REF!,#REF!,#REF!,#REF!</definedName>
    <definedName name="__APW_RESTORE_DATA811__" hidden="1">#REF!,#REF!,#REF!,#REF!,#REF!,#REF!,#REF!,#REF!,#REF!,#REF!,#REF!,#REF!,#REF!,#REF!,#REF!,#REF!</definedName>
    <definedName name="__APW_RESTORE_DATA812__" hidden="1">#REF!,#REF!,#REF!,#REF!,#REF!,#REF!,#REF!,#REF!,#REF!,#REF!,#REF!,#REF!,#REF!,#REF!,#REF!,#REF!</definedName>
    <definedName name="__APW_RESTORE_DATA813__" hidden="1">#REF!,#REF!,#REF!,#REF!,#REF!,#REF!,#REF!,#REF!,#REF!,#REF!,#REF!,#REF!,#REF!,#REF!,#REF!,#REF!</definedName>
    <definedName name="__APW_RESTORE_DATA814__" hidden="1">#REF!,#REF!,#REF!,#REF!,#REF!,#REF!,#REF!,#REF!,#REF!,#REF!,#REF!,#REF!,#REF!,#REF!,#REF!,#REF!</definedName>
    <definedName name="__APW_RESTORE_DATA815__" hidden="1">#REF!,#REF!,#REF!,#REF!,#REF!,#REF!,#REF!,#REF!,#REF!,#REF!,#REF!,#REF!,#REF!,#REF!,#REF!,#REF!</definedName>
    <definedName name="__APW_RESTORE_DATA816__" hidden="1">#REF!,#REF!,#REF!,#REF!,#REF!,#REF!,#REF!,#REF!,#REF!,#REF!,#REF!,#REF!,#REF!,#REF!,#REF!</definedName>
    <definedName name="__APW_RESTORE_DATA817__" hidden="1">#REF!,#REF!,#REF!,#REF!,#REF!,#REF!,#REF!,#REF!,#REF!,#REF!,#REF!,#REF!,#REF!,#REF!,#REF!</definedName>
    <definedName name="__APW_RESTORE_DATA818__" hidden="1">#REF!,#REF!,#REF!,#REF!,#REF!,#REF!,#REF!,#REF!,#REF!,#REF!,#REF!,#REF!,#REF!,#REF!,#REF!</definedName>
    <definedName name="__APW_RESTORE_DATA819__" hidden="1">#REF!,#REF!,#REF!,#REF!,#REF!,#REF!,#REF!,#REF!,#REF!,#REF!,#REF!,#REF!,#REF!,#REF!,#REF!</definedName>
    <definedName name="__APW_RESTORE_DATA82__" hidden="1">#REF!,#REF!,#REF!,#REF!,#REF!,#REF!,#REF!,#REF!,#REF!,#REF!,#REF!,#REF!,#REF!,#REF!,#REF!</definedName>
    <definedName name="__APW_RESTORE_DATA820__" hidden="1">#REF!,#REF!,#REF!,#REF!,#REF!,#REF!,#REF!,#REF!,#REF!,#REF!,#REF!,#REF!,#REF!,#REF!,#REF!</definedName>
    <definedName name="__APW_RESTORE_DATA821__" hidden="1">#REF!,#REF!,#REF!,#REF!,#REF!,#REF!,#REF!,#REF!,#REF!,#REF!,#REF!,#REF!,#REF!,#REF!,#REF!</definedName>
    <definedName name="__APW_RESTORE_DATA822__" hidden="1">#REF!,#REF!,#REF!,#REF!,#REF!,#REF!,#REF!,#REF!,#REF!,#REF!,#REF!,#REF!,#REF!,#REF!,#REF!</definedName>
    <definedName name="__APW_RESTORE_DATA823__" hidden="1">#REF!,#REF!,#REF!,#REF!,#REF!,#REF!,#REF!,#REF!,#REF!,#REF!,#REF!,#REF!,#REF!,#REF!,#REF!</definedName>
    <definedName name="__APW_RESTORE_DATA824__" hidden="1">#REF!,#REF!,#REF!,#REF!,#REF!,#REF!,#REF!,#REF!,#REF!</definedName>
    <definedName name="__APW_RESTORE_DATA825__" hidden="1">#REF!,#REF!,#REF!,#REF!,#REF!,#REF!,#REF!,#REF!,#REF!,#REF!,#REF!,#REF!,#REF!,#REF!,#REF!,#REF!,#REF!</definedName>
    <definedName name="__APW_RESTORE_DATA826__" hidden="1">#REF!,#REF!,#REF!,#REF!,#REF!,#REF!,#REF!,#REF!,#REF!,#REF!,#REF!,#REF!,#REF!,#REF!,#REF!,#REF!</definedName>
    <definedName name="__APW_RESTORE_DATA827__" hidden="1">#REF!,#REF!,#REF!,#REF!,#REF!,#REF!,#REF!,#REF!,#REF!,#REF!,#REF!,#REF!,#REF!,#REF!,#REF!,#REF!</definedName>
    <definedName name="__APW_RESTORE_DATA828__" hidden="1">#REF!,#REF!,#REF!,#REF!,#REF!,#REF!,#REF!,#REF!,#REF!,#REF!,#REF!,#REF!,#REF!,#REF!,#REF!,#REF!</definedName>
    <definedName name="__APW_RESTORE_DATA829__" hidden="1">#REF!,#REF!,#REF!,#REF!,#REF!,#REF!,#REF!,#REF!,#REF!,#REF!,#REF!,#REF!,#REF!,#REF!,#REF!,#REF!</definedName>
    <definedName name="__APW_RESTORE_DATA83__" hidden="1">#REF!,#REF!,#REF!,#REF!,#REF!,#REF!</definedName>
    <definedName name="__APW_RESTORE_DATA830__" hidden="1">#REF!,#REF!,#REF!,#REF!,#REF!,#REF!,#REF!,#REF!,#REF!,#REF!,#REF!,#REF!,#REF!,#REF!,#REF!,#REF!</definedName>
    <definedName name="__APW_RESTORE_DATA831__" hidden="1">#REF!,#REF!,#REF!,#REF!,#REF!,#REF!,#REF!,#REF!,#REF!,#REF!,#REF!,#REF!,#REF!,#REF!,#REF!</definedName>
    <definedName name="__APW_RESTORE_DATA832__" hidden="1">#REF!,#REF!,#REF!,#REF!,#REF!,#REF!,#REF!,#REF!,#REF!,#REF!,#REF!,#REF!,#REF!,#REF!,#REF!</definedName>
    <definedName name="__APW_RESTORE_DATA833__" hidden="1">#REF!,#REF!,#REF!,#REF!,#REF!,#REF!,#REF!,#REF!,#REF!,#REF!,#REF!,#REF!,#REF!,#REF!,#REF!</definedName>
    <definedName name="__APW_RESTORE_DATA834__" hidden="1">#REF!,#REF!,#REF!,#REF!,#REF!,#REF!,#REF!,#REF!,#REF!,#REF!,#REF!,#REF!,#REF!,#REF!,#REF!</definedName>
    <definedName name="__APW_RESTORE_DATA835__" hidden="1">#REF!,#REF!,#REF!,#REF!,#REF!,#REF!,#REF!,#REF!,#REF!,#REF!,#REF!,#REF!,#REF!,#REF!,#REF!</definedName>
    <definedName name="__APW_RESTORE_DATA836__" hidden="1">#REF!,#REF!,#REF!,#REF!,#REF!,#REF!,#REF!,#REF!,#REF!,#REF!,#REF!,#REF!,#REF!,#REF!,#REF!</definedName>
    <definedName name="__APW_RESTORE_DATA837__" hidden="1">#REF!,#REF!,#REF!,#REF!,#REF!,#REF!,#REF!,#REF!,#REF!,#REF!,#REF!,#REF!,#REF!,#REF!,#REF!</definedName>
    <definedName name="__APW_RESTORE_DATA838__" hidden="1">#REF!,#REF!,#REF!,#REF!,#REF!,#REF!,#REF!,#REF!,#REF!,#REF!,#REF!,#REF!,#REF!,#REF!,#REF!</definedName>
    <definedName name="__APW_RESTORE_DATA839__" hidden="1">#REF!,#REF!,#REF!,#REF!,#REF!,#REF!,#REF!,#REF!,#REF!</definedName>
    <definedName name="__APW_RESTORE_DATA84__" hidden="1">#REF!,#REF!,#REF!,#REF!,#REF!,#REF!,#REF!,#REF!,#REF!,#REF!,#REF!,#REF!,#REF!,#REF!,#REF!,#REF!,#REF!</definedName>
    <definedName name="__APW_RESTORE_DATA840__" hidden="1">#REF!,#REF!,#REF!,#REF!,#REF!,#REF!,#REF!,#REF!,#REF!,#REF!,#REF!,#REF!,#REF!,#REF!,#REF!,#REF!,#REF!</definedName>
    <definedName name="__APW_RESTORE_DATA841__" hidden="1">#REF!,#REF!,#REF!,#REF!,#REF!,#REF!,#REF!,#REF!,#REF!,#REF!,#REF!,#REF!,#REF!,#REF!,#REF!,#REF!</definedName>
    <definedName name="__APW_RESTORE_DATA842__" hidden="1">#REF!,#REF!,#REF!,#REF!,#REF!,#REF!,#REF!,#REF!,#REF!,#REF!,#REF!,#REF!,#REF!,#REF!,#REF!,#REF!</definedName>
    <definedName name="__APW_RESTORE_DATA843__" hidden="1">#REF!,#REF!,#REF!,#REF!,#REF!,#REF!,#REF!,#REF!,#REF!,#REF!,#REF!,#REF!,#REF!,#REF!,#REF!,#REF!</definedName>
    <definedName name="__APW_RESTORE_DATA844__" hidden="1">#REF!,#REF!,#REF!,#REF!,#REF!,#REF!,#REF!,#REF!,#REF!,#REF!,#REF!,#REF!,#REF!,#REF!,#REF!,#REF!</definedName>
    <definedName name="__APW_RESTORE_DATA845__" hidden="1">#REF!,#REF!,#REF!,#REF!,#REF!,#REF!,#REF!,#REF!,#REF!,#REF!,#REF!,#REF!,#REF!,#REF!,#REF!,#REF!</definedName>
    <definedName name="__APW_RESTORE_DATA846__" hidden="1">#REF!,#REF!,#REF!,#REF!,#REF!,#REF!,#REF!,#REF!,#REF!,#REF!,#REF!,#REF!,#REF!,#REF!,#REF!</definedName>
    <definedName name="__APW_RESTORE_DATA847__" hidden="1">#REF!,#REF!,#REF!,#REF!,#REF!,#REF!,#REF!,#REF!,#REF!,#REF!,#REF!,#REF!,#REF!,#REF!,#REF!</definedName>
    <definedName name="__APW_RESTORE_DATA848__" hidden="1">#REF!,#REF!,#REF!,#REF!,#REF!,#REF!,#REF!,#REF!,#REF!,#REF!,#REF!,#REF!,#REF!,#REF!,#REF!</definedName>
    <definedName name="__APW_RESTORE_DATA849__" hidden="1">#REF!,#REF!,#REF!,#REF!,#REF!,#REF!,#REF!,#REF!,#REF!,#REF!,#REF!,#REF!,#REF!,#REF!,#REF!</definedName>
    <definedName name="__APW_RESTORE_DATA85__" hidden="1">#REF!,#REF!,#REF!,#REF!,#REF!,#REF!,#REF!,#REF!,#REF!,#REF!,#REF!,#REF!,#REF!,#REF!,#REF!,#REF!</definedName>
    <definedName name="__APW_RESTORE_DATA850__" hidden="1">#REF!,#REF!,#REF!,#REF!,#REF!,#REF!,#REF!,#REF!,#REF!,#REF!,#REF!,#REF!,#REF!,#REF!,#REF!</definedName>
    <definedName name="__APW_RESTORE_DATA851__" hidden="1">#REF!,#REF!,#REF!,#REF!,#REF!,#REF!,#REF!,#REF!,#REF!,#REF!,#REF!,#REF!,#REF!,#REF!,#REF!</definedName>
    <definedName name="__APW_RESTORE_DATA852__" hidden="1">#REF!,#REF!,#REF!,#REF!,#REF!,#REF!,#REF!,#REF!,#REF!,#REF!,#REF!,#REF!,#REF!,#REF!,#REF!</definedName>
    <definedName name="__APW_RESTORE_DATA853__" hidden="1">#REF!,#REF!,#REF!,#REF!,#REF!,#REF!,#REF!,#REF!,#REF!,#REF!,#REF!,#REF!,#REF!,#REF!,#REF!</definedName>
    <definedName name="__APW_RESTORE_DATA854__" hidden="1">#REF!,#REF!,#REF!,#REF!,#REF!,#REF!,#REF!,#REF!,#REF!</definedName>
    <definedName name="__APW_RESTORE_DATA855__" hidden="1">#REF!,#REF!,#REF!,#REF!,#REF!,#REF!,#REF!,#REF!,#REF!,#REF!,#REF!,#REF!,#REF!,#REF!,#REF!,#REF!,#REF!</definedName>
    <definedName name="__APW_RESTORE_DATA856__" hidden="1">#REF!,#REF!,#REF!,#REF!,#REF!,#REF!,#REF!,#REF!,#REF!,#REF!,#REF!,#REF!,#REF!,#REF!,#REF!,#REF!</definedName>
    <definedName name="__APW_RESTORE_DATA857__" hidden="1">#REF!,#REF!,#REF!,#REF!,#REF!,#REF!,#REF!,#REF!,#REF!,#REF!,#REF!,#REF!,#REF!,#REF!,#REF!,#REF!</definedName>
    <definedName name="__APW_RESTORE_DATA858__" hidden="1">#REF!,#REF!,#REF!,#REF!,#REF!,#REF!,#REF!,#REF!,#REF!,#REF!,#REF!,#REF!,#REF!,#REF!,#REF!,#REF!</definedName>
    <definedName name="__APW_RESTORE_DATA859__" hidden="1">#REF!,#REF!,#REF!,#REF!,#REF!,#REF!,#REF!,#REF!,#REF!,#REF!,#REF!,#REF!,#REF!,#REF!,#REF!,#REF!</definedName>
    <definedName name="__APW_RESTORE_DATA86__" hidden="1">#REF!,#REF!,#REF!,#REF!,#REF!,#REF!,#REF!,#REF!,#REF!,#REF!,#REF!,#REF!,#REF!,#REF!,#REF!,#REF!</definedName>
    <definedName name="__APW_RESTORE_DATA860__" hidden="1">#REF!,#REF!,#REF!,#REF!,#REF!,#REF!,#REF!,#REF!,#REF!,#REF!,#REF!,#REF!,#REF!,#REF!,#REF!,#REF!</definedName>
    <definedName name="__APW_RESTORE_DATA861__" hidden="1">#REF!,#REF!,#REF!,#REF!,#REF!,#REF!,#REF!,#REF!,#REF!,#REF!,#REF!,#REF!,#REF!,#REF!,#REF!</definedName>
    <definedName name="__APW_RESTORE_DATA862__" hidden="1">#REF!,#REF!,#REF!,#REF!,#REF!,#REF!,#REF!,#REF!,#REF!,#REF!,#REF!,#REF!,#REF!,#REF!,#REF!</definedName>
    <definedName name="__APW_RESTORE_DATA863__" hidden="1">#REF!,#REF!,#REF!,#REF!,#REF!,#REF!,#REF!,#REF!,#REF!,#REF!,#REF!,#REF!,#REF!,#REF!,#REF!</definedName>
    <definedName name="__APW_RESTORE_DATA864__" hidden="1">#REF!,#REF!,#REF!,#REF!,#REF!,#REF!,#REF!,#REF!,#REF!,#REF!,#REF!,#REF!,#REF!,#REF!,#REF!</definedName>
    <definedName name="__APW_RESTORE_DATA865__" hidden="1">#REF!,#REF!,#REF!,#REF!,#REF!,#REF!,#REF!,#REF!,#REF!,#REF!,#REF!,#REF!,#REF!,#REF!,#REF!</definedName>
    <definedName name="__APW_RESTORE_DATA866__" hidden="1">#REF!,#REF!,#REF!,#REF!,#REF!,#REF!,#REF!,#REF!,#REF!,#REF!,#REF!,#REF!,#REF!,#REF!,#REF!</definedName>
    <definedName name="__APW_RESTORE_DATA867__" hidden="1">#REF!,#REF!,#REF!,#REF!,#REF!,#REF!,#REF!,#REF!,#REF!,#REF!,#REF!,#REF!,#REF!,#REF!,#REF!</definedName>
    <definedName name="__APW_RESTORE_DATA868__" hidden="1">#REF!,#REF!,#REF!,#REF!,#REF!,#REF!,#REF!,#REF!,#REF!,#REF!,#REF!,#REF!,#REF!,#REF!,#REF!</definedName>
    <definedName name="__APW_RESTORE_DATA869__" hidden="1">#REF!,#REF!,#REF!,#REF!,#REF!,#REF!,#REF!,#REF!,#REF!</definedName>
    <definedName name="__APW_RESTORE_DATA87__" hidden="1">#REF!,#REF!,#REF!,#REF!,#REF!,#REF!,#REF!,#REF!,#REF!,#REF!,#REF!,#REF!,#REF!,#REF!,#REF!,#REF!</definedName>
    <definedName name="__APW_RESTORE_DATA870__" hidden="1">#REF!,#REF!,#REF!,#REF!,#REF!,#REF!,#REF!,#REF!,#REF!,#REF!,#REF!,#REF!,#REF!,#REF!,#REF!,#REF!,#REF!</definedName>
    <definedName name="__APW_RESTORE_DATA871__" hidden="1">#REF!,#REF!,#REF!,#REF!,#REF!,#REF!,#REF!,#REF!,#REF!,#REF!,#REF!,#REF!,#REF!,#REF!,#REF!,#REF!</definedName>
    <definedName name="__APW_RESTORE_DATA872__" hidden="1">#REF!,#REF!,#REF!,#REF!,#REF!,#REF!,#REF!,#REF!,#REF!,#REF!,#REF!,#REF!,#REF!,#REF!,#REF!,#REF!</definedName>
    <definedName name="__APW_RESTORE_DATA873__" hidden="1">#REF!,#REF!,#REF!,#REF!,#REF!,#REF!,#REF!,#REF!,#REF!,#REF!,#REF!,#REF!,#REF!,#REF!,#REF!,#REF!</definedName>
    <definedName name="__APW_RESTORE_DATA874__" hidden="1">#REF!,#REF!,#REF!,#REF!,#REF!,#REF!,#REF!,#REF!,#REF!,#REF!,#REF!,#REF!,#REF!,#REF!,#REF!,#REF!</definedName>
    <definedName name="__APW_RESTORE_DATA875__" hidden="1">#REF!,#REF!,#REF!,#REF!,#REF!,#REF!,#REF!,#REF!,#REF!,#REF!,#REF!,#REF!,#REF!,#REF!,#REF!,#REF!</definedName>
    <definedName name="__APW_RESTORE_DATA876__" hidden="1">#REF!,#REF!,#REF!,#REF!,#REF!,#REF!,#REF!,#REF!,#REF!,#REF!,#REF!,#REF!,#REF!,#REF!,#REF!</definedName>
    <definedName name="__APW_RESTORE_DATA877__" hidden="1">#REF!,#REF!,#REF!,#REF!,#REF!,#REF!,#REF!,#REF!,#REF!,#REF!,#REF!,#REF!,#REF!,#REF!,#REF!</definedName>
    <definedName name="__APW_RESTORE_DATA878__" hidden="1">#REF!,#REF!,#REF!,#REF!,#REF!,#REF!,#REF!,#REF!,#REF!,#REF!,#REF!,#REF!,#REF!,#REF!,#REF!</definedName>
    <definedName name="__APW_RESTORE_DATA879__" hidden="1">#REF!,#REF!,#REF!,#REF!,#REF!,#REF!,#REF!,#REF!,#REF!,#REF!,#REF!,#REF!,#REF!,#REF!,#REF!</definedName>
    <definedName name="__APW_RESTORE_DATA88__" hidden="1">#REF!,#REF!,#REF!,#REF!,#REF!,#REF!,#REF!,#REF!,#REF!,#REF!,#REF!,#REF!,#REF!,#REF!,#REF!,#REF!</definedName>
    <definedName name="__APW_RESTORE_DATA880__" hidden="1">#REF!,#REF!,#REF!,#REF!,#REF!,#REF!,#REF!,#REF!,#REF!,#REF!,#REF!,#REF!,#REF!,#REF!,#REF!</definedName>
    <definedName name="__APW_RESTORE_DATA881__" hidden="1">#REF!,#REF!,#REF!,#REF!,#REF!,#REF!,#REF!,#REF!,#REF!,#REF!,#REF!,#REF!,#REF!,#REF!,#REF!</definedName>
    <definedName name="__APW_RESTORE_DATA882__" hidden="1">#REF!,#REF!,#REF!,#REF!,#REF!,#REF!,#REF!,#REF!,#REF!,#REF!,#REF!,#REF!,#REF!,#REF!,#REF!</definedName>
    <definedName name="__APW_RESTORE_DATA883__" hidden="1">#REF!,#REF!,#REF!,#REF!,#REF!,#REF!,#REF!,#REF!,#REF!,#REF!,#REF!,#REF!,#REF!,#REF!,#REF!</definedName>
    <definedName name="__APW_RESTORE_DATA884__" hidden="1">#REF!,#REF!,#REF!,#REF!,#REF!,#REF!,#REF!,#REF!,#REF!</definedName>
    <definedName name="__APW_RESTORE_DATA885__" hidden="1">#REF!,#REF!,#REF!,#REF!,#REF!,#REF!,#REF!,#REF!,#REF!,#REF!,#REF!,#REF!,#REF!,#REF!,#REF!,#REF!,#REF!</definedName>
    <definedName name="__APW_RESTORE_DATA886__" hidden="1">#REF!,#REF!,#REF!,#REF!,#REF!,#REF!,#REF!,#REF!,#REF!,#REF!,#REF!,#REF!,#REF!,#REF!,#REF!,#REF!</definedName>
    <definedName name="__APW_RESTORE_DATA887__" hidden="1">#REF!,#REF!,#REF!,#REF!,#REF!,#REF!,#REF!,#REF!,#REF!,#REF!,#REF!,#REF!,#REF!,#REF!,#REF!,#REF!</definedName>
    <definedName name="__APW_RESTORE_DATA888__" hidden="1">#REF!,#REF!,#REF!,#REF!,#REF!,#REF!,#REF!,#REF!,#REF!,#REF!,#REF!,#REF!,#REF!,#REF!,#REF!,#REF!</definedName>
    <definedName name="__APW_RESTORE_DATA889__" hidden="1">#REF!,#REF!,#REF!,#REF!,#REF!,#REF!,#REF!,#REF!,#REF!,#REF!,#REF!,#REF!,#REF!,#REF!,#REF!,#REF!</definedName>
    <definedName name="__APW_RESTORE_DATA89__" hidden="1">#REF!,#REF!,#REF!,#REF!,#REF!,#REF!,#REF!,#REF!,#REF!,#REF!,#REF!,#REF!,#REF!,#REF!,#REF!,#REF!</definedName>
    <definedName name="__APW_RESTORE_DATA890__" hidden="1">#REF!,#REF!,#REF!,#REF!,#REF!,#REF!,#REF!,#REF!,#REF!,#REF!,#REF!,#REF!,#REF!,#REF!,#REF!,#REF!</definedName>
    <definedName name="__APW_RESTORE_DATA891__" hidden="1">#REF!,#REF!,#REF!,#REF!,#REF!,#REF!,#REF!,#REF!,#REF!,#REF!,#REF!,#REF!,#REF!,#REF!,#REF!</definedName>
    <definedName name="__APW_RESTORE_DATA892__" hidden="1">#REF!,#REF!,#REF!,#REF!,#REF!,#REF!,#REF!,#REF!,#REF!,#REF!,#REF!,#REF!,#REF!,#REF!,#REF!</definedName>
    <definedName name="__APW_RESTORE_DATA893__" hidden="1">#REF!,#REF!,#REF!,#REF!,#REF!,#REF!,#REF!,#REF!,#REF!,#REF!,#REF!,#REF!,#REF!,#REF!,#REF!</definedName>
    <definedName name="__APW_RESTORE_DATA894__" hidden="1">#REF!,#REF!,#REF!,#REF!,#REF!,#REF!,#REF!,#REF!,#REF!,#REF!,#REF!,#REF!,#REF!,#REF!,#REF!</definedName>
    <definedName name="__APW_RESTORE_DATA895__" hidden="1">#REF!,#REF!,#REF!,#REF!,#REF!,#REF!,#REF!,#REF!,#REF!,#REF!,#REF!,#REF!,#REF!,#REF!,#REF!</definedName>
    <definedName name="__APW_RESTORE_DATA896__" hidden="1">#REF!,#REF!,#REF!,#REF!,#REF!,#REF!,#REF!,#REF!,#REF!,#REF!,#REF!,#REF!,#REF!,#REF!,#REF!</definedName>
    <definedName name="__APW_RESTORE_DATA897__" hidden="1">#REF!,#REF!,#REF!,#REF!,#REF!,#REF!,#REF!,#REF!,#REF!,#REF!,#REF!,#REF!,#REF!,#REF!,#REF!</definedName>
    <definedName name="__APW_RESTORE_DATA898__" hidden="1">#REF!,#REF!,#REF!,#REF!,#REF!,#REF!,#REF!,#REF!,#REF!,#REF!,#REF!,#REF!,#REF!,#REF!,#REF!</definedName>
    <definedName name="__APW_RESTORE_DATA899__" hidden="1">#REF!,#REF!,#REF!,#REF!,#REF!,#REF!,#REF!,#REF!,#REF!</definedName>
    <definedName name="__APW_RESTORE_DATA9__" hidden="1">#REF!,#REF!,#REF!,#REF!,#REF!,#REF!,#REF!,#REF!,#REF!,#REF!,#REF!,#REF!,#REF!,#REF!,#REF!</definedName>
    <definedName name="__APW_RESTORE_DATA90__" hidden="1">#REF!,#REF!,#REF!,#REF!,#REF!,#REF!,#REF!,#REF!,#REF!,#REF!,#REF!,#REF!,#REF!,#REF!,#REF!</definedName>
    <definedName name="__APW_RESTORE_DATA900__" hidden="1">#REF!,#REF!,#REF!,#REF!,#REF!,#REF!,#REF!,#REF!,#REF!,#REF!,#REF!,#REF!,#REF!,#REF!,#REF!,#REF!,#REF!</definedName>
    <definedName name="__APW_RESTORE_DATA901__" hidden="1">#REF!,#REF!,#REF!,#REF!,#REF!,#REF!,#REF!,#REF!,#REF!,#REF!,#REF!,#REF!,#REF!,#REF!,#REF!,#REF!</definedName>
    <definedName name="__APW_RESTORE_DATA902__" hidden="1">#REF!,#REF!,#REF!,#REF!,#REF!,#REF!,#REF!,#REF!,#REF!,#REF!,#REF!,#REF!,#REF!,#REF!,#REF!,#REF!</definedName>
    <definedName name="__APW_RESTORE_DATA903__" hidden="1">#REF!,#REF!,#REF!,#REF!,#REF!,#REF!,#REF!,#REF!,#REF!,#REF!,#REF!,#REF!,#REF!,#REF!,#REF!,#REF!</definedName>
    <definedName name="__APW_RESTORE_DATA904__" hidden="1">#REF!,#REF!,#REF!,#REF!,#REF!,#REF!,#REF!,#REF!,#REF!,#REF!,#REF!,#REF!,#REF!,#REF!,#REF!,#REF!</definedName>
    <definedName name="__APW_RESTORE_DATA905__" hidden="1">#REF!,#REF!,#REF!,#REF!,#REF!,#REF!,#REF!,#REF!,#REF!,#REF!,#REF!,#REF!,#REF!,#REF!,#REF!,#REF!</definedName>
    <definedName name="__APW_RESTORE_DATA906__" hidden="1">#REF!,#REF!,#REF!,#REF!,#REF!,#REF!,#REF!,#REF!,#REF!,#REF!,#REF!,#REF!,#REF!,#REF!,#REF!</definedName>
    <definedName name="__APW_RESTORE_DATA907__" hidden="1">#REF!,#REF!,#REF!,#REF!,#REF!,#REF!,#REF!,#REF!,#REF!,#REF!,#REF!,#REF!,#REF!,#REF!,#REF!</definedName>
    <definedName name="__APW_RESTORE_DATA908__" hidden="1">#REF!,#REF!,#REF!,#REF!,#REF!,#REF!,#REF!,#REF!,#REF!,#REF!,#REF!,#REF!,#REF!,#REF!,#REF!</definedName>
    <definedName name="__APW_RESTORE_DATA909__" hidden="1">#REF!,#REF!,#REF!,#REF!,#REF!,#REF!,#REF!,#REF!,#REF!,#REF!,#REF!,#REF!,#REF!,#REF!,#REF!</definedName>
    <definedName name="__APW_RESTORE_DATA91__" hidden="1">#REF!,#REF!,#REF!,#REF!,#REF!,#REF!,#REF!,#REF!,#REF!,#REF!,#REF!,#REF!,#REF!,#REF!,#REF!</definedName>
    <definedName name="__APW_RESTORE_DATA910__" hidden="1">#REF!,#REF!,#REF!,#REF!,#REF!,#REF!,#REF!,#REF!,#REF!,#REF!,#REF!,#REF!,#REF!,#REF!,#REF!</definedName>
    <definedName name="__APW_RESTORE_DATA911__" hidden="1">#REF!,#REF!,#REF!,#REF!,#REF!,#REF!,#REF!,#REF!,#REF!,#REF!,#REF!,#REF!,#REF!,#REF!,#REF!</definedName>
    <definedName name="__APW_RESTORE_DATA912__" hidden="1">#REF!,#REF!,#REF!,#REF!,#REF!,#REF!,#REF!,#REF!,#REF!,#REF!,#REF!,#REF!,#REF!,#REF!,#REF!</definedName>
    <definedName name="__APW_RESTORE_DATA913__" hidden="1">#REF!,#REF!,#REF!,#REF!,#REF!,#REF!,#REF!,#REF!,#REF!,#REF!,#REF!,#REF!,#REF!,#REF!,#REF!</definedName>
    <definedName name="__APW_RESTORE_DATA914__" hidden="1">#REF!,#REF!,#REF!,#REF!,#REF!,#REF!,#REF!,#REF!,#REF!</definedName>
    <definedName name="__APW_RESTORE_DATA915__" hidden="1">#REF!,#REF!,#REF!,#REF!,#REF!,#REF!,#REF!,#REF!,#REF!,#REF!,#REF!,#REF!,#REF!,#REF!,#REF!,#REF!,#REF!</definedName>
    <definedName name="__APW_RESTORE_DATA916__" hidden="1">#REF!,#REF!,#REF!,#REF!,#REF!,#REF!,#REF!,#REF!,#REF!,#REF!,#REF!,#REF!,#REF!,#REF!,#REF!,#REF!</definedName>
    <definedName name="__APW_RESTORE_DATA917__" hidden="1">#REF!,#REF!,#REF!,#REF!,#REF!,#REF!,#REF!,#REF!,#REF!,#REF!,#REF!,#REF!,#REF!,#REF!,#REF!,#REF!</definedName>
    <definedName name="__APW_RESTORE_DATA918__" hidden="1">#REF!,#REF!,#REF!,#REF!,#REF!,#REF!,#REF!,#REF!,#REF!,#REF!,#REF!,#REF!,#REF!,#REF!,#REF!,#REF!</definedName>
    <definedName name="__APW_RESTORE_DATA919__" hidden="1">#REF!,#REF!,#REF!,#REF!,#REF!,#REF!,#REF!,#REF!,#REF!,#REF!,#REF!,#REF!,#REF!,#REF!,#REF!,#REF!</definedName>
    <definedName name="__APW_RESTORE_DATA92__" hidden="1">#REF!,#REF!,#REF!,#REF!,#REF!,#REF!,#REF!,#REF!,#REF!,#REF!,#REF!,#REF!,#REF!,#REF!,#REF!</definedName>
    <definedName name="__APW_RESTORE_DATA920__" hidden="1">#REF!,#REF!,#REF!,#REF!,#REF!,#REF!,#REF!,#REF!,#REF!,#REF!,#REF!,#REF!,#REF!,#REF!,#REF!,#REF!</definedName>
    <definedName name="__APW_RESTORE_DATA921__" hidden="1">#REF!,#REF!,#REF!,#REF!,#REF!,#REF!,#REF!,#REF!,#REF!,#REF!,#REF!,#REF!,#REF!,#REF!,#REF!</definedName>
    <definedName name="__APW_RESTORE_DATA922__" hidden="1">#REF!,#REF!,#REF!,#REF!,#REF!,#REF!,#REF!,#REF!,#REF!,#REF!,#REF!,#REF!,#REF!,#REF!,#REF!</definedName>
    <definedName name="__APW_RESTORE_DATA923__" hidden="1">#REF!,#REF!,#REF!,#REF!,#REF!,#REF!,#REF!,#REF!,#REF!,#REF!,#REF!,#REF!,#REF!,#REF!,#REF!</definedName>
    <definedName name="__APW_RESTORE_DATA924__" hidden="1">#REF!,#REF!,#REF!,#REF!,#REF!,#REF!,#REF!,#REF!,#REF!,#REF!,#REF!,#REF!,#REF!,#REF!,#REF!</definedName>
    <definedName name="__APW_RESTORE_DATA925__" hidden="1">#REF!,#REF!,#REF!,#REF!,#REF!,#REF!,#REF!,#REF!,#REF!,#REF!,#REF!,#REF!,#REF!,#REF!,#REF!</definedName>
    <definedName name="__APW_RESTORE_DATA926__" hidden="1">#REF!,#REF!,#REF!,#REF!,#REF!,#REF!,#REF!,#REF!,#REF!,#REF!,#REF!,#REF!,#REF!,#REF!,#REF!</definedName>
    <definedName name="__APW_RESTORE_DATA927__" hidden="1">#REF!,#REF!,#REF!,#REF!,#REF!,#REF!,#REF!,#REF!,#REF!,#REF!,#REF!,#REF!,#REF!,#REF!,#REF!</definedName>
    <definedName name="__APW_RESTORE_DATA928__" hidden="1">#REF!,#REF!,#REF!,#REF!,#REF!,#REF!,#REF!,#REF!,#REF!,#REF!,#REF!,#REF!,#REF!,#REF!,#REF!</definedName>
    <definedName name="__APW_RESTORE_DATA929__" hidden="1">#REF!,#REF!,#REF!,#REF!,#REF!,#REF!,#REF!,#REF!,#REF!</definedName>
    <definedName name="__APW_RESTORE_DATA93__" hidden="1">#REF!,#REF!,#REF!,#REF!,#REF!,#REF!,#REF!,#REF!,#REF!,#REF!,#REF!,#REF!,#REF!,#REF!,#REF!</definedName>
    <definedName name="__APW_RESTORE_DATA930__" hidden="1">#REF!,#REF!,#REF!,#REF!,#REF!,#REF!,#REF!,#REF!,#REF!,#REF!,#REF!,#REF!,#REF!,#REF!,#REF!,#REF!,#REF!</definedName>
    <definedName name="__APW_RESTORE_DATA931__" hidden="1">#REF!,#REF!,#REF!,#REF!,#REF!,#REF!,#REF!,#REF!,#REF!,#REF!,#REF!,#REF!,#REF!,#REF!,#REF!,#REF!</definedName>
    <definedName name="__APW_RESTORE_DATA932__" hidden="1">#REF!,#REF!,#REF!,#REF!,#REF!,#REF!,#REF!,#REF!,#REF!,#REF!,#REF!,#REF!,#REF!,#REF!,#REF!,#REF!</definedName>
    <definedName name="__APW_RESTORE_DATA933__" hidden="1">#REF!,#REF!,#REF!,#REF!,#REF!,#REF!,#REF!,#REF!,#REF!,#REF!,#REF!,#REF!,#REF!,#REF!,#REF!,#REF!</definedName>
    <definedName name="__APW_RESTORE_DATA934__" hidden="1">#REF!,#REF!,#REF!,#REF!,#REF!,#REF!,#REF!,#REF!,#REF!,#REF!,#REF!,#REF!,#REF!,#REF!,#REF!,#REF!</definedName>
    <definedName name="__APW_RESTORE_DATA935__" hidden="1">#REF!,#REF!,#REF!,#REF!,#REF!,#REF!,#REF!,#REF!,#REF!,#REF!,#REF!,#REF!,#REF!,#REF!,#REF!,#REF!</definedName>
    <definedName name="__APW_RESTORE_DATA936__" hidden="1">#REF!,#REF!,#REF!,#REF!,#REF!,#REF!,#REF!,#REF!,#REF!,#REF!,#REF!,#REF!,#REF!,#REF!,#REF!</definedName>
    <definedName name="__APW_RESTORE_DATA937__" hidden="1">#REF!,#REF!,#REF!,#REF!,#REF!,#REF!,#REF!,#REF!,#REF!,#REF!,#REF!,#REF!,#REF!,#REF!,#REF!</definedName>
    <definedName name="__APW_RESTORE_DATA938__" hidden="1">#REF!,#REF!,#REF!,#REF!,#REF!,#REF!,#REF!,#REF!,#REF!,#REF!,#REF!,#REF!,#REF!,#REF!,#REF!</definedName>
    <definedName name="__APW_RESTORE_DATA939__" hidden="1">#REF!,#REF!,#REF!,#REF!,#REF!,#REF!,#REF!,#REF!,#REF!,#REF!,#REF!,#REF!,#REF!,#REF!,#REF!</definedName>
    <definedName name="__APW_RESTORE_DATA94__" hidden="1">#REF!,#REF!,#REF!,#REF!,#REF!,#REF!,#REF!,#REF!,#REF!,#REF!,#REF!,#REF!,#REF!,#REF!,#REF!</definedName>
    <definedName name="__APW_RESTORE_DATA940__" hidden="1">#REF!,#REF!,#REF!,#REF!,#REF!,#REF!,#REF!,#REF!,#REF!,#REF!,#REF!,#REF!,#REF!,#REF!,#REF!</definedName>
    <definedName name="__APW_RESTORE_DATA941__" hidden="1">#REF!,#REF!,#REF!,#REF!,#REF!,#REF!,#REF!,#REF!,#REF!,#REF!,#REF!,#REF!,#REF!,#REF!,#REF!</definedName>
    <definedName name="__APW_RESTORE_DATA942__" hidden="1">#REF!,#REF!,#REF!,#REF!,#REF!,#REF!,#REF!,#REF!,#REF!,#REF!,#REF!,#REF!,#REF!,#REF!,#REF!</definedName>
    <definedName name="__APW_RESTORE_DATA943__" hidden="1">#REF!,#REF!,#REF!,#REF!,#REF!,#REF!,#REF!,#REF!,#REF!,#REF!,#REF!,#REF!,#REF!,#REF!,#REF!</definedName>
    <definedName name="__APW_RESTORE_DATA944__" hidden="1">#REF!,#REF!,#REF!,#REF!,#REF!,#REF!,#REF!,#REF!,#REF!</definedName>
    <definedName name="__APW_RESTORE_DATA945__" hidden="1">#REF!,#REF!,#REF!,#REF!,#REF!,#REF!,#REF!,#REF!,#REF!,#REF!,#REF!,#REF!,#REF!,#REF!,#REF!,#REF!,#REF!</definedName>
    <definedName name="__APW_RESTORE_DATA946__" hidden="1">#REF!,#REF!,#REF!,#REF!,#REF!,#REF!,#REF!,#REF!,#REF!,#REF!,#REF!,#REF!,#REF!,#REF!,#REF!,#REF!</definedName>
    <definedName name="__APW_RESTORE_DATA947__" hidden="1">#REF!,#REF!,#REF!,#REF!,#REF!,#REF!,#REF!,#REF!,#REF!,#REF!,#REF!,#REF!,#REF!,#REF!,#REF!,#REF!</definedName>
    <definedName name="__APW_RESTORE_DATA948__" hidden="1">#REF!,#REF!,#REF!,#REF!,#REF!,#REF!,#REF!,#REF!,#REF!,#REF!,#REF!,#REF!,#REF!,#REF!,#REF!,#REF!</definedName>
    <definedName name="__APW_RESTORE_DATA949__" hidden="1">#REF!,#REF!,#REF!,#REF!,#REF!,#REF!,#REF!,#REF!,#REF!,#REF!,#REF!,#REF!,#REF!,#REF!,#REF!,#REF!</definedName>
    <definedName name="__APW_RESTORE_DATA95__" hidden="1">#REF!,#REF!,#REF!,#REF!,#REF!,#REF!</definedName>
    <definedName name="__APW_RESTORE_DATA950__" hidden="1">#REF!,#REF!,#REF!,#REF!,#REF!,#REF!,#REF!,#REF!,#REF!,#REF!,#REF!,#REF!,#REF!,#REF!,#REF!,#REF!</definedName>
    <definedName name="__APW_RESTORE_DATA951__" hidden="1">#REF!,#REF!,#REF!,#REF!,#REF!,#REF!,#REF!,#REF!,#REF!,#REF!,#REF!,#REF!,#REF!,#REF!,#REF!</definedName>
    <definedName name="__APW_RESTORE_DATA952__" hidden="1">#REF!,#REF!,#REF!,#REF!,#REF!,#REF!,#REF!,#REF!,#REF!,#REF!,#REF!,#REF!,#REF!,#REF!,#REF!</definedName>
    <definedName name="__APW_RESTORE_DATA953__" hidden="1">#REF!,#REF!,#REF!,#REF!,#REF!,#REF!,#REF!,#REF!,#REF!,#REF!,#REF!,#REF!,#REF!,#REF!,#REF!</definedName>
    <definedName name="__APW_RESTORE_DATA954__" hidden="1">#REF!,#REF!,#REF!,#REF!,#REF!,#REF!,#REF!,#REF!,#REF!,#REF!,#REF!,#REF!,#REF!,#REF!,#REF!</definedName>
    <definedName name="__APW_RESTORE_DATA955__" hidden="1">#REF!,#REF!,#REF!,#REF!,#REF!,#REF!,#REF!,#REF!,#REF!,#REF!,#REF!,#REF!,#REF!,#REF!,#REF!</definedName>
    <definedName name="__APW_RESTORE_DATA956__" hidden="1">#REF!,#REF!,#REF!,#REF!,#REF!,#REF!,#REF!,#REF!,#REF!,#REF!,#REF!,#REF!,#REF!,#REF!,#REF!</definedName>
    <definedName name="__APW_RESTORE_DATA957__" hidden="1">#REF!,#REF!,#REF!,#REF!,#REF!,#REF!,#REF!,#REF!,#REF!,#REF!,#REF!,#REF!,#REF!,#REF!,#REF!</definedName>
    <definedName name="__APW_RESTORE_DATA958__" hidden="1">#REF!,#REF!,#REF!,#REF!,#REF!,#REF!,#REF!,#REF!,#REF!,#REF!,#REF!,#REF!,#REF!,#REF!,#REF!</definedName>
    <definedName name="__APW_RESTORE_DATA959__" hidden="1">#REF!,#REF!,#REF!,#REF!,#REF!,#REF!,#REF!,#REF!,#REF!</definedName>
    <definedName name="__APW_RESTORE_DATA96__" hidden="1">#REF!,#REF!,#REF!,#REF!,#REF!,#REF!,#REF!,#REF!,#REF!,#REF!,#REF!,#REF!,#REF!,#REF!,#REF!,#REF!,#REF!</definedName>
    <definedName name="__APW_RESTORE_DATA960__" hidden="1">#REF!,#REF!,#REF!,#REF!,#REF!,#REF!,#REF!,#REF!,#REF!,#REF!,#REF!,#REF!,#REF!,#REF!,#REF!,#REF!</definedName>
    <definedName name="__APW_RESTORE_DATA961__" hidden="1">#REF!,#REF!,#REF!,#REF!,#REF!,#REF!,#REF!,#REF!,#REF!,#REF!,#REF!,#REF!,#REF!,#REF!,#REF!</definedName>
    <definedName name="__APW_RESTORE_DATA962__" hidden="1">#REF!,#REF!,#REF!,#REF!,#REF!,#REF!,#REF!,#REF!,#REF!,#REF!,#REF!,#REF!,#REF!,#REF!,#REF!</definedName>
    <definedName name="__APW_RESTORE_DATA963__" hidden="1">#REF!,#REF!,#REF!,#REF!,#REF!,#REF!,#REF!,#REF!,#REF!,#REF!,#REF!,#REF!,#REF!,#REF!,#REF!</definedName>
    <definedName name="__APW_RESTORE_DATA964__" hidden="1">#REF!,#REF!,#REF!,#REF!,#REF!,#REF!,#REF!,#REF!,#REF!,#REF!,#REF!,#REF!,#REF!,#REF!,#REF!</definedName>
    <definedName name="__APW_RESTORE_DATA965__" hidden="1">#REF!,#REF!,#REF!,#REF!,#REF!,#REF!,#REF!,#REF!,#REF!,#REF!,#REF!,#REF!,#REF!,#REF!,#REF!</definedName>
    <definedName name="__APW_RESTORE_DATA966__" hidden="1">#REF!,#REF!,#REF!,#REF!,#REF!,#REF!,#REF!,#REF!,#REF!,#REF!,#REF!,#REF!,#REF!,#REF!,#REF!</definedName>
    <definedName name="__APW_RESTORE_DATA967__" hidden="1">#REF!,#REF!,#REF!,#REF!,#REF!,#REF!,#REF!,#REF!,#REF!,#REF!,#REF!,#REF!,#REF!,#REF!</definedName>
    <definedName name="__APW_RESTORE_DATA968__" hidden="1">#REF!,#REF!,#REF!,#REF!,#REF!,#REF!,#REF!,#REF!,#REF!,#REF!,#REF!,#REF!,#REF!,#REF!</definedName>
    <definedName name="__APW_RESTORE_DATA969__" hidden="1">#REF!,#REF!,#REF!,#REF!,#REF!,#REF!,#REF!,#REF!,#REF!,#REF!,#REF!,#REF!,#REF!,#REF!</definedName>
    <definedName name="__APW_RESTORE_DATA97__" hidden="1">#REF!,#REF!,#REF!,#REF!,#REF!,#REF!,#REF!,#REF!,#REF!,#REF!,#REF!,#REF!,#REF!,#REF!,#REF!,#REF!</definedName>
    <definedName name="__APW_RESTORE_DATA970__" hidden="1">#REF!,#REF!,#REF!,#REF!,#REF!,#REF!,#REF!,#REF!,#REF!,#REF!,#REF!,#REF!,#REF!,#REF!</definedName>
    <definedName name="__APW_RESTORE_DATA971__" hidden="1">#REF!,#REF!,#REF!,#REF!,#REF!,#REF!,#REF!,#REF!,#REF!,#REF!,#REF!,#REF!,#REF!,#REF!</definedName>
    <definedName name="__APW_RESTORE_DATA972__" hidden="1">#REF!,#REF!,#REF!,#REF!,#REF!,#REF!,#REF!,#REF!,#REF!,#REF!,#REF!,#REF!,#REF!,#REF!</definedName>
    <definedName name="__APW_RESTORE_DATA973__" hidden="1">#REF!,#REF!,#REF!,#REF!,#REF!,#REF!,#REF!,#REF!,#REF!,#REF!,#REF!,#REF!,#REF!,#REF!</definedName>
    <definedName name="__APW_RESTORE_DATA974__" hidden="1">#REF!,#REF!,#REF!,#REF!,#REF!,#REF!,#REF!,#REF!,#REF!,#REF!,#REF!,#REF!,#REF!,#REF!</definedName>
    <definedName name="__APW_RESTORE_DATA975__" hidden="1">#REF!,#REF!,#REF!,#REF!,#REF!,#REF!,#REF!,#REF!</definedName>
    <definedName name="__APW_RESTORE_DATA98__" hidden="1">#REF!,#REF!,#REF!,#REF!,#REF!,#REF!,#REF!,#REF!,#REF!,#REF!,#REF!,#REF!,#REF!,#REF!,#REF!,#REF!</definedName>
    <definedName name="__APW_RESTORE_DATA99__" hidden="1">#REF!,#REF!,#REF!,#REF!,#REF!,#REF!,#REF!,#REF!,#REF!,#REF!,#REF!,#REF!,#REF!,#REF!,#REF!,#REF!</definedName>
    <definedName name="__as1" localSheetId="10" hidden="1">{"comp1",#N/A,FALSE,"COMPS";"footnotes",#N/A,FALSE,"COMPS"}</definedName>
    <definedName name="__as1" localSheetId="9" hidden="1">{"comp1",#N/A,FALSE,"COMPS";"footnotes",#N/A,FALSE,"COMPS"}</definedName>
    <definedName name="__as1" hidden="1">{"comp1",#N/A,FALSE,"COMPS";"footnotes",#N/A,FALSE,"COMPS"}</definedName>
    <definedName name="__b111" localSheetId="10" hidden="1">{#N/A,#N/A,FALSE,"Pharm";#N/A,#N/A,FALSE,"WWCM"}</definedName>
    <definedName name="__b111" localSheetId="9" hidden="1">{#N/A,#N/A,FALSE,"Pharm";#N/A,#N/A,FALSE,"WWCM"}</definedName>
    <definedName name="__b111" hidden="1">{#N/A,#N/A,FALSE,"Pharm";#N/A,#N/A,FALSE,"WWCM"}</definedName>
    <definedName name="__B201" localSheetId="10" hidden="1">{#N/A,#N/A,FALSE,"Ocean";#N/A,#N/A,FALSE,"NewYork";#N/A,#N/A,FALSE,"Gateway";#N/A,#N/A,FALSE,"GVH";#N/A,#N/A,FALSE,"GVM";#N/A,#N/A,FALSE,"GVT"}</definedName>
    <definedName name="__B201" localSheetId="9" hidden="1">{#N/A,#N/A,FALSE,"Ocean";#N/A,#N/A,FALSE,"NewYork";#N/A,#N/A,FALSE,"Gateway";#N/A,#N/A,FALSE,"GVH";#N/A,#N/A,FALSE,"GVM";#N/A,#N/A,FALSE,"GVT"}</definedName>
    <definedName name="__B201" hidden="1">{#N/A,#N/A,FALSE,"Ocean";#N/A,#N/A,FALSE,"NewYork";#N/A,#N/A,FALSE,"Gateway";#N/A,#N/A,FALSE,"GVH";#N/A,#N/A,FALSE,"GVM";#N/A,#N/A,FALSE,"GVT"}</definedName>
    <definedName name="__B201_1" localSheetId="10" hidden="1">{#N/A,#N/A,FALSE,"Ocean";#N/A,#N/A,FALSE,"NewYork";#N/A,#N/A,FALSE,"Gateway";#N/A,#N/A,FALSE,"GVH";#N/A,#N/A,FALSE,"GVM";#N/A,#N/A,FALSE,"GVT"}</definedName>
    <definedName name="__B201_1" localSheetId="9" hidden="1">{#N/A,#N/A,FALSE,"Ocean";#N/A,#N/A,FALSE,"NewYork";#N/A,#N/A,FALSE,"Gateway";#N/A,#N/A,FALSE,"GVH";#N/A,#N/A,FALSE,"GVM";#N/A,#N/A,FALSE,"GVT"}</definedName>
    <definedName name="__B201_1" hidden="1">{#N/A,#N/A,FALSE,"Ocean";#N/A,#N/A,FALSE,"NewYork";#N/A,#N/A,FALSE,"Gateway";#N/A,#N/A,FALSE,"GVH";#N/A,#N/A,FALSE,"GVM";#N/A,#N/A,FALSE,"GVT"}</definedName>
    <definedName name="__c" localSheetId="10" hidden="1">{"Fiesta Facer Page",#N/A,FALSE,"Q_C_S";"Fiesta Main Page",#N/A,FALSE,"V_L";"Fiesta 95BP Struct",#N/A,FALSE,"StructBP";"Fiesta Post 95BP Struct",#N/A,FALSE,"AdjStructBP"}</definedName>
    <definedName name="__c" localSheetId="9" hidden="1">{"Fiesta Facer Page",#N/A,FALSE,"Q_C_S";"Fiesta Main Page",#N/A,FALSE,"V_L";"Fiesta 95BP Struct",#N/A,FALSE,"StructBP";"Fiesta Post 95BP Struct",#N/A,FALSE,"AdjStructBP"}</definedName>
    <definedName name="__c" hidden="1">{"Fiesta Facer Page",#N/A,FALSE,"Q_C_S";"Fiesta Main Page",#N/A,FALSE,"V_L";"Fiesta 95BP Struct",#N/A,FALSE,"StructBP";"Fiesta Post 95BP Struct",#N/A,FALSE,"AdjStructBP"}</definedName>
    <definedName name="__Das09" localSheetId="10" hidden="1">{"china1",#N/A,FALSE,"輸format_Asia";"China2",#N/A,FALSE,"輸format_Asia";"Hongkong1",#N/A,FALSE,"輸format_Asia";"indonesia",#N/A,FALSE,"輸format_Asia";"indonesia2",#N/A,FALSE,"輸format_Asia";"Philippines2",#N/A,FALSE,"輸format_Asia";"philippines3",#N/A,FALSE,"輸format_Asia";"Phillipppines",#N/A,FALSE,"輸format_Asia";"taiwan",#N/A,FALSE,"輸format_Asia";"taiwan2",#N/A,FALSE,"輸format_Asia";"thailand",#N/A,FALSE,"輸format_Asia";"thailand2",#N/A,FALSE,"輸format_Asia"}</definedName>
    <definedName name="__Das09" localSheetId="9" hidden="1">{"china1",#N/A,FALSE,"輸format_Asia";"China2",#N/A,FALSE,"輸format_Asia";"Hongkong1",#N/A,FALSE,"輸format_Asia";"indonesia",#N/A,FALSE,"輸format_Asia";"indonesia2",#N/A,FALSE,"輸format_Asia";"Philippines2",#N/A,FALSE,"輸format_Asia";"philippines3",#N/A,FALSE,"輸format_Asia";"Phillipppines",#N/A,FALSE,"輸format_Asia";"taiwan",#N/A,FALSE,"輸format_Asia";"taiwan2",#N/A,FALSE,"輸format_Asia";"thailand",#N/A,FALSE,"輸format_Asia";"thailand2",#N/A,FALSE,"輸format_Asia"}</definedName>
    <definedName name="__Das09" hidden="1">{"china1",#N/A,FALSE,"輸format_Asia";"China2",#N/A,FALSE,"輸format_Asia";"Hongkong1",#N/A,FALSE,"輸format_Asia";"indonesia",#N/A,FALSE,"輸format_Asia";"indonesia2",#N/A,FALSE,"輸format_Asia";"Philippines2",#N/A,FALSE,"輸format_Asia";"philippines3",#N/A,FALSE,"輸format_Asia";"Phillipppines",#N/A,FALSE,"輸format_Asia";"taiwan",#N/A,FALSE,"輸format_Asia";"taiwan2",#N/A,FALSE,"輸format_Asia";"thailand",#N/A,FALSE,"輸format_Asia";"thailand2",#N/A,FALSE,"輸format_Asia"}</definedName>
    <definedName name="__f1" localSheetId="10" hidden="1">{"assumption cash",#N/A,TRUE,"Merger";"has gets cash",#N/A,TRUE,"Merger";"accretion dilution",#N/A,TRUE,"Merger";"comparison credit stats",#N/A,TRUE,"Merger";"pf credit stats",#N/A,TRUE,"Merger";"pf sheets",#N/A,TRUE,"Merger"}</definedName>
    <definedName name="__f1" localSheetId="9" hidden="1">{"assumption cash",#N/A,TRUE,"Merger";"has gets cash",#N/A,TRUE,"Merger";"accretion dilution",#N/A,TRUE,"Merger";"comparison credit stats",#N/A,TRUE,"Merger";"pf credit stats",#N/A,TRUE,"Merger";"pf sheets",#N/A,TRUE,"Merger"}</definedName>
    <definedName name="__f1" hidden="1">{"assumption cash",#N/A,TRUE,"Merger";"has gets cash",#N/A,TRUE,"Merger";"accretion dilution",#N/A,TRUE,"Merger";"comparison credit stats",#N/A,TRUE,"Merger";"pf credit stats",#N/A,TRUE,"Merger";"pf sheets",#N/A,TRUE,"Merger"}</definedName>
    <definedName name="__f3" localSheetId="1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f3" localSheetId="9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f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f3_1" localSheetId="1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f3_1" localSheetId="9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f3_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FDS_HYPERLINK_TOGGLE_STATE__" hidden="1">"ON"</definedName>
    <definedName name="__FDS_UNIQUE_RANGE_ID_GENERATOR_COUNTER" hidden="1">1</definedName>
    <definedName name="__FDS_USED_FOR_REUSING_RANGE_IDS_RECYCLE" localSheetId="10" hidden="1">{152,168,338,189,173,195,158,390,7,11,232,378,159,175,261,183,177,129,8,155,265,394,57}</definedName>
    <definedName name="__FDS_USED_FOR_REUSING_RANGE_IDS_RECYCLE" localSheetId="9" hidden="1">{152,168,338,189,173,195,158,390,7,11,232,378,159,175,261,183,177,129,8,155,265,394,57}</definedName>
    <definedName name="__FDS_USED_FOR_REUSING_RANGE_IDS_RECYCLE" hidden="1">{152,168,338,189,173,195,158,390,7,11,232,378,159,175,261,183,177,129,8,155,265,394,57}</definedName>
    <definedName name="__FDS_USED_FOR_REUSING_RANGE_IDS_RECYCLE_1" localSheetId="10" hidden="1">{152,168,338,189,173,195,158,390,7,11,232,378,159,175,261,183,177,129,8,155,265,394,57}</definedName>
    <definedName name="__FDS_USED_FOR_REUSING_RANGE_IDS_RECYCLE_1" localSheetId="9" hidden="1">{152,168,338,189,173,195,158,390,7,11,232,378,159,175,261,183,177,129,8,155,265,394,57}</definedName>
    <definedName name="__FDS_USED_FOR_REUSING_RANGE_IDS_RECYCLE_1" hidden="1">{152,168,338,189,173,195,158,390,7,11,232,378,159,175,261,183,177,129,8,155,265,394,57}</definedName>
    <definedName name="__FG5" localSheetId="10" hidden="1">{"cashflow",#N/A,FALSE,"cash flow"}</definedName>
    <definedName name="__FG5" localSheetId="9" hidden="1">{"cashflow",#N/A,FALSE,"cash flow"}</definedName>
    <definedName name="__FG5" hidden="1">{"cashflow",#N/A,FALSE,"cash flow"}</definedName>
    <definedName name="__G300" hidden="1">#REF!</definedName>
    <definedName name="__hk1" hidden="1">#REF!</definedName>
    <definedName name="__ik1" localSheetId="10" hidden="1">{"casespecific",#N/A,FALSE,"Assumptions"}</definedName>
    <definedName name="__ik1" localSheetId="9" hidden="1">{"casespecific",#N/A,FALSE,"Assumptions"}</definedName>
    <definedName name="__ik1" hidden="1">{"casespecific",#N/A,FALSE,"Assumptions"}</definedName>
    <definedName name="__IntlFixup" hidden="1">TRUE</definedName>
    <definedName name="__jyr6" localSheetId="1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jyr6" localSheetId="9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key2" hidden="1">#REF!</definedName>
    <definedName name="__KO2" hidden="1">#REF!</definedName>
    <definedName name="__LF12" hidden="1">#REF!</definedName>
    <definedName name="__LG2" localSheetId="10" hidden="1">{#N/A,#N/A,TRUE,"매출진척-1";#N/A,#N/A,TRUE,"매출진척-2";#N/A,#N/A,TRUE,"제품실적";#N/A,#N/A,TRUE,"RAC";#N/A,#N/A,TRUE,"PAC ";#N/A,#N/A,TRUE,"재고현황";#N/A,#N/A,TRUE,"공지사항"}</definedName>
    <definedName name="__LG2" localSheetId="9" hidden="1">{#N/A,#N/A,TRUE,"매출진척-1";#N/A,#N/A,TRUE,"매출진척-2";#N/A,#N/A,TRUE,"제품실적";#N/A,#N/A,TRUE,"RAC";#N/A,#N/A,TRUE,"PAC ";#N/A,#N/A,TRUE,"재고현황";#N/A,#N/A,TRUE,"공지사항"}</definedName>
    <definedName name="__LG2" hidden="1">{#N/A,#N/A,TRUE,"매출진척-1";#N/A,#N/A,TRUE,"매출진척-2";#N/A,#N/A,TRUE,"제품실적";#N/A,#N/A,TRUE,"RAC";#N/A,#N/A,TRUE,"PAC ";#N/A,#N/A,TRUE,"재고현황";#N/A,#N/A,TRUE,"공지사항"}</definedName>
    <definedName name="__LG2_1" localSheetId="10" hidden="1">{#N/A,#N/A,TRUE,"매출진척-1";#N/A,#N/A,TRUE,"매출진척-2";#N/A,#N/A,TRUE,"제품실적";#N/A,#N/A,TRUE,"RAC";#N/A,#N/A,TRUE,"PAC ";#N/A,#N/A,TRUE,"재고현황";#N/A,#N/A,TRUE,"공지사항"}</definedName>
    <definedName name="__LG2_1" localSheetId="9" hidden="1">{#N/A,#N/A,TRUE,"매출진척-1";#N/A,#N/A,TRUE,"매출진척-2";#N/A,#N/A,TRUE,"제품실적";#N/A,#N/A,TRUE,"RAC";#N/A,#N/A,TRUE,"PAC ";#N/A,#N/A,TRUE,"재고현황";#N/A,#N/A,TRUE,"공지사항"}</definedName>
    <definedName name="__LG2_1" hidden="1">{#N/A,#N/A,TRUE,"매출진척-1";#N/A,#N/A,TRUE,"매출진척-2";#N/A,#N/A,TRUE,"제품실적";#N/A,#N/A,TRUE,"RAC";#N/A,#N/A,TRUE,"PAC ";#N/A,#N/A,TRUE,"재고현황";#N/A,#N/A,TRUE,"공지사항"}</definedName>
    <definedName name="__new1" localSheetId="10" hidden="1">{#N/A,#N/A,FALSE,"Pharm";#N/A,#N/A,FALSE,"WWCM"}</definedName>
    <definedName name="__new1" localSheetId="9" hidden="1">{#N/A,#N/A,FALSE,"Pharm";#N/A,#N/A,FALSE,"WWCM"}</definedName>
    <definedName name="__new1" hidden="1">{#N/A,#N/A,FALSE,"Pharm";#N/A,#N/A,FALSE,"WWCM"}</definedName>
    <definedName name="__o2" hidden="1">#REF!</definedName>
    <definedName name="__p1" localSheetId="9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__p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__r" hidden="1">"Formula removed, name can be deleted."</definedName>
    <definedName name="__s1" localSheetId="10" hidden="1">{#N/A,#N/A,FALSE,"UNIT";#N/A,#N/A,FALSE,"UNIT";#N/A,#N/A,FALSE,"계정"}</definedName>
    <definedName name="__s1" localSheetId="9" hidden="1">{#N/A,#N/A,FALSE,"UNIT";#N/A,#N/A,FALSE,"UNIT";#N/A,#N/A,FALSE,"계정"}</definedName>
    <definedName name="__s1" hidden="1">{#N/A,#N/A,FALSE,"UNIT";#N/A,#N/A,FALSE,"UNIT";#N/A,#N/A,FALSE,"계정"}</definedName>
    <definedName name="__s10" localSheetId="10" hidden="1">{#N/A,#N/A,FALSE,"UNIT";#N/A,#N/A,FALSE,"UNIT";#N/A,#N/A,FALSE,"계정"}</definedName>
    <definedName name="__s10" localSheetId="9" hidden="1">{#N/A,#N/A,FALSE,"UNIT";#N/A,#N/A,FALSE,"UNIT";#N/A,#N/A,FALSE,"계정"}</definedName>
    <definedName name="__s10" hidden="1">{#N/A,#N/A,FALSE,"UNIT";#N/A,#N/A,FALSE,"UNIT";#N/A,#N/A,FALSE,"계정"}</definedName>
    <definedName name="__s11" localSheetId="10" hidden="1">{#N/A,#N/A,FALSE,"UNIT";#N/A,#N/A,FALSE,"UNIT";#N/A,#N/A,FALSE,"계정"}</definedName>
    <definedName name="__s11" localSheetId="9" hidden="1">{#N/A,#N/A,FALSE,"UNIT";#N/A,#N/A,FALSE,"UNIT";#N/A,#N/A,FALSE,"계정"}</definedName>
    <definedName name="__s11" hidden="1">{#N/A,#N/A,FALSE,"UNIT";#N/A,#N/A,FALSE,"UNIT";#N/A,#N/A,FALSE,"계정"}</definedName>
    <definedName name="__s12" localSheetId="10" hidden="1">{#N/A,#N/A,FALSE,"UNIT";#N/A,#N/A,FALSE,"UNIT";#N/A,#N/A,FALSE,"계정"}</definedName>
    <definedName name="__s12" localSheetId="9" hidden="1">{#N/A,#N/A,FALSE,"UNIT";#N/A,#N/A,FALSE,"UNIT";#N/A,#N/A,FALSE,"계정"}</definedName>
    <definedName name="__s12" hidden="1">{#N/A,#N/A,FALSE,"UNIT";#N/A,#N/A,FALSE,"UNIT";#N/A,#N/A,FALSE,"계정"}</definedName>
    <definedName name="__s13" localSheetId="10" hidden="1">{#N/A,#N/A,FALSE,"UNIT";#N/A,#N/A,FALSE,"UNIT";#N/A,#N/A,FALSE,"계정"}</definedName>
    <definedName name="__s13" localSheetId="9" hidden="1">{#N/A,#N/A,FALSE,"UNIT";#N/A,#N/A,FALSE,"UNIT";#N/A,#N/A,FALSE,"계정"}</definedName>
    <definedName name="__s13" hidden="1">{#N/A,#N/A,FALSE,"UNIT";#N/A,#N/A,FALSE,"UNIT";#N/A,#N/A,FALSE,"계정"}</definedName>
    <definedName name="__s14" localSheetId="10" hidden="1">{#N/A,#N/A,FALSE,"UNIT";#N/A,#N/A,FALSE,"UNIT";#N/A,#N/A,FALSE,"계정"}</definedName>
    <definedName name="__s14" localSheetId="9" hidden="1">{#N/A,#N/A,FALSE,"UNIT";#N/A,#N/A,FALSE,"UNIT";#N/A,#N/A,FALSE,"계정"}</definedName>
    <definedName name="__s14" hidden="1">{#N/A,#N/A,FALSE,"UNIT";#N/A,#N/A,FALSE,"UNIT";#N/A,#N/A,FALSE,"계정"}</definedName>
    <definedName name="__s16" localSheetId="10" hidden="1">{#N/A,#N/A,FALSE,"UNIT";#N/A,#N/A,FALSE,"UNIT";#N/A,#N/A,FALSE,"계정"}</definedName>
    <definedName name="__s16" localSheetId="9" hidden="1">{#N/A,#N/A,FALSE,"UNIT";#N/A,#N/A,FALSE,"UNIT";#N/A,#N/A,FALSE,"계정"}</definedName>
    <definedName name="__s16" hidden="1">{#N/A,#N/A,FALSE,"UNIT";#N/A,#N/A,FALSE,"UNIT";#N/A,#N/A,FALSE,"계정"}</definedName>
    <definedName name="__s17" localSheetId="10" hidden="1">{#N/A,#N/A,FALSE,"UNIT";#N/A,#N/A,FALSE,"UNIT";#N/A,#N/A,FALSE,"계정"}</definedName>
    <definedName name="__s17" localSheetId="9" hidden="1">{#N/A,#N/A,FALSE,"UNIT";#N/A,#N/A,FALSE,"UNIT";#N/A,#N/A,FALSE,"계정"}</definedName>
    <definedName name="__s17" hidden="1">{#N/A,#N/A,FALSE,"UNIT";#N/A,#N/A,FALSE,"UNIT";#N/A,#N/A,FALSE,"계정"}</definedName>
    <definedName name="__s2" localSheetId="10" hidden="1">{#N/A,#N/A,FALSE,"UNIT";#N/A,#N/A,FALSE,"UNIT";#N/A,#N/A,FALSE,"계정"}</definedName>
    <definedName name="__s2" localSheetId="9" hidden="1">{#N/A,#N/A,FALSE,"UNIT";#N/A,#N/A,FALSE,"UNIT";#N/A,#N/A,FALSE,"계정"}</definedName>
    <definedName name="__s2" hidden="1">{#N/A,#N/A,FALSE,"UNIT";#N/A,#N/A,FALSE,"UNIT";#N/A,#N/A,FALSE,"계정"}</definedName>
    <definedName name="__s3" localSheetId="10" hidden="1">{#N/A,#N/A,FALSE,"UNIT";#N/A,#N/A,FALSE,"UNIT";#N/A,#N/A,FALSE,"계정"}</definedName>
    <definedName name="__s3" localSheetId="9" hidden="1">{#N/A,#N/A,FALSE,"UNIT";#N/A,#N/A,FALSE,"UNIT";#N/A,#N/A,FALSE,"계정"}</definedName>
    <definedName name="__s3" hidden="1">{#N/A,#N/A,FALSE,"UNIT";#N/A,#N/A,FALSE,"UNIT";#N/A,#N/A,FALSE,"계정"}</definedName>
    <definedName name="__s4" localSheetId="10" hidden="1">{#N/A,#N/A,FALSE,"UNIT";#N/A,#N/A,FALSE,"UNIT";#N/A,#N/A,FALSE,"계정"}</definedName>
    <definedName name="__s4" localSheetId="9" hidden="1">{#N/A,#N/A,FALSE,"UNIT";#N/A,#N/A,FALSE,"UNIT";#N/A,#N/A,FALSE,"계정"}</definedName>
    <definedName name="__s4" hidden="1">{#N/A,#N/A,FALSE,"UNIT";#N/A,#N/A,FALSE,"UNIT";#N/A,#N/A,FALSE,"계정"}</definedName>
    <definedName name="__s5" localSheetId="10" hidden="1">{#N/A,#N/A,FALSE,"UNIT";#N/A,#N/A,FALSE,"UNIT";#N/A,#N/A,FALSE,"계정"}</definedName>
    <definedName name="__s5" localSheetId="9" hidden="1">{#N/A,#N/A,FALSE,"UNIT";#N/A,#N/A,FALSE,"UNIT";#N/A,#N/A,FALSE,"계정"}</definedName>
    <definedName name="__s5" hidden="1">{#N/A,#N/A,FALSE,"UNIT";#N/A,#N/A,FALSE,"UNIT";#N/A,#N/A,FALSE,"계정"}</definedName>
    <definedName name="__s6" localSheetId="10" hidden="1">{#N/A,#N/A,FALSE,"UNIT";#N/A,#N/A,FALSE,"UNIT";#N/A,#N/A,FALSE,"계정"}</definedName>
    <definedName name="__s6" localSheetId="9" hidden="1">{#N/A,#N/A,FALSE,"UNIT";#N/A,#N/A,FALSE,"UNIT";#N/A,#N/A,FALSE,"계정"}</definedName>
    <definedName name="__s6" hidden="1">{#N/A,#N/A,FALSE,"UNIT";#N/A,#N/A,FALSE,"UNIT";#N/A,#N/A,FALSE,"계정"}</definedName>
    <definedName name="__s9" localSheetId="10" hidden="1">{#N/A,#N/A,FALSE,"UNIT";#N/A,#N/A,FALSE,"UNIT";#N/A,#N/A,FALSE,"계정"}</definedName>
    <definedName name="__s9" localSheetId="9" hidden="1">{#N/A,#N/A,FALSE,"UNIT";#N/A,#N/A,FALSE,"UNIT";#N/A,#N/A,FALSE,"계정"}</definedName>
    <definedName name="__s9" hidden="1">{#N/A,#N/A,FALSE,"UNIT";#N/A,#N/A,FALSE,"UNIT";#N/A,#N/A,FALSE,"계정"}</definedName>
    <definedName name="__SUM1" localSheetId="10" hidden="1">{#N/A,#N/A,FALSE,"단축1";#N/A,#N/A,FALSE,"단축2";#N/A,#N/A,FALSE,"단축3";#N/A,#N/A,FALSE,"장축";#N/A,#N/A,FALSE,"4WD"}</definedName>
    <definedName name="__SUM1" localSheetId="9" hidden="1">{#N/A,#N/A,FALSE,"단축1";#N/A,#N/A,FALSE,"단축2";#N/A,#N/A,FALSE,"단축3";#N/A,#N/A,FALSE,"장축";#N/A,#N/A,FALSE,"4WD"}</definedName>
    <definedName name="__SUM1" hidden="1">{#N/A,#N/A,FALSE,"단축1";#N/A,#N/A,FALSE,"단축2";#N/A,#N/A,FALSE,"단축3";#N/A,#N/A,FALSE,"장축";#N/A,#N/A,FALSE,"4WD"}</definedName>
    <definedName name="__t9" localSheetId="10" hidden="1">{#N/A,#N/A,FALSE,"UNIT";#N/A,#N/A,FALSE,"UNIT";#N/A,#N/A,FALSE,"계정"}</definedName>
    <definedName name="__t9" localSheetId="9" hidden="1">{#N/A,#N/A,FALSE,"UNIT";#N/A,#N/A,FALSE,"UNIT";#N/A,#N/A,FALSE,"계정"}</definedName>
    <definedName name="__t9" hidden="1">{#N/A,#N/A,FALSE,"UNIT";#N/A,#N/A,FALSE,"UNIT";#N/A,#N/A,FALSE,"계정"}</definedName>
    <definedName name="__t9_1" localSheetId="10" hidden="1">{#N/A,#N/A,FALSE,"UNIT";#N/A,#N/A,FALSE,"UNIT";#N/A,#N/A,FALSE,"계정"}</definedName>
    <definedName name="__t9_1" localSheetId="9" hidden="1">{#N/A,#N/A,FALSE,"UNIT";#N/A,#N/A,FALSE,"UNIT";#N/A,#N/A,FALSE,"계정"}</definedName>
    <definedName name="__t9_1" hidden="1">{#N/A,#N/A,FALSE,"UNIT";#N/A,#N/A,FALSE,"UNIT";#N/A,#N/A,FALSE,"계정"}</definedName>
    <definedName name="__tm1" localSheetId="10" hidden="1">{#N/A,#N/A,FALSE,"Pharm";#N/A,#N/A,FALSE,"WWCM"}</definedName>
    <definedName name="__tm1" localSheetId="9" hidden="1">{#N/A,#N/A,FALSE,"Pharm";#N/A,#N/A,FALSE,"WWCM"}</definedName>
    <definedName name="__tm1" hidden="1">{#N/A,#N/A,FALSE,"Pharm";#N/A,#N/A,FALSE,"WWCM"}</definedName>
    <definedName name="__TT20" localSheetId="10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TT20" localSheetId="9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TT20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TT20_1" localSheetId="10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TT20_1" localSheetId="9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TT20_1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_wpl2" localSheetId="10" hidden="1">{#N/A,#N/A,FALSE,"Aging Summary";#N/A,#N/A,FALSE,"Ratio Analysis";#N/A,#N/A,FALSE,"Test 120 Day Accts";#N/A,#N/A,FALSE,"Tickmarks"}</definedName>
    <definedName name="__wpl2" localSheetId="9" hidden="1">{#N/A,#N/A,FALSE,"Aging Summary";#N/A,#N/A,FALSE,"Ratio Analysis";#N/A,#N/A,FALSE,"Test 120 Day Accts";#N/A,#N/A,FALSE,"Tickmarks"}</definedName>
    <definedName name="__wpl2" hidden="1">{#N/A,#N/A,FALSE,"Aging Summary";#N/A,#N/A,FALSE,"Ratio Analysis";#N/A,#N/A,FALSE,"Test 120 Day Accts";#N/A,#N/A,FALSE,"Tickmarks"}</definedName>
    <definedName name="__X2" localSheetId="10" hidden="1">{#N/A,#N/A,FALSE,"Other";#N/A,#N/A,FALSE,"Ace";#N/A,#N/A,FALSE,"Derm"}</definedName>
    <definedName name="__X2" localSheetId="9" hidden="1">{#N/A,#N/A,FALSE,"Other";#N/A,#N/A,FALSE,"Ace";#N/A,#N/A,FALSE,"Derm"}</definedName>
    <definedName name="__X2" hidden="1">{#N/A,#N/A,FALSE,"Other";#N/A,#N/A,FALSE,"Ace";#N/A,#N/A,FALSE,"Derm"}</definedName>
    <definedName name="__ZF12" hidden="1">#REF!</definedName>
    <definedName name="_1__123Graph_ACHART_1" hidden="1">#REF!</definedName>
    <definedName name="_1__123Graph_AChart_1A" hidden="1">#N/A</definedName>
    <definedName name="_1__123Graph_AT_OVER" hidden="1">#REF!</definedName>
    <definedName name="_1__FDSAUDITLINK__" localSheetId="10" hidden="1">{"fdsup://directions/FAT Viewer?action=UPDATE&amp;creator=factset&amp;DYN_ARGS=TRUE&amp;DOC_NAME=FAT:FQL_AUDITING_CLIENT_TEMPLATE.FAT&amp;display_string=Audit&amp;VAR:KEY=FYLSDIFIHM&amp;VAR:QUERY=RkZfQlBTX1RBTkcoQU5OLDQwMzI2KQ==&amp;WINDOW=FIRST_POPUP&amp;HEIGHT=450&amp;WIDTH=450&amp;START_MAXIMI","ZED=FALSE&amp;VAR:CALENDAR=US&amp;VAR:SYMBOL=IRF&amp;VAR:INDEX=0"}</definedName>
    <definedName name="_1__FDSAUDITLINK__" localSheetId="9" hidden="1">{"fdsup://directions/FAT Viewer?action=UPDATE&amp;creator=factset&amp;DYN_ARGS=TRUE&amp;DOC_NAME=FAT:FQL_AUDITING_CLIENT_TEMPLATE.FAT&amp;display_string=Audit&amp;VAR:KEY=FYLSDIFIHM&amp;VAR:QUERY=RkZfQlBTX1RBTkcoQU5OLDQwMzI2KQ==&amp;WINDOW=FIRST_POPUP&amp;HEIGHT=450&amp;WIDTH=450&amp;START_MAXIMI","ZED=FALSE&amp;VAR:CALENDAR=US&amp;VAR:SYMBOL=IRF&amp;VAR:INDEX=0"}</definedName>
    <definedName name="_1__FDSAUDITLINK__" hidden="1">{"fdsup://directions/FAT Viewer?action=UPDATE&amp;creator=factset&amp;DYN_ARGS=TRUE&amp;DOC_NAME=FAT:FQL_AUDITING_CLIENT_TEMPLATE.FAT&amp;display_string=Audit&amp;VAR:KEY=FYLSDIFIHM&amp;VAR:QUERY=RkZfQlBTX1RBTkcoQU5OLDQwMzI2KQ==&amp;WINDOW=FIRST_POPUP&amp;HEIGHT=450&amp;WIDTH=450&amp;START_MAXIMI","ZED=FALSE&amp;VAR:CALENDAR=US&amp;VAR:SYMBOL=IRF&amp;VAR:INDEX=0"}</definedName>
    <definedName name="_1__FDSAUDITLINK___1" localSheetId="10" hidden="1">{"fdsup://directions/FAT Viewer?action=UPDATE&amp;creator=factset&amp;DYN_ARGS=TRUE&amp;DOC_NAME=FAT:FQL_AUDITING_CLIENT_TEMPLATE.FAT&amp;display_string=Audit&amp;VAR:KEY=FYLSDIFIHM&amp;VAR:QUERY=RkZfQlBTX1RBTkcoQU5OLDQwMzI2KQ==&amp;WINDOW=FIRST_POPUP&amp;HEIGHT=450&amp;WIDTH=450&amp;START_MAXIMI","ZED=FALSE&amp;VAR:CALENDAR=US&amp;VAR:SYMBOL=IRF&amp;VAR:INDEX=0"}</definedName>
    <definedName name="_1__FDSAUDITLINK___1" localSheetId="9" hidden="1">{"fdsup://directions/FAT Viewer?action=UPDATE&amp;creator=factset&amp;DYN_ARGS=TRUE&amp;DOC_NAME=FAT:FQL_AUDITING_CLIENT_TEMPLATE.FAT&amp;display_string=Audit&amp;VAR:KEY=FYLSDIFIHM&amp;VAR:QUERY=RkZfQlBTX1RBTkcoQU5OLDQwMzI2KQ==&amp;WINDOW=FIRST_POPUP&amp;HEIGHT=450&amp;WIDTH=450&amp;START_MAXIMI","ZED=FALSE&amp;VAR:CALENDAR=US&amp;VAR:SYMBOL=IRF&amp;VAR:INDEX=0"}</definedName>
    <definedName name="_1__FDSAUDITLINK___1" hidden="1">{"fdsup://directions/FAT Viewer?action=UPDATE&amp;creator=factset&amp;DYN_ARGS=TRUE&amp;DOC_NAME=FAT:FQL_AUDITING_CLIENT_TEMPLATE.FAT&amp;display_string=Audit&amp;VAR:KEY=FYLSDIFIHM&amp;VAR:QUERY=RkZfQlBTX1RBTkcoQU5OLDQwMzI2KQ==&amp;WINDOW=FIRST_POPUP&amp;HEIGHT=450&amp;WIDTH=450&amp;START_MAXIMI","ZED=FALSE&amp;VAR:CALENDAR=US&amp;VAR:SYMBOL=IRF&amp;VAR:INDEX=0"}</definedName>
    <definedName name="_1_0_0_K" hidden="1">#REF!</definedName>
    <definedName name="_10__123Graph_DT_OVER" hidden="1">#REF!</definedName>
    <definedName name="_10__FDSAUDITLINK__" localSheetId="10" hidden="1">{"fdsup://IBCentral/FAT Viewer?action=UPDATE&amp;creator=factset&amp;DOC_NAME=fat:reuters_qtrly_source_window.fat&amp;display_string=Audit&amp;DYN_ARGS=TRUE&amp;VAR:ID1=50064W10&amp;VAR:RCODE=SCSI&amp;VAR:SDATE=20080399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0__FDSAUDITLINK__" localSheetId="9" hidden="1">{"fdsup://IBCentral/FAT Viewer?action=UPDATE&amp;creator=factset&amp;DOC_NAME=fat:reuters_qtrly_source_window.fat&amp;display_string=Audit&amp;DYN_ARGS=TRUE&amp;VAR:ID1=50064W10&amp;VAR:RCODE=SCSI&amp;VAR:SDATE=20080399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0__FDSAUDITLINK__" hidden="1">{"fdsup://IBCentral/FAT Viewer?action=UPDATE&amp;creator=factset&amp;DOC_NAME=fat:reuters_qtrly_source_window.fat&amp;display_string=Audit&amp;DYN_ARGS=TRUE&amp;VAR:ID1=50064W10&amp;VAR:RCODE=SCSI&amp;VAR:SDATE=20080399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0_0_0_S" hidden="1">#REF!</definedName>
    <definedName name="_100__FDSAUDITLINK__" localSheetId="10" hidden="1">{"fdsup://IBCentral/FAT Viewer?action=UPDATE&amp;creator=factset&amp;DOC_NAME=fat:reuters_annual_source_window.fat&amp;display_string=Audit&amp;DYN_ARGS=TRUE&amp;VAR:ID1=15102010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00__FDSAUDITLINK__" localSheetId="9" hidden="1">{"fdsup://IBCentral/FAT Viewer?action=UPDATE&amp;creator=factset&amp;DOC_NAME=fat:reuters_annual_source_window.fat&amp;display_string=Audit&amp;DYN_ARGS=TRUE&amp;VAR:ID1=15102010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00__FDSAUDITLINK__" hidden="1">{"fdsup://IBCentral/FAT Viewer?action=UPDATE&amp;creator=factset&amp;DOC_NAME=fat:reuters_annual_source_window.fat&amp;display_string=Audit&amp;DYN_ARGS=TRUE&amp;VAR:ID1=15102010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01__FDSAUDITLINK__" localSheetId="10" hidden="1">{"fdsup://IBCentral/FAT Viewer?action=UPDATE&amp;creator=factset&amp;DOC_NAME=fat:reuters_annual_source_window.fat&amp;display_string=Audit&amp;DYN_ARGS=TRUE&amp;VAR:ID1=15102010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101__FDSAUDITLINK__" localSheetId="9" hidden="1">{"fdsup://IBCentral/FAT Viewer?action=UPDATE&amp;creator=factset&amp;DOC_NAME=fat:reuters_annual_source_window.fat&amp;display_string=Audit&amp;DYN_ARGS=TRUE&amp;VAR:ID1=15102010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101__FDSAUDITLINK__" hidden="1">{"fdsup://IBCentral/FAT Viewer?action=UPDATE&amp;creator=factset&amp;DOC_NAME=fat:reuters_annual_source_window.fat&amp;display_string=Audit&amp;DYN_ARGS=TRUE&amp;VAR:ID1=15102010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102__FDSAUDITLINK__" localSheetId="10" hidden="1">{"fdsup://IBCentral/FAT Viewer?action=UPDATE&amp;creator=factset&amp;DOC_NAME=fat:reuters_annual_source_window.fat&amp;display_string=Audit&amp;DYN_ARGS=TRUE&amp;VAR:ID1=09062X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102__FDSAUDITLINK__" localSheetId="9" hidden="1">{"fdsup://IBCentral/FAT Viewer?action=UPDATE&amp;creator=factset&amp;DOC_NAME=fat:reuters_annual_source_window.fat&amp;display_string=Audit&amp;DYN_ARGS=TRUE&amp;VAR:ID1=09062X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102__FDSAUDITLINK__" hidden="1">{"fdsup://IBCentral/FAT Viewer?action=UPDATE&amp;creator=factset&amp;DOC_NAME=fat:reuters_annual_source_window.fat&amp;display_string=Audit&amp;DYN_ARGS=TRUE&amp;VAR:ID1=09062X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103__FDSAUDITLINK__" localSheetId="10" hidden="1">{"fdsup://directions/FAT Viewer?action=UPDATE&amp;creator=factset&amp;DYN_ARGS=TRUE&amp;DOC_NAME=FAT:FQL_AUDITING_CLIENT_TEMPLATE.FAT&amp;display_string=Audit&amp;VAR:KEY=NYZOXGHULC&amp;VAR:QUERY=RkZfTUtUX1ZBTChBTk4sNDA4NDcsLCwsVVNEKQ==&amp;WINDOW=FIRST_POPUP&amp;HEIGHT=450&amp;WIDTH=450&amp;STAR","T_MAXIMIZED=FALSE&amp;VAR:CALENDAR=US&amp;VAR:SYMBOL=651702&amp;VAR:INDEX=0"}</definedName>
    <definedName name="_103__FDSAUDITLINK__" localSheetId="9" hidden="1">{"fdsup://directions/FAT Viewer?action=UPDATE&amp;creator=factset&amp;DYN_ARGS=TRUE&amp;DOC_NAME=FAT:FQL_AUDITING_CLIENT_TEMPLATE.FAT&amp;display_string=Audit&amp;VAR:KEY=NYZOXGHULC&amp;VAR:QUERY=RkZfTUtUX1ZBTChBTk4sNDA4NDcsLCwsVVNEKQ==&amp;WINDOW=FIRST_POPUP&amp;HEIGHT=450&amp;WIDTH=450&amp;STAR","T_MAXIMIZED=FALSE&amp;VAR:CALENDAR=US&amp;VAR:SYMBOL=651702&amp;VAR:INDEX=0"}</definedName>
    <definedName name="_103__FDSAUDITLINK__" hidden="1">{"fdsup://directions/FAT Viewer?action=UPDATE&amp;creator=factset&amp;DYN_ARGS=TRUE&amp;DOC_NAME=FAT:FQL_AUDITING_CLIENT_TEMPLATE.FAT&amp;display_string=Audit&amp;VAR:KEY=NYZOXGHULC&amp;VAR:QUERY=RkZfTUtUX1ZBTChBTk4sNDA4NDcsLCwsVVNEKQ==&amp;WINDOW=FIRST_POPUP&amp;HEIGHT=450&amp;WIDTH=450&amp;STAR","T_MAXIMIZED=FALSE&amp;VAR:CALENDAR=US&amp;VAR:SYMBOL=651702&amp;VAR:INDEX=0"}</definedName>
    <definedName name="_104__FDSAUDITLINK__" localSheetId="10" hidden="1">{"fdsup://IBCentral/FAT Viewer?action=UPDATE&amp;creator=factset&amp;DOC_NAME=fat:reuters_annual_source_window.fat&amp;display_string=Audit&amp;DYN_ARGS=TRUE&amp;VAR:ID1=09062X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104__FDSAUDITLINK__" localSheetId="9" hidden="1">{"fdsup://IBCentral/FAT Viewer?action=UPDATE&amp;creator=factset&amp;DOC_NAME=fat:reuters_annual_source_window.fat&amp;display_string=Audit&amp;DYN_ARGS=TRUE&amp;VAR:ID1=09062X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104__FDSAUDITLINK__" hidden="1">{"fdsup://IBCentral/FAT Viewer?action=UPDATE&amp;creator=factset&amp;DOC_NAME=fat:reuters_annual_source_window.fat&amp;display_string=Audit&amp;DYN_ARGS=TRUE&amp;VAR:ID1=09062X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105__FDSAUDITLINK__" localSheetId="10" hidden="1">{"fdsup://IBCentral/FAT Viewer?action=UPDATE&amp;creator=factset&amp;DOC_NAME=fat:reuters_annual_source_window.fat&amp;display_string=Audit&amp;DYN_ARGS=TRUE&amp;VAR:ID1=03116210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105__FDSAUDITLINK__" localSheetId="9" hidden="1">{"fdsup://IBCentral/FAT Viewer?action=UPDATE&amp;creator=factset&amp;DOC_NAME=fat:reuters_annual_source_window.fat&amp;display_string=Audit&amp;DYN_ARGS=TRUE&amp;VAR:ID1=03116210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105__FDSAUDITLINK__" hidden="1">{"fdsup://IBCentral/FAT Viewer?action=UPDATE&amp;creator=factset&amp;DOC_NAME=fat:reuters_annual_source_window.fat&amp;display_string=Audit&amp;DYN_ARGS=TRUE&amp;VAR:ID1=03116210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106__FDSAUDITLINK__" localSheetId="10" hidden="1">{"fdsup://IBCentral/FAT Viewer?action=UPDATE&amp;creator=factset&amp;DOC_NAME=fat:reuters_annual_source_window.fat&amp;display_string=Audit&amp;DYN_ARGS=TRUE&amp;VAR:ID1=03116210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06__FDSAUDITLINK__" localSheetId="9" hidden="1">{"fdsup://IBCentral/FAT Viewer?action=UPDATE&amp;creator=factset&amp;DOC_NAME=fat:reuters_annual_source_window.fat&amp;display_string=Audit&amp;DYN_ARGS=TRUE&amp;VAR:ID1=03116210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06__FDSAUDITLINK__" hidden="1">{"fdsup://IBCentral/FAT Viewer?action=UPDATE&amp;creator=factset&amp;DOC_NAME=fat:reuters_annual_source_window.fat&amp;display_string=Audit&amp;DYN_ARGS=TRUE&amp;VAR:ID1=03116210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07__FDSAUDITLINK__" localSheetId="10" hidden="1">{"fdsup://IBCentral/FAT Viewer?action=UPDATE&amp;creator=factset&amp;DOC_NAME=fat:reuters_annual_source_window.fat&amp;display_string=Audit&amp;DYN_ARGS=TRUE&amp;VAR:ID1=03116210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107__FDSAUDITLINK__" localSheetId="9" hidden="1">{"fdsup://IBCentral/FAT Viewer?action=UPDATE&amp;creator=factset&amp;DOC_NAME=fat:reuters_annual_source_window.fat&amp;display_string=Audit&amp;DYN_ARGS=TRUE&amp;VAR:ID1=03116210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107__FDSAUDITLINK__" hidden="1">{"fdsup://IBCentral/FAT Viewer?action=UPDATE&amp;creator=factset&amp;DOC_NAME=fat:reuters_annual_source_window.fat&amp;display_string=Audit&amp;DYN_ARGS=TRUE&amp;VAR:ID1=03116210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108__FDSAUDITLINK__" localSheetId="10" hidden="1">{"fdsup://IBCentral/FAT Viewer?action=UPDATE&amp;creator=factset&amp;DOC_NAME=fat:reuters_annual_source_window.fat&amp;display_string=Audit&amp;DYN_ARGS=TRUE&amp;VAR:ID1=37291710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08__FDSAUDITLINK__" localSheetId="9" hidden="1">{"fdsup://IBCentral/FAT Viewer?action=UPDATE&amp;creator=factset&amp;DOC_NAME=fat:reuters_annual_source_window.fat&amp;display_string=Audit&amp;DYN_ARGS=TRUE&amp;VAR:ID1=37291710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08__FDSAUDITLINK__" hidden="1">{"fdsup://IBCentral/FAT Viewer?action=UPDATE&amp;creator=factset&amp;DOC_NAME=fat:reuters_annual_source_window.fat&amp;display_string=Audit&amp;DYN_ARGS=TRUE&amp;VAR:ID1=37291710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09__FDSAUDITLINK__" localSheetId="10" hidden="1">{"fdsup://IBCentral/FAT Viewer?action=UPDATE&amp;creator=factset&amp;DOC_NAME=fat:reuters_annual_source_window.fat&amp;display_string=Audit&amp;DYN_ARGS=TRUE&amp;VAR:ID1=37291710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09__FDSAUDITLINK__" localSheetId="9" hidden="1">{"fdsup://IBCentral/FAT Viewer?action=UPDATE&amp;creator=factset&amp;DOC_NAME=fat:reuters_annual_source_window.fat&amp;display_string=Audit&amp;DYN_ARGS=TRUE&amp;VAR:ID1=37291710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09__FDSAUDITLINK__" hidden="1">{"fdsup://IBCentral/FAT Viewer?action=UPDATE&amp;creator=factset&amp;DOC_NAME=fat:reuters_annual_source_window.fat&amp;display_string=Audit&amp;DYN_ARGS=TRUE&amp;VAR:ID1=37291710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1__FDSAUDITLINK__" localSheetId="10" hidden="1">{"fdsup://IBCentral/FAT Viewer?action=UPDATE&amp;creator=factset&amp;DOC_NAME=fat:reuters_qtrly_source_window.fat&amp;display_string=Audit&amp;DYN_ARGS=TRUE&amp;VAR:ID1=45884X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1__FDSAUDITLINK__" localSheetId="9" hidden="1">{"fdsup://IBCentral/FAT Viewer?action=UPDATE&amp;creator=factset&amp;DOC_NAME=fat:reuters_qtrly_source_window.fat&amp;display_string=Audit&amp;DYN_ARGS=TRUE&amp;VAR:ID1=45884X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1__FDSAUDITLINK__" hidden="1">{"fdsup://IBCentral/FAT Viewer?action=UPDATE&amp;creator=factset&amp;DOC_NAME=fat:reuters_qtrly_source_window.fat&amp;display_string=Audit&amp;DYN_ARGS=TRUE&amp;VAR:ID1=45884X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10__FDSAUDITLINK__" localSheetId="10" hidden="1">{"fdsup://IBCentral/FAT Viewer?action=UPDATE&amp;creator=factset&amp;DOC_NAME=fat:reuters_annual_source_window.fat&amp;display_string=Audit&amp;DYN_ARGS=TRUE&amp;VAR:ID1=36871040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10__FDSAUDITLINK__" localSheetId="9" hidden="1">{"fdsup://IBCentral/FAT Viewer?action=UPDATE&amp;creator=factset&amp;DOC_NAME=fat:reuters_annual_source_window.fat&amp;display_string=Audit&amp;DYN_ARGS=TRUE&amp;VAR:ID1=36871040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10__FDSAUDITLINK__" hidden="1">{"fdsup://IBCentral/FAT Viewer?action=UPDATE&amp;creator=factset&amp;DOC_NAME=fat:reuters_annual_source_window.fat&amp;display_string=Audit&amp;DYN_ARGS=TRUE&amp;VAR:ID1=36871040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11__FDSAUDITLINK__" localSheetId="10" hidden="1">{"fdsup://IBCentral/FAT Viewer?action=UPDATE&amp;creator=factset&amp;DOC_NAME=fat:reuters_annual_source_window.fat&amp;display_string=Audit&amp;DYN_ARGS=TRUE&amp;VAR:ID1=36871040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11__FDSAUDITLINK__" localSheetId="9" hidden="1">{"fdsup://IBCentral/FAT Viewer?action=UPDATE&amp;creator=factset&amp;DOC_NAME=fat:reuters_annual_source_window.fat&amp;display_string=Audit&amp;DYN_ARGS=TRUE&amp;VAR:ID1=36871040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11__FDSAUDITLINK__" hidden="1">{"fdsup://IBCentral/FAT Viewer?action=UPDATE&amp;creator=factset&amp;DOC_NAME=fat:reuters_annual_source_window.fat&amp;display_string=Audit&amp;DYN_ARGS=TRUE&amp;VAR:ID1=36871040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12__FDSAUDITLINK__" localSheetId="10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" localSheetId="9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1" localSheetId="10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1" localSheetId="9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3__FDSAUDITLINK__" localSheetId="10" hidden="1">{"fdsup://IBCentral/FAT Viewer?action=UPDATE&amp;creator=factset&amp;DOC_NAME=fat:reuters_annual_source_window.fat&amp;display_string=Audit&amp;DYN_ARGS=TRUE&amp;VAR:ID1=15102010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13__FDSAUDITLINK__" localSheetId="9" hidden="1">{"fdsup://IBCentral/FAT Viewer?action=UPDATE&amp;creator=factset&amp;DOC_NAME=fat:reuters_annual_source_window.fat&amp;display_string=Audit&amp;DYN_ARGS=TRUE&amp;VAR:ID1=15102010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13__FDSAUDITLINK__" hidden="1">{"fdsup://IBCentral/FAT Viewer?action=UPDATE&amp;creator=factset&amp;DOC_NAME=fat:reuters_annual_source_window.fat&amp;display_string=Audit&amp;DYN_ARGS=TRUE&amp;VAR:ID1=15102010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14__FDSAUDITLINK__" localSheetId="10" hidden="1">{"fdsup://IBCentral/FAT Viewer?action=UPDATE&amp;creator=factset&amp;DOC_NAME=fat:reuters_annual_source_window.fat&amp;display_string=Audit&amp;DYN_ARGS=TRUE&amp;VAR:ID1=09062X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14__FDSAUDITLINK__" localSheetId="9" hidden="1">{"fdsup://IBCentral/FAT Viewer?action=UPDATE&amp;creator=factset&amp;DOC_NAME=fat:reuters_annual_source_window.fat&amp;display_string=Audit&amp;DYN_ARGS=TRUE&amp;VAR:ID1=09062X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14__FDSAUDITLINK__" hidden="1">{"fdsup://IBCentral/FAT Viewer?action=UPDATE&amp;creator=factset&amp;DOC_NAME=fat:reuters_annual_source_window.fat&amp;display_string=Audit&amp;DYN_ARGS=TRUE&amp;VAR:ID1=09062X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15__FDSAUDITLINK__" localSheetId="10" hidden="1">{"fdsup://IBCentral/FAT Viewer?action=UPDATE&amp;creator=factset&amp;DOC_NAME=fat:reuters_annual_source_window.fat&amp;display_string=Audit&amp;DYN_ARGS=TRUE&amp;VAR:ID1=09062X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15__FDSAUDITLINK__" localSheetId="9" hidden="1">{"fdsup://IBCentral/FAT Viewer?action=UPDATE&amp;creator=factset&amp;DOC_NAME=fat:reuters_annual_source_window.fat&amp;display_string=Audit&amp;DYN_ARGS=TRUE&amp;VAR:ID1=09062X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15__FDSAUDITLINK__" hidden="1">{"fdsup://IBCentral/FAT Viewer?action=UPDATE&amp;creator=factset&amp;DOC_NAME=fat:reuters_annual_source_window.fat&amp;display_string=Audit&amp;DYN_ARGS=TRUE&amp;VAR:ID1=09062X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16__FDSAUDITLINK__" localSheetId="10" hidden="1">{"fdsup://IBCentral/FAT Viewer?action=UPDATE&amp;creator=factset&amp;DOC_NAME=fat:reuters_annual_source_window.fat&amp;display_string=Audit&amp;DYN_ARGS=TRUE&amp;VAR:ID1=03116210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16__FDSAUDITLINK__" localSheetId="9" hidden="1">{"fdsup://IBCentral/FAT Viewer?action=UPDATE&amp;creator=factset&amp;DOC_NAME=fat:reuters_annual_source_window.fat&amp;display_string=Audit&amp;DYN_ARGS=TRUE&amp;VAR:ID1=03116210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16__FDSAUDITLINK__" hidden="1">{"fdsup://IBCentral/FAT Viewer?action=UPDATE&amp;creator=factset&amp;DOC_NAME=fat:reuters_annual_source_window.fat&amp;display_string=Audit&amp;DYN_ARGS=TRUE&amp;VAR:ID1=03116210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17__FDSAUDITLINK__" localSheetId="10" hidden="1">{"fdsup://IBCentral/FAT Viewer?action=UPDATE&amp;creator=factset&amp;DOC_NAME=fat:reuters_annual_source_window.fat&amp;display_string=Audit&amp;DYN_ARGS=TRUE&amp;VAR:ID1=03116210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17__FDSAUDITLINK__" localSheetId="9" hidden="1">{"fdsup://IBCentral/FAT Viewer?action=UPDATE&amp;creator=factset&amp;DOC_NAME=fat:reuters_annual_source_window.fat&amp;display_string=Audit&amp;DYN_ARGS=TRUE&amp;VAR:ID1=03116210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17__FDSAUDITLINK__" hidden="1">{"fdsup://IBCentral/FAT Viewer?action=UPDATE&amp;creator=factset&amp;DOC_NAME=fat:reuters_annual_source_window.fat&amp;display_string=Audit&amp;DYN_ARGS=TRUE&amp;VAR:ID1=03116210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18__FDSAUDITLINK__" localSheetId="10" hidden="1">{"fdsup://IBCentral/FAT Viewer?action=UPDATE&amp;creator=factset&amp;DOC_NAME=fat:reuters_annual_source_window.fat&amp;display_string=Audit&amp;DYN_ARGS=TRUE&amp;VAR:ID1=37291710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118__FDSAUDITLINK__" localSheetId="9" hidden="1">{"fdsup://IBCentral/FAT Viewer?action=UPDATE&amp;creator=factset&amp;DOC_NAME=fat:reuters_annual_source_window.fat&amp;display_string=Audit&amp;DYN_ARGS=TRUE&amp;VAR:ID1=37291710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118__FDSAUDITLINK__" hidden="1">{"fdsup://IBCentral/FAT Viewer?action=UPDATE&amp;creator=factset&amp;DOC_NAME=fat:reuters_annual_source_window.fat&amp;display_string=Audit&amp;DYN_ARGS=TRUE&amp;VAR:ID1=37291710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119__FDSAUDITLINK__" localSheetId="10" hidden="1">{"fdsup://IBCentral/FAT Viewer?action=UPDATE&amp;creator=factset&amp;DOC_NAME=fat:reuters_annual_source_window.fat&amp;display_string=Audit&amp;DYN_ARGS=TRUE&amp;VAR:ID1=37291710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19__FDSAUDITLINK__" localSheetId="9" hidden="1">{"fdsup://IBCentral/FAT Viewer?action=UPDATE&amp;creator=factset&amp;DOC_NAME=fat:reuters_annual_source_window.fat&amp;display_string=Audit&amp;DYN_ARGS=TRUE&amp;VAR:ID1=37291710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19__FDSAUDITLINK__" hidden="1">{"fdsup://IBCentral/FAT Viewer?action=UPDATE&amp;creator=factset&amp;DOC_NAME=fat:reuters_annual_source_window.fat&amp;display_string=Audit&amp;DYN_ARGS=TRUE&amp;VAR:ID1=37291710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1hk1_" hidden="1">#REF!</definedName>
    <definedName name="_11TOTAL_AR_UTIԗ挀_㈀㌀㌀00퉌ڵ툜ڵ__툼ڵՊ0000000_0_____IQ_TOTAL_ASSETSԗ挀_㈀㌀㐀00틈ڵ퉸ڵ__트ڵՋ0000000_0_____IQ_TOTAL_ASSETS_10YR" hidden="1">"c1233"</definedName>
    <definedName name="_12__FDSAUDITLINK__" localSheetId="10" hidden="1">{"fdsup://IBCentral/FAT Viewer?action=UPDATE&amp;creator=factset&amp;DOC_NAME=fat:reuters_qtrly_source_window.fat&amp;display_string=Audit&amp;DYN_ARGS=TRUE&amp;VAR:ID1=45166R20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2__FDSAUDITLINK__" localSheetId="9" hidden="1">{"fdsup://IBCentral/FAT Viewer?action=UPDATE&amp;creator=factset&amp;DOC_NAME=fat:reuters_qtrly_source_window.fat&amp;display_string=Audit&amp;DYN_ARGS=TRUE&amp;VAR:ID1=45166R20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2__FDSAUDITLINK__" hidden="1">{"fdsup://IBCentral/FAT Viewer?action=UPDATE&amp;creator=factset&amp;DOC_NAME=fat:reuters_qtrly_source_window.fat&amp;display_string=Audit&amp;DYN_ARGS=TRUE&amp;VAR:ID1=45166R20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2_0_0_S" hidden="1">#REF!</definedName>
    <definedName name="_120__FDSAUDITLINK__" localSheetId="10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" localSheetId="9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1" localSheetId="10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1" localSheetId="9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1__FDSAUDITLINK__" localSheetId="10" hidden="1">{"fdsup://IBCentral/FAT Viewer?action=UPDATE&amp;creator=factset&amp;DOC_NAME=fat:reuters_annual_source_window.fat&amp;display_string=Audit&amp;DYN_ARGS=TRUE&amp;VAR:ID1=36871040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21__FDSAUDITLINK__" localSheetId="9" hidden="1">{"fdsup://IBCentral/FAT Viewer?action=UPDATE&amp;creator=factset&amp;DOC_NAME=fat:reuters_annual_source_window.fat&amp;display_string=Audit&amp;DYN_ARGS=TRUE&amp;VAR:ID1=36871040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21__FDSAUDITLINK__" hidden="1">{"fdsup://IBCentral/FAT Viewer?action=UPDATE&amp;creator=factset&amp;DOC_NAME=fat:reuters_annual_source_window.fat&amp;display_string=Audit&amp;DYN_ARGS=TRUE&amp;VAR:ID1=36871040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22__FDSAUDITLINK__" localSheetId="10" hidden="1">{"fdsup://IBCentral/FAT Viewer?action=UPDATE&amp;creator=factset&amp;DOC_NAME=fat:reuters_annual_source_window.fat&amp;display_string=Audit&amp;DYN_ARGS=TRUE&amp;VAR:ID1=15102010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122__FDSAUDITLINK__" localSheetId="9" hidden="1">{"fdsup://IBCentral/FAT Viewer?action=UPDATE&amp;creator=factset&amp;DOC_NAME=fat:reuters_annual_source_window.fat&amp;display_string=Audit&amp;DYN_ARGS=TRUE&amp;VAR:ID1=15102010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122__FDSAUDITLINK__" hidden="1">{"fdsup://IBCentral/FAT Viewer?action=UPDATE&amp;creator=factset&amp;DOC_NAME=fat:reuters_annual_source_window.fat&amp;display_string=Audit&amp;DYN_ARGS=TRUE&amp;VAR:ID1=15102010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123__FDSAUDITLINK__" localSheetId="10" hidden="1">{"fdsup://IBCentral/FAT Viewer?action=UPDATE&amp;creator=factset&amp;DOC_NAME=fat:reuters_annual_source_window.fat&amp;display_string=Audit&amp;DYN_ARGS=TRUE&amp;VAR:ID1=15102010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23__FDSAUDITLINK__" localSheetId="9" hidden="1">{"fdsup://IBCentral/FAT Viewer?action=UPDATE&amp;creator=factset&amp;DOC_NAME=fat:reuters_annual_source_window.fat&amp;display_string=Audit&amp;DYN_ARGS=TRUE&amp;VAR:ID1=15102010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23__FDSAUDITLINK__" hidden="1">{"fdsup://IBCentral/FAT Viewer?action=UPDATE&amp;creator=factset&amp;DOC_NAME=fat:reuters_annual_source_window.fat&amp;display_string=Audit&amp;DYN_ARGS=TRUE&amp;VAR:ID1=15102010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23Graph_A" hidden="1">#REF!</definedName>
    <definedName name="_124__FDSAUDITLINK__" localSheetId="10" hidden="1">{"fdsup://IBCentral/FAT Viewer?action=UPDATE&amp;creator=factset&amp;DOC_NAME=fat:reuters_annual_source_window.fat&amp;display_string=Audit&amp;DYN_ARGS=TRUE&amp;VAR:ID1=09062X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124__FDSAUDITLINK__" localSheetId="9" hidden="1">{"fdsup://IBCentral/FAT Viewer?action=UPDATE&amp;creator=factset&amp;DOC_NAME=fat:reuters_annual_source_window.fat&amp;display_string=Audit&amp;DYN_ARGS=TRUE&amp;VAR:ID1=09062X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124__FDSAUDITLINK__" hidden="1">{"fdsup://IBCentral/FAT Viewer?action=UPDATE&amp;creator=factset&amp;DOC_NAME=fat:reuters_annual_source_window.fat&amp;display_string=Audit&amp;DYN_ARGS=TRUE&amp;VAR:ID1=09062X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125__FDSAUDITLINK__" localSheetId="10" hidden="1">{"fdsup://IBCentral/FAT Viewer?action=UPDATE&amp;creator=factset&amp;DOC_NAME=fat:reuters_annual_source_window.fat&amp;display_string=Audit&amp;DYN_ARGS=TRUE&amp;VAR:ID1=09062X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25__FDSAUDITLINK__" localSheetId="9" hidden="1">{"fdsup://IBCentral/FAT Viewer?action=UPDATE&amp;creator=factset&amp;DOC_NAME=fat:reuters_annual_source_window.fat&amp;display_string=Audit&amp;DYN_ARGS=TRUE&amp;VAR:ID1=09062X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25__FDSAUDITLINK__" hidden="1">{"fdsup://IBCentral/FAT Viewer?action=UPDATE&amp;creator=factset&amp;DOC_NAME=fat:reuters_annual_source_window.fat&amp;display_string=Audit&amp;DYN_ARGS=TRUE&amp;VAR:ID1=09062X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26__FDSAUDITLINK__" localSheetId="10" hidden="1">{"fdsup://IBCentral/FAT Viewer?action=UPDATE&amp;creator=factset&amp;DOC_NAME=fat:reuters_annual_source_window.fat&amp;display_string=Audit&amp;DYN_ARGS=TRUE&amp;VAR:ID1=03116210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126__FDSAUDITLINK__" localSheetId="9" hidden="1">{"fdsup://IBCentral/FAT Viewer?action=UPDATE&amp;creator=factset&amp;DOC_NAME=fat:reuters_annual_source_window.fat&amp;display_string=Audit&amp;DYN_ARGS=TRUE&amp;VAR:ID1=03116210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126__FDSAUDITLINK__" hidden="1">{"fdsup://IBCentral/FAT Viewer?action=UPDATE&amp;creator=factset&amp;DOC_NAME=fat:reuters_annual_source_window.fat&amp;display_string=Audit&amp;DYN_ARGS=TRUE&amp;VAR:ID1=03116210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127__FDSAUDITLINK__" localSheetId="10" hidden="1">{"fdsup://IBCentral/FAT Viewer?action=UPDATE&amp;creator=factset&amp;DOC_NAME=fat:reuters_annual_source_window.fat&amp;display_string=Audit&amp;DYN_ARGS=TRUE&amp;VAR:ID1=03116210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27__FDSAUDITLINK__" localSheetId="9" hidden="1">{"fdsup://IBCentral/FAT Viewer?action=UPDATE&amp;creator=factset&amp;DOC_NAME=fat:reuters_annual_source_window.fat&amp;display_string=Audit&amp;DYN_ARGS=TRUE&amp;VAR:ID1=03116210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27__FDSAUDITLINK__" hidden="1">{"fdsup://IBCentral/FAT Viewer?action=UPDATE&amp;creator=factset&amp;DOC_NAME=fat:reuters_annual_source_window.fat&amp;display_string=Audit&amp;DYN_ARGS=TRUE&amp;VAR:ID1=03116210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28__FDSAUDITLINK__" localSheetId="10" hidden="1">{"fdsup://IBCentral/FAT Viewer?action=UPDATE&amp;creator=factset&amp;DOC_NAME=fat:reuters_annual_source_window.fat&amp;display_string=Audit&amp;DYN_ARGS=TRUE&amp;VAR:ID1=37291710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28__FDSAUDITLINK__" localSheetId="9" hidden="1">{"fdsup://IBCentral/FAT Viewer?action=UPDATE&amp;creator=factset&amp;DOC_NAME=fat:reuters_annual_source_window.fat&amp;display_string=Audit&amp;DYN_ARGS=TRUE&amp;VAR:ID1=37291710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28__FDSAUDITLINK__" hidden="1">{"fdsup://IBCentral/FAT Viewer?action=UPDATE&amp;creator=factset&amp;DOC_NAME=fat:reuters_annual_source_window.fat&amp;display_string=Audit&amp;DYN_ARGS=TRUE&amp;VAR:ID1=37291710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29__FDSAUDITLINK__" localSheetId="10" hidden="1">{"fdsup://IBCentral/FAT Viewer?action=UPDATE&amp;creator=factset&amp;DOC_NAME=fat:reuters_annual_source_window.fat&amp;display_string=Audit&amp;DYN_ARGS=TRUE&amp;VAR:ID1=37291710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29__FDSAUDITLINK__" localSheetId="9" hidden="1">{"fdsup://IBCentral/FAT Viewer?action=UPDATE&amp;creator=factset&amp;DOC_NAME=fat:reuters_annual_source_window.fat&amp;display_string=Audit&amp;DYN_ARGS=TRUE&amp;VAR:ID1=37291710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29__FDSAUDITLINK__" hidden="1">{"fdsup://IBCentral/FAT Viewer?action=UPDATE&amp;creator=factset&amp;DOC_NAME=fat:reuters_annual_source_window.fat&amp;display_string=Audit&amp;DYN_ARGS=TRUE&amp;VAR:ID1=37291710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3__123Graph_BCHART_1" hidden="1">#REF!</definedName>
    <definedName name="_13__FDSAUDITLINK__" localSheetId="10" hidden="1">{"fdsup://IBCentral/FAT Viewer?action=UPDATE&amp;creator=factset&amp;DOC_NAME=fat:reuters_qtrly_source_window.fat&amp;display_string=Audit&amp;DYN_ARGS=TRUE&amp;VAR:ID1=40963P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3__FDSAUDITLINK__" localSheetId="9" hidden="1">{"fdsup://IBCentral/FAT Viewer?action=UPDATE&amp;creator=factset&amp;DOC_NAME=fat:reuters_qtrly_source_window.fat&amp;display_string=Audit&amp;DYN_ARGS=TRUE&amp;VAR:ID1=40963P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3__FDSAUDITLINK__" hidden="1">{"fdsup://IBCentral/FAT Viewer?action=UPDATE&amp;creator=factset&amp;DOC_NAME=fat:reuters_qtrly_source_window.fat&amp;display_string=Audit&amp;DYN_ARGS=TRUE&amp;VAR:ID1=40963P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30__FDSAUDITLINK__" localSheetId="10" hidden="1">{"fdsup://IBCentral/FAT Viewer?action=UPDATE&amp;creator=factset&amp;DOC_NAME=fat:reuters_annual_source_window.fat&amp;display_string=Audit&amp;DYN_ARGS=TRUE&amp;VAR:ID1=36871040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30__FDSAUDITLINK__" localSheetId="9" hidden="1">{"fdsup://IBCentral/FAT Viewer?action=UPDATE&amp;creator=factset&amp;DOC_NAME=fat:reuters_annual_source_window.fat&amp;display_string=Audit&amp;DYN_ARGS=TRUE&amp;VAR:ID1=36871040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30__FDSAUDITLINK__" hidden="1">{"fdsup://IBCentral/FAT Viewer?action=UPDATE&amp;creator=factset&amp;DOC_NAME=fat:reuters_annual_source_window.fat&amp;display_string=Audit&amp;DYN_ARGS=TRUE&amp;VAR:ID1=36871040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31__FDSAUDITLINK__" localSheetId="10" hidden="1">{"fdsup://IBCentral/FAT Viewer?action=UPDATE&amp;creator=factset&amp;DOC_NAME=fat:reuters_annual_source_window.fat&amp;display_string=Audit&amp;DYN_ARGS=TRUE&amp;VAR:ID1=36871040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31__FDSAUDITLINK__" localSheetId="9" hidden="1">{"fdsup://IBCentral/FAT Viewer?action=UPDATE&amp;creator=factset&amp;DOC_NAME=fat:reuters_annual_source_window.fat&amp;display_string=Audit&amp;DYN_ARGS=TRUE&amp;VAR:ID1=36871040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31__FDSAUDITLINK__" hidden="1">{"fdsup://IBCentral/FAT Viewer?action=UPDATE&amp;creator=factset&amp;DOC_NAME=fat:reuters_annual_source_window.fat&amp;display_string=Audit&amp;DYN_ARGS=TRUE&amp;VAR:ID1=36871040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32__FDSAUDITLINK__" localSheetId="10" hidden="1">{"fdsup://IBCentral/FAT Viewer?action=UPDATE&amp;creator=factset&amp;DOC_NAME=fat:reuters_annual_source_window.fat&amp;display_string=Audit&amp;DYN_ARGS=TRUE&amp;VAR:ID1=15102010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32__FDSAUDITLINK__" localSheetId="9" hidden="1">{"fdsup://IBCentral/FAT Viewer?action=UPDATE&amp;creator=factset&amp;DOC_NAME=fat:reuters_annual_source_window.fat&amp;display_string=Audit&amp;DYN_ARGS=TRUE&amp;VAR:ID1=15102010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32__FDSAUDITLINK__" hidden="1">{"fdsup://IBCentral/FAT Viewer?action=UPDATE&amp;creator=factset&amp;DOC_NAME=fat:reuters_annual_source_window.fat&amp;display_string=Audit&amp;DYN_ARGS=TRUE&amp;VAR:ID1=15102010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33__FDSAUDITLINK__" localSheetId="10" hidden="1">{"fdsup://Directions/FactSet Auditing Viewer?action=AUDIT_VALUE&amp;DB=129&amp;ID1=604518&amp;VALUEID=P05301&amp;SDATE=201101&amp;PERIODTYPE=QTR_STD&amp;SCFT=3&amp;window=popup_no_bar&amp;width=385&amp;height=120&amp;START_MAXIMIZED=FALSE&amp;creator=factset&amp;display_string=Audit"}</definedName>
    <definedName name="_133__FDSAUDITLINK__" localSheetId="9" hidden="1">{"fdsup://Directions/FactSet Auditing Viewer?action=AUDIT_VALUE&amp;DB=129&amp;ID1=604518&amp;VALUEID=P05301&amp;SDATE=201101&amp;PERIODTYPE=QTR_STD&amp;SCFT=3&amp;window=popup_no_bar&amp;width=385&amp;height=120&amp;START_MAXIMIZED=FALSE&amp;creator=factset&amp;display_string=Audit"}</definedName>
    <definedName name="_133__FDSAUDITLINK__" hidden="1">{"fdsup://Directions/FactSet Auditing Viewer?action=AUDIT_VALUE&amp;DB=129&amp;ID1=604518&amp;VALUEID=P05301&amp;SDATE=201101&amp;PERIODTYPE=QTR_STD&amp;SCFT=3&amp;window=popup_no_bar&amp;width=385&amp;height=120&amp;START_MAXIMIZED=FALSE&amp;creator=factset&amp;display_string=Audit"}</definedName>
    <definedName name="_134__FDSAUDITLINK__" localSheetId="10" hidden="1">{"fdsup://IBCentral/FAT Viewer?action=UPDATE&amp;creator=factset&amp;DOC_NAME=fat:reuters_annual_source_window.fat&amp;display_string=Audit&amp;DYN_ARGS=TRUE&amp;VAR:ID1=09062X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34__FDSAUDITLINK__" localSheetId="9" hidden="1">{"fdsup://IBCentral/FAT Viewer?action=UPDATE&amp;creator=factset&amp;DOC_NAME=fat:reuters_annual_source_window.fat&amp;display_string=Audit&amp;DYN_ARGS=TRUE&amp;VAR:ID1=09062X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34__FDSAUDITLINK__" hidden="1">{"fdsup://IBCentral/FAT Viewer?action=UPDATE&amp;creator=factset&amp;DOC_NAME=fat:reuters_annual_source_window.fat&amp;display_string=Audit&amp;DYN_ARGS=TRUE&amp;VAR:ID1=09062X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35__FDSAUDITLINK__" localSheetId="10" hidden="1">{"fdsup://IBCentral/FAT Viewer?action=UPDATE&amp;creator=factset&amp;DOC_NAME=fat:reuters_annual_source_window.fat&amp;display_string=Audit&amp;DYN_ARGS=TRUE&amp;VAR:ID1=09062X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35__FDSAUDITLINK__" localSheetId="9" hidden="1">{"fdsup://IBCentral/FAT Viewer?action=UPDATE&amp;creator=factset&amp;DOC_NAME=fat:reuters_annual_source_window.fat&amp;display_string=Audit&amp;DYN_ARGS=TRUE&amp;VAR:ID1=09062X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35__FDSAUDITLINK__" hidden="1">{"fdsup://IBCentral/FAT Viewer?action=UPDATE&amp;creator=factset&amp;DOC_NAME=fat:reuters_annual_source_window.fat&amp;display_string=Audit&amp;DYN_ARGS=TRUE&amp;VAR:ID1=09062X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36__FDSAUDITLINK__" localSheetId="10" hidden="1">{"fdsup://IBCentral/FAT Viewer?action=UPDATE&amp;creator=factset&amp;DOC_NAME=fat:reuters_annual_source_window.fat&amp;display_string=Audit&amp;DYN_ARGS=TRUE&amp;VAR:ID1=03116210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36__FDSAUDITLINK__" localSheetId="9" hidden="1">{"fdsup://IBCentral/FAT Viewer?action=UPDATE&amp;creator=factset&amp;DOC_NAME=fat:reuters_annual_source_window.fat&amp;display_string=Audit&amp;DYN_ARGS=TRUE&amp;VAR:ID1=03116210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36__FDSAUDITLINK__" hidden="1">{"fdsup://IBCentral/FAT Viewer?action=UPDATE&amp;creator=factset&amp;DOC_NAME=fat:reuters_annual_source_window.fat&amp;display_string=Audit&amp;DYN_ARGS=TRUE&amp;VAR:ID1=03116210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37__FDSAUDITLINK__" localSheetId="10" hidden="1">{"fdsup://IBCentral/FAT Viewer?action=UPDATE&amp;creator=factset&amp;DOC_NAME=fat:reuters_annual_source_window.fat&amp;display_string=Audit&amp;DYN_ARGS=TRUE&amp;VAR:ID1=03116210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37__FDSAUDITLINK__" localSheetId="9" hidden="1">{"fdsup://IBCentral/FAT Viewer?action=UPDATE&amp;creator=factset&amp;DOC_NAME=fat:reuters_annual_source_window.fat&amp;display_string=Audit&amp;DYN_ARGS=TRUE&amp;VAR:ID1=03116210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37__FDSAUDITLINK__" hidden="1">{"fdsup://IBCentral/FAT Viewer?action=UPDATE&amp;creator=factset&amp;DOC_NAME=fat:reuters_annual_source_window.fat&amp;display_string=Audit&amp;DYN_ARGS=TRUE&amp;VAR:ID1=03116210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38__FDSAUDITLINK__" localSheetId="10" hidden="1">{"fdsup://IBCentral/FAT Viewer?action=UPDATE&amp;creator=factset&amp;DOC_NAME=fat:reuters_qtrly_source_window.fat&amp;display_string=Audit&amp;DYN_ARGS=TRUE&amp;VAR:ID1=22967810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38__FDSAUDITLINK__" localSheetId="9" hidden="1">{"fdsup://IBCentral/FAT Viewer?action=UPDATE&amp;creator=factset&amp;DOC_NAME=fat:reuters_qtrly_source_window.fat&amp;display_string=Audit&amp;DYN_ARGS=TRUE&amp;VAR:ID1=22967810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38__FDSAUDITLINK__" hidden="1">{"fdsup://IBCentral/FAT Viewer?action=UPDATE&amp;creator=factset&amp;DOC_NAME=fat:reuters_qtrly_source_window.fat&amp;display_string=Audit&amp;DYN_ARGS=TRUE&amp;VAR:ID1=22967810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39__FDSAUDITLINK__" localSheetId="10" hidden="1">{"fdsup://IBCentral/FAT Viewer?action=UPDATE&amp;creator=factset&amp;DOC_NAME=fat:reuters_qtrly_source_window.fat&amp;display_string=Audit&amp;DYN_ARGS=TRUE&amp;VAR:ID1=04269X10&amp;VAR:RCODE=SCSI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39__FDSAUDITLINK__" localSheetId="9" hidden="1">{"fdsup://IBCentral/FAT Viewer?action=UPDATE&amp;creator=factset&amp;DOC_NAME=fat:reuters_qtrly_source_window.fat&amp;display_string=Audit&amp;DYN_ARGS=TRUE&amp;VAR:ID1=04269X10&amp;VAR:RCODE=SCSI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39__FDSAUDITLINK__" hidden="1">{"fdsup://IBCentral/FAT Viewer?action=UPDATE&amp;creator=factset&amp;DOC_NAME=fat:reuters_qtrly_source_window.fat&amp;display_string=Audit&amp;DYN_ARGS=TRUE&amp;VAR:ID1=04269X10&amp;VAR:RCODE=SCSI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4__FDSAUDITLINK__" localSheetId="10" hidden="1">{"fdsup://IBCentral/FAT Viewer?action=UPDATE&amp;creator=factset&amp;DOC_NAME=fat:reuters_qtrly_source_window.fat&amp;display_string=Audit&amp;DYN_ARGS=TRUE&amp;VAR:ID1=40052B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4__FDSAUDITLINK__" localSheetId="9" hidden="1">{"fdsup://IBCentral/FAT Viewer?action=UPDATE&amp;creator=factset&amp;DOC_NAME=fat:reuters_qtrly_source_window.fat&amp;display_string=Audit&amp;DYN_ARGS=TRUE&amp;VAR:ID1=40052B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4__FDSAUDITLINK__" hidden="1">{"fdsup://IBCentral/FAT Viewer?action=UPDATE&amp;creator=factset&amp;DOC_NAME=fat:reuters_qtrly_source_window.fat&amp;display_string=Audit&amp;DYN_ARGS=TRUE&amp;VAR:ID1=40052B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40__FDSAUDITLINK__" localSheetId="10" hidden="1">{"fdsup://IBCentral/FAT Viewer?action=UPDATE&amp;creator=factset&amp;DOC_NAME=fat:reuters_qtrly_source_window.fat&amp;display_string=Audit&amp;DYN_ARGS=TRUE&amp;VAR:ID1=04269E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40__FDSAUDITLINK__" localSheetId="9" hidden="1">{"fdsup://IBCentral/FAT Viewer?action=UPDATE&amp;creator=factset&amp;DOC_NAME=fat:reuters_qtrly_source_window.fat&amp;display_string=Audit&amp;DYN_ARGS=TRUE&amp;VAR:ID1=04269E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40__FDSAUDITLINK__" hidden="1">{"fdsup://IBCentral/FAT Viewer?action=UPDATE&amp;creator=factset&amp;DOC_NAME=fat:reuters_qtrly_source_window.fat&amp;display_string=Audit&amp;DYN_ARGS=TRUE&amp;VAR:ID1=04269E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41__FDSAUDITLINK__" localSheetId="10" hidden="1">{"fdsup://IBCentral/FAT Viewer?action=UPDATE&amp;creator=factset&amp;DOC_NAME=fat:reuters_annual_source_window.fat&amp;display_string=Audit&amp;DYN_ARGS=TRUE&amp;VAR:ID1=98302410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41__FDSAUDITLINK__" localSheetId="9" hidden="1">{"fdsup://IBCentral/FAT Viewer?action=UPDATE&amp;creator=factset&amp;DOC_NAME=fat:reuters_annual_source_window.fat&amp;display_string=Audit&amp;DYN_ARGS=TRUE&amp;VAR:ID1=98302410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41__FDSAUDITLINK__" hidden="1">{"fdsup://IBCentral/FAT Viewer?action=UPDATE&amp;creator=factset&amp;DOC_NAME=fat:reuters_annual_source_window.fat&amp;display_string=Audit&amp;DYN_ARGS=TRUE&amp;VAR:ID1=98302410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42__FDSAUDITLINK__" localSheetId="10" hidden="1">{"fdsup://IBCentral/FAT Viewer?action=UPDATE&amp;creator=factset&amp;DOC_NAME=fat:reuters_annual_source_window.fat&amp;display_string=Audit&amp;DYN_ARGS=TRUE&amp;VAR:ID1=98302410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142__FDSAUDITLINK__" localSheetId="9" hidden="1">{"fdsup://IBCentral/FAT Viewer?action=UPDATE&amp;creator=factset&amp;DOC_NAME=fat:reuters_annual_source_window.fat&amp;display_string=Audit&amp;DYN_ARGS=TRUE&amp;VAR:ID1=98302410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142__FDSAUDITLINK__" hidden="1">{"fdsup://IBCentral/FAT Viewer?action=UPDATE&amp;creator=factset&amp;DOC_NAME=fat:reuters_annual_source_window.fat&amp;display_string=Audit&amp;DYN_ARGS=TRUE&amp;VAR:ID1=98302410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143__FDSAUDITLINK__" localSheetId="10" hidden="1">{"fdsup://IBCentral/FAT Viewer?action=UPDATE&amp;creator=factset&amp;DOC_NAME=fat:reuters_annual_source_window.fat&amp;display_string=Audit&amp;DYN_ARGS=TRUE&amp;VAR:ID1=98302410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43__FDSAUDITLINK__" localSheetId="9" hidden="1">{"fdsup://IBCentral/FAT Viewer?action=UPDATE&amp;creator=factset&amp;DOC_NAME=fat:reuters_annual_source_window.fat&amp;display_string=Audit&amp;DYN_ARGS=TRUE&amp;VAR:ID1=98302410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43__FDSAUDITLINK__" hidden="1">{"fdsup://IBCentral/FAT Viewer?action=UPDATE&amp;creator=factset&amp;DOC_NAME=fat:reuters_annual_source_window.fat&amp;display_string=Audit&amp;DYN_ARGS=TRUE&amp;VAR:ID1=98302410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44__FDSAUDITLINK__" localSheetId="10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" localSheetId="9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1" localSheetId="10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1" localSheetId="9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5__FDSAUDITLINK__" localSheetId="10" hidden="1">{"fdsup://IBCentral/FAT Viewer?action=UPDATE&amp;creator=factset&amp;DOC_NAME=fat:reuters_annual_source_window.fat&amp;display_string=Audit&amp;DYN_ARGS=TRUE&amp;VAR:ID1=98302410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145__FDSAUDITLINK__" localSheetId="9" hidden="1">{"fdsup://IBCentral/FAT Viewer?action=UPDATE&amp;creator=factset&amp;DOC_NAME=fat:reuters_annual_source_window.fat&amp;display_string=Audit&amp;DYN_ARGS=TRUE&amp;VAR:ID1=98302410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145__FDSAUDITLINK__" hidden="1">{"fdsup://IBCentral/FAT Viewer?action=UPDATE&amp;creator=factset&amp;DOC_NAME=fat:reuters_annual_source_window.fat&amp;display_string=Audit&amp;DYN_ARGS=TRUE&amp;VAR:ID1=98302410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146__FDSAUDITLINK__" localSheetId="10" hidden="1">{"fdsup://IBCentral/FAT Viewer?action=UPDATE&amp;creator=factset&amp;DOC_NAME=fat:reuters_annual_source_window.fat&amp;display_string=Audit&amp;DYN_ARGS=TRUE&amp;VAR:ID1=98302410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46__FDSAUDITLINK__" localSheetId="9" hidden="1">{"fdsup://IBCentral/FAT Viewer?action=UPDATE&amp;creator=factset&amp;DOC_NAME=fat:reuters_annual_source_window.fat&amp;display_string=Audit&amp;DYN_ARGS=TRUE&amp;VAR:ID1=98302410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46__FDSAUDITLINK__" hidden="1">{"fdsup://IBCentral/FAT Viewer?action=UPDATE&amp;creator=factset&amp;DOC_NAME=fat:reuters_annual_source_window.fat&amp;display_string=Audit&amp;DYN_ARGS=TRUE&amp;VAR:ID1=98302410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47__FDSAUDITLINK__" localSheetId="10" hidden="1">{"fdsup://IBCentral/FAT Viewer?action=UPDATE&amp;creator=factset&amp;DOC_NAME=fat:reuters_annual_source_window.fat&amp;display_string=Audit&amp;DYN_ARGS=TRUE&amp;VAR:ID1=98302410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147__FDSAUDITLINK__" localSheetId="9" hidden="1">{"fdsup://IBCentral/FAT Viewer?action=UPDATE&amp;creator=factset&amp;DOC_NAME=fat:reuters_annual_source_window.fat&amp;display_string=Audit&amp;DYN_ARGS=TRUE&amp;VAR:ID1=98302410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147__FDSAUDITLINK__" hidden="1">{"fdsup://IBCentral/FAT Viewer?action=UPDATE&amp;creator=factset&amp;DOC_NAME=fat:reuters_annual_source_window.fat&amp;display_string=Audit&amp;DYN_ARGS=TRUE&amp;VAR:ID1=98302410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148__FDSAUDITLINK__" localSheetId="10" hidden="1">{"fdsup://IBCentral/FAT Viewer?action=UPDATE&amp;creator=factset&amp;DOC_NAME=fat:reuters_annual_source_window.fat&amp;display_string=Audit&amp;DYN_ARGS=TRUE&amp;VAR:ID1=98302410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48__FDSAUDITLINK__" localSheetId="9" hidden="1">{"fdsup://IBCentral/FAT Viewer?action=UPDATE&amp;creator=factset&amp;DOC_NAME=fat:reuters_annual_source_window.fat&amp;display_string=Audit&amp;DYN_ARGS=TRUE&amp;VAR:ID1=98302410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48__FDSAUDITLINK__" hidden="1">{"fdsup://IBCentral/FAT Viewer?action=UPDATE&amp;creator=factset&amp;DOC_NAME=fat:reuters_annual_source_window.fat&amp;display_string=Audit&amp;DYN_ARGS=TRUE&amp;VAR:ID1=98302410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49__FDSAUDITLINK__" localSheetId="10" hidden="1">{"fdsup://IBCentral/FAT Viewer?action=UPDATE&amp;creator=factset&amp;DOC_NAME=fat:reuters_annual_source_window.fat&amp;display_string=Audit&amp;DYN_ARGS=TRUE&amp;VAR:ID1=98302410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149__FDSAUDITLINK__" localSheetId="9" hidden="1">{"fdsup://IBCentral/FAT Viewer?action=UPDATE&amp;creator=factset&amp;DOC_NAME=fat:reuters_annual_source_window.fat&amp;display_string=Audit&amp;DYN_ARGS=TRUE&amp;VAR:ID1=98302410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149__FDSAUDITLINK__" hidden="1">{"fdsup://IBCentral/FAT Viewer?action=UPDATE&amp;creator=factset&amp;DOC_NAME=fat:reuters_annual_source_window.fat&amp;display_string=Audit&amp;DYN_ARGS=TRUE&amp;VAR:ID1=98302410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14A3_" localSheetId="10" hidden="1">{#N/A,#N/A,FALSE,"단축1";#N/A,#N/A,FALSE,"단축2";#N/A,#N/A,FALSE,"단축3";#N/A,#N/A,FALSE,"장축";#N/A,#N/A,FALSE,"4WD"}</definedName>
    <definedName name="_14A3_" localSheetId="9" hidden="1">{#N/A,#N/A,FALSE,"단축1";#N/A,#N/A,FALSE,"단축2";#N/A,#N/A,FALSE,"단축3";#N/A,#N/A,FALSE,"장축";#N/A,#N/A,FALSE,"4WD"}</definedName>
    <definedName name="_14A3_" hidden="1">{#N/A,#N/A,FALSE,"단축1";#N/A,#N/A,FALSE,"단축2";#N/A,#N/A,FALSE,"단축3";#N/A,#N/A,FALSE,"장축";#N/A,#N/A,FALSE,"4WD"}</definedName>
    <definedName name="_15__FDSAUDITLINK__" localSheetId="10" hidden="1">{"fdsup://IBCentral/FAT Viewer?action=UPDATE&amp;creator=factset&amp;DOC_NAME=fat:reuters_qtrly_source_window.fat&amp;display_string=Audit&amp;DYN_ARGS=TRUE&amp;VAR:ID1=16342810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5__FDSAUDITLINK__" localSheetId="9" hidden="1">{"fdsup://IBCentral/FAT Viewer?action=UPDATE&amp;creator=factset&amp;DOC_NAME=fat:reuters_qtrly_source_window.fat&amp;display_string=Audit&amp;DYN_ARGS=TRUE&amp;VAR:ID1=16342810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5__FDSAUDITLINK__" hidden="1">{"fdsup://IBCentral/FAT Viewer?action=UPDATE&amp;creator=factset&amp;DOC_NAME=fat:reuters_qtrly_source_window.fat&amp;display_string=Audit&amp;DYN_ARGS=TRUE&amp;VAR:ID1=16342810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50__FDSAUDITLINK__" localSheetId="10" hidden="1">{"fdsup://IBCentral/FAT Viewer?action=UPDATE&amp;creator=factset&amp;DOC_NAME=fat:reuters_annual_source_window.fat&amp;display_string=Audit&amp;DYN_ARGS=TRUE&amp;VAR:ID1=80660510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50__FDSAUDITLINK__" localSheetId="9" hidden="1">{"fdsup://IBCentral/FAT Viewer?action=UPDATE&amp;creator=factset&amp;DOC_NAME=fat:reuters_annual_source_window.fat&amp;display_string=Audit&amp;DYN_ARGS=TRUE&amp;VAR:ID1=80660510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50__FDSAUDITLINK__" hidden="1">{"fdsup://IBCentral/FAT Viewer?action=UPDATE&amp;creator=factset&amp;DOC_NAME=fat:reuters_annual_source_window.fat&amp;display_string=Audit&amp;DYN_ARGS=TRUE&amp;VAR:ID1=80660510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51__FDSAUDITLINK__" localSheetId="10" hidden="1">{"fdsup://IBCentral/FAT Viewer?action=UPDATE&amp;creator=factset&amp;DOC_NAME=fat:reuters_annual_source_window.fat&amp;display_string=Audit&amp;DYN_ARGS=TRUE&amp;VAR:ID1=80660510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151__FDSAUDITLINK__" localSheetId="9" hidden="1">{"fdsup://IBCentral/FAT Viewer?action=UPDATE&amp;creator=factset&amp;DOC_NAME=fat:reuters_annual_source_window.fat&amp;display_string=Audit&amp;DYN_ARGS=TRUE&amp;VAR:ID1=80660510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151__FDSAUDITLINK__" hidden="1">{"fdsup://IBCentral/FAT Viewer?action=UPDATE&amp;creator=factset&amp;DOC_NAME=fat:reuters_annual_source_window.fat&amp;display_string=Audit&amp;DYN_ARGS=TRUE&amp;VAR:ID1=80660510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152__FDSAUDITLINK__" localSheetId="10" hidden="1">{"fdsup://IBCentral/FAT Viewer?action=UPDATE&amp;creator=factset&amp;DOC_NAME=fat:reuters_annual_source_window.fat&amp;display_string=Audit&amp;DYN_ARGS=TRUE&amp;VAR:ID1=80660510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52__FDSAUDITLINK__" localSheetId="9" hidden="1">{"fdsup://IBCentral/FAT Viewer?action=UPDATE&amp;creator=factset&amp;DOC_NAME=fat:reuters_annual_source_window.fat&amp;display_string=Audit&amp;DYN_ARGS=TRUE&amp;VAR:ID1=80660510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52__FDSAUDITLINK__" hidden="1">{"fdsup://IBCentral/FAT Viewer?action=UPDATE&amp;creator=factset&amp;DOC_NAME=fat:reuters_annual_source_window.fat&amp;display_string=Audit&amp;DYN_ARGS=TRUE&amp;VAR:ID1=80660510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53__FDSAUDITLINK__" localSheetId="10" hidden="1">{"fdsup://IBCentral/FAT Viewer?action=UPDATE&amp;creator=factset&amp;DOC_NAME=fat:reuters_annual_source_window.fat&amp;display_string=Audit&amp;DYN_ARGS=TRUE&amp;VAR:ID1=80660510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153__FDSAUDITLINK__" localSheetId="9" hidden="1">{"fdsup://IBCentral/FAT Viewer?action=UPDATE&amp;creator=factset&amp;DOC_NAME=fat:reuters_annual_source_window.fat&amp;display_string=Audit&amp;DYN_ARGS=TRUE&amp;VAR:ID1=80660510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153__FDSAUDITLINK__" hidden="1">{"fdsup://IBCentral/FAT Viewer?action=UPDATE&amp;creator=factset&amp;DOC_NAME=fat:reuters_annual_source_window.fat&amp;display_string=Audit&amp;DYN_ARGS=TRUE&amp;VAR:ID1=80660510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154__FDSAUDITLINK__" localSheetId="10" hidden="1">{"fdsup://IBCentral/FAT Viewer?action=UPDATE&amp;creator=factset&amp;DOC_NAME=fat:reuters_annual_source_window.fat&amp;display_string=Audit&amp;DYN_ARGS=TRUE&amp;VAR:ID1=80660510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154__FDSAUDITLINK__" localSheetId="9" hidden="1">{"fdsup://IBCentral/FAT Viewer?action=UPDATE&amp;creator=factset&amp;DOC_NAME=fat:reuters_annual_source_window.fat&amp;display_string=Audit&amp;DYN_ARGS=TRUE&amp;VAR:ID1=80660510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154__FDSAUDITLINK__" hidden="1">{"fdsup://IBCentral/FAT Viewer?action=UPDATE&amp;creator=factset&amp;DOC_NAME=fat:reuters_annual_source_window.fat&amp;display_string=Audit&amp;DYN_ARGS=TRUE&amp;VAR:ID1=80660510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155__FDSAUDITLINK__" localSheetId="10" hidden="1">{"fdsup://IBCentral/FAT Viewer?action=UPDATE&amp;creator=factset&amp;DOC_NAME=fat:reuters_annual_source_window.fat&amp;display_string=Audit&amp;DYN_ARGS=TRUE&amp;VAR:ID1=80660510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55__FDSAUDITLINK__" localSheetId="9" hidden="1">{"fdsup://IBCentral/FAT Viewer?action=UPDATE&amp;creator=factset&amp;DOC_NAME=fat:reuters_annual_source_window.fat&amp;display_string=Audit&amp;DYN_ARGS=TRUE&amp;VAR:ID1=80660510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55__FDSAUDITLINK__" hidden="1">{"fdsup://IBCentral/FAT Viewer?action=UPDATE&amp;creator=factset&amp;DOC_NAME=fat:reuters_annual_source_window.fat&amp;display_string=Audit&amp;DYN_ARGS=TRUE&amp;VAR:ID1=80660510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56__FDSAUDITLINK__" localSheetId="10" hidden="1">{"fdsup://IBCentral/FAT Viewer?action=UPDATE&amp;creator=factset&amp;DOC_NAME=fat:reuters_annual_source_window.fat&amp;display_string=Audit&amp;DYN_ARGS=TRUE&amp;VAR:ID1=80660510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156__FDSAUDITLINK__" localSheetId="9" hidden="1">{"fdsup://IBCentral/FAT Viewer?action=UPDATE&amp;creator=factset&amp;DOC_NAME=fat:reuters_annual_source_window.fat&amp;display_string=Audit&amp;DYN_ARGS=TRUE&amp;VAR:ID1=80660510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156__FDSAUDITLINK__" hidden="1">{"fdsup://IBCentral/FAT Viewer?action=UPDATE&amp;creator=factset&amp;DOC_NAME=fat:reuters_annual_source_window.fat&amp;display_string=Audit&amp;DYN_ARGS=TRUE&amp;VAR:ID1=80660510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157__FDSAUDITLINK__" localSheetId="10" hidden="1">{"fdsup://IBCentral/FAT Viewer?action=UPDATE&amp;creator=factset&amp;DOC_NAME=fat:reuters_annual_source_window.fat&amp;display_string=Audit&amp;DYN_ARGS=TRUE&amp;VAR:ID1=80660510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57__FDSAUDITLINK__" localSheetId="9" hidden="1">{"fdsup://IBCentral/FAT Viewer?action=UPDATE&amp;creator=factset&amp;DOC_NAME=fat:reuters_annual_source_window.fat&amp;display_string=Audit&amp;DYN_ARGS=TRUE&amp;VAR:ID1=80660510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57__FDSAUDITLINK__" hidden="1">{"fdsup://IBCentral/FAT Viewer?action=UPDATE&amp;creator=factset&amp;DOC_NAME=fat:reuters_annual_source_window.fat&amp;display_string=Audit&amp;DYN_ARGS=TRUE&amp;VAR:ID1=80660510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58__FDSAUDITLINK__" localSheetId="10" hidden="1">{"fdsup://IBCentral/FAT Viewer?action=UPDATE&amp;creator=factset&amp;DOC_NAME=fat:reuters_annual_source_window.fat&amp;display_string=Audit&amp;DYN_ARGS=TRUE&amp;VAR:ID1=80660510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158__FDSAUDITLINK__" localSheetId="9" hidden="1">{"fdsup://IBCentral/FAT Viewer?action=UPDATE&amp;creator=factset&amp;DOC_NAME=fat:reuters_annual_source_window.fat&amp;display_string=Audit&amp;DYN_ARGS=TRUE&amp;VAR:ID1=80660510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158__FDSAUDITLINK__" hidden="1">{"fdsup://IBCentral/FAT Viewer?action=UPDATE&amp;creator=factset&amp;DOC_NAME=fat:reuters_annual_source_window.fat&amp;display_string=Audit&amp;DYN_ARGS=TRUE&amp;VAR:ID1=80660510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159__FDSAUDITLINK__" localSheetId="10" hidden="1">{"fdsup://IBCentral/FAT Viewer?action=UPDATE&amp;creator=factset&amp;DOC_NAME=fat:reuters_annual_source_window.fat&amp;display_string=Audit&amp;DYN_ARGS=TRUE&amp;VAR:ID1=71708110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59__FDSAUDITLINK__" localSheetId="9" hidden="1">{"fdsup://IBCentral/FAT Viewer?action=UPDATE&amp;creator=factset&amp;DOC_NAME=fat:reuters_annual_source_window.fat&amp;display_string=Audit&amp;DYN_ARGS=TRUE&amp;VAR:ID1=71708110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59__FDSAUDITLINK__" hidden="1">{"fdsup://IBCentral/FAT Viewer?action=UPDATE&amp;creator=factset&amp;DOC_NAME=fat:reuters_annual_source_window.fat&amp;display_string=Audit&amp;DYN_ARGS=TRUE&amp;VAR:ID1=71708110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6__FDSAUDITLINK__" localSheetId="10" hidden="1">{"fdsup://IBCentral/FAT Viewer?action=UPDATE&amp;creator=factset&amp;DOC_NAME=fat:reuters_qtrly_source_window.fat&amp;display_string=Audit&amp;DYN_ARGS=TRUE&amp;VAR:ID1=22208310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6__FDSAUDITLINK__" localSheetId="9" hidden="1">{"fdsup://IBCentral/FAT Viewer?action=UPDATE&amp;creator=factset&amp;DOC_NAME=fat:reuters_qtrly_source_window.fat&amp;display_string=Audit&amp;DYN_ARGS=TRUE&amp;VAR:ID1=22208310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6__FDSAUDITLINK__" hidden="1">{"fdsup://IBCentral/FAT Viewer?action=UPDATE&amp;creator=factset&amp;DOC_NAME=fat:reuters_qtrly_source_window.fat&amp;display_string=Audit&amp;DYN_ARGS=TRUE&amp;VAR:ID1=22208310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60__FDSAUDITLINK__" localSheetId="10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" localSheetId="9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1" localSheetId="10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1" localSheetId="9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1__FDSAUDITLINK__" localSheetId="10" hidden="1">{"fdsup://IBCentral/FAT Viewer?action=UPDATE&amp;creator=factset&amp;DOC_NAME=fat:reuters_annual_source_window.fat&amp;display_string=Audit&amp;DYN_ARGS=TRUE&amp;VAR:ID1=71708110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61__FDSAUDITLINK__" localSheetId="9" hidden="1">{"fdsup://IBCentral/FAT Viewer?action=UPDATE&amp;creator=factset&amp;DOC_NAME=fat:reuters_annual_source_window.fat&amp;display_string=Audit&amp;DYN_ARGS=TRUE&amp;VAR:ID1=71708110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61__FDSAUDITLINK__" hidden="1">{"fdsup://IBCentral/FAT Viewer?action=UPDATE&amp;creator=factset&amp;DOC_NAME=fat:reuters_annual_source_window.fat&amp;display_string=Audit&amp;DYN_ARGS=TRUE&amp;VAR:ID1=71708110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62__FDSAUDITLINK__" localSheetId="10" hidden="1">{"fdsup://IBCentral/FAT Viewer?action=UPDATE&amp;creator=factset&amp;DOC_NAME=fat:reuters_annual_source_window.fat&amp;display_string=Audit&amp;DYN_ARGS=TRUE&amp;VAR:ID1=71708110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162__FDSAUDITLINK__" localSheetId="9" hidden="1">{"fdsup://IBCentral/FAT Viewer?action=UPDATE&amp;creator=factset&amp;DOC_NAME=fat:reuters_annual_source_window.fat&amp;display_string=Audit&amp;DYN_ARGS=TRUE&amp;VAR:ID1=71708110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162__FDSAUDITLINK__" hidden="1">{"fdsup://IBCentral/FAT Viewer?action=UPDATE&amp;creator=factset&amp;DOC_NAME=fat:reuters_annual_source_window.fat&amp;display_string=Audit&amp;DYN_ARGS=TRUE&amp;VAR:ID1=71708110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163__FDSAUDITLINK__" localSheetId="10" hidden="1">{"fdsup://IBCentral/FAT Viewer?action=UPDATE&amp;creator=factset&amp;DOC_NAME=fat:reuters_annual_source_window.fat&amp;display_string=Audit&amp;DYN_ARGS=TRUE&amp;VAR:ID1=71708110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163__FDSAUDITLINK__" localSheetId="9" hidden="1">{"fdsup://IBCentral/FAT Viewer?action=UPDATE&amp;creator=factset&amp;DOC_NAME=fat:reuters_annual_source_window.fat&amp;display_string=Audit&amp;DYN_ARGS=TRUE&amp;VAR:ID1=71708110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163__FDSAUDITLINK__" hidden="1">{"fdsup://IBCentral/FAT Viewer?action=UPDATE&amp;creator=factset&amp;DOC_NAME=fat:reuters_annual_source_window.fat&amp;display_string=Audit&amp;DYN_ARGS=TRUE&amp;VAR:ID1=71708110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164__FDSAUDITLINK__" localSheetId="10" hidden="1">{"fdsup://IBCentral/FAT Viewer?action=UPDATE&amp;creator=factset&amp;DOC_NAME=fat:reuters_annual_source_window.fat&amp;display_string=Audit&amp;DYN_ARGS=TRUE&amp;VAR:ID1=71708110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64__FDSAUDITLINK__" localSheetId="9" hidden="1">{"fdsup://IBCentral/FAT Viewer?action=UPDATE&amp;creator=factset&amp;DOC_NAME=fat:reuters_annual_source_window.fat&amp;display_string=Audit&amp;DYN_ARGS=TRUE&amp;VAR:ID1=71708110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64__FDSAUDITLINK__" hidden="1">{"fdsup://IBCentral/FAT Viewer?action=UPDATE&amp;creator=factset&amp;DOC_NAME=fat:reuters_annual_source_window.fat&amp;display_string=Audit&amp;DYN_ARGS=TRUE&amp;VAR:ID1=71708110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65__FDSAUDITLINK__" localSheetId="10" hidden="1">{"fdsup://IBCentral/FAT Viewer?action=UPDATE&amp;creator=factset&amp;DOC_NAME=fat:reuters_annual_source_window.fat&amp;display_string=Audit&amp;DYN_ARGS=TRUE&amp;VAR:ID1=71708110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165__FDSAUDITLINK__" localSheetId="9" hidden="1">{"fdsup://IBCentral/FAT Viewer?action=UPDATE&amp;creator=factset&amp;DOC_NAME=fat:reuters_annual_source_window.fat&amp;display_string=Audit&amp;DYN_ARGS=TRUE&amp;VAR:ID1=71708110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165__FDSAUDITLINK__" hidden="1">{"fdsup://IBCentral/FAT Viewer?action=UPDATE&amp;creator=factset&amp;DOC_NAME=fat:reuters_annual_source_window.fat&amp;display_string=Audit&amp;DYN_ARGS=TRUE&amp;VAR:ID1=71708110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166__FDSAUDITLINK__" localSheetId="10" hidden="1">{"fdsup://IBCentral/FAT Viewer?action=UPDATE&amp;creator=factset&amp;DOC_NAME=fat:reuters_annual_source_window.fat&amp;display_string=Audit&amp;DYN_ARGS=TRUE&amp;VAR:ID1=71708110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66__FDSAUDITLINK__" localSheetId="9" hidden="1">{"fdsup://IBCentral/FAT Viewer?action=UPDATE&amp;creator=factset&amp;DOC_NAME=fat:reuters_annual_source_window.fat&amp;display_string=Audit&amp;DYN_ARGS=TRUE&amp;VAR:ID1=71708110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66__FDSAUDITLINK__" hidden="1">{"fdsup://IBCentral/FAT Viewer?action=UPDATE&amp;creator=factset&amp;DOC_NAME=fat:reuters_annual_source_window.fat&amp;display_string=Audit&amp;DYN_ARGS=TRUE&amp;VAR:ID1=71708110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67__FDSAUDITLINK__" localSheetId="10" hidden="1">{"fdsup://IBCentral/FAT Viewer?action=UPDATE&amp;creator=factset&amp;DOC_NAME=fat:reuters_annual_source_window.fat&amp;display_string=Audit&amp;DYN_ARGS=TRUE&amp;VAR:ID1=71708110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167__FDSAUDITLINK__" localSheetId="9" hidden="1">{"fdsup://IBCentral/FAT Viewer?action=UPDATE&amp;creator=factset&amp;DOC_NAME=fat:reuters_annual_source_window.fat&amp;display_string=Audit&amp;DYN_ARGS=TRUE&amp;VAR:ID1=71708110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167__FDSAUDITLINK__" hidden="1">{"fdsup://IBCentral/FAT Viewer?action=UPDATE&amp;creator=factset&amp;DOC_NAME=fat:reuters_annual_source_window.fat&amp;display_string=Audit&amp;DYN_ARGS=TRUE&amp;VAR:ID1=71708110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168__FDSAUDITLINK__" localSheetId="10" hidden="1">{"fdsup://IBCentral/FAT Viewer?action=UPDATE&amp;creator=factset&amp;DOC_NAME=fat:reuters_annual_source_window.fat&amp;display_string=Audit&amp;DYN_ARGS=TRUE&amp;VAR:ID1=58933110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68__FDSAUDITLINK__" localSheetId="9" hidden="1">{"fdsup://IBCentral/FAT Viewer?action=UPDATE&amp;creator=factset&amp;DOC_NAME=fat:reuters_annual_source_window.fat&amp;display_string=Audit&amp;DYN_ARGS=TRUE&amp;VAR:ID1=58933110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68__FDSAUDITLINK__" hidden="1">{"fdsup://IBCentral/FAT Viewer?action=UPDATE&amp;creator=factset&amp;DOC_NAME=fat:reuters_annual_source_window.fat&amp;display_string=Audit&amp;DYN_ARGS=TRUE&amp;VAR:ID1=58933110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69__FDSAUDITLINK__" localSheetId="10" hidden="1">{"fdsup://IBCentral/FAT Viewer?action=UPDATE&amp;creator=factset&amp;DOC_NAME=fat:reuters_annual_source_window.fat&amp;display_string=Audit&amp;DYN_ARGS=TRUE&amp;VAR:ID1=58933110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169__FDSAUDITLINK__" localSheetId="9" hidden="1">{"fdsup://IBCentral/FAT Viewer?action=UPDATE&amp;creator=factset&amp;DOC_NAME=fat:reuters_annual_source_window.fat&amp;display_string=Audit&amp;DYN_ARGS=TRUE&amp;VAR:ID1=58933110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169__FDSAUDITLINK__" hidden="1">{"fdsup://IBCentral/FAT Viewer?action=UPDATE&amp;creator=factset&amp;DOC_NAME=fat:reuters_annual_source_window.fat&amp;display_string=Audit&amp;DYN_ARGS=TRUE&amp;VAR:ID1=58933110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17__123Graph_CCHART_1" hidden="1">#REF!</definedName>
    <definedName name="_17__FDSAUDITLINK__" localSheetId="10" hidden="1">{"fdsup://IBCentral/FAT Viewer?action=UPDATE&amp;creator=factset&amp;DOC_NAME=fat:reuters_qtrly_source_window.fat&amp;display_string=Audit&amp;DYN_ARGS=TRUE&amp;VAR:ID1=15102010&amp;VAR:RCODE=SCSI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7__FDSAUDITLINK__" localSheetId="9" hidden="1">{"fdsup://IBCentral/FAT Viewer?action=UPDATE&amp;creator=factset&amp;DOC_NAME=fat:reuters_qtrly_source_window.fat&amp;display_string=Audit&amp;DYN_ARGS=TRUE&amp;VAR:ID1=15102010&amp;VAR:RCODE=SCSI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7__FDSAUDITLINK__" hidden="1">{"fdsup://IBCentral/FAT Viewer?action=UPDATE&amp;creator=factset&amp;DOC_NAME=fat:reuters_qtrly_source_window.fat&amp;display_string=Audit&amp;DYN_ARGS=TRUE&amp;VAR:ID1=15102010&amp;VAR:RCODE=SCSI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70__FDSAUDITLINK__" localSheetId="10" hidden="1">{"fdsup://IBCentral/FAT Viewer?action=UPDATE&amp;creator=factset&amp;DOC_NAME=fat:reuters_annual_source_window.fat&amp;display_string=Audit&amp;DYN_ARGS=TRUE&amp;VAR:ID1=58933110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70__FDSAUDITLINK__" localSheetId="9" hidden="1">{"fdsup://IBCentral/FAT Viewer?action=UPDATE&amp;creator=factset&amp;DOC_NAME=fat:reuters_annual_source_window.fat&amp;display_string=Audit&amp;DYN_ARGS=TRUE&amp;VAR:ID1=58933110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70__FDSAUDITLINK__" hidden="1">{"fdsup://IBCentral/FAT Viewer?action=UPDATE&amp;creator=factset&amp;DOC_NAME=fat:reuters_annual_source_window.fat&amp;display_string=Audit&amp;DYN_ARGS=TRUE&amp;VAR:ID1=58933110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71__FDSAUDITLINK__" localSheetId="10" hidden="1">{"fdsup://IBCentral/FAT Viewer?action=UPDATE&amp;creator=factset&amp;DOC_NAME=fat:reuters_annual_source_window.fat&amp;display_string=Audit&amp;DYN_ARGS=TRUE&amp;VAR:ID1=58933110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171__FDSAUDITLINK__" localSheetId="9" hidden="1">{"fdsup://IBCentral/FAT Viewer?action=UPDATE&amp;creator=factset&amp;DOC_NAME=fat:reuters_annual_source_window.fat&amp;display_string=Audit&amp;DYN_ARGS=TRUE&amp;VAR:ID1=58933110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171__FDSAUDITLINK__" hidden="1">{"fdsup://IBCentral/FAT Viewer?action=UPDATE&amp;creator=factset&amp;DOC_NAME=fat:reuters_annual_source_window.fat&amp;display_string=Audit&amp;DYN_ARGS=TRUE&amp;VAR:ID1=58933110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172__FDSAUDITLINK__" localSheetId="10" hidden="1">{"fdsup://IBCentral/FAT Viewer?action=UPDATE&amp;creator=factset&amp;DOC_NAME=fat:reuters_annual_source_window.fat&amp;display_string=Audit&amp;DYN_ARGS=TRUE&amp;VAR:ID1=58933110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172__FDSAUDITLINK__" localSheetId="9" hidden="1">{"fdsup://IBCentral/FAT Viewer?action=UPDATE&amp;creator=factset&amp;DOC_NAME=fat:reuters_annual_source_window.fat&amp;display_string=Audit&amp;DYN_ARGS=TRUE&amp;VAR:ID1=58933110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172__FDSAUDITLINK__" hidden="1">{"fdsup://IBCentral/FAT Viewer?action=UPDATE&amp;creator=factset&amp;DOC_NAME=fat:reuters_annual_source_window.fat&amp;display_string=Audit&amp;DYN_ARGS=TRUE&amp;VAR:ID1=58933110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173__FDSAUDITLINK__" localSheetId="10" hidden="1">{"fdsup://IBCentral/FAT Viewer?action=UPDATE&amp;creator=factset&amp;DOC_NAME=fat:reuters_annual_source_window.fat&amp;display_string=Audit&amp;DYN_ARGS=TRUE&amp;VAR:ID1=58933110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73__FDSAUDITLINK__" localSheetId="9" hidden="1">{"fdsup://IBCentral/FAT Viewer?action=UPDATE&amp;creator=factset&amp;DOC_NAME=fat:reuters_annual_source_window.fat&amp;display_string=Audit&amp;DYN_ARGS=TRUE&amp;VAR:ID1=58933110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73__FDSAUDITLINK__" hidden="1">{"fdsup://IBCentral/FAT Viewer?action=UPDATE&amp;creator=factset&amp;DOC_NAME=fat:reuters_annual_source_window.fat&amp;display_string=Audit&amp;DYN_ARGS=TRUE&amp;VAR:ID1=58933110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74__FDSAUDITLINK__" localSheetId="10" hidden="1">{"fdsup://IBCentral/FAT Viewer?action=UPDATE&amp;creator=factset&amp;DOC_NAME=fat:reuters_annual_source_window.fat&amp;display_string=Audit&amp;DYN_ARGS=TRUE&amp;VAR:ID1=58933110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174__FDSAUDITLINK__" localSheetId="9" hidden="1">{"fdsup://IBCentral/FAT Viewer?action=UPDATE&amp;creator=factset&amp;DOC_NAME=fat:reuters_annual_source_window.fat&amp;display_string=Audit&amp;DYN_ARGS=TRUE&amp;VAR:ID1=58933110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174__FDSAUDITLINK__" hidden="1">{"fdsup://IBCentral/FAT Viewer?action=UPDATE&amp;creator=factset&amp;DOC_NAME=fat:reuters_annual_source_window.fat&amp;display_string=Audit&amp;DYN_ARGS=TRUE&amp;VAR:ID1=58933110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175__FDSAUDITLINK__" localSheetId="10" hidden="1">{"fdsup://IBCentral/FAT Viewer?action=UPDATE&amp;creator=factset&amp;DOC_NAME=fat:reuters_annual_source_window.fat&amp;display_string=Audit&amp;DYN_ARGS=TRUE&amp;VAR:ID1=58933110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75__FDSAUDITLINK__" localSheetId="9" hidden="1">{"fdsup://IBCentral/FAT Viewer?action=UPDATE&amp;creator=factset&amp;DOC_NAME=fat:reuters_annual_source_window.fat&amp;display_string=Audit&amp;DYN_ARGS=TRUE&amp;VAR:ID1=58933110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75__FDSAUDITLINK__" hidden="1">{"fdsup://IBCentral/FAT Viewer?action=UPDATE&amp;creator=factset&amp;DOC_NAME=fat:reuters_annual_source_window.fat&amp;display_string=Audit&amp;DYN_ARGS=TRUE&amp;VAR:ID1=58933110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76__FDSAUDITLINK__" localSheetId="10" hidden="1">{"fdsup://IBCentral/FAT Viewer?action=UPDATE&amp;creator=factset&amp;DOC_NAME=fat:reuters_annual_source_window.fat&amp;display_string=Audit&amp;DYN_ARGS=TRUE&amp;VAR:ID1=58933110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176__FDSAUDITLINK__" localSheetId="9" hidden="1">{"fdsup://IBCentral/FAT Viewer?action=UPDATE&amp;creator=factset&amp;DOC_NAME=fat:reuters_annual_source_window.fat&amp;display_string=Audit&amp;DYN_ARGS=TRUE&amp;VAR:ID1=58933110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176__FDSAUDITLINK__" hidden="1">{"fdsup://IBCentral/FAT Viewer?action=UPDATE&amp;creator=factset&amp;DOC_NAME=fat:reuters_annual_source_window.fat&amp;display_string=Audit&amp;DYN_ARGS=TRUE&amp;VAR:ID1=58933110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177__FDSAUDITLINK__" localSheetId="10" hidden="1">{"fdsup://IBCentral/FAT Viewer?action=UPDATE&amp;creator=factset&amp;DOC_NAME=fat:reuters_annual_source_window.fat&amp;display_string=Audit&amp;DYN_ARGS=TRUE&amp;VAR:ID1=53245710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77__FDSAUDITLINK__" localSheetId="9" hidden="1">{"fdsup://IBCentral/FAT Viewer?action=UPDATE&amp;creator=factset&amp;DOC_NAME=fat:reuters_annual_source_window.fat&amp;display_string=Audit&amp;DYN_ARGS=TRUE&amp;VAR:ID1=53245710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77__FDSAUDITLINK__" hidden="1">{"fdsup://IBCentral/FAT Viewer?action=UPDATE&amp;creator=factset&amp;DOC_NAME=fat:reuters_annual_source_window.fat&amp;display_string=Audit&amp;DYN_ARGS=TRUE&amp;VAR:ID1=53245710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78__FDSAUDITLINK__" localSheetId="10" hidden="1">{"fdsup://IBCentral/FAT Viewer?action=UPDATE&amp;creator=factset&amp;DOC_NAME=fat:reuters_annual_source_window.fat&amp;display_string=Audit&amp;DYN_ARGS=TRUE&amp;VAR:ID1=53245710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178__FDSAUDITLINK__" localSheetId="9" hidden="1">{"fdsup://IBCentral/FAT Viewer?action=UPDATE&amp;creator=factset&amp;DOC_NAME=fat:reuters_annual_source_window.fat&amp;display_string=Audit&amp;DYN_ARGS=TRUE&amp;VAR:ID1=53245710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178__FDSAUDITLINK__" hidden="1">{"fdsup://IBCentral/FAT Viewer?action=UPDATE&amp;creator=factset&amp;DOC_NAME=fat:reuters_annual_source_window.fat&amp;display_string=Audit&amp;DYN_ARGS=TRUE&amp;VAR:ID1=53245710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179__FDSAUDITLINK__" localSheetId="10" hidden="1">{"fdsup://IBCentral/FAT Viewer?action=UPDATE&amp;creator=factset&amp;DOC_NAME=fat:reuters_annual_source_window.fat&amp;display_string=Audit&amp;DYN_ARGS=TRUE&amp;VAR:ID1=53245710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79__FDSAUDITLINK__" localSheetId="9" hidden="1">{"fdsup://IBCentral/FAT Viewer?action=UPDATE&amp;creator=factset&amp;DOC_NAME=fat:reuters_annual_source_window.fat&amp;display_string=Audit&amp;DYN_ARGS=TRUE&amp;VAR:ID1=53245710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79__FDSAUDITLINK__" hidden="1">{"fdsup://IBCentral/FAT Viewer?action=UPDATE&amp;creator=factset&amp;DOC_NAME=fat:reuters_annual_source_window.fat&amp;display_string=Audit&amp;DYN_ARGS=TRUE&amp;VAR:ID1=53245710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8__FDSAUDITLINK__" localSheetId="10" hidden="1">{"fdsup://Directions/FactSet Auditing Viewer?action=AUDIT_VALUE&amp;DB=129&amp;ID1=611330&amp;VALUEID=P05301&amp;SDATE=201102&amp;PERIODTYPE=QTR_STD&amp;SCFT=3&amp;window=popup_no_bar&amp;width=385&amp;height=120&amp;START_MAXIMIZED=FALSE&amp;creator=factset&amp;display_string=Audit"}</definedName>
    <definedName name="_18__FDSAUDITLINK__" localSheetId="9" hidden="1">{"fdsup://Directions/FactSet Auditing Viewer?action=AUDIT_VALUE&amp;DB=129&amp;ID1=611330&amp;VALUEID=P05301&amp;SDATE=201102&amp;PERIODTYPE=QTR_STD&amp;SCFT=3&amp;window=popup_no_bar&amp;width=385&amp;height=120&amp;START_MAXIMIZED=FALSE&amp;creator=factset&amp;display_string=Audit"}</definedName>
    <definedName name="_18__FDSAUDITLINK__" hidden="1">{"fdsup://Directions/FactSet Auditing Viewer?action=AUDIT_VALUE&amp;DB=129&amp;ID1=611330&amp;VALUEID=P05301&amp;SDATE=201102&amp;PERIODTYPE=QTR_STD&amp;SCFT=3&amp;window=popup_no_bar&amp;width=385&amp;height=120&amp;START_MAXIMIZED=FALSE&amp;creator=factset&amp;display_string=Audit"}</definedName>
    <definedName name="_180__FDSAUDITLINK__" localSheetId="10" hidden="1">{"fdsup://IBCentral/FAT Viewer?action=UPDATE&amp;creator=factset&amp;DOC_NAME=fat:reuters_annual_source_window.fat&amp;display_string=Audit&amp;DYN_ARGS=TRUE&amp;VAR:ID1=53245710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180__FDSAUDITLINK__" localSheetId="9" hidden="1">{"fdsup://IBCentral/FAT Viewer?action=UPDATE&amp;creator=factset&amp;DOC_NAME=fat:reuters_annual_source_window.fat&amp;display_string=Audit&amp;DYN_ARGS=TRUE&amp;VAR:ID1=53245710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180__FDSAUDITLINK__" hidden="1">{"fdsup://IBCentral/FAT Viewer?action=UPDATE&amp;creator=factset&amp;DOC_NAME=fat:reuters_annual_source_window.fat&amp;display_string=Audit&amp;DYN_ARGS=TRUE&amp;VAR:ID1=53245710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181__FDSAUDITLINK__" localSheetId="10" hidden="1">{"fdsup://IBCentral/FAT Viewer?action=UPDATE&amp;creator=factset&amp;DOC_NAME=fat:reuters_annual_source_window.fat&amp;display_string=Audit&amp;DYN_ARGS=TRUE&amp;VAR:ID1=53245710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181__FDSAUDITLINK__" localSheetId="9" hidden="1">{"fdsup://IBCentral/FAT Viewer?action=UPDATE&amp;creator=factset&amp;DOC_NAME=fat:reuters_annual_source_window.fat&amp;display_string=Audit&amp;DYN_ARGS=TRUE&amp;VAR:ID1=53245710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181__FDSAUDITLINK__" hidden="1">{"fdsup://IBCentral/FAT Viewer?action=UPDATE&amp;creator=factset&amp;DOC_NAME=fat:reuters_annual_source_window.fat&amp;display_string=Audit&amp;DYN_ARGS=TRUE&amp;VAR:ID1=53245710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182__FDSAUDITLINK__" localSheetId="10" hidden="1">{"fdsup://IBCentral/FAT Viewer?action=UPDATE&amp;creator=factset&amp;DOC_NAME=fat:reuters_annual_source_window.fat&amp;display_string=Audit&amp;DYN_ARGS=TRUE&amp;VAR:ID1=53245710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82__FDSAUDITLINK__" localSheetId="9" hidden="1">{"fdsup://IBCentral/FAT Viewer?action=UPDATE&amp;creator=factset&amp;DOC_NAME=fat:reuters_annual_source_window.fat&amp;display_string=Audit&amp;DYN_ARGS=TRUE&amp;VAR:ID1=53245710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82__FDSAUDITLINK__" hidden="1">{"fdsup://IBCentral/FAT Viewer?action=UPDATE&amp;creator=factset&amp;DOC_NAME=fat:reuters_annual_source_window.fat&amp;display_string=Audit&amp;DYN_ARGS=TRUE&amp;VAR:ID1=53245710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83__FDSAUDITLINK__" localSheetId="10" hidden="1">{"fdsup://IBCentral/FAT Viewer?action=UPDATE&amp;creator=factset&amp;DOC_NAME=fat:reuters_annual_source_window.fat&amp;display_string=Audit&amp;DYN_ARGS=TRUE&amp;VAR:ID1=53245710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183__FDSAUDITLINK__" localSheetId="9" hidden="1">{"fdsup://IBCentral/FAT Viewer?action=UPDATE&amp;creator=factset&amp;DOC_NAME=fat:reuters_annual_source_window.fat&amp;display_string=Audit&amp;DYN_ARGS=TRUE&amp;VAR:ID1=53245710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183__FDSAUDITLINK__" hidden="1">{"fdsup://IBCentral/FAT Viewer?action=UPDATE&amp;creator=factset&amp;DOC_NAME=fat:reuters_annual_source_window.fat&amp;display_string=Audit&amp;DYN_ARGS=TRUE&amp;VAR:ID1=53245710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184__FDSAUDITLINK__" localSheetId="10" hidden="1">{"fdsup://IBCentral/FAT Viewer?action=UPDATE&amp;creator=factset&amp;DOC_NAME=fat:reuters_annual_source_window.fat&amp;display_string=Audit&amp;DYN_ARGS=TRUE&amp;VAR:ID1=53245710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84__FDSAUDITLINK__" localSheetId="9" hidden="1">{"fdsup://IBCentral/FAT Viewer?action=UPDATE&amp;creator=factset&amp;DOC_NAME=fat:reuters_annual_source_window.fat&amp;display_string=Audit&amp;DYN_ARGS=TRUE&amp;VAR:ID1=53245710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84__FDSAUDITLINK__" hidden="1">{"fdsup://IBCentral/FAT Viewer?action=UPDATE&amp;creator=factset&amp;DOC_NAME=fat:reuters_annual_source_window.fat&amp;display_string=Audit&amp;DYN_ARGS=TRUE&amp;VAR:ID1=53245710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85__FDSAUDITLINK__" localSheetId="10" hidden="1">{"fdsup://IBCentral/FAT Viewer?action=UPDATE&amp;creator=factset&amp;DOC_NAME=fat:reuters_annual_source_window.fat&amp;display_string=Audit&amp;DYN_ARGS=TRUE&amp;VAR:ID1=53245710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185__FDSAUDITLINK__" localSheetId="9" hidden="1">{"fdsup://IBCentral/FAT Viewer?action=UPDATE&amp;creator=factset&amp;DOC_NAME=fat:reuters_annual_source_window.fat&amp;display_string=Audit&amp;DYN_ARGS=TRUE&amp;VAR:ID1=53245710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185__FDSAUDITLINK__" hidden="1">{"fdsup://IBCentral/FAT Viewer?action=UPDATE&amp;creator=factset&amp;DOC_NAME=fat:reuters_annual_source_window.fat&amp;display_string=Audit&amp;DYN_ARGS=TRUE&amp;VAR:ID1=53245710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186__FDSAUDITLINK__" localSheetId="10" hidden="1">{"fdsup://IBCentral/FAT Viewer?action=UPDATE&amp;creator=factset&amp;DOC_NAME=fat:reuters_annual_source_window.fat&amp;display_string=Audit&amp;DYN_ARGS=TRUE&amp;VAR:ID1=11012210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86__FDSAUDITLINK__" localSheetId="9" hidden="1">{"fdsup://IBCentral/FAT Viewer?action=UPDATE&amp;creator=factset&amp;DOC_NAME=fat:reuters_annual_source_window.fat&amp;display_string=Audit&amp;DYN_ARGS=TRUE&amp;VAR:ID1=11012210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86__FDSAUDITLINK__" hidden="1">{"fdsup://IBCentral/FAT Viewer?action=UPDATE&amp;creator=factset&amp;DOC_NAME=fat:reuters_annual_source_window.fat&amp;display_string=Audit&amp;DYN_ARGS=TRUE&amp;VAR:ID1=11012210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87__FDSAUDITLINK__" localSheetId="10" hidden="1">{"fdsup://IBCentral/FAT Viewer?action=UPDATE&amp;creator=factset&amp;DOC_NAME=fat:reuters_annual_source_window.fat&amp;display_string=Audit&amp;DYN_ARGS=TRUE&amp;VAR:ID1=11012210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187__FDSAUDITLINK__" localSheetId="9" hidden="1">{"fdsup://IBCentral/FAT Viewer?action=UPDATE&amp;creator=factset&amp;DOC_NAME=fat:reuters_annual_source_window.fat&amp;display_string=Audit&amp;DYN_ARGS=TRUE&amp;VAR:ID1=11012210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187__FDSAUDITLINK__" hidden="1">{"fdsup://IBCentral/FAT Viewer?action=UPDATE&amp;creator=factset&amp;DOC_NAME=fat:reuters_annual_source_window.fat&amp;display_string=Audit&amp;DYN_ARGS=TRUE&amp;VAR:ID1=11012210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188__FDSAUDITLINK__" localSheetId="10" hidden="1">{"fdsup://IBCentral/FAT Viewer?action=UPDATE&amp;creator=factset&amp;DOC_NAME=fat:reuters_annual_source_window.fat&amp;display_string=Audit&amp;DYN_ARGS=TRUE&amp;VAR:ID1=11012210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88__FDSAUDITLINK__" localSheetId="9" hidden="1">{"fdsup://IBCentral/FAT Viewer?action=UPDATE&amp;creator=factset&amp;DOC_NAME=fat:reuters_annual_source_window.fat&amp;display_string=Audit&amp;DYN_ARGS=TRUE&amp;VAR:ID1=11012210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88__FDSAUDITLINK__" hidden="1">{"fdsup://IBCentral/FAT Viewer?action=UPDATE&amp;creator=factset&amp;DOC_NAME=fat:reuters_annual_source_window.fat&amp;display_string=Audit&amp;DYN_ARGS=TRUE&amp;VAR:ID1=11012210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89__FDSAUDITLINK__" localSheetId="10" hidden="1">{"fdsup://IBCentral/FAT Viewer?action=UPDATE&amp;creator=factset&amp;DOC_NAME=fat:reuters_annual_source_window.fat&amp;display_string=Audit&amp;DYN_ARGS=TRUE&amp;VAR:ID1=11012210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189__FDSAUDITLINK__" localSheetId="9" hidden="1">{"fdsup://IBCentral/FAT Viewer?action=UPDATE&amp;creator=factset&amp;DOC_NAME=fat:reuters_annual_source_window.fat&amp;display_string=Audit&amp;DYN_ARGS=TRUE&amp;VAR:ID1=11012210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189__FDSAUDITLINK__" hidden="1">{"fdsup://IBCentral/FAT Viewer?action=UPDATE&amp;creator=factset&amp;DOC_NAME=fat:reuters_annual_source_window.fat&amp;display_string=Audit&amp;DYN_ARGS=TRUE&amp;VAR:ID1=11012210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19__FDSAUDITLINK__" localSheetId="10" hidden="1">{"fdsup://IBCentral/FAT Viewer?action=UPDATE&amp;creator=factset&amp;DOC_NAME=fat:reuters_annual_source_window.fat&amp;display_string=Audit&amp;DYN_ARGS=TRUE&amp;VAR:ID1=98302410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19__FDSAUDITLINK__" localSheetId="9" hidden="1">{"fdsup://IBCentral/FAT Viewer?action=UPDATE&amp;creator=factset&amp;DOC_NAME=fat:reuters_annual_source_window.fat&amp;display_string=Audit&amp;DYN_ARGS=TRUE&amp;VAR:ID1=98302410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19__FDSAUDITLINK__" hidden="1">{"fdsup://IBCentral/FAT Viewer?action=UPDATE&amp;creator=factset&amp;DOC_NAME=fat:reuters_annual_source_window.fat&amp;display_string=Audit&amp;DYN_ARGS=TRUE&amp;VAR:ID1=98302410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190__FDSAUDITLINK__" localSheetId="10" hidden="1">{"fdsup://IBCentral/FAT Viewer?action=UPDATE&amp;creator=factset&amp;DOC_NAME=fat:reuters_annual_source_window.fat&amp;display_string=Audit&amp;DYN_ARGS=TRUE&amp;VAR:ID1=11012210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190__FDSAUDITLINK__" localSheetId="9" hidden="1">{"fdsup://IBCentral/FAT Viewer?action=UPDATE&amp;creator=factset&amp;DOC_NAME=fat:reuters_annual_source_window.fat&amp;display_string=Audit&amp;DYN_ARGS=TRUE&amp;VAR:ID1=11012210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190__FDSAUDITLINK__" hidden="1">{"fdsup://IBCentral/FAT Viewer?action=UPDATE&amp;creator=factset&amp;DOC_NAME=fat:reuters_annual_source_window.fat&amp;display_string=Audit&amp;DYN_ARGS=TRUE&amp;VAR:ID1=11012210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191__FDSAUDITLINK__" localSheetId="10" hidden="1">{"fdsup://IBCentral/FAT Viewer?action=UPDATE&amp;creator=factset&amp;DOC_NAME=fat:reuters_annual_source_window.fat&amp;display_string=Audit&amp;DYN_ARGS=TRUE&amp;VAR:ID1=11012210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91__FDSAUDITLINK__" localSheetId="9" hidden="1">{"fdsup://IBCentral/FAT Viewer?action=UPDATE&amp;creator=factset&amp;DOC_NAME=fat:reuters_annual_source_window.fat&amp;display_string=Audit&amp;DYN_ARGS=TRUE&amp;VAR:ID1=11012210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91__FDSAUDITLINK__" hidden="1">{"fdsup://IBCentral/FAT Viewer?action=UPDATE&amp;creator=factset&amp;DOC_NAME=fat:reuters_annual_source_window.fat&amp;display_string=Audit&amp;DYN_ARGS=TRUE&amp;VAR:ID1=11012210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92__FDSAUDITLINK__" localSheetId="10" hidden="1">{"fdsup://IBCentral/FAT Viewer?action=UPDATE&amp;creator=factset&amp;DOC_NAME=fat:reuters_annual_source_window.fat&amp;display_string=Audit&amp;DYN_ARGS=TRUE&amp;VAR:ID1=11012210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192__FDSAUDITLINK__" localSheetId="9" hidden="1">{"fdsup://IBCentral/FAT Viewer?action=UPDATE&amp;creator=factset&amp;DOC_NAME=fat:reuters_annual_source_window.fat&amp;display_string=Audit&amp;DYN_ARGS=TRUE&amp;VAR:ID1=11012210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192__FDSAUDITLINK__" hidden="1">{"fdsup://IBCentral/FAT Viewer?action=UPDATE&amp;creator=factset&amp;DOC_NAME=fat:reuters_annual_source_window.fat&amp;display_string=Audit&amp;DYN_ARGS=TRUE&amp;VAR:ID1=11012210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193__FDSAUDITLINK__" localSheetId="10" hidden="1">{"fdsup://IBCentral/FAT Viewer?action=UPDATE&amp;creator=factset&amp;DOC_NAME=fat:reuters_annual_source_window.fat&amp;display_string=Audit&amp;DYN_ARGS=TRUE&amp;VAR:ID1=11012210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93__FDSAUDITLINK__" localSheetId="9" hidden="1">{"fdsup://IBCentral/FAT Viewer?action=UPDATE&amp;creator=factset&amp;DOC_NAME=fat:reuters_annual_source_window.fat&amp;display_string=Audit&amp;DYN_ARGS=TRUE&amp;VAR:ID1=11012210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93__FDSAUDITLINK__" hidden="1">{"fdsup://IBCentral/FAT Viewer?action=UPDATE&amp;creator=factset&amp;DOC_NAME=fat:reuters_annual_source_window.fat&amp;display_string=Audit&amp;DYN_ARGS=TRUE&amp;VAR:ID1=11012210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94__FDSAUDITLINK__" localSheetId="10" hidden="1">{"fdsup://IBCentral/FAT Viewer?action=UPDATE&amp;creator=factset&amp;DOC_NAME=fat:reuters_annual_source_window.fat&amp;display_string=Audit&amp;DYN_ARGS=TRUE&amp;VAR:ID1=11012210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194__FDSAUDITLINK__" localSheetId="9" hidden="1">{"fdsup://IBCentral/FAT Viewer?action=UPDATE&amp;creator=factset&amp;DOC_NAME=fat:reuters_annual_source_window.fat&amp;display_string=Audit&amp;DYN_ARGS=TRUE&amp;VAR:ID1=11012210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194__FDSAUDITLINK__" hidden="1">{"fdsup://IBCentral/FAT Viewer?action=UPDATE&amp;creator=factset&amp;DOC_NAME=fat:reuters_annual_source_window.fat&amp;display_string=Audit&amp;DYN_ARGS=TRUE&amp;VAR:ID1=11012210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195__FDSAUDITLINK__" localSheetId="10" hidden="1">{"fdsup://IBCentral/FAT Viewer?action=UPDATE&amp;creator=factset&amp;DOC_NAME=fat:reuters_annual_source_window.fat&amp;display_string=Audit&amp;DYN_ARGS=TRUE&amp;VAR:ID1=37291710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95__FDSAUDITLINK__" localSheetId="9" hidden="1">{"fdsup://IBCentral/FAT Viewer?action=UPDATE&amp;creator=factset&amp;DOC_NAME=fat:reuters_annual_source_window.fat&amp;display_string=Audit&amp;DYN_ARGS=TRUE&amp;VAR:ID1=37291710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95__FDSAUDITLINK__" hidden="1">{"fdsup://IBCentral/FAT Viewer?action=UPDATE&amp;creator=factset&amp;DOC_NAME=fat:reuters_annual_source_window.fat&amp;display_string=Audit&amp;DYN_ARGS=TRUE&amp;VAR:ID1=37291710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96__FDSAUDITLINK__" localSheetId="10" hidden="1">{"fdsup://IBCentral/FAT Viewer?action=UPDATE&amp;creator=factset&amp;DOC_NAME=fat:reuters_annual_source_window.fat&amp;display_string=Audit&amp;DYN_ARGS=TRUE&amp;VAR:ID1=37291710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196__FDSAUDITLINK__" localSheetId="9" hidden="1">{"fdsup://IBCentral/FAT Viewer?action=UPDATE&amp;creator=factset&amp;DOC_NAME=fat:reuters_annual_source_window.fat&amp;display_string=Audit&amp;DYN_ARGS=TRUE&amp;VAR:ID1=37291710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196__FDSAUDITLINK__" hidden="1">{"fdsup://IBCentral/FAT Viewer?action=UPDATE&amp;creator=factset&amp;DOC_NAME=fat:reuters_annual_source_window.fat&amp;display_string=Audit&amp;DYN_ARGS=TRUE&amp;VAR:ID1=37291710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197__FDSAUDITLINK__" localSheetId="10" hidden="1">{"fdsup://IBCentral/FAT Viewer?action=UPDATE&amp;creator=factset&amp;DOC_NAME=fat:reuters_annual_source_window.fat&amp;display_string=Audit&amp;DYN_ARGS=TRUE&amp;VAR:ID1=37291710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97__FDSAUDITLINK__" localSheetId="9" hidden="1">{"fdsup://IBCentral/FAT Viewer?action=UPDATE&amp;creator=factset&amp;DOC_NAME=fat:reuters_annual_source_window.fat&amp;display_string=Audit&amp;DYN_ARGS=TRUE&amp;VAR:ID1=37291710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97__FDSAUDITLINK__" hidden="1">{"fdsup://IBCentral/FAT Viewer?action=UPDATE&amp;creator=factset&amp;DOC_NAME=fat:reuters_annual_source_window.fat&amp;display_string=Audit&amp;DYN_ARGS=TRUE&amp;VAR:ID1=37291710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98__FDSAUDITLINK__" localSheetId="10" hidden="1">{"fdsup://IBCentral/FAT Viewer?action=UPDATE&amp;creator=factset&amp;DOC_NAME=fat:reuters_annual_source_window.fat&amp;display_string=Audit&amp;DYN_ARGS=TRUE&amp;VAR:ID1=37291710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198__FDSAUDITLINK__" localSheetId="9" hidden="1">{"fdsup://IBCentral/FAT Viewer?action=UPDATE&amp;creator=factset&amp;DOC_NAME=fat:reuters_annual_source_window.fat&amp;display_string=Audit&amp;DYN_ARGS=TRUE&amp;VAR:ID1=37291710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198__FDSAUDITLINK__" hidden="1">{"fdsup://IBCentral/FAT Viewer?action=UPDATE&amp;creator=factset&amp;DOC_NAME=fat:reuters_annual_source_window.fat&amp;display_string=Audit&amp;DYN_ARGS=TRUE&amp;VAR:ID1=37291710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199__FDSAUDITLINK__" localSheetId="10" hidden="1">{"fdsup://IBCentral/FAT Viewer?action=UPDATE&amp;creator=factset&amp;DOC_NAME=fat:reuters_annual_source_window.fat&amp;display_string=Audit&amp;DYN_ARGS=TRUE&amp;VAR:ID1=37291710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199__FDSAUDITLINK__" localSheetId="9" hidden="1">{"fdsup://IBCentral/FAT Viewer?action=UPDATE&amp;creator=factset&amp;DOC_NAME=fat:reuters_annual_source_window.fat&amp;display_string=Audit&amp;DYN_ARGS=TRUE&amp;VAR:ID1=37291710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199__FDSAUDITLINK__" hidden="1">{"fdsup://IBCentral/FAT Viewer?action=UPDATE&amp;creator=factset&amp;DOC_NAME=fat:reuters_annual_source_window.fat&amp;display_string=Audit&amp;DYN_ARGS=TRUE&amp;VAR:ID1=37291710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1K" hidden="1">#REF!</definedName>
    <definedName name="_2__123Graph_ACHART_1" hidden="1">#REF!</definedName>
    <definedName name="_2__123Graph_ACHART_2" hidden="1">#REF!</definedName>
    <definedName name="_2__123Graph_B__LTR" hidden="1">#REF!</definedName>
    <definedName name="_2__123Graph_BChart_1A" hidden="1">#N/A</definedName>
    <definedName name="_2__FDSAUDITLINK__" localSheetId="10" hidden="1">{"fdsup://directions/FAT Viewer?action=UPDATE&amp;creator=factset&amp;DYN_ARGS=TRUE&amp;DOC_NAME=FAT:FQL_AUDITING_CLIENT_TEMPLATE.FAT&amp;display_string=Audit&amp;VAR:KEY=JIPAJGJMLO&amp;VAR:QUERY=RkZfQlBTX1RBTkcoQU5OLDQwMzI2KQ==&amp;WINDOW=FIRST_POPUP&amp;HEIGHT=450&amp;WIDTH=450&amp;START_MAXIMI","ZED=FALSE&amp;VAR:CALENDAR=US&amp;VAR:SYMBOL=DIOD&amp;VAR:INDEX=0"}</definedName>
    <definedName name="_2__FDSAUDITLINK__" localSheetId="9" hidden="1">{"fdsup://directions/FAT Viewer?action=UPDATE&amp;creator=factset&amp;DYN_ARGS=TRUE&amp;DOC_NAME=FAT:FQL_AUDITING_CLIENT_TEMPLATE.FAT&amp;display_string=Audit&amp;VAR:KEY=JIPAJGJMLO&amp;VAR:QUERY=RkZfQlBTX1RBTkcoQU5OLDQwMzI2KQ==&amp;WINDOW=FIRST_POPUP&amp;HEIGHT=450&amp;WIDTH=450&amp;START_MAXIMI","ZED=FALSE&amp;VAR:CALENDAR=US&amp;VAR:SYMBOL=DIOD&amp;VAR:INDEX=0"}</definedName>
    <definedName name="_2__FDSAUDITLINK__" hidden="1">{"fdsup://directions/FAT Viewer?action=UPDATE&amp;creator=factset&amp;DYN_ARGS=TRUE&amp;DOC_NAME=FAT:FQL_AUDITING_CLIENT_TEMPLATE.FAT&amp;display_string=Audit&amp;VAR:KEY=JIPAJGJMLO&amp;VAR:QUERY=RkZfQlBTX1RBTkcoQU5OLDQwMzI2KQ==&amp;WINDOW=FIRST_POPUP&amp;HEIGHT=450&amp;WIDTH=450&amp;START_MAXIMI","ZED=FALSE&amp;VAR:CALENDAR=US&amp;VAR:SYMBOL=DIOD&amp;VAR:INDEX=0"}</definedName>
    <definedName name="_2__FDSAUDITLINK___1" localSheetId="10" hidden="1">{"fdsup://directions/FAT Viewer?action=UPDATE&amp;creator=factset&amp;DYN_ARGS=TRUE&amp;DOC_NAME=FAT:FQL_AUDITING_CLIENT_TEMPLATE.FAT&amp;display_string=Audit&amp;VAR:KEY=JIPAJGJMLO&amp;VAR:QUERY=RkZfQlBTX1RBTkcoQU5OLDQwMzI2KQ==&amp;WINDOW=FIRST_POPUP&amp;HEIGHT=450&amp;WIDTH=450&amp;START_MAXIMI","ZED=FALSE&amp;VAR:CALENDAR=US&amp;VAR:SYMBOL=DIOD&amp;VAR:INDEX=0"}</definedName>
    <definedName name="_2__FDSAUDITLINK___1" localSheetId="9" hidden="1">{"fdsup://directions/FAT Viewer?action=UPDATE&amp;creator=factset&amp;DYN_ARGS=TRUE&amp;DOC_NAME=FAT:FQL_AUDITING_CLIENT_TEMPLATE.FAT&amp;display_string=Audit&amp;VAR:KEY=JIPAJGJMLO&amp;VAR:QUERY=RkZfQlBTX1RBTkcoQU5OLDQwMzI2KQ==&amp;WINDOW=FIRST_POPUP&amp;HEIGHT=450&amp;WIDTH=450&amp;START_MAXIMI","ZED=FALSE&amp;VAR:CALENDAR=US&amp;VAR:SYMBOL=DIOD&amp;VAR:INDEX=0"}</definedName>
    <definedName name="_2__FDSAUDITLINK___1" hidden="1">{"fdsup://directions/FAT Viewer?action=UPDATE&amp;creator=factset&amp;DYN_ARGS=TRUE&amp;DOC_NAME=FAT:FQL_AUDITING_CLIENT_TEMPLATE.FAT&amp;display_string=Audit&amp;VAR:KEY=JIPAJGJMLO&amp;VAR:QUERY=RkZfQlBTX1RBTkcoQU5OLDQwMzI2KQ==&amp;WINDOW=FIRST_POPUP&amp;HEIGHT=450&amp;WIDTH=450&amp;START_MAXIMI","ZED=FALSE&amp;VAR:CALENDAR=US&amp;VAR:SYMBOL=DIOD&amp;VAR:INDEX=0"}</definedName>
    <definedName name="_2_0_0_S" hidden="1">#REF!</definedName>
    <definedName name="_20__FDSAUDITLINK__" localSheetId="10" hidden="1">{"fdsup://IBCentral/FAT Viewer?action=UPDATE&amp;creator=factset&amp;DOC_NAME=fat:reuters_annual_source_window.fat&amp;display_string=Audit&amp;DYN_ARGS=TRUE&amp;VAR:ID1=80660510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0__FDSAUDITLINK__" localSheetId="9" hidden="1">{"fdsup://IBCentral/FAT Viewer?action=UPDATE&amp;creator=factset&amp;DOC_NAME=fat:reuters_annual_source_window.fat&amp;display_string=Audit&amp;DYN_ARGS=TRUE&amp;VAR:ID1=80660510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0__FDSAUDITLINK__" hidden="1">{"fdsup://IBCentral/FAT Viewer?action=UPDATE&amp;creator=factset&amp;DOC_NAME=fat:reuters_annual_source_window.fat&amp;display_string=Audit&amp;DYN_ARGS=TRUE&amp;VAR:ID1=80660510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00__FDSAUDITLINK__" localSheetId="10" hidden="1">{"fdsup://IBCentral/FAT Viewer?action=UPDATE&amp;creator=factset&amp;DOC_NAME=fat:reuters_annual_source_window.fat&amp;display_string=Audit&amp;DYN_ARGS=TRUE&amp;VAR:ID1=37291710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00__FDSAUDITLINK__" localSheetId="9" hidden="1">{"fdsup://IBCentral/FAT Viewer?action=UPDATE&amp;creator=factset&amp;DOC_NAME=fat:reuters_annual_source_window.fat&amp;display_string=Audit&amp;DYN_ARGS=TRUE&amp;VAR:ID1=37291710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00__FDSAUDITLINK__" hidden="1">{"fdsup://IBCentral/FAT Viewer?action=UPDATE&amp;creator=factset&amp;DOC_NAME=fat:reuters_annual_source_window.fat&amp;display_string=Audit&amp;DYN_ARGS=TRUE&amp;VAR:ID1=37291710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01__FDSAUDITLINK__" localSheetId="10" hidden="1">{"fdsup://IBCentral/FAT Viewer?action=UPDATE&amp;creator=factset&amp;DOC_NAME=fat:reuters_annual_source_window.fat&amp;display_string=Audit&amp;DYN_ARGS=TRUE&amp;VAR:ID1=37291710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201__FDSAUDITLINK__" localSheetId="9" hidden="1">{"fdsup://IBCentral/FAT Viewer?action=UPDATE&amp;creator=factset&amp;DOC_NAME=fat:reuters_annual_source_window.fat&amp;display_string=Audit&amp;DYN_ARGS=TRUE&amp;VAR:ID1=37291710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201__FDSAUDITLINK__" hidden="1">{"fdsup://IBCentral/FAT Viewer?action=UPDATE&amp;creator=factset&amp;DOC_NAME=fat:reuters_annual_source_window.fat&amp;display_string=Audit&amp;DYN_ARGS=TRUE&amp;VAR:ID1=37291710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202__FDSAUDITLINK__" localSheetId="10" hidden="1">{"fdsup://IBCentral/FAT Viewer?action=UPDATE&amp;creator=factset&amp;DOC_NAME=fat:reuters_annual_source_window.fat&amp;display_string=Audit&amp;DYN_ARGS=TRUE&amp;VAR:ID1=37291710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202__FDSAUDITLINK__" localSheetId="9" hidden="1">{"fdsup://IBCentral/FAT Viewer?action=UPDATE&amp;creator=factset&amp;DOC_NAME=fat:reuters_annual_source_window.fat&amp;display_string=Audit&amp;DYN_ARGS=TRUE&amp;VAR:ID1=37291710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202__FDSAUDITLINK__" hidden="1">{"fdsup://IBCentral/FAT Viewer?action=UPDATE&amp;creator=factset&amp;DOC_NAME=fat:reuters_annual_source_window.fat&amp;display_string=Audit&amp;DYN_ARGS=TRUE&amp;VAR:ID1=37291710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203__FDSAUDITLINK__" localSheetId="10" hidden="1">{"fdsup://IBCentral/FAT Viewer?action=UPDATE&amp;creator=factset&amp;DOC_NAME=fat:reuters_annual_source_window.fat&amp;display_string=Audit&amp;DYN_ARGS=TRUE&amp;VAR:ID1=36871040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03__FDSAUDITLINK__" localSheetId="9" hidden="1">{"fdsup://IBCentral/FAT Viewer?action=UPDATE&amp;creator=factset&amp;DOC_NAME=fat:reuters_annual_source_window.fat&amp;display_string=Audit&amp;DYN_ARGS=TRUE&amp;VAR:ID1=36871040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03__FDSAUDITLINK__" hidden="1">{"fdsup://IBCentral/FAT Viewer?action=UPDATE&amp;creator=factset&amp;DOC_NAME=fat:reuters_annual_source_window.fat&amp;display_string=Audit&amp;DYN_ARGS=TRUE&amp;VAR:ID1=36871040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04__FDSAUDITLINK__" localSheetId="10" hidden="1">{"fdsup://IBCentral/FAT Viewer?action=UPDATE&amp;creator=factset&amp;DOC_NAME=fat:reuters_annual_source_window.fat&amp;display_string=Audit&amp;DYN_ARGS=TRUE&amp;VAR:ID1=36871040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204__FDSAUDITLINK__" localSheetId="9" hidden="1">{"fdsup://IBCentral/FAT Viewer?action=UPDATE&amp;creator=factset&amp;DOC_NAME=fat:reuters_annual_source_window.fat&amp;display_string=Audit&amp;DYN_ARGS=TRUE&amp;VAR:ID1=36871040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204__FDSAUDITLINK__" hidden="1">{"fdsup://IBCentral/FAT Viewer?action=UPDATE&amp;creator=factset&amp;DOC_NAME=fat:reuters_annual_source_window.fat&amp;display_string=Audit&amp;DYN_ARGS=TRUE&amp;VAR:ID1=36871040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205__FDSAUDITLINK__" localSheetId="10" hidden="1">{"fdsup://IBCentral/FAT Viewer?action=UPDATE&amp;creator=factset&amp;DOC_NAME=fat:reuters_annual_source_window.fat&amp;display_string=Audit&amp;DYN_ARGS=TRUE&amp;VAR:ID1=36871040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205__FDSAUDITLINK__" localSheetId="9" hidden="1">{"fdsup://IBCentral/FAT Viewer?action=UPDATE&amp;creator=factset&amp;DOC_NAME=fat:reuters_annual_source_window.fat&amp;display_string=Audit&amp;DYN_ARGS=TRUE&amp;VAR:ID1=36871040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205__FDSAUDITLINK__" hidden="1">{"fdsup://IBCentral/FAT Viewer?action=UPDATE&amp;creator=factset&amp;DOC_NAME=fat:reuters_annual_source_window.fat&amp;display_string=Audit&amp;DYN_ARGS=TRUE&amp;VAR:ID1=36871040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206__FDSAUDITLINK__" localSheetId="10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" localSheetId="9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1" localSheetId="10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1" localSheetId="9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7__FDSAUDITLINK__" localSheetId="10" hidden="1">{"fdsup://IBCentral/FAT Viewer?action=UPDATE&amp;creator=factset&amp;DOC_NAME=fat:reuters_annual_source_window.fat&amp;display_string=Audit&amp;DYN_ARGS=TRUE&amp;VAR:ID1=36871040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207__FDSAUDITLINK__" localSheetId="9" hidden="1">{"fdsup://IBCentral/FAT Viewer?action=UPDATE&amp;creator=factset&amp;DOC_NAME=fat:reuters_annual_source_window.fat&amp;display_string=Audit&amp;DYN_ARGS=TRUE&amp;VAR:ID1=36871040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207__FDSAUDITLINK__" hidden="1">{"fdsup://IBCentral/FAT Viewer?action=UPDATE&amp;creator=factset&amp;DOC_NAME=fat:reuters_annual_source_window.fat&amp;display_string=Audit&amp;DYN_ARGS=TRUE&amp;VAR:ID1=36871040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208__FDSAUDITLINK__" localSheetId="10" hidden="1">{"fdsup://IBCentral/FAT Viewer?action=UPDATE&amp;creator=factset&amp;DOC_NAME=fat:reuters_annual_source_window.fat&amp;display_string=Audit&amp;DYN_ARGS=TRUE&amp;VAR:ID1=36871040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08__FDSAUDITLINK__" localSheetId="9" hidden="1">{"fdsup://IBCentral/FAT Viewer?action=UPDATE&amp;creator=factset&amp;DOC_NAME=fat:reuters_annual_source_window.fat&amp;display_string=Audit&amp;DYN_ARGS=TRUE&amp;VAR:ID1=36871040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08__FDSAUDITLINK__" hidden="1">{"fdsup://IBCentral/FAT Viewer?action=UPDATE&amp;creator=factset&amp;DOC_NAME=fat:reuters_annual_source_window.fat&amp;display_string=Audit&amp;DYN_ARGS=TRUE&amp;VAR:ID1=36871040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09__FDSAUDITLINK__" localSheetId="10" hidden="1">{"fdsup://IBCentral/FAT Viewer?action=UPDATE&amp;creator=factset&amp;DOC_NAME=fat:reuters_annual_source_window.fat&amp;display_string=Audit&amp;DYN_ARGS=TRUE&amp;VAR:ID1=36871040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209__FDSAUDITLINK__" localSheetId="9" hidden="1">{"fdsup://IBCentral/FAT Viewer?action=UPDATE&amp;creator=factset&amp;DOC_NAME=fat:reuters_annual_source_window.fat&amp;display_string=Audit&amp;DYN_ARGS=TRUE&amp;VAR:ID1=36871040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209__FDSAUDITLINK__" hidden="1">{"fdsup://IBCentral/FAT Viewer?action=UPDATE&amp;creator=factset&amp;DOC_NAME=fat:reuters_annual_source_window.fat&amp;display_string=Audit&amp;DYN_ARGS=TRUE&amp;VAR:ID1=36871040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20p1_" localSheetId="1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_20p1_" localSheetId="9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_20p1_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_20p1__1" localSheetId="1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_20p1__1" localSheetId="9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_20p1__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_21__FDSAUDITLINK__" localSheetId="10" hidden="1">{"fdsup://Directions/FactSet Auditing Viewer?action=AUDIT_VALUE&amp;DB=129&amp;ID1=699076&amp;VALUEID=P05301&amp;SDATE=201101&amp;PERIODTYPE=QTR_STD&amp;SCFT=3&amp;window=popup_no_bar&amp;width=385&amp;height=120&amp;START_MAXIMIZED=FALSE&amp;creator=factset&amp;display_string=Audit"}</definedName>
    <definedName name="_21__FDSAUDITLINK__" localSheetId="9" hidden="1">{"fdsup://Directions/FactSet Auditing Viewer?action=AUDIT_VALUE&amp;DB=129&amp;ID1=699076&amp;VALUEID=P05301&amp;SDATE=201101&amp;PERIODTYPE=QTR_STD&amp;SCFT=3&amp;window=popup_no_bar&amp;width=385&amp;height=120&amp;START_MAXIMIZED=FALSE&amp;creator=factset&amp;display_string=Audit"}</definedName>
    <definedName name="_21__FDSAUDITLINK__" hidden="1">{"fdsup://Directions/FactSet Auditing Viewer?action=AUDIT_VALUE&amp;DB=129&amp;ID1=699076&amp;VALUEID=P05301&amp;SDATE=201101&amp;PERIODTYPE=QTR_STD&amp;SCFT=3&amp;window=popup_no_bar&amp;width=385&amp;height=120&amp;START_MAXIMIZED=FALSE&amp;creator=factset&amp;display_string=Audit"}</definedName>
    <definedName name="_210__FDSAUDITLINK__" localSheetId="10" hidden="1">{"fdsup://IBCentral/FAT Viewer?action=UPDATE&amp;creator=factset&amp;DOC_NAME=fat:reuters_annual_source_window.fat&amp;display_string=Audit&amp;DYN_ARGS=TRUE&amp;VAR:ID1=36871040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210__FDSAUDITLINK__" localSheetId="9" hidden="1">{"fdsup://IBCentral/FAT Viewer?action=UPDATE&amp;creator=factset&amp;DOC_NAME=fat:reuters_annual_source_window.fat&amp;display_string=Audit&amp;DYN_ARGS=TRUE&amp;VAR:ID1=36871040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210__FDSAUDITLINK__" hidden="1">{"fdsup://IBCentral/FAT Viewer?action=UPDATE&amp;creator=factset&amp;DOC_NAME=fat:reuters_annual_source_window.fat&amp;display_string=Audit&amp;DYN_ARGS=TRUE&amp;VAR:ID1=36871040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211__FDSAUDITLINK__" localSheetId="10" hidden="1">{"fdsup://IBCentral/FAT Viewer?action=UPDATE&amp;creator=factset&amp;DOC_NAME=fat:reuters_annual_source_window.fat&amp;display_string=Audit&amp;DYN_ARGS=TRUE&amp;VAR:ID1=36871040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211__FDSAUDITLINK__" localSheetId="9" hidden="1">{"fdsup://IBCentral/FAT Viewer?action=UPDATE&amp;creator=factset&amp;DOC_NAME=fat:reuters_annual_source_window.fat&amp;display_string=Audit&amp;DYN_ARGS=TRUE&amp;VAR:ID1=36871040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211__FDSAUDITLINK__" hidden="1">{"fdsup://IBCentral/FAT Viewer?action=UPDATE&amp;creator=factset&amp;DOC_NAME=fat:reuters_annual_source_window.fat&amp;display_string=Audit&amp;DYN_ARGS=TRUE&amp;VAR:ID1=36871040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212__FDSAUDITLINK__" localSheetId="10" hidden="1">{"fdsup://IBCentral/FAT Viewer?action=UPDATE&amp;creator=factset&amp;DOC_NAME=fat:reuters_annual_source_window.fat&amp;display_string=Audit&amp;DYN_ARGS=TRUE&amp;VAR:ID1=15102010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12__FDSAUDITLINK__" localSheetId="9" hidden="1">{"fdsup://IBCentral/FAT Viewer?action=UPDATE&amp;creator=factset&amp;DOC_NAME=fat:reuters_annual_source_window.fat&amp;display_string=Audit&amp;DYN_ARGS=TRUE&amp;VAR:ID1=15102010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12__FDSAUDITLINK__" hidden="1">{"fdsup://IBCentral/FAT Viewer?action=UPDATE&amp;creator=factset&amp;DOC_NAME=fat:reuters_annual_source_window.fat&amp;display_string=Audit&amp;DYN_ARGS=TRUE&amp;VAR:ID1=15102010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13__FDSAUDITLINK__" localSheetId="10" hidden="1">{"fdsup://IBCentral/FAT Viewer?action=UPDATE&amp;creator=factset&amp;DOC_NAME=fat:reuters_annual_source_window.fat&amp;display_string=Audit&amp;DYN_ARGS=TRUE&amp;VAR:ID1=15102010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213__FDSAUDITLINK__" localSheetId="9" hidden="1">{"fdsup://IBCentral/FAT Viewer?action=UPDATE&amp;creator=factset&amp;DOC_NAME=fat:reuters_annual_source_window.fat&amp;display_string=Audit&amp;DYN_ARGS=TRUE&amp;VAR:ID1=15102010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213__FDSAUDITLINK__" hidden="1">{"fdsup://IBCentral/FAT Viewer?action=UPDATE&amp;creator=factset&amp;DOC_NAME=fat:reuters_annual_source_window.fat&amp;display_string=Audit&amp;DYN_ARGS=TRUE&amp;VAR:ID1=15102010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214__FDSAUDITLINK__" localSheetId="10" hidden="1">{"fdsup://IBCentral/FAT Viewer?action=UPDATE&amp;creator=factset&amp;DOC_NAME=fat:reuters_annual_source_window.fat&amp;display_string=Audit&amp;DYN_ARGS=TRUE&amp;VAR:ID1=15102010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214__FDSAUDITLINK__" localSheetId="9" hidden="1">{"fdsup://IBCentral/FAT Viewer?action=UPDATE&amp;creator=factset&amp;DOC_NAME=fat:reuters_annual_source_window.fat&amp;display_string=Audit&amp;DYN_ARGS=TRUE&amp;VAR:ID1=15102010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214__FDSAUDITLINK__" hidden="1">{"fdsup://IBCentral/FAT Viewer?action=UPDATE&amp;creator=factset&amp;DOC_NAME=fat:reuters_annual_source_window.fat&amp;display_string=Audit&amp;DYN_ARGS=TRUE&amp;VAR:ID1=15102010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215__FDSAUDITLINK__" localSheetId="10" hidden="1">{"fdsup://IBCentral/FAT Viewer?action=UPDATE&amp;creator=factset&amp;DOC_NAME=fat:reuters_annual_source_window.fat&amp;display_string=Audit&amp;DYN_ARGS=TRUE&amp;VAR:ID1=15102010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215__FDSAUDITLINK__" localSheetId="9" hidden="1">{"fdsup://IBCentral/FAT Viewer?action=UPDATE&amp;creator=factset&amp;DOC_NAME=fat:reuters_annual_source_window.fat&amp;display_string=Audit&amp;DYN_ARGS=TRUE&amp;VAR:ID1=15102010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215__FDSAUDITLINK__" hidden="1">{"fdsup://IBCentral/FAT Viewer?action=UPDATE&amp;creator=factset&amp;DOC_NAME=fat:reuters_annual_source_window.fat&amp;display_string=Audit&amp;DYN_ARGS=TRUE&amp;VAR:ID1=15102010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216__FDSAUDITLINK__" localSheetId="10" hidden="1">{"fdsup://IBCentral/FAT Viewer?action=UPDATE&amp;creator=factset&amp;DOC_NAME=fat:reuters_annual_source_window.fat&amp;display_string=Audit&amp;DYN_ARGS=TRUE&amp;VAR:ID1=15102010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216__FDSAUDITLINK__" localSheetId="9" hidden="1">{"fdsup://IBCentral/FAT Viewer?action=UPDATE&amp;creator=factset&amp;DOC_NAME=fat:reuters_annual_source_window.fat&amp;display_string=Audit&amp;DYN_ARGS=TRUE&amp;VAR:ID1=15102010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216__FDSAUDITLINK__" hidden="1">{"fdsup://IBCentral/FAT Viewer?action=UPDATE&amp;creator=factset&amp;DOC_NAME=fat:reuters_annual_source_window.fat&amp;display_string=Audit&amp;DYN_ARGS=TRUE&amp;VAR:ID1=15102010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217__FDSAUDITLINK__" localSheetId="10" hidden="1">{"fdsup://IBCentral/FAT Viewer?action=UPDATE&amp;creator=factset&amp;DOC_NAME=fat:reuters_annual_source_window.fat&amp;display_string=Audit&amp;DYN_ARGS=TRUE&amp;VAR:ID1=15102010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17__FDSAUDITLINK__" localSheetId="9" hidden="1">{"fdsup://IBCentral/FAT Viewer?action=UPDATE&amp;creator=factset&amp;DOC_NAME=fat:reuters_annual_source_window.fat&amp;display_string=Audit&amp;DYN_ARGS=TRUE&amp;VAR:ID1=15102010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17__FDSAUDITLINK__" hidden="1">{"fdsup://IBCentral/FAT Viewer?action=UPDATE&amp;creator=factset&amp;DOC_NAME=fat:reuters_annual_source_window.fat&amp;display_string=Audit&amp;DYN_ARGS=TRUE&amp;VAR:ID1=15102010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18__FDSAUDITLINK__" localSheetId="10" hidden="1">{"fdsup://IBCentral/FAT Viewer?action=UPDATE&amp;creator=factset&amp;DOC_NAME=fat:reuters_annual_source_window.fat&amp;display_string=Audit&amp;DYN_ARGS=TRUE&amp;VAR:ID1=15102010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218__FDSAUDITLINK__" localSheetId="9" hidden="1">{"fdsup://IBCentral/FAT Viewer?action=UPDATE&amp;creator=factset&amp;DOC_NAME=fat:reuters_annual_source_window.fat&amp;display_string=Audit&amp;DYN_ARGS=TRUE&amp;VAR:ID1=15102010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218__FDSAUDITLINK__" hidden="1">{"fdsup://IBCentral/FAT Viewer?action=UPDATE&amp;creator=factset&amp;DOC_NAME=fat:reuters_annual_source_window.fat&amp;display_string=Audit&amp;DYN_ARGS=TRUE&amp;VAR:ID1=15102010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219__FDSAUDITLINK__" localSheetId="10" hidden="1">{"fdsup://IBCentral/FAT Viewer?action=UPDATE&amp;creator=factset&amp;DOC_NAME=fat:reuters_annual_source_window.fat&amp;display_string=Audit&amp;DYN_ARGS=TRUE&amp;VAR:ID1=15102010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219__FDSAUDITLINK__" localSheetId="9" hidden="1">{"fdsup://IBCentral/FAT Viewer?action=UPDATE&amp;creator=factset&amp;DOC_NAME=fat:reuters_annual_source_window.fat&amp;display_string=Audit&amp;DYN_ARGS=TRUE&amp;VAR:ID1=15102010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219__FDSAUDITLINK__" hidden="1">{"fdsup://IBCentral/FAT Viewer?action=UPDATE&amp;creator=factset&amp;DOC_NAME=fat:reuters_annual_source_window.fat&amp;display_string=Audit&amp;DYN_ARGS=TRUE&amp;VAR:ID1=15102010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22__FDSAUDITLINK__" localSheetId="10" hidden="1">{"fdsup://IBCentral/FAT Viewer?action=UPDATE&amp;creator=factset&amp;DOC_NAME=fat:reuters_annual_source_window.fat&amp;display_string=Audit&amp;DYN_ARGS=TRUE&amp;VAR:ID1=71708110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2__FDSAUDITLINK__" localSheetId="9" hidden="1">{"fdsup://IBCentral/FAT Viewer?action=UPDATE&amp;creator=factset&amp;DOC_NAME=fat:reuters_annual_source_window.fat&amp;display_string=Audit&amp;DYN_ARGS=TRUE&amp;VAR:ID1=71708110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2__FDSAUDITLINK__" hidden="1">{"fdsup://IBCentral/FAT Viewer?action=UPDATE&amp;creator=factset&amp;DOC_NAME=fat:reuters_annual_source_window.fat&amp;display_string=Audit&amp;DYN_ARGS=TRUE&amp;VAR:ID1=71708110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20__FDSAUDITLINK__" localSheetId="10" hidden="1">{"fdsup://IBCentral/FAT Viewer?action=UPDATE&amp;creator=factset&amp;DOC_NAME=fat:reuters_annual_source_window.fat&amp;display_string=Audit&amp;DYN_ARGS=TRUE&amp;VAR:ID1=15102010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220__FDSAUDITLINK__" localSheetId="9" hidden="1">{"fdsup://IBCentral/FAT Viewer?action=UPDATE&amp;creator=factset&amp;DOC_NAME=fat:reuters_annual_source_window.fat&amp;display_string=Audit&amp;DYN_ARGS=TRUE&amp;VAR:ID1=15102010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220__FDSAUDITLINK__" hidden="1">{"fdsup://IBCentral/FAT Viewer?action=UPDATE&amp;creator=factset&amp;DOC_NAME=fat:reuters_annual_source_window.fat&amp;display_string=Audit&amp;DYN_ARGS=TRUE&amp;VAR:ID1=15102010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221__FDSAUDITLINK__" localSheetId="10" hidden="1">{"fdsup://IBCentral/FAT Viewer?action=UPDATE&amp;creator=factset&amp;DOC_NAME=fat:reuters_annual_source_window.fat&amp;display_string=Audit&amp;DYN_ARGS=TRUE&amp;VAR:ID1=09062X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21__FDSAUDITLINK__" localSheetId="9" hidden="1">{"fdsup://IBCentral/FAT Viewer?action=UPDATE&amp;creator=factset&amp;DOC_NAME=fat:reuters_annual_source_window.fat&amp;display_string=Audit&amp;DYN_ARGS=TRUE&amp;VAR:ID1=09062X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21__FDSAUDITLINK__" hidden="1">{"fdsup://IBCentral/FAT Viewer?action=UPDATE&amp;creator=factset&amp;DOC_NAME=fat:reuters_annual_source_window.fat&amp;display_string=Audit&amp;DYN_ARGS=TRUE&amp;VAR:ID1=09062X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22__FDSAUDITLINK__" localSheetId="10" hidden="1">{"fdsup://IBCentral/FAT Viewer?action=UPDATE&amp;creator=factset&amp;DOC_NAME=fat:reuters_annual_source_window.fat&amp;display_string=Audit&amp;DYN_ARGS=TRUE&amp;VAR:ID1=09062X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222__FDSAUDITLINK__" localSheetId="9" hidden="1">{"fdsup://IBCentral/FAT Viewer?action=UPDATE&amp;creator=factset&amp;DOC_NAME=fat:reuters_annual_source_window.fat&amp;display_string=Audit&amp;DYN_ARGS=TRUE&amp;VAR:ID1=09062X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222__FDSAUDITLINK__" hidden="1">{"fdsup://IBCentral/FAT Viewer?action=UPDATE&amp;creator=factset&amp;DOC_NAME=fat:reuters_annual_source_window.fat&amp;display_string=Audit&amp;DYN_ARGS=TRUE&amp;VAR:ID1=09062X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223__FDSAUDITLINK__" localSheetId="10" hidden="1">{"fdsup://IBCentral/FAT Viewer?action=UPDATE&amp;creator=factset&amp;DOC_NAME=fat:reuters_annual_source_window.fat&amp;display_string=Audit&amp;DYN_ARGS=TRUE&amp;VAR:ID1=09062X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223__FDSAUDITLINK__" localSheetId="9" hidden="1">{"fdsup://IBCentral/FAT Viewer?action=UPDATE&amp;creator=factset&amp;DOC_NAME=fat:reuters_annual_source_window.fat&amp;display_string=Audit&amp;DYN_ARGS=TRUE&amp;VAR:ID1=09062X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223__FDSAUDITLINK__" hidden="1">{"fdsup://IBCentral/FAT Viewer?action=UPDATE&amp;creator=factset&amp;DOC_NAME=fat:reuters_annual_source_window.fat&amp;display_string=Audit&amp;DYN_ARGS=TRUE&amp;VAR:ID1=09062X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224__FDSAUDITLINK__" localSheetId="10" hidden="1">{"fdsup://IBCentral/FAT Viewer?action=UPDATE&amp;creator=factset&amp;DOC_NAME=fat:reuters_annual_source_window.fat&amp;display_string=Audit&amp;DYN_ARGS=TRUE&amp;VAR:ID1=09062X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224__FDSAUDITLINK__" localSheetId="9" hidden="1">{"fdsup://IBCentral/FAT Viewer?action=UPDATE&amp;creator=factset&amp;DOC_NAME=fat:reuters_annual_source_window.fat&amp;display_string=Audit&amp;DYN_ARGS=TRUE&amp;VAR:ID1=09062X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224__FDSAUDITLINK__" hidden="1">{"fdsup://IBCentral/FAT Viewer?action=UPDATE&amp;creator=factset&amp;DOC_NAME=fat:reuters_annual_source_window.fat&amp;display_string=Audit&amp;DYN_ARGS=TRUE&amp;VAR:ID1=09062X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225__FDSAUDITLINK__" localSheetId="10" hidden="1">{"fdsup://IBCentral/FAT Viewer?action=UPDATE&amp;creator=factset&amp;DOC_NAME=fat:reuters_annual_source_window.fat&amp;display_string=Audit&amp;DYN_ARGS=TRUE&amp;VAR:ID1=09062X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225__FDSAUDITLINK__" localSheetId="9" hidden="1">{"fdsup://IBCentral/FAT Viewer?action=UPDATE&amp;creator=factset&amp;DOC_NAME=fat:reuters_annual_source_window.fat&amp;display_string=Audit&amp;DYN_ARGS=TRUE&amp;VAR:ID1=09062X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225__FDSAUDITLINK__" hidden="1">{"fdsup://IBCentral/FAT Viewer?action=UPDATE&amp;creator=factset&amp;DOC_NAME=fat:reuters_annual_source_window.fat&amp;display_string=Audit&amp;DYN_ARGS=TRUE&amp;VAR:ID1=09062X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226__FDSAUDITLINK__" localSheetId="10" hidden="1">{"fdsup://IBCentral/FAT Viewer?action=UPDATE&amp;creator=factset&amp;DOC_NAME=fat:reuters_annual_source_window.fat&amp;display_string=Audit&amp;DYN_ARGS=TRUE&amp;VAR:ID1=09062X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26__FDSAUDITLINK__" localSheetId="9" hidden="1">{"fdsup://IBCentral/FAT Viewer?action=UPDATE&amp;creator=factset&amp;DOC_NAME=fat:reuters_annual_source_window.fat&amp;display_string=Audit&amp;DYN_ARGS=TRUE&amp;VAR:ID1=09062X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26__FDSAUDITLINK__" hidden="1">{"fdsup://IBCentral/FAT Viewer?action=UPDATE&amp;creator=factset&amp;DOC_NAME=fat:reuters_annual_source_window.fat&amp;display_string=Audit&amp;DYN_ARGS=TRUE&amp;VAR:ID1=09062X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27__FDSAUDITLINK__" localSheetId="10" hidden="1">{"fdsup://IBCentral/FAT Viewer?action=UPDATE&amp;creator=factset&amp;DOC_NAME=fat:reuters_annual_source_window.fat&amp;display_string=Audit&amp;DYN_ARGS=TRUE&amp;VAR:ID1=09062X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227__FDSAUDITLINK__" localSheetId="9" hidden="1">{"fdsup://IBCentral/FAT Viewer?action=UPDATE&amp;creator=factset&amp;DOC_NAME=fat:reuters_annual_source_window.fat&amp;display_string=Audit&amp;DYN_ARGS=TRUE&amp;VAR:ID1=09062X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227__FDSAUDITLINK__" hidden="1">{"fdsup://IBCentral/FAT Viewer?action=UPDATE&amp;creator=factset&amp;DOC_NAME=fat:reuters_annual_source_window.fat&amp;display_string=Audit&amp;DYN_ARGS=TRUE&amp;VAR:ID1=09062X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228__FDSAUDITLINK__" localSheetId="10" hidden="1">{"fdsup://IBCentral/FAT Viewer?action=UPDATE&amp;creator=factset&amp;DOC_NAME=fat:reuters_annual_source_window.fat&amp;display_string=Audit&amp;DYN_ARGS=TRUE&amp;VAR:ID1=09062X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228__FDSAUDITLINK__" localSheetId="9" hidden="1">{"fdsup://IBCentral/FAT Viewer?action=UPDATE&amp;creator=factset&amp;DOC_NAME=fat:reuters_annual_source_window.fat&amp;display_string=Audit&amp;DYN_ARGS=TRUE&amp;VAR:ID1=09062X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228__FDSAUDITLINK__" hidden="1">{"fdsup://IBCentral/FAT Viewer?action=UPDATE&amp;creator=factset&amp;DOC_NAME=fat:reuters_annual_source_window.fat&amp;display_string=Audit&amp;DYN_ARGS=TRUE&amp;VAR:ID1=09062X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229__FDSAUDITLINK__" localSheetId="10" hidden="1">{"fdsup://IBCentral/FAT Viewer?action=UPDATE&amp;creator=factset&amp;DOC_NAME=fat:reuters_annual_source_window.fat&amp;display_string=Audit&amp;DYN_ARGS=TRUE&amp;VAR:ID1=09062X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229__FDSAUDITLINK__" localSheetId="9" hidden="1">{"fdsup://IBCentral/FAT Viewer?action=UPDATE&amp;creator=factset&amp;DOC_NAME=fat:reuters_annual_source_window.fat&amp;display_string=Audit&amp;DYN_ARGS=TRUE&amp;VAR:ID1=09062X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229__FDSAUDITLINK__" hidden="1">{"fdsup://IBCentral/FAT Viewer?action=UPDATE&amp;creator=factset&amp;DOC_NAME=fat:reuters_annual_source_window.fat&amp;display_string=Audit&amp;DYN_ARGS=TRUE&amp;VAR:ID1=09062X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22A3_" localSheetId="10" hidden="1">{#N/A,#N/A,FALSE,"단축1";#N/A,#N/A,FALSE,"단축2";#N/A,#N/A,FALSE,"단축3";#N/A,#N/A,FALSE,"장축";#N/A,#N/A,FALSE,"4WD"}</definedName>
    <definedName name="_22A3_" localSheetId="9" hidden="1">{#N/A,#N/A,FALSE,"단축1";#N/A,#N/A,FALSE,"단축2";#N/A,#N/A,FALSE,"단축3";#N/A,#N/A,FALSE,"장축";#N/A,#N/A,FALSE,"4WD"}</definedName>
    <definedName name="_22A3_" hidden="1">{#N/A,#N/A,FALSE,"단축1";#N/A,#N/A,FALSE,"단축2";#N/A,#N/A,FALSE,"단축3";#N/A,#N/A,FALSE,"장축";#N/A,#N/A,FALSE,"4WD"}</definedName>
    <definedName name="_23__FDSAUDITLINK__" localSheetId="10" hidden="1">{"fdsup://IBCentral/FAT Viewer?action=UPDATE&amp;creator=factset&amp;DOC_NAME=fat:reuters_annual_source_window.fat&amp;display_string=Audit&amp;DYN_ARGS=TRUE&amp;VAR:ID1=71708110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3__FDSAUDITLINK__" localSheetId="9" hidden="1">{"fdsup://IBCentral/FAT Viewer?action=UPDATE&amp;creator=factset&amp;DOC_NAME=fat:reuters_annual_source_window.fat&amp;display_string=Audit&amp;DYN_ARGS=TRUE&amp;VAR:ID1=71708110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3__FDSAUDITLINK__" hidden="1">{"fdsup://IBCentral/FAT Viewer?action=UPDATE&amp;creator=factset&amp;DOC_NAME=fat:reuters_annual_source_window.fat&amp;display_string=Audit&amp;DYN_ARGS=TRUE&amp;VAR:ID1=71708110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30__FDSAUDITLINK__" localSheetId="10" hidden="1">{"fdsup://IBCentral/FAT Viewer?action=UPDATE&amp;creator=factset&amp;DOC_NAME=fat:reuters_annual_source_window.fat&amp;display_string=Audit&amp;DYN_ARGS=TRUE&amp;VAR:ID1=03116210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30__FDSAUDITLINK__" localSheetId="9" hidden="1">{"fdsup://IBCentral/FAT Viewer?action=UPDATE&amp;creator=factset&amp;DOC_NAME=fat:reuters_annual_source_window.fat&amp;display_string=Audit&amp;DYN_ARGS=TRUE&amp;VAR:ID1=03116210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30__FDSAUDITLINK__" hidden="1">{"fdsup://IBCentral/FAT Viewer?action=UPDATE&amp;creator=factset&amp;DOC_NAME=fat:reuters_annual_source_window.fat&amp;display_string=Audit&amp;DYN_ARGS=TRUE&amp;VAR:ID1=03116210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31__FDSAUDITLINK__" localSheetId="10" hidden="1">{"fdsup://IBCentral/FAT Viewer?action=UPDATE&amp;creator=factset&amp;DOC_NAME=fat:reuters_annual_source_window.fat&amp;display_string=Audit&amp;DYN_ARGS=TRUE&amp;VAR:ID1=03116210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231__FDSAUDITLINK__" localSheetId="9" hidden="1">{"fdsup://IBCentral/FAT Viewer?action=UPDATE&amp;creator=factset&amp;DOC_NAME=fat:reuters_annual_source_window.fat&amp;display_string=Audit&amp;DYN_ARGS=TRUE&amp;VAR:ID1=03116210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231__FDSAUDITLINK__" hidden="1">{"fdsup://IBCentral/FAT Viewer?action=UPDATE&amp;creator=factset&amp;DOC_NAME=fat:reuters_annual_source_window.fat&amp;display_string=Audit&amp;DYN_ARGS=TRUE&amp;VAR:ID1=03116210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232__FDSAUDITLINK__" localSheetId="10" hidden="1">{"fdsup://IBCentral/FAT Viewer?action=UPDATE&amp;creator=factset&amp;DOC_NAME=fat:reuters_annual_source_window.fat&amp;display_string=Audit&amp;DYN_ARGS=TRUE&amp;VAR:ID1=03116210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232__FDSAUDITLINK__" localSheetId="9" hidden="1">{"fdsup://IBCentral/FAT Viewer?action=UPDATE&amp;creator=factset&amp;DOC_NAME=fat:reuters_annual_source_window.fat&amp;display_string=Audit&amp;DYN_ARGS=TRUE&amp;VAR:ID1=03116210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232__FDSAUDITLINK__" hidden="1">{"fdsup://IBCentral/FAT Viewer?action=UPDATE&amp;creator=factset&amp;DOC_NAME=fat:reuters_annual_source_window.fat&amp;display_string=Audit&amp;DYN_ARGS=TRUE&amp;VAR:ID1=03116210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233__FDSAUDITLINK__" localSheetId="10" hidden="1">{"fdsup://IBCentral/FAT Viewer?action=UPDATE&amp;creator=factset&amp;DOC_NAME=fat:reuters_annual_source_window.fat&amp;display_string=Audit&amp;DYN_ARGS=TRUE&amp;VAR:ID1=03116210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233__FDSAUDITLINK__" localSheetId="9" hidden="1">{"fdsup://IBCentral/FAT Viewer?action=UPDATE&amp;creator=factset&amp;DOC_NAME=fat:reuters_annual_source_window.fat&amp;display_string=Audit&amp;DYN_ARGS=TRUE&amp;VAR:ID1=03116210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233__FDSAUDITLINK__" hidden="1">{"fdsup://IBCentral/FAT Viewer?action=UPDATE&amp;creator=factset&amp;DOC_NAME=fat:reuters_annual_source_window.fat&amp;display_string=Audit&amp;DYN_ARGS=TRUE&amp;VAR:ID1=03116210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234__FDSAUDITLINK__" localSheetId="10" hidden="1">{"fdsup://IBCentral/FAT Viewer?action=UPDATE&amp;creator=factset&amp;DOC_NAME=fat:reuters_annual_source_window.fat&amp;display_string=Audit&amp;DYN_ARGS=TRUE&amp;VAR:ID1=03116210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234__FDSAUDITLINK__" localSheetId="9" hidden="1">{"fdsup://IBCentral/FAT Viewer?action=UPDATE&amp;creator=factset&amp;DOC_NAME=fat:reuters_annual_source_window.fat&amp;display_string=Audit&amp;DYN_ARGS=TRUE&amp;VAR:ID1=03116210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234__FDSAUDITLINK__" hidden="1">{"fdsup://IBCentral/FAT Viewer?action=UPDATE&amp;creator=factset&amp;DOC_NAME=fat:reuters_annual_source_window.fat&amp;display_string=Audit&amp;DYN_ARGS=TRUE&amp;VAR:ID1=03116210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235__FDSAUDITLINK__" localSheetId="10" hidden="1">{"fdsup://IBCentral/FAT Viewer?action=UPDATE&amp;creator=factset&amp;DOC_NAME=fat:reuters_annual_source_window.fat&amp;display_string=Audit&amp;DYN_ARGS=TRUE&amp;VAR:ID1=03116210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35__FDSAUDITLINK__" localSheetId="9" hidden="1">{"fdsup://IBCentral/FAT Viewer?action=UPDATE&amp;creator=factset&amp;DOC_NAME=fat:reuters_annual_source_window.fat&amp;display_string=Audit&amp;DYN_ARGS=TRUE&amp;VAR:ID1=03116210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35__FDSAUDITLINK__" hidden="1">{"fdsup://IBCentral/FAT Viewer?action=UPDATE&amp;creator=factset&amp;DOC_NAME=fat:reuters_annual_source_window.fat&amp;display_string=Audit&amp;DYN_ARGS=TRUE&amp;VAR:ID1=03116210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36__FDSAUDITLINK__" localSheetId="10" hidden="1">{"fdsup://IBCentral/FAT Viewer?action=UPDATE&amp;creator=factset&amp;DOC_NAME=fat:reuters_annual_source_window.fat&amp;display_string=Audit&amp;DYN_ARGS=TRUE&amp;VAR:ID1=03116210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236__FDSAUDITLINK__" localSheetId="9" hidden="1">{"fdsup://IBCentral/FAT Viewer?action=UPDATE&amp;creator=factset&amp;DOC_NAME=fat:reuters_annual_source_window.fat&amp;display_string=Audit&amp;DYN_ARGS=TRUE&amp;VAR:ID1=03116210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236__FDSAUDITLINK__" hidden="1">{"fdsup://IBCentral/FAT Viewer?action=UPDATE&amp;creator=factset&amp;DOC_NAME=fat:reuters_annual_source_window.fat&amp;display_string=Audit&amp;DYN_ARGS=TRUE&amp;VAR:ID1=03116210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237__FDSAUDITLINK__" localSheetId="10" hidden="1">{"fdsup://IBCentral/FAT Viewer?action=UPDATE&amp;creator=factset&amp;DOC_NAME=fat:reuters_annual_source_window.fat&amp;display_string=Audit&amp;DYN_ARGS=TRUE&amp;VAR:ID1=03116210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237__FDSAUDITLINK__" localSheetId="9" hidden="1">{"fdsup://IBCentral/FAT Viewer?action=UPDATE&amp;creator=factset&amp;DOC_NAME=fat:reuters_annual_source_window.fat&amp;display_string=Audit&amp;DYN_ARGS=TRUE&amp;VAR:ID1=03116210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237__FDSAUDITLINK__" hidden="1">{"fdsup://IBCentral/FAT Viewer?action=UPDATE&amp;creator=factset&amp;DOC_NAME=fat:reuters_annual_source_window.fat&amp;display_string=Audit&amp;DYN_ARGS=TRUE&amp;VAR:ID1=03116210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238__FDSAUDITLINK__" localSheetId="10" hidden="1">{"fdsup://IBCentral/FAT Viewer?action=UPDATE&amp;creator=factset&amp;DOC_NAME=fat:reuters_annual_source_window.fat&amp;display_string=Audit&amp;DYN_ARGS=TRUE&amp;VAR:ID1=03116210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238__FDSAUDITLINK__" localSheetId="9" hidden="1">{"fdsup://IBCentral/FAT Viewer?action=UPDATE&amp;creator=factset&amp;DOC_NAME=fat:reuters_annual_source_window.fat&amp;display_string=Audit&amp;DYN_ARGS=TRUE&amp;VAR:ID1=03116210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238__FDSAUDITLINK__" hidden="1">{"fdsup://IBCentral/FAT Viewer?action=UPDATE&amp;creator=factset&amp;DOC_NAME=fat:reuters_annual_source_window.fat&amp;display_string=Audit&amp;DYN_ARGS=TRUE&amp;VAR:ID1=03116210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239__FDSAUDITLINK__" localSheetId="10" hidden="1">{"fdsup://IBCentral/FAT Viewer?action=UPDATE&amp;creator=factset&amp;DOC_NAME=fat:reuters_annual_source_window.fat&amp;display_string=Audit&amp;DYN_ARGS=TRUE&amp;VAR:ID1=98302410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39__FDSAUDITLINK__" localSheetId="9" hidden="1">{"fdsup://IBCentral/FAT Viewer?action=UPDATE&amp;creator=factset&amp;DOC_NAME=fat:reuters_annual_source_window.fat&amp;display_string=Audit&amp;DYN_ARGS=TRUE&amp;VAR:ID1=98302410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39__FDSAUDITLINK__" hidden="1">{"fdsup://IBCentral/FAT Viewer?action=UPDATE&amp;creator=factset&amp;DOC_NAME=fat:reuters_annual_source_window.fat&amp;display_string=Audit&amp;DYN_ARGS=TRUE&amp;VAR:ID1=98302410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4__FDSAUDITLINK__" localSheetId="10" hidden="1">{"fdsup://IBCentral/FAT Viewer?action=UPDATE&amp;creator=factset&amp;DOC_NAME=fat:reuters_annual_source_window.fat&amp;display_string=Audit&amp;DYN_ARGS=TRUE&amp;VAR:ID1=58933110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4__FDSAUDITLINK__" localSheetId="9" hidden="1">{"fdsup://IBCentral/FAT Viewer?action=UPDATE&amp;creator=factset&amp;DOC_NAME=fat:reuters_annual_source_window.fat&amp;display_string=Audit&amp;DYN_ARGS=TRUE&amp;VAR:ID1=58933110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4__FDSAUDITLINK__" hidden="1">{"fdsup://IBCentral/FAT Viewer?action=UPDATE&amp;creator=factset&amp;DOC_NAME=fat:reuters_annual_source_window.fat&amp;display_string=Audit&amp;DYN_ARGS=TRUE&amp;VAR:ID1=58933110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40__FDSAUDITLINK__" localSheetId="10" hidden="1">{"fdsup://IBCentral/FAT Viewer?action=UPDATE&amp;creator=factset&amp;DOC_NAME=fat:reuters_annual_source_window.fat&amp;display_string=Audit&amp;DYN_ARGS=TRUE&amp;VAR:ID1=98302410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40__FDSAUDITLINK__" localSheetId="9" hidden="1">{"fdsup://IBCentral/FAT Viewer?action=UPDATE&amp;creator=factset&amp;DOC_NAME=fat:reuters_annual_source_window.fat&amp;display_string=Audit&amp;DYN_ARGS=TRUE&amp;VAR:ID1=98302410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40__FDSAUDITLINK__" hidden="1">{"fdsup://IBCentral/FAT Viewer?action=UPDATE&amp;creator=factset&amp;DOC_NAME=fat:reuters_annual_source_window.fat&amp;display_string=Audit&amp;DYN_ARGS=TRUE&amp;VAR:ID1=98302410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41__FDSAUDITLINK__" localSheetId="10" hidden="1">{"fdsup://IBCentral/FAT Viewer?action=UPDATE&amp;creator=factset&amp;DOC_NAME=fat:reuters_annual_source_window.fat&amp;display_string=Audit&amp;DYN_ARGS=TRUE&amp;VAR:ID1=80660510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41__FDSAUDITLINK__" localSheetId="9" hidden="1">{"fdsup://IBCentral/FAT Viewer?action=UPDATE&amp;creator=factset&amp;DOC_NAME=fat:reuters_annual_source_window.fat&amp;display_string=Audit&amp;DYN_ARGS=TRUE&amp;VAR:ID1=80660510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41__FDSAUDITLINK__" hidden="1">{"fdsup://IBCentral/FAT Viewer?action=UPDATE&amp;creator=factset&amp;DOC_NAME=fat:reuters_annual_source_window.fat&amp;display_string=Audit&amp;DYN_ARGS=TRUE&amp;VAR:ID1=80660510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42__FDSAUDITLINK__" localSheetId="10" hidden="1">{"fdsup://IBCentral/FAT Viewer?action=UPDATE&amp;creator=factset&amp;DOC_NAME=fat:reuters_annual_source_window.fat&amp;display_string=Audit&amp;DYN_ARGS=TRUE&amp;VAR:ID1=80660510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42__FDSAUDITLINK__" localSheetId="9" hidden="1">{"fdsup://IBCentral/FAT Viewer?action=UPDATE&amp;creator=factset&amp;DOC_NAME=fat:reuters_annual_source_window.fat&amp;display_string=Audit&amp;DYN_ARGS=TRUE&amp;VAR:ID1=80660510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42__FDSAUDITLINK__" hidden="1">{"fdsup://IBCentral/FAT Viewer?action=UPDATE&amp;creator=factset&amp;DOC_NAME=fat:reuters_annual_source_window.fat&amp;display_string=Audit&amp;DYN_ARGS=TRUE&amp;VAR:ID1=80660510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43__FDSAUDITLINK__" localSheetId="10" hidden="1">{"fdsup://IBCentral/FAT Viewer?action=UPDATE&amp;creator=factset&amp;DOC_NAME=fat:reuters_annual_source_window.fat&amp;display_string=Audit&amp;DYN_ARGS=TRUE&amp;VAR:ID1=71708110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43__FDSAUDITLINK__" localSheetId="9" hidden="1">{"fdsup://IBCentral/FAT Viewer?action=UPDATE&amp;creator=factset&amp;DOC_NAME=fat:reuters_annual_source_window.fat&amp;display_string=Audit&amp;DYN_ARGS=TRUE&amp;VAR:ID1=71708110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43__FDSAUDITLINK__" hidden="1">{"fdsup://IBCentral/FAT Viewer?action=UPDATE&amp;creator=factset&amp;DOC_NAME=fat:reuters_annual_source_window.fat&amp;display_string=Audit&amp;DYN_ARGS=TRUE&amp;VAR:ID1=71708110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44__FDSAUDITLINK__" localSheetId="10" hidden="1">{"fdsup://IBCentral/FAT Viewer?action=UPDATE&amp;creator=factset&amp;DOC_NAME=fat:reuters_annual_source_window.fat&amp;display_string=Audit&amp;DYN_ARGS=TRUE&amp;VAR:ID1=71708110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44__FDSAUDITLINK__" localSheetId="9" hidden="1">{"fdsup://IBCentral/FAT Viewer?action=UPDATE&amp;creator=factset&amp;DOC_NAME=fat:reuters_annual_source_window.fat&amp;display_string=Audit&amp;DYN_ARGS=TRUE&amp;VAR:ID1=71708110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44__FDSAUDITLINK__" hidden="1">{"fdsup://IBCentral/FAT Viewer?action=UPDATE&amp;creator=factset&amp;DOC_NAME=fat:reuters_annual_source_window.fat&amp;display_string=Audit&amp;DYN_ARGS=TRUE&amp;VAR:ID1=71708110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45__FDSAUDITLINK__" localSheetId="10" hidden="1">{"fdsup://IBCentral/FAT Viewer?action=UPDATE&amp;creator=factset&amp;DOC_NAME=fat:reuters_annual_source_window.fat&amp;display_string=Audit&amp;DYN_ARGS=TRUE&amp;VAR:ID1=58933110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45__FDSAUDITLINK__" localSheetId="9" hidden="1">{"fdsup://IBCentral/FAT Viewer?action=UPDATE&amp;creator=factset&amp;DOC_NAME=fat:reuters_annual_source_window.fat&amp;display_string=Audit&amp;DYN_ARGS=TRUE&amp;VAR:ID1=58933110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45__FDSAUDITLINK__" hidden="1">{"fdsup://IBCentral/FAT Viewer?action=UPDATE&amp;creator=factset&amp;DOC_NAME=fat:reuters_annual_source_window.fat&amp;display_string=Audit&amp;DYN_ARGS=TRUE&amp;VAR:ID1=58933110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46__FDSAUDITLINK__" localSheetId="10" hidden="1">{"fdsup://IBCentral/FAT Viewer?action=UPDATE&amp;creator=factset&amp;DOC_NAME=fat:reuters_annual_source_window.fat&amp;display_string=Audit&amp;DYN_ARGS=TRUE&amp;VAR:ID1=58933110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46__FDSAUDITLINK__" localSheetId="9" hidden="1">{"fdsup://IBCentral/FAT Viewer?action=UPDATE&amp;creator=factset&amp;DOC_NAME=fat:reuters_annual_source_window.fat&amp;display_string=Audit&amp;DYN_ARGS=TRUE&amp;VAR:ID1=58933110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46__FDSAUDITLINK__" hidden="1">{"fdsup://IBCentral/FAT Viewer?action=UPDATE&amp;creator=factset&amp;DOC_NAME=fat:reuters_annual_source_window.fat&amp;display_string=Audit&amp;DYN_ARGS=TRUE&amp;VAR:ID1=58933110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47__FDSAUDITLINK__" localSheetId="10" hidden="1">{"fdsup://IBCentral/FAT Viewer?action=UPDATE&amp;creator=factset&amp;DOC_NAME=fat:reuters_annual_source_window.fat&amp;display_string=Audit&amp;DYN_ARGS=TRUE&amp;VAR:ID1=53245710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47__FDSAUDITLINK__" localSheetId="9" hidden="1">{"fdsup://IBCentral/FAT Viewer?action=UPDATE&amp;creator=factset&amp;DOC_NAME=fat:reuters_annual_source_window.fat&amp;display_string=Audit&amp;DYN_ARGS=TRUE&amp;VAR:ID1=53245710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47__FDSAUDITLINK__" hidden="1">{"fdsup://IBCentral/FAT Viewer?action=UPDATE&amp;creator=factset&amp;DOC_NAME=fat:reuters_annual_source_window.fat&amp;display_string=Audit&amp;DYN_ARGS=TRUE&amp;VAR:ID1=53245710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48__FDSAUDITLINK__" localSheetId="10" hidden="1">{"fdsup://IBCentral/FAT Viewer?action=UPDATE&amp;creator=factset&amp;DOC_NAME=fat:reuters_annual_source_window.fat&amp;display_string=Audit&amp;DYN_ARGS=TRUE&amp;VAR:ID1=53245710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48__FDSAUDITLINK__" localSheetId="9" hidden="1">{"fdsup://IBCentral/FAT Viewer?action=UPDATE&amp;creator=factset&amp;DOC_NAME=fat:reuters_annual_source_window.fat&amp;display_string=Audit&amp;DYN_ARGS=TRUE&amp;VAR:ID1=53245710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48__FDSAUDITLINK__" hidden="1">{"fdsup://IBCentral/FAT Viewer?action=UPDATE&amp;creator=factset&amp;DOC_NAME=fat:reuters_annual_source_window.fat&amp;display_string=Audit&amp;DYN_ARGS=TRUE&amp;VAR:ID1=53245710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49__FDSAUDITLINK__" localSheetId="10" hidden="1">{"fdsup://IBCentral/FAT Viewer?action=UPDATE&amp;creator=factset&amp;DOC_NAME=fat:reuters_annual_source_window.fat&amp;display_string=Audit&amp;DYN_ARGS=TRUE&amp;VAR:ID1=11012210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49__FDSAUDITLINK__" localSheetId="9" hidden="1">{"fdsup://IBCentral/FAT Viewer?action=UPDATE&amp;creator=factset&amp;DOC_NAME=fat:reuters_annual_source_window.fat&amp;display_string=Audit&amp;DYN_ARGS=TRUE&amp;VAR:ID1=11012210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49__FDSAUDITLINK__" hidden="1">{"fdsup://IBCentral/FAT Viewer?action=UPDATE&amp;creator=factset&amp;DOC_NAME=fat:reuters_annual_source_window.fat&amp;display_string=Audit&amp;DYN_ARGS=TRUE&amp;VAR:ID1=11012210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5__FDSAUDITLINK__" localSheetId="10" hidden="1">{"fdsup://IBCentral/FAT Viewer?action=UPDATE&amp;creator=factset&amp;DOC_NAME=fat:reuters_annual_source_window.fat&amp;display_string=Audit&amp;DYN_ARGS=TRUE&amp;VAR:ID1=58933110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5__FDSAUDITLINK__" localSheetId="9" hidden="1">{"fdsup://IBCentral/FAT Viewer?action=UPDATE&amp;creator=factset&amp;DOC_NAME=fat:reuters_annual_source_window.fat&amp;display_string=Audit&amp;DYN_ARGS=TRUE&amp;VAR:ID1=58933110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5__FDSAUDITLINK__" hidden="1">{"fdsup://IBCentral/FAT Viewer?action=UPDATE&amp;creator=factset&amp;DOC_NAME=fat:reuters_annual_source_window.fat&amp;display_string=Audit&amp;DYN_ARGS=TRUE&amp;VAR:ID1=58933110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50__FDSAUDITLINK__" localSheetId="10" hidden="1">{"fdsup://IBCentral/FAT Viewer?action=UPDATE&amp;creator=factset&amp;DOC_NAME=fat:reuters_annual_source_window.fat&amp;display_string=Audit&amp;DYN_ARGS=TRUE&amp;VAR:ID1=11012210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50__FDSAUDITLINK__" localSheetId="9" hidden="1">{"fdsup://IBCentral/FAT Viewer?action=UPDATE&amp;creator=factset&amp;DOC_NAME=fat:reuters_annual_source_window.fat&amp;display_string=Audit&amp;DYN_ARGS=TRUE&amp;VAR:ID1=11012210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50__FDSAUDITLINK__" hidden="1">{"fdsup://IBCentral/FAT Viewer?action=UPDATE&amp;creator=factset&amp;DOC_NAME=fat:reuters_annual_source_window.fat&amp;display_string=Audit&amp;DYN_ARGS=TRUE&amp;VAR:ID1=11012210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51__FDSAUDITLINK__" localSheetId="10" hidden="1">{"fdsup://IBCentral/FAT Viewer?action=UPDATE&amp;creator=factset&amp;DOC_NAME=fat:reuters_annual_source_window.fat&amp;display_string=Audit&amp;DYN_ARGS=TRUE&amp;VAR:ID1=37291710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51__FDSAUDITLINK__" localSheetId="9" hidden="1">{"fdsup://IBCentral/FAT Viewer?action=UPDATE&amp;creator=factset&amp;DOC_NAME=fat:reuters_annual_source_window.fat&amp;display_string=Audit&amp;DYN_ARGS=TRUE&amp;VAR:ID1=37291710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51__FDSAUDITLINK__" hidden="1">{"fdsup://IBCentral/FAT Viewer?action=UPDATE&amp;creator=factset&amp;DOC_NAME=fat:reuters_annual_source_window.fat&amp;display_string=Audit&amp;DYN_ARGS=TRUE&amp;VAR:ID1=37291710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52__FDSAUDITLINK__" localSheetId="10" hidden="1">{"fdsup://IBCentral/FAT Viewer?action=UPDATE&amp;creator=factset&amp;DOC_NAME=fat:reuters_annual_source_window.fat&amp;display_string=Audit&amp;DYN_ARGS=TRUE&amp;VAR:ID1=37291710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52__FDSAUDITLINK__" localSheetId="9" hidden="1">{"fdsup://IBCentral/FAT Viewer?action=UPDATE&amp;creator=factset&amp;DOC_NAME=fat:reuters_annual_source_window.fat&amp;display_string=Audit&amp;DYN_ARGS=TRUE&amp;VAR:ID1=37291710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52__FDSAUDITLINK__" hidden="1">{"fdsup://IBCentral/FAT Viewer?action=UPDATE&amp;creator=factset&amp;DOC_NAME=fat:reuters_annual_source_window.fat&amp;display_string=Audit&amp;DYN_ARGS=TRUE&amp;VAR:ID1=37291710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53__FDSAUDITLINK__" localSheetId="10" hidden="1">{"fdsup://IBCentral/FAT Viewer?action=UPDATE&amp;creator=factset&amp;DOC_NAME=fat:reuters_annual_source_window.fat&amp;display_string=Audit&amp;DYN_ARGS=TRUE&amp;VAR:ID1=36871040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53__FDSAUDITLINK__" localSheetId="9" hidden="1">{"fdsup://IBCentral/FAT Viewer?action=UPDATE&amp;creator=factset&amp;DOC_NAME=fat:reuters_annual_source_window.fat&amp;display_string=Audit&amp;DYN_ARGS=TRUE&amp;VAR:ID1=36871040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53__FDSAUDITLINK__" hidden="1">{"fdsup://IBCentral/FAT Viewer?action=UPDATE&amp;creator=factset&amp;DOC_NAME=fat:reuters_annual_source_window.fat&amp;display_string=Audit&amp;DYN_ARGS=TRUE&amp;VAR:ID1=36871040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54__FDSAUDITLINK__" localSheetId="10" hidden="1">{"fdsup://IBCentral/FAT Viewer?action=UPDATE&amp;creator=factset&amp;DOC_NAME=fat:reuters_annual_source_window.fat&amp;display_string=Audit&amp;DYN_ARGS=TRUE&amp;VAR:ID1=36871040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54__FDSAUDITLINK__" localSheetId="9" hidden="1">{"fdsup://IBCentral/FAT Viewer?action=UPDATE&amp;creator=factset&amp;DOC_NAME=fat:reuters_annual_source_window.fat&amp;display_string=Audit&amp;DYN_ARGS=TRUE&amp;VAR:ID1=36871040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54__FDSAUDITLINK__" hidden="1">{"fdsup://IBCentral/FAT Viewer?action=UPDATE&amp;creator=factset&amp;DOC_NAME=fat:reuters_annual_source_window.fat&amp;display_string=Audit&amp;DYN_ARGS=TRUE&amp;VAR:ID1=36871040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55__FDSAUDITLINK__" localSheetId="10" hidden="1">{"fdsup://IBCentral/FAT Viewer?action=UPDATE&amp;creator=factset&amp;DOC_NAME=fat:reuters_annual_source_window.fat&amp;display_string=Audit&amp;DYN_ARGS=TRUE&amp;VAR:ID1=15102010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55__FDSAUDITLINK__" localSheetId="9" hidden="1">{"fdsup://IBCentral/FAT Viewer?action=UPDATE&amp;creator=factset&amp;DOC_NAME=fat:reuters_annual_source_window.fat&amp;display_string=Audit&amp;DYN_ARGS=TRUE&amp;VAR:ID1=15102010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55__FDSAUDITLINK__" hidden="1">{"fdsup://IBCentral/FAT Viewer?action=UPDATE&amp;creator=factset&amp;DOC_NAME=fat:reuters_annual_source_window.fat&amp;display_string=Audit&amp;DYN_ARGS=TRUE&amp;VAR:ID1=15102010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56__FDSAUDITLINK__" localSheetId="10" hidden="1">{"fdsup://IBCentral/FAT Viewer?action=UPDATE&amp;creator=factset&amp;DOC_NAME=fat:reuters_annual_source_window.fat&amp;display_string=Audit&amp;DYN_ARGS=TRUE&amp;VAR:ID1=15102010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56__FDSAUDITLINK__" localSheetId="9" hidden="1">{"fdsup://IBCentral/FAT Viewer?action=UPDATE&amp;creator=factset&amp;DOC_NAME=fat:reuters_annual_source_window.fat&amp;display_string=Audit&amp;DYN_ARGS=TRUE&amp;VAR:ID1=15102010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56__FDSAUDITLINK__" hidden="1">{"fdsup://IBCentral/FAT Viewer?action=UPDATE&amp;creator=factset&amp;DOC_NAME=fat:reuters_annual_source_window.fat&amp;display_string=Audit&amp;DYN_ARGS=TRUE&amp;VAR:ID1=15102010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57__FDSAUDITLINK__" localSheetId="10" hidden="1">{"fdsup://IBCentral/FAT Viewer?action=UPDATE&amp;creator=factset&amp;DOC_NAME=fat:reuters_annual_source_window.fat&amp;display_string=Audit&amp;DYN_ARGS=TRUE&amp;VAR:ID1=09062X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57__FDSAUDITLINK__" localSheetId="9" hidden="1">{"fdsup://IBCentral/FAT Viewer?action=UPDATE&amp;creator=factset&amp;DOC_NAME=fat:reuters_annual_source_window.fat&amp;display_string=Audit&amp;DYN_ARGS=TRUE&amp;VAR:ID1=09062X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57__FDSAUDITLINK__" hidden="1">{"fdsup://IBCentral/FAT Viewer?action=UPDATE&amp;creator=factset&amp;DOC_NAME=fat:reuters_annual_source_window.fat&amp;display_string=Audit&amp;DYN_ARGS=TRUE&amp;VAR:ID1=09062X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58__FDSAUDITLINK__" localSheetId="10" hidden="1">{"fdsup://IBCentral/FAT Viewer?action=UPDATE&amp;creator=factset&amp;DOC_NAME=fat:reuters_annual_source_window.fat&amp;display_string=Audit&amp;DYN_ARGS=TRUE&amp;VAR:ID1=09062X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58__FDSAUDITLINK__" localSheetId="9" hidden="1">{"fdsup://IBCentral/FAT Viewer?action=UPDATE&amp;creator=factset&amp;DOC_NAME=fat:reuters_annual_source_window.fat&amp;display_string=Audit&amp;DYN_ARGS=TRUE&amp;VAR:ID1=09062X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58__FDSAUDITLINK__" hidden="1">{"fdsup://IBCentral/FAT Viewer?action=UPDATE&amp;creator=factset&amp;DOC_NAME=fat:reuters_annual_source_window.fat&amp;display_string=Audit&amp;DYN_ARGS=TRUE&amp;VAR:ID1=09062X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59__FDSAUDITLINK__" localSheetId="10" hidden="1">{"fdsup://IBCentral/FAT Viewer?action=UPDATE&amp;creator=factset&amp;DOC_NAME=fat:reuters_annual_source_window.fat&amp;display_string=Audit&amp;DYN_ARGS=TRUE&amp;VAR:ID1=03116210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59__FDSAUDITLINK__" localSheetId="9" hidden="1">{"fdsup://IBCentral/FAT Viewer?action=UPDATE&amp;creator=factset&amp;DOC_NAME=fat:reuters_annual_source_window.fat&amp;display_string=Audit&amp;DYN_ARGS=TRUE&amp;VAR:ID1=03116210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59__FDSAUDITLINK__" hidden="1">{"fdsup://IBCentral/FAT Viewer?action=UPDATE&amp;creator=factset&amp;DOC_NAME=fat:reuters_annual_source_window.fat&amp;display_string=Audit&amp;DYN_ARGS=TRUE&amp;VAR:ID1=03116210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6__FDSAUDITLINK__" localSheetId="10" hidden="1">{"fdsup://IBCentral/FAT Viewer?action=UPDATE&amp;creator=factset&amp;DOC_NAME=fat:reuters_annual_source_window.fat&amp;display_string=Audit&amp;DYN_ARGS=TRUE&amp;VAR:ID1=53245710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6__FDSAUDITLINK__" localSheetId="9" hidden="1">{"fdsup://IBCentral/FAT Viewer?action=UPDATE&amp;creator=factset&amp;DOC_NAME=fat:reuters_annual_source_window.fat&amp;display_string=Audit&amp;DYN_ARGS=TRUE&amp;VAR:ID1=53245710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6__FDSAUDITLINK__" hidden="1">{"fdsup://IBCentral/FAT Viewer?action=UPDATE&amp;creator=factset&amp;DOC_NAME=fat:reuters_annual_source_window.fat&amp;display_string=Audit&amp;DYN_ARGS=TRUE&amp;VAR:ID1=53245710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6_5_0__123Grap" hidden="1">#REF!</definedName>
    <definedName name="_260__FDSAUDITLINK__" localSheetId="10" hidden="1">{"fdsup://IBCentral/FAT Viewer?action=UPDATE&amp;creator=factset&amp;DOC_NAME=fat:reuters_annual_source_window.fat&amp;display_string=Audit&amp;DYN_ARGS=TRUE&amp;VAR:ID1=03116210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60__FDSAUDITLINK__" localSheetId="9" hidden="1">{"fdsup://IBCentral/FAT Viewer?action=UPDATE&amp;creator=factset&amp;DOC_NAME=fat:reuters_annual_source_window.fat&amp;display_string=Audit&amp;DYN_ARGS=TRUE&amp;VAR:ID1=03116210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60__FDSAUDITLINK__" hidden="1">{"fdsup://IBCentral/FAT Viewer?action=UPDATE&amp;creator=factset&amp;DOC_NAME=fat:reuters_annual_source_window.fat&amp;display_string=Audit&amp;DYN_ARGS=TRUE&amp;VAR:ID1=03116210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61__FDSAUDITLINK__" localSheetId="10" hidden="1">{"fdsup://IBCentral/FAT Viewer?action=UPDATE&amp;creator=factset&amp;DOC_NAME=fat:reuters_qtrly_source_window.fat&amp;display_string=Audit&amp;DYN_ARGS=TRUE&amp;VAR:ID1=92532F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61__FDSAUDITLINK__" localSheetId="9" hidden="1">{"fdsup://IBCentral/FAT Viewer?action=UPDATE&amp;creator=factset&amp;DOC_NAME=fat:reuters_qtrly_source_window.fat&amp;display_string=Audit&amp;DYN_ARGS=TRUE&amp;VAR:ID1=92532F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61__FDSAUDITLINK__" hidden="1">{"fdsup://IBCentral/FAT Viewer?action=UPDATE&amp;creator=factset&amp;DOC_NAME=fat:reuters_qtrly_source_window.fat&amp;display_string=Audit&amp;DYN_ARGS=TRUE&amp;VAR:ID1=92532F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62__FDSAUDITLINK__" localSheetId="10" hidden="1">{"fdsup://IBCentral/FAT Viewer?action=UPDATE&amp;creator=factset&amp;DOC_NAME=fat:reuters_qtrly_source_window.fat&amp;display_string=Audit&amp;DYN_ARGS=TRUE&amp;VAR:ID1=87612C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62__FDSAUDITLINK__" localSheetId="9" hidden="1">{"fdsup://IBCentral/FAT Viewer?action=UPDATE&amp;creator=factset&amp;DOC_NAME=fat:reuters_qtrly_source_window.fat&amp;display_string=Audit&amp;DYN_ARGS=TRUE&amp;VAR:ID1=87612C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62__FDSAUDITLINK__" hidden="1">{"fdsup://IBCentral/FAT Viewer?action=UPDATE&amp;creator=factset&amp;DOC_NAME=fat:reuters_qtrly_source_window.fat&amp;display_string=Audit&amp;DYN_ARGS=TRUE&amp;VAR:ID1=87612C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63__FDSAUDITLINK__" localSheetId="10" hidden="1">{"fdsup://IBCentral/FAT Viewer?action=UPDATE&amp;creator=factset&amp;DOC_NAME=fat:reuters_qtrly_source_window.fat&amp;display_string=Audit&amp;DYN_ARGS=TRUE&amp;VAR:ID1=73244930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63__FDSAUDITLINK__" localSheetId="9" hidden="1">{"fdsup://IBCentral/FAT Viewer?action=UPDATE&amp;creator=factset&amp;DOC_NAME=fat:reuters_qtrly_source_window.fat&amp;display_string=Audit&amp;DYN_ARGS=TRUE&amp;VAR:ID1=73244930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63__FDSAUDITLINK__" hidden="1">{"fdsup://IBCentral/FAT Viewer?action=UPDATE&amp;creator=factset&amp;DOC_NAME=fat:reuters_qtrly_source_window.fat&amp;display_string=Audit&amp;DYN_ARGS=TRUE&amp;VAR:ID1=73244930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64__FDSAUDITLINK__" localSheetId="10" hidden="1">{"fdsup://IBCentral/FAT Viewer?action=UPDATE&amp;creator=factset&amp;DOC_NAME=fat:reuters_qtrly_source_window.fat&amp;display_string=Audit&amp;DYN_ARGS=TRUE&amp;VAR:ID1=67104010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64__FDSAUDITLINK__" localSheetId="9" hidden="1">{"fdsup://IBCentral/FAT Viewer?action=UPDATE&amp;creator=factset&amp;DOC_NAME=fat:reuters_qtrly_source_window.fat&amp;display_string=Audit&amp;DYN_ARGS=TRUE&amp;VAR:ID1=67104010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64__FDSAUDITLINK__" hidden="1">{"fdsup://IBCentral/FAT Viewer?action=UPDATE&amp;creator=factset&amp;DOC_NAME=fat:reuters_qtrly_source_window.fat&amp;display_string=Audit&amp;DYN_ARGS=TRUE&amp;VAR:ID1=67104010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65__FDSAUDITLINK__" localSheetId="10" hidden="1">{"fdsup://IBCentral/FAT Viewer?action=UPDATE&amp;creator=factset&amp;DOC_NAME=fat:reuters_qtrly_source_window.fat&amp;display_string=Audit&amp;DYN_ARGS=TRUE&amp;VAR:ID1=68339910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65__FDSAUDITLINK__" localSheetId="9" hidden="1">{"fdsup://IBCentral/FAT Viewer?action=UPDATE&amp;creator=factset&amp;DOC_NAME=fat:reuters_qtrly_source_window.fat&amp;display_string=Audit&amp;DYN_ARGS=TRUE&amp;VAR:ID1=68339910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65__FDSAUDITLINK__" hidden="1">{"fdsup://IBCentral/FAT Viewer?action=UPDATE&amp;creator=factset&amp;DOC_NAME=fat:reuters_qtrly_source_window.fat&amp;display_string=Audit&amp;DYN_ARGS=TRUE&amp;VAR:ID1=68339910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66__FDSAUDITLINK__" localSheetId="10" hidden="1">{"fdsup://IBCentral/FAT Viewer?action=UPDATE&amp;creator=factset&amp;DOC_NAME=fat:reuters_qtrly_source_window.fat&amp;display_string=Audit&amp;DYN_ARGS=TRUE&amp;VAR:ID1=59990210&amp;VAR:RCODE=SCSI&amp;VAR:SDATE=20080399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66__FDSAUDITLINK__" localSheetId="9" hidden="1">{"fdsup://IBCentral/FAT Viewer?action=UPDATE&amp;creator=factset&amp;DOC_NAME=fat:reuters_qtrly_source_window.fat&amp;display_string=Audit&amp;DYN_ARGS=TRUE&amp;VAR:ID1=59990210&amp;VAR:RCODE=SCSI&amp;VAR:SDATE=20080399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66__FDSAUDITLINK__" hidden="1">{"fdsup://IBCentral/FAT Viewer?action=UPDATE&amp;creator=factset&amp;DOC_NAME=fat:reuters_qtrly_source_window.fat&amp;display_string=Audit&amp;DYN_ARGS=TRUE&amp;VAR:ID1=59990210&amp;VAR:RCODE=SCSI&amp;VAR:SDATE=20080399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67__FDSAUDITLINK__" localSheetId="10" hidden="1">{"fdsup://IBCentral/FAT Viewer?action=UPDATE&amp;creator=factset&amp;DOC_NAME=fat:reuters_qtrly_source_window.fat&amp;display_string=Audit&amp;DYN_ARGS=TRUE&amp;VAR:ID1=55288010&amp;VAR:RCODE=SCSI&amp;VAR:SDATE=20070999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67__FDSAUDITLINK__" localSheetId="9" hidden="1">{"fdsup://IBCentral/FAT Viewer?action=UPDATE&amp;creator=factset&amp;DOC_NAME=fat:reuters_qtrly_source_window.fat&amp;display_string=Audit&amp;DYN_ARGS=TRUE&amp;VAR:ID1=55288010&amp;VAR:RCODE=SCSI&amp;VAR:SDATE=20070999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67__FDSAUDITLINK__" hidden="1">{"fdsup://IBCentral/FAT Viewer?action=UPDATE&amp;creator=factset&amp;DOC_NAME=fat:reuters_qtrly_source_window.fat&amp;display_string=Audit&amp;DYN_ARGS=TRUE&amp;VAR:ID1=55288010&amp;VAR:RCODE=SCSI&amp;VAR:SDATE=20070999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68__FDSAUDITLINK__" localSheetId="10" hidden="1">{"fdsup://IBCentral/FAT Viewer?action=UPDATE&amp;creator=factset&amp;DOC_NAME=fat:reuters_qtrly_source_window.fat&amp;display_string=Audit&amp;DYN_ARGS=TRUE&amp;VAR:ID1=50064W10&amp;VAR:RCODE=SCSI&amp;VAR:SDATE=20080399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68__FDSAUDITLINK__" localSheetId="9" hidden="1">{"fdsup://IBCentral/FAT Viewer?action=UPDATE&amp;creator=factset&amp;DOC_NAME=fat:reuters_qtrly_source_window.fat&amp;display_string=Audit&amp;DYN_ARGS=TRUE&amp;VAR:ID1=50064W10&amp;VAR:RCODE=SCSI&amp;VAR:SDATE=20080399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68__FDSAUDITLINK__" hidden="1">{"fdsup://IBCentral/FAT Viewer?action=UPDATE&amp;creator=factset&amp;DOC_NAME=fat:reuters_qtrly_source_window.fat&amp;display_string=Audit&amp;DYN_ARGS=TRUE&amp;VAR:ID1=50064W10&amp;VAR:RCODE=SCSI&amp;VAR:SDATE=20080399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69__FDSAUDITLINK__" localSheetId="10" hidden="1">{"fdsup://IBCentral/FAT Viewer?action=UPDATE&amp;creator=factset&amp;DOC_NAME=fat:reuters_qtrly_source_window.fat&amp;display_string=Audit&amp;DYN_ARGS=TRUE&amp;VAR:ID1=45884X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69__FDSAUDITLINK__" localSheetId="9" hidden="1">{"fdsup://IBCentral/FAT Viewer?action=UPDATE&amp;creator=factset&amp;DOC_NAME=fat:reuters_qtrly_source_window.fat&amp;display_string=Audit&amp;DYN_ARGS=TRUE&amp;VAR:ID1=45884X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69__FDSAUDITLINK__" hidden="1">{"fdsup://IBCentral/FAT Viewer?action=UPDATE&amp;creator=factset&amp;DOC_NAME=fat:reuters_qtrly_source_window.fat&amp;display_string=Audit&amp;DYN_ARGS=TRUE&amp;VAR:ID1=45884X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7__FDSAUDITLINK__" localSheetId="10" hidden="1">{"fdsup://IBCentral/FAT Viewer?action=UPDATE&amp;creator=factset&amp;DOC_NAME=fat:reuters_annual_source_window.fat&amp;display_string=Audit&amp;DYN_ARGS=TRUE&amp;VAR:ID1=53245710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7__FDSAUDITLINK__" localSheetId="9" hidden="1">{"fdsup://IBCentral/FAT Viewer?action=UPDATE&amp;creator=factset&amp;DOC_NAME=fat:reuters_annual_source_window.fat&amp;display_string=Audit&amp;DYN_ARGS=TRUE&amp;VAR:ID1=53245710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7__FDSAUDITLINK__" hidden="1">{"fdsup://IBCentral/FAT Viewer?action=UPDATE&amp;creator=factset&amp;DOC_NAME=fat:reuters_annual_source_window.fat&amp;display_string=Audit&amp;DYN_ARGS=TRUE&amp;VAR:ID1=53245710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7_7_0__123Grap" hidden="1">#REF!</definedName>
    <definedName name="_270__FDSAUDITLINK__" localSheetId="10" hidden="1">{"fdsup://IBCentral/FAT Viewer?action=UPDATE&amp;creator=factset&amp;DOC_NAME=fat:reuters_qtrly_source_window.fat&amp;display_string=Audit&amp;DYN_ARGS=TRUE&amp;VAR:ID1=45166R20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70__FDSAUDITLINK__" localSheetId="9" hidden="1">{"fdsup://IBCentral/FAT Viewer?action=UPDATE&amp;creator=factset&amp;DOC_NAME=fat:reuters_qtrly_source_window.fat&amp;display_string=Audit&amp;DYN_ARGS=TRUE&amp;VAR:ID1=45166R20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70__FDSAUDITLINK__" hidden="1">{"fdsup://IBCentral/FAT Viewer?action=UPDATE&amp;creator=factset&amp;DOC_NAME=fat:reuters_qtrly_source_window.fat&amp;display_string=Audit&amp;DYN_ARGS=TRUE&amp;VAR:ID1=45166R20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71__FDSAUDITLINK__" localSheetId="10" hidden="1">{"fdsup://IBCentral/FAT Viewer?action=UPDATE&amp;creator=factset&amp;DOC_NAME=fat:reuters_qtrly_source_window.fat&amp;display_string=Audit&amp;DYN_ARGS=TRUE&amp;VAR:ID1=40963P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71__FDSAUDITLINK__" localSheetId="9" hidden="1">{"fdsup://IBCentral/FAT Viewer?action=UPDATE&amp;creator=factset&amp;DOC_NAME=fat:reuters_qtrly_source_window.fat&amp;display_string=Audit&amp;DYN_ARGS=TRUE&amp;VAR:ID1=40963P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71__FDSAUDITLINK__" hidden="1">{"fdsup://IBCentral/FAT Viewer?action=UPDATE&amp;creator=factset&amp;DOC_NAME=fat:reuters_qtrly_source_window.fat&amp;display_string=Audit&amp;DYN_ARGS=TRUE&amp;VAR:ID1=40963P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72__FDSAUDITLINK__" localSheetId="10" hidden="1">{"fdsup://IBCentral/FAT Viewer?action=UPDATE&amp;creator=factset&amp;DOC_NAME=fat:reuters_qtrly_source_window.fat&amp;display_string=Audit&amp;DYN_ARGS=TRUE&amp;VAR:ID1=40052B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72__FDSAUDITLINK__" localSheetId="9" hidden="1">{"fdsup://IBCentral/FAT Viewer?action=UPDATE&amp;creator=factset&amp;DOC_NAME=fat:reuters_qtrly_source_window.fat&amp;display_string=Audit&amp;DYN_ARGS=TRUE&amp;VAR:ID1=40052B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72__FDSAUDITLINK__" hidden="1">{"fdsup://IBCentral/FAT Viewer?action=UPDATE&amp;creator=factset&amp;DOC_NAME=fat:reuters_qtrly_source_window.fat&amp;display_string=Audit&amp;DYN_ARGS=TRUE&amp;VAR:ID1=40052B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73__FDSAUDITLINK__" localSheetId="10" hidden="1">{"fdsup://IBCentral/FAT Viewer?action=UPDATE&amp;creator=factset&amp;DOC_NAME=fat:reuters_qtrly_source_window.fat&amp;display_string=Audit&amp;DYN_ARGS=TRUE&amp;VAR:ID1=16342810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73__FDSAUDITLINK__" localSheetId="9" hidden="1">{"fdsup://IBCentral/FAT Viewer?action=UPDATE&amp;creator=factset&amp;DOC_NAME=fat:reuters_qtrly_source_window.fat&amp;display_string=Audit&amp;DYN_ARGS=TRUE&amp;VAR:ID1=16342810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73__FDSAUDITLINK__" hidden="1">{"fdsup://IBCentral/FAT Viewer?action=UPDATE&amp;creator=factset&amp;DOC_NAME=fat:reuters_qtrly_source_window.fat&amp;display_string=Audit&amp;DYN_ARGS=TRUE&amp;VAR:ID1=16342810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74__FDSAUDITLINK__" localSheetId="10" hidden="1">{"fdsup://IBCentral/FAT Viewer?action=UPDATE&amp;creator=factset&amp;DOC_NAME=fat:reuters_qtrly_source_window.fat&amp;display_string=Audit&amp;DYN_ARGS=TRUE&amp;VAR:ID1=22208310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74__FDSAUDITLINK__" localSheetId="9" hidden="1">{"fdsup://IBCentral/FAT Viewer?action=UPDATE&amp;creator=factset&amp;DOC_NAME=fat:reuters_qtrly_source_window.fat&amp;display_string=Audit&amp;DYN_ARGS=TRUE&amp;VAR:ID1=22208310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74__FDSAUDITLINK__" hidden="1">{"fdsup://IBCentral/FAT Viewer?action=UPDATE&amp;creator=factset&amp;DOC_NAME=fat:reuters_qtrly_source_window.fat&amp;display_string=Audit&amp;DYN_ARGS=TRUE&amp;VAR:ID1=22208310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75__FDSAUDITLINK__" localSheetId="10" hidden="1">{"fdsup://IBCentral/FAT Viewer?action=UPDATE&amp;creator=factset&amp;DOC_NAME=fat:reuters_qtrly_source_window.fat&amp;display_string=Audit&amp;DYN_ARGS=TRUE&amp;VAR:ID1=15102010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75__FDSAUDITLINK__" localSheetId="9" hidden="1">{"fdsup://IBCentral/FAT Viewer?action=UPDATE&amp;creator=factset&amp;DOC_NAME=fat:reuters_qtrly_source_window.fat&amp;display_string=Audit&amp;DYN_ARGS=TRUE&amp;VAR:ID1=15102010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75__FDSAUDITLINK__" hidden="1">{"fdsup://IBCentral/FAT Viewer?action=UPDATE&amp;creator=factset&amp;DOC_NAME=fat:reuters_qtrly_source_window.fat&amp;display_string=Audit&amp;DYN_ARGS=TRUE&amp;VAR:ID1=15102010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76__FDSAUDITLINK__" localSheetId="10" hidden="1">{"fdsup://IBCentral/FAT Viewer?action=UPDATE&amp;creator=factset&amp;DOC_NAME=fat:reuters_qtrly_source_window.fat&amp;display_string=Audit&amp;DYN_ARGS=TRUE&amp;VAR:ID1=22967810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76__FDSAUDITLINK__" localSheetId="9" hidden="1">{"fdsup://IBCentral/FAT Viewer?action=UPDATE&amp;creator=factset&amp;DOC_NAME=fat:reuters_qtrly_source_window.fat&amp;display_string=Audit&amp;DYN_ARGS=TRUE&amp;VAR:ID1=22967810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76__FDSAUDITLINK__" hidden="1">{"fdsup://IBCentral/FAT Viewer?action=UPDATE&amp;creator=factset&amp;DOC_NAME=fat:reuters_qtrly_source_window.fat&amp;display_string=Audit&amp;DYN_ARGS=TRUE&amp;VAR:ID1=22967810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77__FDSAUDITLINK__" localSheetId="10" hidden="1">{"fdsup://IBCentral/FAT Viewer?action=UPDATE&amp;creator=factset&amp;DOC_NAME=fat:reuters_qtrly_source_window.fat&amp;display_string=Audit&amp;DYN_ARGS=TRUE&amp;VAR:ID1=04269E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77__FDSAUDITLINK__" localSheetId="9" hidden="1">{"fdsup://IBCentral/FAT Viewer?action=UPDATE&amp;creator=factset&amp;DOC_NAME=fat:reuters_qtrly_source_window.fat&amp;display_string=Audit&amp;DYN_ARGS=TRUE&amp;VAR:ID1=04269E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77__FDSAUDITLINK__" hidden="1">{"fdsup://IBCentral/FAT Viewer?action=UPDATE&amp;creator=factset&amp;DOC_NAME=fat:reuters_qtrly_source_window.fat&amp;display_string=Audit&amp;DYN_ARGS=TRUE&amp;VAR:ID1=04269E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78__FDSAUDITLINK__" localSheetId="10" hidden="1">{"fdsup://IBCentral/FAT Viewer?action=UPDATE&amp;creator=factset&amp;DOC_NAME=fat:reuters_qtrly_source_window.fat&amp;display_string=Audit&amp;DYN_ARGS=TRUE&amp;VAR:ID1=92532F10&amp;VAR:RCODE=SCSI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78__FDSAUDITLINK__" localSheetId="9" hidden="1">{"fdsup://IBCentral/FAT Viewer?action=UPDATE&amp;creator=factset&amp;DOC_NAME=fat:reuters_qtrly_source_window.fat&amp;display_string=Audit&amp;DYN_ARGS=TRUE&amp;VAR:ID1=92532F10&amp;VAR:RCODE=SCSI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78__FDSAUDITLINK__" hidden="1">{"fdsup://IBCentral/FAT Viewer?action=UPDATE&amp;creator=factset&amp;DOC_NAME=fat:reuters_qtrly_source_window.fat&amp;display_string=Audit&amp;DYN_ARGS=TRUE&amp;VAR:ID1=92532F10&amp;VAR:RCODE=SCSI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79__FDSAUDITLINK__" localSheetId="10" hidden="1">{"fdsup://IBCentral/FAT Viewer?action=UPDATE&amp;creator=factset&amp;DOC_NAME=fat:reuters_qtrly_source_window.fat&amp;display_string=Audit&amp;DYN_ARGS=TRUE&amp;VAR:ID1=87612C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79__FDSAUDITLINK__" localSheetId="9" hidden="1">{"fdsup://IBCentral/FAT Viewer?action=UPDATE&amp;creator=factset&amp;DOC_NAME=fat:reuters_qtrly_source_window.fat&amp;display_string=Audit&amp;DYN_ARGS=TRUE&amp;VAR:ID1=87612C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79__FDSAUDITLINK__" hidden="1">{"fdsup://IBCentral/FAT Viewer?action=UPDATE&amp;creator=factset&amp;DOC_NAME=fat:reuters_qtrly_source_window.fat&amp;display_string=Audit&amp;DYN_ARGS=TRUE&amp;VAR:ID1=87612C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8__FDSAUDITLINK__" localSheetId="10" hidden="1">{"fdsup://IBCentral/FAT Viewer?action=UPDATE&amp;creator=factset&amp;DOC_NAME=fat:reuters_annual_source_window.fat&amp;display_string=Audit&amp;DYN_ARGS=TRUE&amp;VAR:ID1=11012210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8__FDSAUDITLINK__" localSheetId="9" hidden="1">{"fdsup://IBCentral/FAT Viewer?action=UPDATE&amp;creator=factset&amp;DOC_NAME=fat:reuters_annual_source_window.fat&amp;display_string=Audit&amp;DYN_ARGS=TRUE&amp;VAR:ID1=11012210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8__FDSAUDITLINK__" hidden="1">{"fdsup://IBCentral/FAT Viewer?action=UPDATE&amp;creator=factset&amp;DOC_NAME=fat:reuters_annual_source_window.fat&amp;display_string=Audit&amp;DYN_ARGS=TRUE&amp;VAR:ID1=11012210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8_7_0__123Graph_LB" hidden="1">#REF!</definedName>
    <definedName name="_280__FDSAUDITLINK__" localSheetId="10" hidden="1">{"fdsup://IBCentral/FAT Viewer?action=UPDATE&amp;creator=factset&amp;DOC_NAME=fat:reuters_qtrly_source_window.fat&amp;display_string=Audit&amp;DYN_ARGS=TRUE&amp;VAR:ID1=73244930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80__FDSAUDITLINK__" localSheetId="9" hidden="1">{"fdsup://IBCentral/FAT Viewer?action=UPDATE&amp;creator=factset&amp;DOC_NAME=fat:reuters_qtrly_source_window.fat&amp;display_string=Audit&amp;DYN_ARGS=TRUE&amp;VAR:ID1=73244930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80__FDSAUDITLINK__" hidden="1">{"fdsup://IBCentral/FAT Viewer?action=UPDATE&amp;creator=factset&amp;DOC_NAME=fat:reuters_qtrly_source_window.fat&amp;display_string=Audit&amp;DYN_ARGS=TRUE&amp;VAR:ID1=73244930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81__FDSAUDITLINK__" localSheetId="10" hidden="1">{"fdsup://IBCentral/FAT Viewer?action=UPDATE&amp;creator=factset&amp;DOC_NAME=fat:reuters_qtrly_source_window.fat&amp;display_string=Audit&amp;DYN_ARGS=TRUE&amp;VAR:ID1=67104010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81__FDSAUDITLINK__" localSheetId="9" hidden="1">{"fdsup://IBCentral/FAT Viewer?action=UPDATE&amp;creator=factset&amp;DOC_NAME=fat:reuters_qtrly_source_window.fat&amp;display_string=Audit&amp;DYN_ARGS=TRUE&amp;VAR:ID1=67104010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81__FDSAUDITLINK__" hidden="1">{"fdsup://IBCentral/FAT Viewer?action=UPDATE&amp;creator=factset&amp;DOC_NAME=fat:reuters_qtrly_source_window.fat&amp;display_string=Audit&amp;DYN_ARGS=TRUE&amp;VAR:ID1=67104010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82__FDSAUDITLINK__" localSheetId="10" hidden="1">{"fdsup://IBCentral/FAT Viewer?action=UPDATE&amp;creator=factset&amp;DOC_NAME=fat:reuters_qtrly_source_window.fat&amp;display_string=Audit&amp;DYN_ARGS=TRUE&amp;VAR:ID1=68339910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82__FDSAUDITLINK__" localSheetId="9" hidden="1">{"fdsup://IBCentral/FAT Viewer?action=UPDATE&amp;creator=factset&amp;DOC_NAME=fat:reuters_qtrly_source_window.fat&amp;display_string=Audit&amp;DYN_ARGS=TRUE&amp;VAR:ID1=68339910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82__FDSAUDITLINK__" hidden="1">{"fdsup://IBCentral/FAT Viewer?action=UPDATE&amp;creator=factset&amp;DOC_NAME=fat:reuters_qtrly_source_window.fat&amp;display_string=Audit&amp;DYN_ARGS=TRUE&amp;VAR:ID1=68339910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83__FDSAUDITLINK__" localSheetId="10" hidden="1">{"fdsup://IBCentral/FAT Viewer?action=UPDATE&amp;creator=factset&amp;DOC_NAME=fat:reuters_qtrly_source_window.fat&amp;display_string=Audit&amp;DYN_ARGS=TRUE&amp;VAR:ID1=59990210&amp;VAR:RCODE=SCSI&amp;VAR:SDATE=20080399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83__FDSAUDITLINK__" localSheetId="9" hidden="1">{"fdsup://IBCentral/FAT Viewer?action=UPDATE&amp;creator=factset&amp;DOC_NAME=fat:reuters_qtrly_source_window.fat&amp;display_string=Audit&amp;DYN_ARGS=TRUE&amp;VAR:ID1=59990210&amp;VAR:RCODE=SCSI&amp;VAR:SDATE=20080399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83__FDSAUDITLINK__" hidden="1">{"fdsup://IBCentral/FAT Viewer?action=UPDATE&amp;creator=factset&amp;DOC_NAME=fat:reuters_qtrly_source_window.fat&amp;display_string=Audit&amp;DYN_ARGS=TRUE&amp;VAR:ID1=59990210&amp;VAR:RCODE=SCSI&amp;VAR:SDATE=20080399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84__FDSAUDITLINK__" localSheetId="10" hidden="1">{"fdsup://IBCentral/FAT Viewer?action=UPDATE&amp;creator=factset&amp;DOC_NAME=fat:reuters_qtrly_source_window.fat&amp;display_string=Audit&amp;DYN_ARGS=TRUE&amp;VAR:ID1=55288010&amp;VAR:RCODE=SCSI&amp;VAR:SDATE=20070999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84__FDSAUDITLINK__" localSheetId="9" hidden="1">{"fdsup://IBCentral/FAT Viewer?action=UPDATE&amp;creator=factset&amp;DOC_NAME=fat:reuters_qtrly_source_window.fat&amp;display_string=Audit&amp;DYN_ARGS=TRUE&amp;VAR:ID1=55288010&amp;VAR:RCODE=SCSI&amp;VAR:SDATE=20070999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84__FDSAUDITLINK__" hidden="1">{"fdsup://IBCentral/FAT Viewer?action=UPDATE&amp;creator=factset&amp;DOC_NAME=fat:reuters_qtrly_source_window.fat&amp;display_string=Audit&amp;DYN_ARGS=TRUE&amp;VAR:ID1=55288010&amp;VAR:RCODE=SCSI&amp;VAR:SDATE=20070999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85__FDSAUDITLINK__" localSheetId="10" hidden="1">{"fdsup://IBCentral/FAT Viewer?action=UPDATE&amp;creator=factset&amp;DOC_NAME=fat:reuters_qtrly_source_window.fat&amp;display_string=Audit&amp;DYN_ARGS=TRUE&amp;VAR:ID1=50064W10&amp;VAR:RCODE=SCSI&amp;VAR:SDATE=20080399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85__FDSAUDITLINK__" localSheetId="9" hidden="1">{"fdsup://IBCentral/FAT Viewer?action=UPDATE&amp;creator=factset&amp;DOC_NAME=fat:reuters_qtrly_source_window.fat&amp;display_string=Audit&amp;DYN_ARGS=TRUE&amp;VAR:ID1=50064W10&amp;VAR:RCODE=SCSI&amp;VAR:SDATE=20080399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85__FDSAUDITLINK__" hidden="1">{"fdsup://IBCentral/FAT Viewer?action=UPDATE&amp;creator=factset&amp;DOC_NAME=fat:reuters_qtrly_source_window.fat&amp;display_string=Audit&amp;DYN_ARGS=TRUE&amp;VAR:ID1=50064W10&amp;VAR:RCODE=SCSI&amp;VAR:SDATE=20080399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86__FDSAUDITLINK__" localSheetId="10" hidden="1">{"fdsup://IBCentral/FAT Viewer?action=UPDATE&amp;creator=factset&amp;DOC_NAME=fat:reuters_qtrly_source_window.fat&amp;display_string=Audit&amp;DYN_ARGS=TRUE&amp;VAR:ID1=45884X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86__FDSAUDITLINK__" localSheetId="9" hidden="1">{"fdsup://IBCentral/FAT Viewer?action=UPDATE&amp;creator=factset&amp;DOC_NAME=fat:reuters_qtrly_source_window.fat&amp;display_string=Audit&amp;DYN_ARGS=TRUE&amp;VAR:ID1=45884X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86__FDSAUDITLINK__" hidden="1">{"fdsup://IBCentral/FAT Viewer?action=UPDATE&amp;creator=factset&amp;DOC_NAME=fat:reuters_qtrly_source_window.fat&amp;display_string=Audit&amp;DYN_ARGS=TRUE&amp;VAR:ID1=45884X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87__FDSAUDITLINK__" localSheetId="10" hidden="1">{"fdsup://IBCentral/FAT Viewer?action=UPDATE&amp;creator=factset&amp;DOC_NAME=fat:reuters_qtrly_source_window.fat&amp;display_string=Audit&amp;DYN_ARGS=TRUE&amp;VAR:ID1=45166R20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87__FDSAUDITLINK__" localSheetId="9" hidden="1">{"fdsup://IBCentral/FAT Viewer?action=UPDATE&amp;creator=factset&amp;DOC_NAME=fat:reuters_qtrly_source_window.fat&amp;display_string=Audit&amp;DYN_ARGS=TRUE&amp;VAR:ID1=45166R20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87__FDSAUDITLINK__" hidden="1">{"fdsup://IBCentral/FAT Viewer?action=UPDATE&amp;creator=factset&amp;DOC_NAME=fat:reuters_qtrly_source_window.fat&amp;display_string=Audit&amp;DYN_ARGS=TRUE&amp;VAR:ID1=45166R20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88__FDSAUDITLINK__" localSheetId="10" hidden="1">{"fdsup://IBCentral/FAT Viewer?action=UPDATE&amp;creator=factset&amp;DOC_NAME=fat:reuters_qtrly_source_window.fat&amp;display_string=Audit&amp;DYN_ARGS=TRUE&amp;VAR:ID1=40963P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88__FDSAUDITLINK__" localSheetId="9" hidden="1">{"fdsup://IBCentral/FAT Viewer?action=UPDATE&amp;creator=factset&amp;DOC_NAME=fat:reuters_qtrly_source_window.fat&amp;display_string=Audit&amp;DYN_ARGS=TRUE&amp;VAR:ID1=40963P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88__FDSAUDITLINK__" hidden="1">{"fdsup://IBCentral/FAT Viewer?action=UPDATE&amp;creator=factset&amp;DOC_NAME=fat:reuters_qtrly_source_window.fat&amp;display_string=Audit&amp;DYN_ARGS=TRUE&amp;VAR:ID1=40963P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89__FDSAUDITLINK__" localSheetId="10" hidden="1">{"fdsup://IBCentral/FAT Viewer?action=UPDATE&amp;creator=factset&amp;DOC_NAME=fat:reuters_qtrly_source_window.fat&amp;display_string=Audit&amp;DYN_ARGS=TRUE&amp;VAR:ID1=40052B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89__FDSAUDITLINK__" localSheetId="9" hidden="1">{"fdsup://IBCentral/FAT Viewer?action=UPDATE&amp;creator=factset&amp;DOC_NAME=fat:reuters_qtrly_source_window.fat&amp;display_string=Audit&amp;DYN_ARGS=TRUE&amp;VAR:ID1=40052B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89__FDSAUDITLINK__" hidden="1">{"fdsup://IBCentral/FAT Viewer?action=UPDATE&amp;creator=factset&amp;DOC_NAME=fat:reuters_qtrly_source_window.fat&amp;display_string=Audit&amp;DYN_ARGS=TRUE&amp;VAR:ID1=40052B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9__FDSAUDITLINK__" localSheetId="10" hidden="1">{"fdsup://IBCentral/FAT Viewer?action=UPDATE&amp;creator=factset&amp;DOC_NAME=fat:reuters_annual_source_window.fat&amp;display_string=Audit&amp;DYN_ARGS=TRUE&amp;VAR:ID1=11012210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9__FDSAUDITLINK__" localSheetId="9" hidden="1">{"fdsup://IBCentral/FAT Viewer?action=UPDATE&amp;creator=factset&amp;DOC_NAME=fat:reuters_annual_source_window.fat&amp;display_string=Audit&amp;DYN_ARGS=TRUE&amp;VAR:ID1=11012210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9__FDSAUDITLINK__" hidden="1">{"fdsup://IBCentral/FAT Viewer?action=UPDATE&amp;creator=factset&amp;DOC_NAME=fat:reuters_annual_source_window.fat&amp;display_string=Audit&amp;DYN_ARGS=TRUE&amp;VAR:ID1=11012210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90__FDSAUDITLINK__" localSheetId="10" hidden="1">{"fdsup://IBCentral/FAT Viewer?action=UPDATE&amp;creator=factset&amp;DOC_NAME=fat:reuters_qtrly_source_window.fat&amp;display_string=Audit&amp;DYN_ARGS=TRUE&amp;VAR:ID1=16342810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90__FDSAUDITLINK__" localSheetId="9" hidden="1">{"fdsup://IBCentral/FAT Viewer?action=UPDATE&amp;creator=factset&amp;DOC_NAME=fat:reuters_qtrly_source_window.fat&amp;display_string=Audit&amp;DYN_ARGS=TRUE&amp;VAR:ID1=16342810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90__FDSAUDITLINK__" hidden="1">{"fdsup://IBCentral/FAT Viewer?action=UPDATE&amp;creator=factset&amp;DOC_NAME=fat:reuters_qtrly_source_window.fat&amp;display_string=Audit&amp;DYN_ARGS=TRUE&amp;VAR:ID1=16342810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91__FDSAUDITLINK__" localSheetId="10" hidden="1">{"fdsup://IBCentral/FAT Viewer?action=UPDATE&amp;creator=factset&amp;DOC_NAME=fat:reuters_qtrly_source_window.fat&amp;display_string=Audit&amp;DYN_ARGS=TRUE&amp;VAR:ID1=22208310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91__FDSAUDITLINK__" localSheetId="9" hidden="1">{"fdsup://IBCentral/FAT Viewer?action=UPDATE&amp;creator=factset&amp;DOC_NAME=fat:reuters_qtrly_source_window.fat&amp;display_string=Audit&amp;DYN_ARGS=TRUE&amp;VAR:ID1=22208310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91__FDSAUDITLINK__" hidden="1">{"fdsup://IBCentral/FAT Viewer?action=UPDATE&amp;creator=factset&amp;DOC_NAME=fat:reuters_qtrly_source_window.fat&amp;display_string=Audit&amp;DYN_ARGS=TRUE&amp;VAR:ID1=22208310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92__FDSAUDITLINK__" localSheetId="10" hidden="1">{"fdsup://IBCentral/FAT Viewer?action=UPDATE&amp;creator=factset&amp;DOC_NAME=fat:reuters_qtrly_source_window.fat&amp;display_string=Audit&amp;DYN_ARGS=TRUE&amp;VAR:ID1=15102010&amp;VAR:RCODE=SCSI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92__FDSAUDITLINK__" localSheetId="9" hidden="1">{"fdsup://IBCentral/FAT Viewer?action=UPDATE&amp;creator=factset&amp;DOC_NAME=fat:reuters_qtrly_source_window.fat&amp;display_string=Audit&amp;DYN_ARGS=TRUE&amp;VAR:ID1=15102010&amp;VAR:RCODE=SCSI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92__FDSAUDITLINK__" hidden="1">{"fdsup://IBCentral/FAT Viewer?action=UPDATE&amp;creator=factset&amp;DOC_NAME=fat:reuters_qtrly_source_window.fat&amp;display_string=Audit&amp;DYN_ARGS=TRUE&amp;VAR:ID1=15102010&amp;VAR:RCODE=SCSI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93__FDSAUDITLINK__" localSheetId="10" hidden="1">{"fdsup://IBCentral/FAT Viewer?action=UPDATE&amp;creator=factset&amp;DOC_NAME=fat:reuters_annual_source_window.fat&amp;display_string=Audit&amp;DYN_ARGS=TRUE&amp;VAR:ID1=98302410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93__FDSAUDITLINK__" localSheetId="9" hidden="1">{"fdsup://IBCentral/FAT Viewer?action=UPDATE&amp;creator=factset&amp;DOC_NAME=fat:reuters_annual_source_window.fat&amp;display_string=Audit&amp;DYN_ARGS=TRUE&amp;VAR:ID1=98302410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93__FDSAUDITLINK__" hidden="1">{"fdsup://IBCentral/FAT Viewer?action=UPDATE&amp;creator=factset&amp;DOC_NAME=fat:reuters_annual_source_window.fat&amp;display_string=Audit&amp;DYN_ARGS=TRUE&amp;VAR:ID1=98302410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94__FDSAUDITLINK__" localSheetId="10" hidden="1">{"fdsup://IBCentral/FAT Viewer?action=UPDATE&amp;creator=factset&amp;DOC_NAME=fat:reuters_annual_source_window.fat&amp;display_string=Audit&amp;DYN_ARGS=TRUE&amp;VAR:ID1=98302410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94__FDSAUDITLINK__" localSheetId="9" hidden="1">{"fdsup://IBCentral/FAT Viewer?action=UPDATE&amp;creator=factset&amp;DOC_NAME=fat:reuters_annual_source_window.fat&amp;display_string=Audit&amp;DYN_ARGS=TRUE&amp;VAR:ID1=98302410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94__FDSAUDITLINK__" hidden="1">{"fdsup://IBCentral/FAT Viewer?action=UPDATE&amp;creator=factset&amp;DOC_NAME=fat:reuters_annual_source_window.fat&amp;display_string=Audit&amp;DYN_ARGS=TRUE&amp;VAR:ID1=98302410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95__FDSAUDITLINK__" localSheetId="10" hidden="1">{"fdsup://IBCentral/FAT Viewer?action=UPDATE&amp;creator=factset&amp;DOC_NAME=fat:reuters_annual_source_window.fat&amp;display_string=Audit&amp;DYN_ARGS=TRUE&amp;VAR:ID1=80660510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95__FDSAUDITLINK__" localSheetId="9" hidden="1">{"fdsup://IBCentral/FAT Viewer?action=UPDATE&amp;creator=factset&amp;DOC_NAME=fat:reuters_annual_source_window.fat&amp;display_string=Audit&amp;DYN_ARGS=TRUE&amp;VAR:ID1=80660510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95__FDSAUDITLINK__" hidden="1">{"fdsup://IBCentral/FAT Viewer?action=UPDATE&amp;creator=factset&amp;DOC_NAME=fat:reuters_annual_source_window.fat&amp;display_string=Audit&amp;DYN_ARGS=TRUE&amp;VAR:ID1=80660510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96__FDSAUDITLINK__" localSheetId="10" hidden="1">{"fdsup://IBCentral/FAT Viewer?action=UPDATE&amp;creator=factset&amp;DOC_NAME=fat:reuters_annual_source_window.fat&amp;display_string=Audit&amp;DYN_ARGS=TRUE&amp;VAR:ID1=80660510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96__FDSAUDITLINK__" localSheetId="9" hidden="1">{"fdsup://IBCentral/FAT Viewer?action=UPDATE&amp;creator=factset&amp;DOC_NAME=fat:reuters_annual_source_window.fat&amp;display_string=Audit&amp;DYN_ARGS=TRUE&amp;VAR:ID1=80660510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96__FDSAUDITLINK__" hidden="1">{"fdsup://IBCentral/FAT Viewer?action=UPDATE&amp;creator=factset&amp;DOC_NAME=fat:reuters_annual_source_window.fat&amp;display_string=Audit&amp;DYN_ARGS=TRUE&amp;VAR:ID1=80660510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97__FDSAUDITLINK__" localSheetId="10" hidden="1">{"fdsup://IBCentral/FAT Viewer?action=UPDATE&amp;creator=factset&amp;DOC_NAME=fat:reuters_annual_source_window.fat&amp;display_string=Audit&amp;DYN_ARGS=TRUE&amp;VAR:ID1=71708110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97__FDSAUDITLINK__" localSheetId="9" hidden="1">{"fdsup://IBCentral/FAT Viewer?action=UPDATE&amp;creator=factset&amp;DOC_NAME=fat:reuters_annual_source_window.fat&amp;display_string=Audit&amp;DYN_ARGS=TRUE&amp;VAR:ID1=71708110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97__FDSAUDITLINK__" hidden="1">{"fdsup://IBCentral/FAT Viewer?action=UPDATE&amp;creator=factset&amp;DOC_NAME=fat:reuters_annual_source_window.fat&amp;display_string=Audit&amp;DYN_ARGS=TRUE&amp;VAR:ID1=71708110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98__FDSAUDITLINK__" localSheetId="10" hidden="1">{"fdsup://IBCentral/FAT Viewer?action=UPDATE&amp;creator=factset&amp;DOC_NAME=fat:reuters_annual_source_window.fat&amp;display_string=Audit&amp;DYN_ARGS=TRUE&amp;VAR:ID1=71708110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98__FDSAUDITLINK__" localSheetId="9" hidden="1">{"fdsup://IBCentral/FAT Viewer?action=UPDATE&amp;creator=factset&amp;DOC_NAME=fat:reuters_annual_source_window.fat&amp;display_string=Audit&amp;DYN_ARGS=TRUE&amp;VAR:ID1=71708110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98__FDSAUDITLINK__" hidden="1">{"fdsup://IBCentral/FAT Viewer?action=UPDATE&amp;creator=factset&amp;DOC_NAME=fat:reuters_annual_source_window.fat&amp;display_string=Audit&amp;DYN_ARGS=TRUE&amp;VAR:ID1=71708110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99__FDSAUDITLINK__" localSheetId="10" hidden="1">{"fdsup://IBCentral/FAT Viewer?action=UPDATE&amp;creator=factset&amp;DOC_NAME=fat:reuters_annual_source_window.fat&amp;display_string=Audit&amp;DYN_ARGS=TRUE&amp;VAR:ID1=58933110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99__FDSAUDITLINK__" localSheetId="9" hidden="1">{"fdsup://IBCentral/FAT Viewer?action=UPDATE&amp;creator=factset&amp;DOC_NAME=fat:reuters_annual_source_window.fat&amp;display_string=Audit&amp;DYN_ARGS=TRUE&amp;VAR:ID1=58933110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99__FDSAUDITLINK__" hidden="1">{"fdsup://IBCentral/FAT Viewer?action=UPDATE&amp;creator=factset&amp;DOC_NAME=fat:reuters_annual_source_window.fat&amp;display_string=Audit&amp;DYN_ARGS=TRUE&amp;VAR:ID1=58933110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K" hidden="1">#REF!</definedName>
    <definedName name="_2o2_" hidden="1">#REF!</definedName>
    <definedName name="_2S" hidden="1">#REF!</definedName>
    <definedName name="_3__123Graph_ACHART_2" hidden="1">#REF!</definedName>
    <definedName name="_3__123Graph_BCHART_1" hidden="1">#REF!</definedName>
    <definedName name="_3__123Graph_BO_S_GAS" hidden="1">#REF!</definedName>
    <definedName name="_3__123Graph_XChart_1A" hidden="1">#N/A</definedName>
    <definedName name="_3__FDSAUDITLINK__" localSheetId="10" hidden="1">{"fdsup://directions/FAT Viewer?action=UPDATE&amp;creator=factset&amp;DYN_ARGS=TRUE&amp;DOC_NAME=FAT:FQL_AUDITING_CLIENT_TEMPLATE.FAT&amp;display_string=Audit&amp;VAR:KEY=XATOPYVAVM&amp;VAR:QUERY=RkZfQlBTX1RBTkcoQU5OLDQwMzI2KQ==&amp;WINDOW=FIRST_POPUP&amp;HEIGHT=450&amp;WIDTH=450&amp;START_MAXIMI","ZED=FALSE&amp;VAR:CALENDAR=US&amp;VAR:SYMBOL=VSH&amp;VAR:INDEX=0"}</definedName>
    <definedName name="_3__FDSAUDITLINK__" localSheetId="9" hidden="1">{"fdsup://directions/FAT Viewer?action=UPDATE&amp;creator=factset&amp;DYN_ARGS=TRUE&amp;DOC_NAME=FAT:FQL_AUDITING_CLIENT_TEMPLATE.FAT&amp;display_string=Audit&amp;VAR:KEY=XATOPYVAVM&amp;VAR:QUERY=RkZfQlBTX1RBTkcoQU5OLDQwMzI2KQ==&amp;WINDOW=FIRST_POPUP&amp;HEIGHT=450&amp;WIDTH=450&amp;START_MAXIMI","ZED=FALSE&amp;VAR:CALENDAR=US&amp;VAR:SYMBOL=VSH&amp;VAR:INDEX=0"}</definedName>
    <definedName name="_3__FDSAUDITLINK__" hidden="1">{"fdsup://directions/FAT Viewer?action=UPDATE&amp;creator=factset&amp;DYN_ARGS=TRUE&amp;DOC_NAME=FAT:FQL_AUDITING_CLIENT_TEMPLATE.FAT&amp;display_string=Audit&amp;VAR:KEY=XATOPYVAVM&amp;VAR:QUERY=RkZfQlBTX1RBTkcoQU5OLDQwMzI2KQ==&amp;WINDOW=FIRST_POPUP&amp;HEIGHT=450&amp;WIDTH=450&amp;START_MAXIMI","ZED=FALSE&amp;VAR:CALENDAR=US&amp;VAR:SYMBOL=VSH&amp;VAR:INDEX=0"}</definedName>
    <definedName name="_3__FDSAUDITLINK___1" localSheetId="10" hidden="1">{"fdsup://directions/FAT Viewer?action=UPDATE&amp;creator=factset&amp;DYN_ARGS=TRUE&amp;DOC_NAME=FAT:FQL_AUDITING_CLIENT_TEMPLATE.FAT&amp;display_string=Audit&amp;VAR:KEY=XATOPYVAVM&amp;VAR:QUERY=RkZfQlBTX1RBTkcoQU5OLDQwMzI2KQ==&amp;WINDOW=FIRST_POPUP&amp;HEIGHT=450&amp;WIDTH=450&amp;START_MAXIMI","ZED=FALSE&amp;VAR:CALENDAR=US&amp;VAR:SYMBOL=VSH&amp;VAR:INDEX=0"}</definedName>
    <definedName name="_3__FDSAUDITLINK___1" localSheetId="9" hidden="1">{"fdsup://directions/FAT Viewer?action=UPDATE&amp;creator=factset&amp;DYN_ARGS=TRUE&amp;DOC_NAME=FAT:FQL_AUDITING_CLIENT_TEMPLATE.FAT&amp;display_string=Audit&amp;VAR:KEY=XATOPYVAVM&amp;VAR:QUERY=RkZfQlBTX1RBTkcoQU5OLDQwMzI2KQ==&amp;WINDOW=FIRST_POPUP&amp;HEIGHT=450&amp;WIDTH=450&amp;START_MAXIMI","ZED=FALSE&amp;VAR:CALENDAR=US&amp;VAR:SYMBOL=VSH&amp;VAR:INDEX=0"}</definedName>
    <definedName name="_3__FDSAUDITLINK___1" hidden="1">{"fdsup://directions/FAT Viewer?action=UPDATE&amp;creator=factset&amp;DYN_ARGS=TRUE&amp;DOC_NAME=FAT:FQL_AUDITING_CLIENT_TEMPLATE.FAT&amp;display_string=Audit&amp;VAR:KEY=XATOPYVAVM&amp;VAR:QUERY=RkZfQlBTX1RBTkcoQU5OLDQwMzI2KQ==&amp;WINDOW=FIRST_POPUP&amp;HEIGHT=450&amp;WIDTH=450&amp;START_MAXIMI","ZED=FALSE&amp;VAR:CALENDAR=US&amp;VAR:SYMBOL=VSH&amp;VAR:INDEX=0"}</definedName>
    <definedName name="_3_0_0_K" hidden="1">#REF!</definedName>
    <definedName name="_30__FDSAUDITLINK__" localSheetId="10" hidden="1">{"fdsup://IBCentral/FAT Viewer?action=UPDATE&amp;creator=factset&amp;DOC_NAME=fat:reuters_annual_source_window.fat&amp;display_string=Audit&amp;DYN_ARGS=TRUE&amp;VAR:ID1=98302410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0__FDSAUDITLINK__" localSheetId="9" hidden="1">{"fdsup://IBCentral/FAT Viewer?action=UPDATE&amp;creator=factset&amp;DOC_NAME=fat:reuters_annual_source_window.fat&amp;display_string=Audit&amp;DYN_ARGS=TRUE&amp;VAR:ID1=98302410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0__FDSAUDITLINK__" hidden="1">{"fdsup://IBCentral/FAT Viewer?action=UPDATE&amp;creator=factset&amp;DOC_NAME=fat:reuters_annual_source_window.fat&amp;display_string=Audit&amp;DYN_ARGS=TRUE&amp;VAR:ID1=98302410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0_9_0__123Grap" hidden="1">#REF!</definedName>
    <definedName name="_300__FDSAUDITLINK__" localSheetId="10" hidden="1">{"fdsup://IBCentral/FAT Viewer?action=UPDATE&amp;creator=factset&amp;DOC_NAME=fat:reuters_annual_source_window.fat&amp;display_string=Audit&amp;DYN_ARGS=TRUE&amp;VAR:ID1=58933110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00__FDSAUDITLINK__" localSheetId="9" hidden="1">{"fdsup://IBCentral/FAT Viewer?action=UPDATE&amp;creator=factset&amp;DOC_NAME=fat:reuters_annual_source_window.fat&amp;display_string=Audit&amp;DYN_ARGS=TRUE&amp;VAR:ID1=58933110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00__FDSAUDITLINK__" hidden="1">{"fdsup://IBCentral/FAT Viewer?action=UPDATE&amp;creator=factset&amp;DOC_NAME=fat:reuters_annual_source_window.fat&amp;display_string=Audit&amp;DYN_ARGS=TRUE&amp;VAR:ID1=58933110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01__FDSAUDITLINK__" localSheetId="10" hidden="1">{"fdsup://IBCentral/FAT Viewer?action=UPDATE&amp;creator=factset&amp;DOC_NAME=fat:reuters_annual_source_window.fat&amp;display_string=Audit&amp;DYN_ARGS=TRUE&amp;VAR:ID1=53245710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01__FDSAUDITLINK__" localSheetId="9" hidden="1">{"fdsup://IBCentral/FAT Viewer?action=UPDATE&amp;creator=factset&amp;DOC_NAME=fat:reuters_annual_source_window.fat&amp;display_string=Audit&amp;DYN_ARGS=TRUE&amp;VAR:ID1=53245710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01__FDSAUDITLINK__" hidden="1">{"fdsup://IBCentral/FAT Viewer?action=UPDATE&amp;creator=factset&amp;DOC_NAME=fat:reuters_annual_source_window.fat&amp;display_string=Audit&amp;DYN_ARGS=TRUE&amp;VAR:ID1=53245710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02__FDSAUDITLINK__" localSheetId="10" hidden="1">{"fdsup://IBCentral/FAT Viewer?action=UPDATE&amp;creator=factset&amp;DOC_NAME=fat:reuters_annual_source_window.fat&amp;display_string=Audit&amp;DYN_ARGS=TRUE&amp;VAR:ID1=53245710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02__FDSAUDITLINK__" localSheetId="9" hidden="1">{"fdsup://IBCentral/FAT Viewer?action=UPDATE&amp;creator=factset&amp;DOC_NAME=fat:reuters_annual_source_window.fat&amp;display_string=Audit&amp;DYN_ARGS=TRUE&amp;VAR:ID1=53245710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02__FDSAUDITLINK__" hidden="1">{"fdsup://IBCentral/FAT Viewer?action=UPDATE&amp;creator=factset&amp;DOC_NAME=fat:reuters_annual_source_window.fat&amp;display_string=Audit&amp;DYN_ARGS=TRUE&amp;VAR:ID1=53245710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03__FDSAUDITLINK__" localSheetId="10" hidden="1">{"fdsup://IBCentral/FAT Viewer?action=UPDATE&amp;creator=factset&amp;DOC_NAME=fat:reuters_annual_source_window.fat&amp;display_string=Audit&amp;DYN_ARGS=TRUE&amp;VAR:ID1=11012210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03__FDSAUDITLINK__" localSheetId="9" hidden="1">{"fdsup://IBCentral/FAT Viewer?action=UPDATE&amp;creator=factset&amp;DOC_NAME=fat:reuters_annual_source_window.fat&amp;display_string=Audit&amp;DYN_ARGS=TRUE&amp;VAR:ID1=11012210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03__FDSAUDITLINK__" hidden="1">{"fdsup://IBCentral/FAT Viewer?action=UPDATE&amp;creator=factset&amp;DOC_NAME=fat:reuters_annual_source_window.fat&amp;display_string=Audit&amp;DYN_ARGS=TRUE&amp;VAR:ID1=11012210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04__FDSAUDITLINK__" localSheetId="10" hidden="1">{"fdsup://IBCentral/FAT Viewer?action=UPDATE&amp;creator=factset&amp;DOC_NAME=fat:reuters_annual_source_window.fat&amp;display_string=Audit&amp;DYN_ARGS=TRUE&amp;VAR:ID1=11012210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04__FDSAUDITLINK__" localSheetId="9" hidden="1">{"fdsup://IBCentral/FAT Viewer?action=UPDATE&amp;creator=factset&amp;DOC_NAME=fat:reuters_annual_source_window.fat&amp;display_string=Audit&amp;DYN_ARGS=TRUE&amp;VAR:ID1=11012210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04__FDSAUDITLINK__" hidden="1">{"fdsup://IBCentral/FAT Viewer?action=UPDATE&amp;creator=factset&amp;DOC_NAME=fat:reuters_annual_source_window.fat&amp;display_string=Audit&amp;DYN_ARGS=TRUE&amp;VAR:ID1=11012210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05__FDSAUDITLINK__" localSheetId="10" hidden="1">{"fdsup://IBCentral/FAT Viewer?action=UPDATE&amp;creator=factset&amp;DOC_NAME=fat:reuters_annual_source_window.fat&amp;display_string=Audit&amp;DYN_ARGS=TRUE&amp;VAR:ID1=98302410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05__FDSAUDITLINK__" localSheetId="9" hidden="1">{"fdsup://IBCentral/FAT Viewer?action=UPDATE&amp;creator=factset&amp;DOC_NAME=fat:reuters_annual_source_window.fat&amp;display_string=Audit&amp;DYN_ARGS=TRUE&amp;VAR:ID1=98302410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05__FDSAUDITLINK__" hidden="1">{"fdsup://IBCentral/FAT Viewer?action=UPDATE&amp;creator=factset&amp;DOC_NAME=fat:reuters_annual_source_window.fat&amp;display_string=Audit&amp;DYN_ARGS=TRUE&amp;VAR:ID1=98302410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06__FDSAUDITLINK__" localSheetId="10" hidden="1">{"fdsup://IBCentral/FAT Viewer?action=UPDATE&amp;creator=factset&amp;DOC_NAME=fat:reuters_annual_source_window.fat&amp;display_string=Audit&amp;DYN_ARGS=TRUE&amp;VAR:ID1=98302410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06__FDSAUDITLINK__" localSheetId="9" hidden="1">{"fdsup://IBCentral/FAT Viewer?action=UPDATE&amp;creator=factset&amp;DOC_NAME=fat:reuters_annual_source_window.fat&amp;display_string=Audit&amp;DYN_ARGS=TRUE&amp;VAR:ID1=98302410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06__FDSAUDITLINK__" hidden="1">{"fdsup://IBCentral/FAT Viewer?action=UPDATE&amp;creator=factset&amp;DOC_NAME=fat:reuters_annual_source_window.fat&amp;display_string=Audit&amp;DYN_ARGS=TRUE&amp;VAR:ID1=98302410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07__FDSAUDITLINK__" localSheetId="10" hidden="1">{"fdsup://IBCentral/FAT Viewer?action=UPDATE&amp;creator=factset&amp;DOC_NAME=fat:reuters_annual_source_window.fat&amp;display_string=Audit&amp;DYN_ARGS=TRUE&amp;VAR:ID1=98302410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307__FDSAUDITLINK__" localSheetId="9" hidden="1">{"fdsup://IBCentral/FAT Viewer?action=UPDATE&amp;creator=factset&amp;DOC_NAME=fat:reuters_annual_source_window.fat&amp;display_string=Audit&amp;DYN_ARGS=TRUE&amp;VAR:ID1=98302410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307__FDSAUDITLINK__" hidden="1">{"fdsup://IBCentral/FAT Viewer?action=UPDATE&amp;creator=factset&amp;DOC_NAME=fat:reuters_annual_source_window.fat&amp;display_string=Audit&amp;DYN_ARGS=TRUE&amp;VAR:ID1=98302410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308__FDSAUDITLINK__" localSheetId="10" hidden="1">{"fdsup://IBCentral/FAT Viewer?action=UPDATE&amp;creator=factset&amp;DOC_NAME=fat:reuters_annual_source_window.fat&amp;display_string=Audit&amp;DYN_ARGS=TRUE&amp;VAR:ID1=80660510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08__FDSAUDITLINK__" localSheetId="9" hidden="1">{"fdsup://IBCentral/FAT Viewer?action=UPDATE&amp;creator=factset&amp;DOC_NAME=fat:reuters_annual_source_window.fat&amp;display_string=Audit&amp;DYN_ARGS=TRUE&amp;VAR:ID1=80660510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08__FDSAUDITLINK__" hidden="1">{"fdsup://IBCentral/FAT Viewer?action=UPDATE&amp;creator=factset&amp;DOC_NAME=fat:reuters_annual_source_window.fat&amp;display_string=Audit&amp;DYN_ARGS=TRUE&amp;VAR:ID1=80660510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09__FDSAUDITLINK__" localSheetId="10" hidden="1">{"fdsup://IBCentral/FAT Viewer?action=UPDATE&amp;creator=factset&amp;DOC_NAME=fat:reuters_annual_source_window.fat&amp;display_string=Audit&amp;DYN_ARGS=TRUE&amp;VAR:ID1=80660510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09__FDSAUDITLINK__" localSheetId="9" hidden="1">{"fdsup://IBCentral/FAT Viewer?action=UPDATE&amp;creator=factset&amp;DOC_NAME=fat:reuters_annual_source_window.fat&amp;display_string=Audit&amp;DYN_ARGS=TRUE&amp;VAR:ID1=80660510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09__FDSAUDITLINK__" hidden="1">{"fdsup://IBCentral/FAT Viewer?action=UPDATE&amp;creator=factset&amp;DOC_NAME=fat:reuters_annual_source_window.fat&amp;display_string=Audit&amp;DYN_ARGS=TRUE&amp;VAR:ID1=80660510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1__FDSAUDITLINK__" localSheetId="10" hidden="1">{"fdsup://IBCentral/FAT Viewer?action=UPDATE&amp;creator=factset&amp;DOC_NAME=fat:reuters_annual_source_window.fat&amp;display_string=Audit&amp;DYN_ARGS=TRUE&amp;VAR:ID1=98302410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1__FDSAUDITLINK__" localSheetId="9" hidden="1">{"fdsup://IBCentral/FAT Viewer?action=UPDATE&amp;creator=factset&amp;DOC_NAME=fat:reuters_annual_source_window.fat&amp;display_string=Audit&amp;DYN_ARGS=TRUE&amp;VAR:ID1=98302410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1__FDSAUDITLINK__" hidden="1">{"fdsup://IBCentral/FAT Viewer?action=UPDATE&amp;creator=factset&amp;DOC_NAME=fat:reuters_annual_source_window.fat&amp;display_string=Audit&amp;DYN_ARGS=TRUE&amp;VAR:ID1=98302410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1_9_0__123Graph_LB" hidden="1">#REF!</definedName>
    <definedName name="_310__FDSAUDITLINK__" localSheetId="10" hidden="1">{"fdsup://IBCentral/FAT Viewer?action=UPDATE&amp;creator=factset&amp;DOC_NAME=fat:reuters_annual_source_window.fat&amp;display_string=Audit&amp;DYN_ARGS=TRUE&amp;VAR:ID1=80660510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310__FDSAUDITLINK__" localSheetId="9" hidden="1">{"fdsup://IBCentral/FAT Viewer?action=UPDATE&amp;creator=factset&amp;DOC_NAME=fat:reuters_annual_source_window.fat&amp;display_string=Audit&amp;DYN_ARGS=TRUE&amp;VAR:ID1=80660510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310__FDSAUDITLINK__" hidden="1">{"fdsup://IBCentral/FAT Viewer?action=UPDATE&amp;creator=factset&amp;DOC_NAME=fat:reuters_annual_source_window.fat&amp;display_string=Audit&amp;DYN_ARGS=TRUE&amp;VAR:ID1=80660510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311__FDSAUDITLINK__" localSheetId="10" hidden="1">{"fdsup://IBCentral/FAT Viewer?action=UPDATE&amp;creator=factset&amp;DOC_NAME=fat:reuters_annual_source_window.fat&amp;display_string=Audit&amp;DYN_ARGS=TRUE&amp;VAR:ID1=71708110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11__FDSAUDITLINK__" localSheetId="9" hidden="1">{"fdsup://IBCentral/FAT Viewer?action=UPDATE&amp;creator=factset&amp;DOC_NAME=fat:reuters_annual_source_window.fat&amp;display_string=Audit&amp;DYN_ARGS=TRUE&amp;VAR:ID1=71708110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11__FDSAUDITLINK__" hidden="1">{"fdsup://IBCentral/FAT Viewer?action=UPDATE&amp;creator=factset&amp;DOC_NAME=fat:reuters_annual_source_window.fat&amp;display_string=Audit&amp;DYN_ARGS=TRUE&amp;VAR:ID1=71708110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12__FDSAUDITLINK__" localSheetId="10" hidden="1">{"fdsup://IBCentral/FAT Viewer?action=UPDATE&amp;creator=factset&amp;DOC_NAME=fat:reuters_annual_source_window.fat&amp;display_string=Audit&amp;DYN_ARGS=TRUE&amp;VAR:ID1=71708110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12__FDSAUDITLINK__" localSheetId="9" hidden="1">{"fdsup://IBCentral/FAT Viewer?action=UPDATE&amp;creator=factset&amp;DOC_NAME=fat:reuters_annual_source_window.fat&amp;display_string=Audit&amp;DYN_ARGS=TRUE&amp;VAR:ID1=71708110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12__FDSAUDITLINK__" hidden="1">{"fdsup://IBCentral/FAT Viewer?action=UPDATE&amp;creator=factset&amp;DOC_NAME=fat:reuters_annual_source_window.fat&amp;display_string=Audit&amp;DYN_ARGS=TRUE&amp;VAR:ID1=71708110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13__FDSAUDITLINK__" localSheetId="10" hidden="1">{"fdsup://IBCentral/FAT Viewer?action=UPDATE&amp;creator=factset&amp;DOC_NAME=fat:reuters_annual_source_window.fat&amp;display_string=Audit&amp;DYN_ARGS=TRUE&amp;VAR:ID1=71708110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313__FDSAUDITLINK__" localSheetId="9" hidden="1">{"fdsup://IBCentral/FAT Viewer?action=UPDATE&amp;creator=factset&amp;DOC_NAME=fat:reuters_annual_source_window.fat&amp;display_string=Audit&amp;DYN_ARGS=TRUE&amp;VAR:ID1=71708110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313__FDSAUDITLINK__" hidden="1">{"fdsup://IBCentral/FAT Viewer?action=UPDATE&amp;creator=factset&amp;DOC_NAME=fat:reuters_annual_source_window.fat&amp;display_string=Audit&amp;DYN_ARGS=TRUE&amp;VAR:ID1=71708110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314__FDSAUDITLINK__" localSheetId="10" hidden="1">{"fdsup://IBCentral/FAT Viewer?action=UPDATE&amp;creator=factset&amp;DOC_NAME=fat:reuters_annual_source_window.fat&amp;display_string=Audit&amp;DYN_ARGS=TRUE&amp;VAR:ID1=58933110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14__FDSAUDITLINK__" localSheetId="9" hidden="1">{"fdsup://IBCentral/FAT Viewer?action=UPDATE&amp;creator=factset&amp;DOC_NAME=fat:reuters_annual_source_window.fat&amp;display_string=Audit&amp;DYN_ARGS=TRUE&amp;VAR:ID1=58933110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14__FDSAUDITLINK__" hidden="1">{"fdsup://IBCentral/FAT Viewer?action=UPDATE&amp;creator=factset&amp;DOC_NAME=fat:reuters_annual_source_window.fat&amp;display_string=Audit&amp;DYN_ARGS=TRUE&amp;VAR:ID1=58933110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15__FDSAUDITLINK__" localSheetId="10" hidden="1">{"fdsup://IBCentral/FAT Viewer?action=UPDATE&amp;creator=factset&amp;DOC_NAME=fat:reuters_annual_source_window.fat&amp;display_string=Audit&amp;DYN_ARGS=TRUE&amp;VAR:ID1=58933110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15__FDSAUDITLINK__" localSheetId="9" hidden="1">{"fdsup://IBCentral/FAT Viewer?action=UPDATE&amp;creator=factset&amp;DOC_NAME=fat:reuters_annual_source_window.fat&amp;display_string=Audit&amp;DYN_ARGS=TRUE&amp;VAR:ID1=58933110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15__FDSAUDITLINK__" hidden="1">{"fdsup://IBCentral/FAT Viewer?action=UPDATE&amp;creator=factset&amp;DOC_NAME=fat:reuters_annual_source_window.fat&amp;display_string=Audit&amp;DYN_ARGS=TRUE&amp;VAR:ID1=58933110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16__FDSAUDITLINK__" localSheetId="10" hidden="1">{"fdsup://IBCentral/FAT Viewer?action=UPDATE&amp;creator=factset&amp;DOC_NAME=fat:reuters_annual_source_window.fat&amp;display_string=Audit&amp;DYN_ARGS=TRUE&amp;VAR:ID1=58933110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316__FDSAUDITLINK__" localSheetId="9" hidden="1">{"fdsup://IBCentral/FAT Viewer?action=UPDATE&amp;creator=factset&amp;DOC_NAME=fat:reuters_annual_source_window.fat&amp;display_string=Audit&amp;DYN_ARGS=TRUE&amp;VAR:ID1=58933110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316__FDSAUDITLINK__" hidden="1">{"fdsup://IBCentral/FAT Viewer?action=UPDATE&amp;creator=factset&amp;DOC_NAME=fat:reuters_annual_source_window.fat&amp;display_string=Audit&amp;DYN_ARGS=TRUE&amp;VAR:ID1=58933110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317__FDSAUDITLINK__" localSheetId="10" hidden="1">{"fdsup://IBCentral/FAT Viewer?action=UPDATE&amp;creator=factset&amp;DOC_NAME=fat:reuters_annual_source_window.fat&amp;display_string=Audit&amp;DYN_ARGS=TRUE&amp;VAR:ID1=53245710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17__FDSAUDITLINK__" localSheetId="9" hidden="1">{"fdsup://IBCentral/FAT Viewer?action=UPDATE&amp;creator=factset&amp;DOC_NAME=fat:reuters_annual_source_window.fat&amp;display_string=Audit&amp;DYN_ARGS=TRUE&amp;VAR:ID1=53245710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17__FDSAUDITLINK__" hidden="1">{"fdsup://IBCentral/FAT Viewer?action=UPDATE&amp;creator=factset&amp;DOC_NAME=fat:reuters_annual_source_window.fat&amp;display_string=Audit&amp;DYN_ARGS=TRUE&amp;VAR:ID1=53245710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18__FDSAUDITLINK__" localSheetId="10" hidden="1">{"fdsup://IBCentral/FAT Viewer?action=UPDATE&amp;creator=factset&amp;DOC_NAME=fat:reuters_annual_source_window.fat&amp;display_string=Audit&amp;DYN_ARGS=TRUE&amp;VAR:ID1=53245710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18__FDSAUDITLINK__" localSheetId="9" hidden="1">{"fdsup://IBCentral/FAT Viewer?action=UPDATE&amp;creator=factset&amp;DOC_NAME=fat:reuters_annual_source_window.fat&amp;display_string=Audit&amp;DYN_ARGS=TRUE&amp;VAR:ID1=53245710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18__FDSAUDITLINK__" hidden="1">{"fdsup://IBCentral/FAT Viewer?action=UPDATE&amp;creator=factset&amp;DOC_NAME=fat:reuters_annual_source_window.fat&amp;display_string=Audit&amp;DYN_ARGS=TRUE&amp;VAR:ID1=53245710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19__FDSAUDITLINK__" localSheetId="10" hidden="1">{"fdsup://IBCentral/FAT Viewer?action=UPDATE&amp;creator=factset&amp;DOC_NAME=fat:reuters_annual_source_window.fat&amp;display_string=Audit&amp;DYN_ARGS=TRUE&amp;VAR:ID1=53245710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319__FDSAUDITLINK__" localSheetId="9" hidden="1">{"fdsup://IBCentral/FAT Viewer?action=UPDATE&amp;creator=factset&amp;DOC_NAME=fat:reuters_annual_source_window.fat&amp;display_string=Audit&amp;DYN_ARGS=TRUE&amp;VAR:ID1=53245710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319__FDSAUDITLINK__" hidden="1">{"fdsup://IBCentral/FAT Viewer?action=UPDATE&amp;creator=factset&amp;DOC_NAME=fat:reuters_annual_source_window.fat&amp;display_string=Audit&amp;DYN_ARGS=TRUE&amp;VAR:ID1=53245710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32__FDSAUDITLINK__" localSheetId="10" hidden="1">{"fdsup://IBCentral/FAT Viewer?action=UPDATE&amp;creator=factset&amp;DOC_NAME=fat:reuters_annual_source_window.fat&amp;display_string=Audit&amp;DYN_ARGS=TRUE&amp;VAR:ID1=98302410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32__FDSAUDITLINK__" localSheetId="9" hidden="1">{"fdsup://IBCentral/FAT Viewer?action=UPDATE&amp;creator=factset&amp;DOC_NAME=fat:reuters_annual_source_window.fat&amp;display_string=Audit&amp;DYN_ARGS=TRUE&amp;VAR:ID1=98302410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32__FDSAUDITLINK__" hidden="1">{"fdsup://IBCentral/FAT Viewer?action=UPDATE&amp;creator=factset&amp;DOC_NAME=fat:reuters_annual_source_window.fat&amp;display_string=Audit&amp;DYN_ARGS=TRUE&amp;VAR:ID1=98302410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320__FDSAUDITLINK__" localSheetId="10" hidden="1">{"fdsup://IBCentral/FAT Viewer?action=UPDATE&amp;creator=factset&amp;DOC_NAME=fat:reuters_annual_source_window.fat&amp;display_string=Audit&amp;DYN_ARGS=TRUE&amp;VAR:ID1=11012210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20__FDSAUDITLINK__" localSheetId="9" hidden="1">{"fdsup://IBCentral/FAT Viewer?action=UPDATE&amp;creator=factset&amp;DOC_NAME=fat:reuters_annual_source_window.fat&amp;display_string=Audit&amp;DYN_ARGS=TRUE&amp;VAR:ID1=11012210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20__FDSAUDITLINK__" hidden="1">{"fdsup://IBCentral/FAT Viewer?action=UPDATE&amp;creator=factset&amp;DOC_NAME=fat:reuters_annual_source_window.fat&amp;display_string=Audit&amp;DYN_ARGS=TRUE&amp;VAR:ID1=11012210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21__FDSAUDITLINK__" localSheetId="10" hidden="1">{"fdsup://IBCentral/FAT Viewer?action=UPDATE&amp;creator=factset&amp;DOC_NAME=fat:reuters_annual_source_window.fat&amp;display_string=Audit&amp;DYN_ARGS=TRUE&amp;VAR:ID1=11012210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21__FDSAUDITLINK__" localSheetId="9" hidden="1">{"fdsup://IBCentral/FAT Viewer?action=UPDATE&amp;creator=factset&amp;DOC_NAME=fat:reuters_annual_source_window.fat&amp;display_string=Audit&amp;DYN_ARGS=TRUE&amp;VAR:ID1=11012210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21__FDSAUDITLINK__" hidden="1">{"fdsup://IBCentral/FAT Viewer?action=UPDATE&amp;creator=factset&amp;DOC_NAME=fat:reuters_annual_source_window.fat&amp;display_string=Audit&amp;DYN_ARGS=TRUE&amp;VAR:ID1=11012210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22__FDSAUDITLINK__" localSheetId="10" hidden="1">{"fdsup://IBCentral/FAT Viewer?action=UPDATE&amp;creator=factset&amp;DOC_NAME=fat:reuters_annual_source_window.fat&amp;display_string=Audit&amp;DYN_ARGS=TRUE&amp;VAR:ID1=11012210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322__FDSAUDITLINK__" localSheetId="9" hidden="1">{"fdsup://IBCentral/FAT Viewer?action=UPDATE&amp;creator=factset&amp;DOC_NAME=fat:reuters_annual_source_window.fat&amp;display_string=Audit&amp;DYN_ARGS=TRUE&amp;VAR:ID1=11012210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322__FDSAUDITLINK__" hidden="1">{"fdsup://IBCentral/FAT Viewer?action=UPDATE&amp;creator=factset&amp;DOC_NAME=fat:reuters_annual_source_window.fat&amp;display_string=Audit&amp;DYN_ARGS=TRUE&amp;VAR:ID1=11012210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323__FDSAUDITLINK__" localSheetId="10" hidden="1">{"fdsup://IBCentral/FAT Viewer?action=UPDATE&amp;creator=factset&amp;DOC_NAME=fat:reuters_annual_source_window.fat&amp;display_string=Audit&amp;DYN_ARGS=TRUE&amp;VAR:ID1=98302410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23__FDSAUDITLINK__" localSheetId="9" hidden="1">{"fdsup://IBCentral/FAT Viewer?action=UPDATE&amp;creator=factset&amp;DOC_NAME=fat:reuters_annual_source_window.fat&amp;display_string=Audit&amp;DYN_ARGS=TRUE&amp;VAR:ID1=98302410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23__FDSAUDITLINK__" hidden="1">{"fdsup://IBCentral/FAT Viewer?action=UPDATE&amp;creator=factset&amp;DOC_NAME=fat:reuters_annual_source_window.fat&amp;display_string=Audit&amp;DYN_ARGS=TRUE&amp;VAR:ID1=98302410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24__FDSAUDITLINK__" localSheetId="10" hidden="1">{"fdsup://IBCentral/FAT Viewer?action=UPDATE&amp;creator=factset&amp;DOC_NAME=fat:reuters_annual_source_window.fat&amp;display_string=Audit&amp;DYN_ARGS=TRUE&amp;VAR:ID1=98302410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24__FDSAUDITLINK__" localSheetId="9" hidden="1">{"fdsup://IBCentral/FAT Viewer?action=UPDATE&amp;creator=factset&amp;DOC_NAME=fat:reuters_annual_source_window.fat&amp;display_string=Audit&amp;DYN_ARGS=TRUE&amp;VAR:ID1=98302410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24__FDSAUDITLINK__" hidden="1">{"fdsup://IBCentral/FAT Viewer?action=UPDATE&amp;creator=factset&amp;DOC_NAME=fat:reuters_annual_source_window.fat&amp;display_string=Audit&amp;DYN_ARGS=TRUE&amp;VAR:ID1=98302410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25__FDSAUDITLINK__" localSheetId="10" hidden="1">{"fdsup://IBCentral/FAT Viewer?action=UPDATE&amp;creator=factset&amp;DOC_NAME=fat:reuters_annual_source_window.fat&amp;display_string=Audit&amp;DYN_ARGS=TRUE&amp;VAR:ID1=80660510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25__FDSAUDITLINK__" localSheetId="9" hidden="1">{"fdsup://IBCentral/FAT Viewer?action=UPDATE&amp;creator=factset&amp;DOC_NAME=fat:reuters_annual_source_window.fat&amp;display_string=Audit&amp;DYN_ARGS=TRUE&amp;VAR:ID1=80660510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25__FDSAUDITLINK__" hidden="1">{"fdsup://IBCentral/FAT Viewer?action=UPDATE&amp;creator=factset&amp;DOC_NAME=fat:reuters_annual_source_window.fat&amp;display_string=Audit&amp;DYN_ARGS=TRUE&amp;VAR:ID1=80660510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26__FDSAUDITLINK__" localSheetId="10" hidden="1">{"fdsup://IBCentral/FAT Viewer?action=UPDATE&amp;creator=factset&amp;DOC_NAME=fat:reuters_annual_source_window.fat&amp;display_string=Audit&amp;DYN_ARGS=TRUE&amp;VAR:ID1=80660510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26__FDSAUDITLINK__" localSheetId="9" hidden="1">{"fdsup://IBCentral/FAT Viewer?action=UPDATE&amp;creator=factset&amp;DOC_NAME=fat:reuters_annual_source_window.fat&amp;display_string=Audit&amp;DYN_ARGS=TRUE&amp;VAR:ID1=80660510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26__FDSAUDITLINK__" hidden="1">{"fdsup://IBCentral/FAT Viewer?action=UPDATE&amp;creator=factset&amp;DOC_NAME=fat:reuters_annual_source_window.fat&amp;display_string=Audit&amp;DYN_ARGS=TRUE&amp;VAR:ID1=80660510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27__FDSAUDITLINK__" localSheetId="10" hidden="1">{"fdsup://IBCentral/FAT Viewer?action=UPDATE&amp;creator=factset&amp;DOC_NAME=fat:reuters_annual_source_window.fat&amp;display_string=Audit&amp;DYN_ARGS=TRUE&amp;VAR:ID1=71708110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27__FDSAUDITLINK__" localSheetId="9" hidden="1">{"fdsup://IBCentral/FAT Viewer?action=UPDATE&amp;creator=factset&amp;DOC_NAME=fat:reuters_annual_source_window.fat&amp;display_string=Audit&amp;DYN_ARGS=TRUE&amp;VAR:ID1=71708110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27__FDSAUDITLINK__" hidden="1">{"fdsup://IBCentral/FAT Viewer?action=UPDATE&amp;creator=factset&amp;DOC_NAME=fat:reuters_annual_source_window.fat&amp;display_string=Audit&amp;DYN_ARGS=TRUE&amp;VAR:ID1=71708110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28__FDSAUDITLINK__" localSheetId="10" hidden="1">{"fdsup://IBCentral/FAT Viewer?action=UPDATE&amp;creator=factset&amp;DOC_NAME=fat:reuters_annual_source_window.fat&amp;display_string=Audit&amp;DYN_ARGS=TRUE&amp;VAR:ID1=71708110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28__FDSAUDITLINK__" localSheetId="9" hidden="1">{"fdsup://IBCentral/FAT Viewer?action=UPDATE&amp;creator=factset&amp;DOC_NAME=fat:reuters_annual_source_window.fat&amp;display_string=Audit&amp;DYN_ARGS=TRUE&amp;VAR:ID1=71708110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28__FDSAUDITLINK__" hidden="1">{"fdsup://IBCentral/FAT Viewer?action=UPDATE&amp;creator=factset&amp;DOC_NAME=fat:reuters_annual_source_window.fat&amp;display_string=Audit&amp;DYN_ARGS=TRUE&amp;VAR:ID1=71708110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29__FDSAUDITLINK__" localSheetId="10" hidden="1">{"fdsup://IBCentral/FAT Viewer?action=UPDATE&amp;creator=factset&amp;DOC_NAME=fat:reuters_annual_source_window.fat&amp;display_string=Audit&amp;DYN_ARGS=TRUE&amp;VAR:ID1=58933110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29__FDSAUDITLINK__" localSheetId="9" hidden="1">{"fdsup://IBCentral/FAT Viewer?action=UPDATE&amp;creator=factset&amp;DOC_NAME=fat:reuters_annual_source_window.fat&amp;display_string=Audit&amp;DYN_ARGS=TRUE&amp;VAR:ID1=58933110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29__FDSAUDITLINK__" hidden="1">{"fdsup://IBCentral/FAT Viewer?action=UPDATE&amp;creator=factset&amp;DOC_NAME=fat:reuters_annual_source_window.fat&amp;display_string=Audit&amp;DYN_ARGS=TRUE&amp;VAR:ID1=58933110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3__FDSAUDITLINK__" localSheetId="10" hidden="1">{"fdsup://IBCentral/FAT Viewer?action=UPDATE&amp;creator=factset&amp;DOC_NAME=fat:reuters_annual_source_window.fat&amp;display_string=Audit&amp;DYN_ARGS=TRUE&amp;VAR:ID1=80660510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3__FDSAUDITLINK__" localSheetId="9" hidden="1">{"fdsup://IBCentral/FAT Viewer?action=UPDATE&amp;creator=factset&amp;DOC_NAME=fat:reuters_annual_source_window.fat&amp;display_string=Audit&amp;DYN_ARGS=TRUE&amp;VAR:ID1=80660510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3__FDSAUDITLINK__" hidden="1">{"fdsup://IBCentral/FAT Viewer?action=UPDATE&amp;creator=factset&amp;DOC_NAME=fat:reuters_annual_source_window.fat&amp;display_string=Audit&amp;DYN_ARGS=TRUE&amp;VAR:ID1=80660510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30__FDSAUDITLINK__" localSheetId="10" hidden="1">{"fdsup://IBCentral/FAT Viewer?action=UPDATE&amp;creator=factset&amp;DOC_NAME=fat:reuters_annual_source_window.fat&amp;display_string=Audit&amp;DYN_ARGS=TRUE&amp;VAR:ID1=58933110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30__FDSAUDITLINK__" localSheetId="9" hidden="1">{"fdsup://IBCentral/FAT Viewer?action=UPDATE&amp;creator=factset&amp;DOC_NAME=fat:reuters_annual_source_window.fat&amp;display_string=Audit&amp;DYN_ARGS=TRUE&amp;VAR:ID1=58933110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30__FDSAUDITLINK__" hidden="1">{"fdsup://IBCentral/FAT Viewer?action=UPDATE&amp;creator=factset&amp;DOC_NAME=fat:reuters_annual_source_window.fat&amp;display_string=Audit&amp;DYN_ARGS=TRUE&amp;VAR:ID1=58933110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31__FDSAUDITLINK__" localSheetId="10" hidden="1">{"fdsup://IBCentral/FAT Viewer?action=UPDATE&amp;creator=factset&amp;DOC_NAME=fat:reuters_annual_source_window.fat&amp;display_string=Audit&amp;DYN_ARGS=TRUE&amp;VAR:ID1=53245710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31__FDSAUDITLINK__" localSheetId="9" hidden="1">{"fdsup://IBCentral/FAT Viewer?action=UPDATE&amp;creator=factset&amp;DOC_NAME=fat:reuters_annual_source_window.fat&amp;display_string=Audit&amp;DYN_ARGS=TRUE&amp;VAR:ID1=53245710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31__FDSAUDITLINK__" hidden="1">{"fdsup://IBCentral/FAT Viewer?action=UPDATE&amp;creator=factset&amp;DOC_NAME=fat:reuters_annual_source_window.fat&amp;display_string=Audit&amp;DYN_ARGS=TRUE&amp;VAR:ID1=53245710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32__FDSAUDITLINK__" localSheetId="10" hidden="1">{"fdsup://IBCentral/FAT Viewer?action=UPDATE&amp;creator=factset&amp;DOC_NAME=fat:reuters_annual_source_window.fat&amp;display_string=Audit&amp;DYN_ARGS=TRUE&amp;VAR:ID1=53245710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32__FDSAUDITLINK__" localSheetId="9" hidden="1">{"fdsup://IBCentral/FAT Viewer?action=UPDATE&amp;creator=factset&amp;DOC_NAME=fat:reuters_annual_source_window.fat&amp;display_string=Audit&amp;DYN_ARGS=TRUE&amp;VAR:ID1=53245710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32__FDSAUDITLINK__" hidden="1">{"fdsup://IBCentral/FAT Viewer?action=UPDATE&amp;creator=factset&amp;DOC_NAME=fat:reuters_annual_source_window.fat&amp;display_string=Audit&amp;DYN_ARGS=TRUE&amp;VAR:ID1=53245710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33__FDSAUDITLINK__" localSheetId="10" hidden="1">{"fdsup://IBCentral/FAT Viewer?action=UPDATE&amp;creator=factset&amp;DOC_NAME=fat:reuters_annual_source_window.fat&amp;display_string=Audit&amp;DYN_ARGS=TRUE&amp;VAR:ID1=11012210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33__FDSAUDITLINK__" localSheetId="9" hidden="1">{"fdsup://IBCentral/FAT Viewer?action=UPDATE&amp;creator=factset&amp;DOC_NAME=fat:reuters_annual_source_window.fat&amp;display_string=Audit&amp;DYN_ARGS=TRUE&amp;VAR:ID1=11012210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33__FDSAUDITLINK__" hidden="1">{"fdsup://IBCentral/FAT Viewer?action=UPDATE&amp;creator=factset&amp;DOC_NAME=fat:reuters_annual_source_window.fat&amp;display_string=Audit&amp;DYN_ARGS=TRUE&amp;VAR:ID1=11012210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34__FDSAUDITLINK__" localSheetId="10" hidden="1">{"fdsup://IBCentral/FAT Viewer?action=UPDATE&amp;creator=factset&amp;DOC_NAME=fat:reuters_annual_source_window.fat&amp;display_string=Audit&amp;DYN_ARGS=TRUE&amp;VAR:ID1=11012210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34__FDSAUDITLINK__" localSheetId="9" hidden="1">{"fdsup://IBCentral/FAT Viewer?action=UPDATE&amp;creator=factset&amp;DOC_NAME=fat:reuters_annual_source_window.fat&amp;display_string=Audit&amp;DYN_ARGS=TRUE&amp;VAR:ID1=11012210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34__FDSAUDITLINK__" hidden="1">{"fdsup://IBCentral/FAT Viewer?action=UPDATE&amp;creator=factset&amp;DOC_NAME=fat:reuters_annual_source_window.fat&amp;display_string=Audit&amp;DYN_ARGS=TRUE&amp;VAR:ID1=11012210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35__FDSAUDITLINK__" localSheetId="10" hidden="1">{"fdsup://IBCentral/FAT Viewer?action=UPDATE&amp;creator=factset&amp;DOC_NAME=fat:reuters_annual_source_window.fat&amp;display_string=Audit&amp;DYN_ARGS=TRUE&amp;VAR:ID1=98302410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335__FDSAUDITLINK__" localSheetId="9" hidden="1">{"fdsup://IBCentral/FAT Viewer?action=UPDATE&amp;creator=factset&amp;DOC_NAME=fat:reuters_annual_source_window.fat&amp;display_string=Audit&amp;DYN_ARGS=TRUE&amp;VAR:ID1=98302410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335__FDSAUDITLINK__" hidden="1">{"fdsup://IBCentral/FAT Viewer?action=UPDATE&amp;creator=factset&amp;DOC_NAME=fat:reuters_annual_source_window.fat&amp;display_string=Audit&amp;DYN_ARGS=TRUE&amp;VAR:ID1=98302410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336__FDSAUDITLINK__" localSheetId="10" hidden="1">{"fdsup://IBCentral/FAT Viewer?action=UPDATE&amp;creator=factset&amp;DOC_NAME=fat:reuters_annual_source_window.fat&amp;display_string=Audit&amp;DYN_ARGS=TRUE&amp;VAR:ID1=98302410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36__FDSAUDITLINK__" localSheetId="9" hidden="1">{"fdsup://IBCentral/FAT Viewer?action=UPDATE&amp;creator=factset&amp;DOC_NAME=fat:reuters_annual_source_window.fat&amp;display_string=Audit&amp;DYN_ARGS=TRUE&amp;VAR:ID1=98302410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36__FDSAUDITLINK__" hidden="1">{"fdsup://IBCentral/FAT Viewer?action=UPDATE&amp;creator=factset&amp;DOC_NAME=fat:reuters_annual_source_window.fat&amp;display_string=Audit&amp;DYN_ARGS=TRUE&amp;VAR:ID1=98302410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37__FDSAUDITLINK__" localSheetId="10" hidden="1">{"fdsup://IBCentral/FAT Viewer?action=UPDATE&amp;creator=factset&amp;DOC_NAME=fat:reuters_annual_source_window.fat&amp;display_string=Audit&amp;DYN_ARGS=TRUE&amp;VAR:ID1=80660510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337__FDSAUDITLINK__" localSheetId="9" hidden="1">{"fdsup://IBCentral/FAT Viewer?action=UPDATE&amp;creator=factset&amp;DOC_NAME=fat:reuters_annual_source_window.fat&amp;display_string=Audit&amp;DYN_ARGS=TRUE&amp;VAR:ID1=80660510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337__FDSAUDITLINK__" hidden="1">{"fdsup://IBCentral/FAT Viewer?action=UPDATE&amp;creator=factset&amp;DOC_NAME=fat:reuters_annual_source_window.fat&amp;display_string=Audit&amp;DYN_ARGS=TRUE&amp;VAR:ID1=80660510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338__FDSAUDITLINK__" localSheetId="10" hidden="1">{"fdsup://IBCentral/FAT Viewer?action=UPDATE&amp;creator=factset&amp;DOC_NAME=fat:reuters_annual_source_window.fat&amp;display_string=Audit&amp;DYN_ARGS=TRUE&amp;VAR:ID1=80660510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38__FDSAUDITLINK__" localSheetId="9" hidden="1">{"fdsup://IBCentral/FAT Viewer?action=UPDATE&amp;creator=factset&amp;DOC_NAME=fat:reuters_annual_source_window.fat&amp;display_string=Audit&amp;DYN_ARGS=TRUE&amp;VAR:ID1=80660510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38__FDSAUDITLINK__" hidden="1">{"fdsup://IBCentral/FAT Viewer?action=UPDATE&amp;creator=factset&amp;DOC_NAME=fat:reuters_annual_source_window.fat&amp;display_string=Audit&amp;DYN_ARGS=TRUE&amp;VAR:ID1=80660510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39__FDSAUDITLINK__" localSheetId="10" hidden="1">{"fdsup://IBCentral/FAT Viewer?action=UPDATE&amp;creator=factset&amp;DOC_NAME=fat:reuters_annual_source_window.fat&amp;display_string=Audit&amp;DYN_ARGS=TRUE&amp;VAR:ID1=71708110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339__FDSAUDITLINK__" localSheetId="9" hidden="1">{"fdsup://IBCentral/FAT Viewer?action=UPDATE&amp;creator=factset&amp;DOC_NAME=fat:reuters_annual_source_window.fat&amp;display_string=Audit&amp;DYN_ARGS=TRUE&amp;VAR:ID1=71708110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339__FDSAUDITLINK__" hidden="1">{"fdsup://IBCentral/FAT Viewer?action=UPDATE&amp;creator=factset&amp;DOC_NAME=fat:reuters_annual_source_window.fat&amp;display_string=Audit&amp;DYN_ARGS=TRUE&amp;VAR:ID1=71708110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34__FDSAUDITLINK__" localSheetId="10" hidden="1">{"fdsup://IBCentral/FAT Viewer?action=UPDATE&amp;creator=factset&amp;DOC_NAME=fat:reuters_annual_source_window.fat&amp;display_string=Audit&amp;DYN_ARGS=TRUE&amp;VAR:ID1=80660510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4__FDSAUDITLINK__" localSheetId="9" hidden="1">{"fdsup://IBCentral/FAT Viewer?action=UPDATE&amp;creator=factset&amp;DOC_NAME=fat:reuters_annual_source_window.fat&amp;display_string=Audit&amp;DYN_ARGS=TRUE&amp;VAR:ID1=80660510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4__FDSAUDITLINK__" hidden="1">{"fdsup://IBCentral/FAT Viewer?action=UPDATE&amp;creator=factset&amp;DOC_NAME=fat:reuters_annual_source_window.fat&amp;display_string=Audit&amp;DYN_ARGS=TRUE&amp;VAR:ID1=80660510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40__FDSAUDITLINK__" localSheetId="10" hidden="1">{"fdsup://IBCentral/FAT Viewer?action=UPDATE&amp;creator=factset&amp;DOC_NAME=fat:reuters_annual_source_window.fat&amp;display_string=Audit&amp;DYN_ARGS=TRUE&amp;VAR:ID1=71708110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40__FDSAUDITLINK__" localSheetId="9" hidden="1">{"fdsup://IBCentral/FAT Viewer?action=UPDATE&amp;creator=factset&amp;DOC_NAME=fat:reuters_annual_source_window.fat&amp;display_string=Audit&amp;DYN_ARGS=TRUE&amp;VAR:ID1=71708110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40__FDSAUDITLINK__" hidden="1">{"fdsup://IBCentral/FAT Viewer?action=UPDATE&amp;creator=factset&amp;DOC_NAME=fat:reuters_annual_source_window.fat&amp;display_string=Audit&amp;DYN_ARGS=TRUE&amp;VAR:ID1=71708110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41__FDSAUDITLINK__" localSheetId="10" hidden="1">{"fdsup://IBCentral/FAT Viewer?action=UPDATE&amp;creator=factset&amp;DOC_NAME=fat:reuters_annual_source_window.fat&amp;display_string=Audit&amp;DYN_ARGS=TRUE&amp;VAR:ID1=58933110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341__FDSAUDITLINK__" localSheetId="9" hidden="1">{"fdsup://IBCentral/FAT Viewer?action=UPDATE&amp;creator=factset&amp;DOC_NAME=fat:reuters_annual_source_window.fat&amp;display_string=Audit&amp;DYN_ARGS=TRUE&amp;VAR:ID1=58933110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341__FDSAUDITLINK__" hidden="1">{"fdsup://IBCentral/FAT Viewer?action=UPDATE&amp;creator=factset&amp;DOC_NAME=fat:reuters_annual_source_window.fat&amp;display_string=Audit&amp;DYN_ARGS=TRUE&amp;VAR:ID1=58933110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342__FDSAUDITLINK__" localSheetId="10" hidden="1">{"fdsup://IBCentral/FAT Viewer?action=UPDATE&amp;creator=factset&amp;DOC_NAME=fat:reuters_annual_source_window.fat&amp;display_string=Audit&amp;DYN_ARGS=TRUE&amp;VAR:ID1=58933110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42__FDSAUDITLINK__" localSheetId="9" hidden="1">{"fdsup://IBCentral/FAT Viewer?action=UPDATE&amp;creator=factset&amp;DOC_NAME=fat:reuters_annual_source_window.fat&amp;display_string=Audit&amp;DYN_ARGS=TRUE&amp;VAR:ID1=58933110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42__FDSAUDITLINK__" hidden="1">{"fdsup://IBCentral/FAT Viewer?action=UPDATE&amp;creator=factset&amp;DOC_NAME=fat:reuters_annual_source_window.fat&amp;display_string=Audit&amp;DYN_ARGS=TRUE&amp;VAR:ID1=58933110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43__FDSAUDITLINK__" localSheetId="10" hidden="1">{"fdsup://IBCentral/FAT Viewer?action=UPDATE&amp;creator=factset&amp;DOC_NAME=fat:reuters_annual_source_window.fat&amp;display_string=Audit&amp;DYN_ARGS=TRUE&amp;VAR:ID1=53245710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343__FDSAUDITLINK__" localSheetId="9" hidden="1">{"fdsup://IBCentral/FAT Viewer?action=UPDATE&amp;creator=factset&amp;DOC_NAME=fat:reuters_annual_source_window.fat&amp;display_string=Audit&amp;DYN_ARGS=TRUE&amp;VAR:ID1=53245710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343__FDSAUDITLINK__" hidden="1">{"fdsup://IBCentral/FAT Viewer?action=UPDATE&amp;creator=factset&amp;DOC_NAME=fat:reuters_annual_source_window.fat&amp;display_string=Audit&amp;DYN_ARGS=TRUE&amp;VAR:ID1=53245710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344__FDSAUDITLINK__" localSheetId="10" hidden="1">{"fdsup://IBCentral/FAT Viewer?action=UPDATE&amp;creator=factset&amp;DOC_NAME=fat:reuters_annual_source_window.fat&amp;display_string=Audit&amp;DYN_ARGS=TRUE&amp;VAR:ID1=53245710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44__FDSAUDITLINK__" localSheetId="9" hidden="1">{"fdsup://IBCentral/FAT Viewer?action=UPDATE&amp;creator=factset&amp;DOC_NAME=fat:reuters_annual_source_window.fat&amp;display_string=Audit&amp;DYN_ARGS=TRUE&amp;VAR:ID1=53245710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44__FDSAUDITLINK__" hidden="1">{"fdsup://IBCentral/FAT Viewer?action=UPDATE&amp;creator=factset&amp;DOC_NAME=fat:reuters_annual_source_window.fat&amp;display_string=Audit&amp;DYN_ARGS=TRUE&amp;VAR:ID1=53245710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45__FDSAUDITLINK__" localSheetId="10" hidden="1">{"fdsup://IBCentral/FAT Viewer?action=UPDATE&amp;creator=factset&amp;DOC_NAME=fat:reuters_annual_source_window.fat&amp;display_string=Audit&amp;DYN_ARGS=TRUE&amp;VAR:ID1=11012210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345__FDSAUDITLINK__" localSheetId="9" hidden="1">{"fdsup://IBCentral/FAT Viewer?action=UPDATE&amp;creator=factset&amp;DOC_NAME=fat:reuters_annual_source_window.fat&amp;display_string=Audit&amp;DYN_ARGS=TRUE&amp;VAR:ID1=11012210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345__FDSAUDITLINK__" hidden="1">{"fdsup://IBCentral/FAT Viewer?action=UPDATE&amp;creator=factset&amp;DOC_NAME=fat:reuters_annual_source_window.fat&amp;display_string=Audit&amp;DYN_ARGS=TRUE&amp;VAR:ID1=11012210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346__FDSAUDITLINK__" localSheetId="10" hidden="1">{"fdsup://IBCentral/FAT Viewer?action=UPDATE&amp;creator=factset&amp;DOC_NAME=fat:reuters_annual_source_window.fat&amp;display_string=Audit&amp;DYN_ARGS=TRUE&amp;VAR:ID1=11012210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46__FDSAUDITLINK__" localSheetId="9" hidden="1">{"fdsup://IBCentral/FAT Viewer?action=UPDATE&amp;creator=factset&amp;DOC_NAME=fat:reuters_annual_source_window.fat&amp;display_string=Audit&amp;DYN_ARGS=TRUE&amp;VAR:ID1=11012210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46__FDSAUDITLINK__" hidden="1">{"fdsup://IBCentral/FAT Viewer?action=UPDATE&amp;creator=factset&amp;DOC_NAME=fat:reuters_annual_source_window.fat&amp;display_string=Audit&amp;DYN_ARGS=TRUE&amp;VAR:ID1=11012210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47__FDSAUDITLINK__" localSheetId="10" hidden="1">{"fdsup://IBCentral/FAT Viewer?action=UPDATE&amp;creator=factset&amp;DOC_NAME=fat:reuters_annual_source_window.fat&amp;display_string=Audit&amp;DYN_ARGS=TRUE&amp;VAR:ID1=98302410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47__FDSAUDITLINK__" localSheetId="9" hidden="1">{"fdsup://IBCentral/FAT Viewer?action=UPDATE&amp;creator=factset&amp;DOC_NAME=fat:reuters_annual_source_window.fat&amp;display_string=Audit&amp;DYN_ARGS=TRUE&amp;VAR:ID1=98302410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47__FDSAUDITLINK__" hidden="1">{"fdsup://IBCentral/FAT Viewer?action=UPDATE&amp;creator=factset&amp;DOC_NAME=fat:reuters_annual_source_window.fat&amp;display_string=Audit&amp;DYN_ARGS=TRUE&amp;VAR:ID1=98302410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48__FDSAUDITLINK__" localSheetId="10" hidden="1">{"fdsup://IBCentral/FAT Viewer?action=UPDATE&amp;creator=factset&amp;DOC_NAME=fat:reuters_annual_source_window.fat&amp;display_string=Audit&amp;DYN_ARGS=TRUE&amp;VAR:ID1=98302410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48__FDSAUDITLINK__" localSheetId="9" hidden="1">{"fdsup://IBCentral/FAT Viewer?action=UPDATE&amp;creator=factset&amp;DOC_NAME=fat:reuters_annual_source_window.fat&amp;display_string=Audit&amp;DYN_ARGS=TRUE&amp;VAR:ID1=98302410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48__FDSAUDITLINK__" hidden="1">{"fdsup://IBCentral/FAT Viewer?action=UPDATE&amp;creator=factset&amp;DOC_NAME=fat:reuters_annual_source_window.fat&amp;display_string=Audit&amp;DYN_ARGS=TRUE&amp;VAR:ID1=98302410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49__FDSAUDITLINK__" localSheetId="10" hidden="1">{"fdsup://IBCentral/FAT Viewer?action=UPDATE&amp;creator=factset&amp;DOC_NAME=fat:reuters_annual_source_window.fat&amp;display_string=Audit&amp;DYN_ARGS=TRUE&amp;VAR:ID1=80660510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49__FDSAUDITLINK__" localSheetId="9" hidden="1">{"fdsup://IBCentral/FAT Viewer?action=UPDATE&amp;creator=factset&amp;DOC_NAME=fat:reuters_annual_source_window.fat&amp;display_string=Audit&amp;DYN_ARGS=TRUE&amp;VAR:ID1=80660510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49__FDSAUDITLINK__" hidden="1">{"fdsup://IBCentral/FAT Viewer?action=UPDATE&amp;creator=factset&amp;DOC_NAME=fat:reuters_annual_source_window.fat&amp;display_string=Audit&amp;DYN_ARGS=TRUE&amp;VAR:ID1=80660510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5__FDSAUDITLINK__" localSheetId="10" hidden="1">{"fdsup://IBCentral/FAT Viewer?action=UPDATE&amp;creator=factset&amp;DOC_NAME=fat:reuters_annual_source_window.fat&amp;display_string=Audit&amp;DYN_ARGS=TRUE&amp;VAR:ID1=80660510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35__FDSAUDITLINK__" localSheetId="9" hidden="1">{"fdsup://IBCentral/FAT Viewer?action=UPDATE&amp;creator=factset&amp;DOC_NAME=fat:reuters_annual_source_window.fat&amp;display_string=Audit&amp;DYN_ARGS=TRUE&amp;VAR:ID1=80660510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35__FDSAUDITLINK__" hidden="1">{"fdsup://IBCentral/FAT Viewer?action=UPDATE&amp;creator=factset&amp;DOC_NAME=fat:reuters_annual_source_window.fat&amp;display_string=Audit&amp;DYN_ARGS=TRUE&amp;VAR:ID1=80660510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350__FDSAUDITLINK__" localSheetId="10" hidden="1">{"fdsup://IBCentral/FAT Viewer?action=UPDATE&amp;creator=factset&amp;DOC_NAME=fat:reuters_annual_source_window.fat&amp;display_string=Audit&amp;DYN_ARGS=TRUE&amp;VAR:ID1=80660510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50__FDSAUDITLINK__" localSheetId="9" hidden="1">{"fdsup://IBCentral/FAT Viewer?action=UPDATE&amp;creator=factset&amp;DOC_NAME=fat:reuters_annual_source_window.fat&amp;display_string=Audit&amp;DYN_ARGS=TRUE&amp;VAR:ID1=80660510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50__FDSAUDITLINK__" hidden="1">{"fdsup://IBCentral/FAT Viewer?action=UPDATE&amp;creator=factset&amp;DOC_NAME=fat:reuters_annual_source_window.fat&amp;display_string=Audit&amp;DYN_ARGS=TRUE&amp;VAR:ID1=80660510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51__FDSAUDITLINK__" localSheetId="10" hidden="1">{"fdsup://IBCentral/FAT Viewer?action=UPDATE&amp;creator=factset&amp;DOC_NAME=fat:reuters_annual_source_window.fat&amp;display_string=Audit&amp;DYN_ARGS=TRUE&amp;VAR:ID1=71708110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51__FDSAUDITLINK__" localSheetId="9" hidden="1">{"fdsup://IBCentral/FAT Viewer?action=UPDATE&amp;creator=factset&amp;DOC_NAME=fat:reuters_annual_source_window.fat&amp;display_string=Audit&amp;DYN_ARGS=TRUE&amp;VAR:ID1=71708110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51__FDSAUDITLINK__" hidden="1">{"fdsup://IBCentral/FAT Viewer?action=UPDATE&amp;creator=factset&amp;DOC_NAME=fat:reuters_annual_source_window.fat&amp;display_string=Audit&amp;DYN_ARGS=TRUE&amp;VAR:ID1=71708110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52__FDSAUDITLINK__" localSheetId="10" hidden="1">{"fdsup://IBCentral/FAT Viewer?action=UPDATE&amp;creator=factset&amp;DOC_NAME=fat:reuters_annual_source_window.fat&amp;display_string=Audit&amp;DYN_ARGS=TRUE&amp;VAR:ID1=71708110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52__FDSAUDITLINK__" localSheetId="9" hidden="1">{"fdsup://IBCentral/FAT Viewer?action=UPDATE&amp;creator=factset&amp;DOC_NAME=fat:reuters_annual_source_window.fat&amp;display_string=Audit&amp;DYN_ARGS=TRUE&amp;VAR:ID1=71708110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52__FDSAUDITLINK__" hidden="1">{"fdsup://IBCentral/FAT Viewer?action=UPDATE&amp;creator=factset&amp;DOC_NAME=fat:reuters_annual_source_window.fat&amp;display_string=Audit&amp;DYN_ARGS=TRUE&amp;VAR:ID1=71708110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53__FDSAUDITLINK__" localSheetId="10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" localSheetId="9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1" localSheetId="10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1" localSheetId="9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4__FDSAUDITLINK__" localSheetId="10" hidden="1">{"fdsup://IBCentral/FAT Viewer?action=UPDATE&amp;creator=factset&amp;DOC_NAME=fat:reuters_annual_source_window.fat&amp;display_string=Audit&amp;DYN_ARGS=TRUE&amp;VAR:ID1=58933110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54__FDSAUDITLINK__" localSheetId="9" hidden="1">{"fdsup://IBCentral/FAT Viewer?action=UPDATE&amp;creator=factset&amp;DOC_NAME=fat:reuters_annual_source_window.fat&amp;display_string=Audit&amp;DYN_ARGS=TRUE&amp;VAR:ID1=58933110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54__FDSAUDITLINK__" hidden="1">{"fdsup://IBCentral/FAT Viewer?action=UPDATE&amp;creator=factset&amp;DOC_NAME=fat:reuters_annual_source_window.fat&amp;display_string=Audit&amp;DYN_ARGS=TRUE&amp;VAR:ID1=58933110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55__FDSAUDITLINK__" localSheetId="10" hidden="1">{"fdsup://IBCentral/FAT Viewer?action=UPDATE&amp;creator=factset&amp;DOC_NAME=fat:reuters_annual_source_window.fat&amp;display_string=Audit&amp;DYN_ARGS=TRUE&amp;VAR:ID1=53245710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55__FDSAUDITLINK__" localSheetId="9" hidden="1">{"fdsup://IBCentral/FAT Viewer?action=UPDATE&amp;creator=factset&amp;DOC_NAME=fat:reuters_annual_source_window.fat&amp;display_string=Audit&amp;DYN_ARGS=TRUE&amp;VAR:ID1=53245710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55__FDSAUDITLINK__" hidden="1">{"fdsup://IBCentral/FAT Viewer?action=UPDATE&amp;creator=factset&amp;DOC_NAME=fat:reuters_annual_source_window.fat&amp;display_string=Audit&amp;DYN_ARGS=TRUE&amp;VAR:ID1=53245710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56__FDSAUDITLINK__" localSheetId="10" hidden="1">{"fdsup://IBCentral/FAT Viewer?action=UPDATE&amp;creator=factset&amp;DOC_NAME=fat:reuters_annual_source_window.fat&amp;display_string=Audit&amp;DYN_ARGS=TRUE&amp;VAR:ID1=53245710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56__FDSAUDITLINK__" localSheetId="9" hidden="1">{"fdsup://IBCentral/FAT Viewer?action=UPDATE&amp;creator=factset&amp;DOC_NAME=fat:reuters_annual_source_window.fat&amp;display_string=Audit&amp;DYN_ARGS=TRUE&amp;VAR:ID1=53245710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56__FDSAUDITLINK__" hidden="1">{"fdsup://IBCentral/FAT Viewer?action=UPDATE&amp;creator=factset&amp;DOC_NAME=fat:reuters_annual_source_window.fat&amp;display_string=Audit&amp;DYN_ARGS=TRUE&amp;VAR:ID1=53245710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57__FDSAUDITLINK__" localSheetId="10" hidden="1">{"fdsup://IBCentral/FAT Viewer?action=UPDATE&amp;creator=factset&amp;DOC_NAME=fat:reuters_annual_source_window.fat&amp;display_string=Audit&amp;DYN_ARGS=TRUE&amp;VAR:ID1=11012210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57__FDSAUDITLINK__" localSheetId="9" hidden="1">{"fdsup://IBCentral/FAT Viewer?action=UPDATE&amp;creator=factset&amp;DOC_NAME=fat:reuters_annual_source_window.fat&amp;display_string=Audit&amp;DYN_ARGS=TRUE&amp;VAR:ID1=11012210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57__FDSAUDITLINK__" hidden="1">{"fdsup://IBCentral/FAT Viewer?action=UPDATE&amp;creator=factset&amp;DOC_NAME=fat:reuters_annual_source_window.fat&amp;display_string=Audit&amp;DYN_ARGS=TRUE&amp;VAR:ID1=11012210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58__FDSAUDITLINK__" localSheetId="10" hidden="1">{"fdsup://IBCentral/FAT Viewer?action=UPDATE&amp;creator=factset&amp;DOC_NAME=fat:reuters_annual_source_window.fat&amp;display_string=Audit&amp;DYN_ARGS=TRUE&amp;VAR:ID1=11012210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58__FDSAUDITLINK__" localSheetId="9" hidden="1">{"fdsup://IBCentral/FAT Viewer?action=UPDATE&amp;creator=factset&amp;DOC_NAME=fat:reuters_annual_source_window.fat&amp;display_string=Audit&amp;DYN_ARGS=TRUE&amp;VAR:ID1=11012210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58__FDSAUDITLINK__" hidden="1">{"fdsup://IBCentral/FAT Viewer?action=UPDATE&amp;creator=factset&amp;DOC_NAME=fat:reuters_annual_source_window.fat&amp;display_string=Audit&amp;DYN_ARGS=TRUE&amp;VAR:ID1=11012210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59__FDSAUDITLINK__" localSheetId="10" hidden="1">{"fdsup://IBCentral/FAT Viewer?action=UPDATE&amp;creator=factset&amp;DOC_NAME=fat:reuters_annual_source_window.fat&amp;display_string=Audit&amp;DYN_ARGS=TRUE&amp;VAR:ID1=37291710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59__FDSAUDITLINK__" localSheetId="9" hidden="1">{"fdsup://IBCentral/FAT Viewer?action=UPDATE&amp;creator=factset&amp;DOC_NAME=fat:reuters_annual_source_window.fat&amp;display_string=Audit&amp;DYN_ARGS=TRUE&amp;VAR:ID1=37291710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59__FDSAUDITLINK__" hidden="1">{"fdsup://IBCentral/FAT Viewer?action=UPDATE&amp;creator=factset&amp;DOC_NAME=fat:reuters_annual_source_window.fat&amp;display_string=Audit&amp;DYN_ARGS=TRUE&amp;VAR:ID1=37291710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6__FDSAUDITLINK__" localSheetId="10" hidden="1">{"fdsup://Directions/FactSet Auditing Viewer?action=AUDIT_VALUE&amp;DB=129&amp;ID1=653177&amp;VALUEID=03426&amp;SDATE=2010&amp;PERIODTYPE=ANNR_STD&amp;SCFT=3&amp;window=popup_no_bar&amp;width=385&amp;height=120&amp;START_MAXIMIZED=FALSE&amp;creator=factset&amp;display_string=Audit"}</definedName>
    <definedName name="_36__FDSAUDITLINK__" localSheetId="9" hidden="1">{"fdsup://Directions/FactSet Auditing Viewer?action=AUDIT_VALUE&amp;DB=129&amp;ID1=653177&amp;VALUEID=03426&amp;SDATE=2010&amp;PERIODTYPE=ANNR_STD&amp;SCFT=3&amp;window=popup_no_bar&amp;width=385&amp;height=120&amp;START_MAXIMIZED=FALSE&amp;creator=factset&amp;display_string=Audit"}</definedName>
    <definedName name="_36__FDSAUDITLINK__" hidden="1">{"fdsup://Directions/FactSet Auditing Viewer?action=AUDIT_VALUE&amp;DB=129&amp;ID1=653177&amp;VALUEID=03426&amp;SDATE=2010&amp;PERIODTYPE=ANNR_STD&amp;SCFT=3&amp;window=popup_no_bar&amp;width=385&amp;height=120&amp;START_MAXIMIZED=FALSE&amp;creator=factset&amp;display_string=Audit"}</definedName>
    <definedName name="_360__FDSAUDITLINK__" localSheetId="10" hidden="1">{"fdsup://IBCentral/FAT Viewer?action=UPDATE&amp;creator=factset&amp;DOC_NAME=fat:reuters_annual_source_window.fat&amp;display_string=Audit&amp;DYN_ARGS=TRUE&amp;VAR:ID1=37291710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60__FDSAUDITLINK__" localSheetId="9" hidden="1">{"fdsup://IBCentral/FAT Viewer?action=UPDATE&amp;creator=factset&amp;DOC_NAME=fat:reuters_annual_source_window.fat&amp;display_string=Audit&amp;DYN_ARGS=TRUE&amp;VAR:ID1=37291710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60__FDSAUDITLINK__" hidden="1">{"fdsup://IBCentral/FAT Viewer?action=UPDATE&amp;creator=factset&amp;DOC_NAME=fat:reuters_annual_source_window.fat&amp;display_string=Audit&amp;DYN_ARGS=TRUE&amp;VAR:ID1=37291710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61__FDSAUDITLINK__" localSheetId="10" hidden="1">{"fdsup://IBCentral/FAT Viewer?action=UPDATE&amp;creator=factset&amp;DOC_NAME=fat:reuters_annual_source_window.fat&amp;display_string=Audit&amp;DYN_ARGS=TRUE&amp;VAR:ID1=36871040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61__FDSAUDITLINK__" localSheetId="9" hidden="1">{"fdsup://IBCentral/FAT Viewer?action=UPDATE&amp;creator=factset&amp;DOC_NAME=fat:reuters_annual_source_window.fat&amp;display_string=Audit&amp;DYN_ARGS=TRUE&amp;VAR:ID1=36871040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61__FDSAUDITLINK__" hidden="1">{"fdsup://IBCentral/FAT Viewer?action=UPDATE&amp;creator=factset&amp;DOC_NAME=fat:reuters_annual_source_window.fat&amp;display_string=Audit&amp;DYN_ARGS=TRUE&amp;VAR:ID1=36871040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62__FDSAUDITLINK__" localSheetId="10" hidden="1">{"fdsup://IBCentral/FAT Viewer?action=UPDATE&amp;creator=factset&amp;DOC_NAME=fat:reuters_annual_source_window.fat&amp;display_string=Audit&amp;DYN_ARGS=TRUE&amp;VAR:ID1=36871040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62__FDSAUDITLINK__" localSheetId="9" hidden="1">{"fdsup://IBCentral/FAT Viewer?action=UPDATE&amp;creator=factset&amp;DOC_NAME=fat:reuters_annual_source_window.fat&amp;display_string=Audit&amp;DYN_ARGS=TRUE&amp;VAR:ID1=36871040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62__FDSAUDITLINK__" hidden="1">{"fdsup://IBCentral/FAT Viewer?action=UPDATE&amp;creator=factset&amp;DOC_NAME=fat:reuters_annual_source_window.fat&amp;display_string=Audit&amp;DYN_ARGS=TRUE&amp;VAR:ID1=36871040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63__FDSAUDITLINK__" localSheetId="10" hidden="1">{"fdsup://IBCentral/FAT Viewer?action=UPDATE&amp;creator=factset&amp;DOC_NAME=fat:reuters_annual_source_window.fat&amp;display_string=Audit&amp;DYN_ARGS=TRUE&amp;VAR:ID1=15102010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63__FDSAUDITLINK__" localSheetId="9" hidden="1">{"fdsup://IBCentral/FAT Viewer?action=UPDATE&amp;creator=factset&amp;DOC_NAME=fat:reuters_annual_source_window.fat&amp;display_string=Audit&amp;DYN_ARGS=TRUE&amp;VAR:ID1=15102010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63__FDSAUDITLINK__" hidden="1">{"fdsup://IBCentral/FAT Viewer?action=UPDATE&amp;creator=factset&amp;DOC_NAME=fat:reuters_annual_source_window.fat&amp;display_string=Audit&amp;DYN_ARGS=TRUE&amp;VAR:ID1=15102010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64__FDSAUDITLINK__" localSheetId="10" hidden="1">{"fdsup://IBCentral/FAT Viewer?action=UPDATE&amp;creator=factset&amp;DOC_NAME=fat:reuters_annual_source_window.fat&amp;display_string=Audit&amp;DYN_ARGS=TRUE&amp;VAR:ID1=15102010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64__FDSAUDITLINK__" localSheetId="9" hidden="1">{"fdsup://IBCentral/FAT Viewer?action=UPDATE&amp;creator=factset&amp;DOC_NAME=fat:reuters_annual_source_window.fat&amp;display_string=Audit&amp;DYN_ARGS=TRUE&amp;VAR:ID1=15102010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64__FDSAUDITLINK__" hidden="1">{"fdsup://IBCentral/FAT Viewer?action=UPDATE&amp;creator=factset&amp;DOC_NAME=fat:reuters_annual_source_window.fat&amp;display_string=Audit&amp;DYN_ARGS=TRUE&amp;VAR:ID1=15102010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65__FDSAUDITLINK__" localSheetId="10" hidden="1">{"fdsup://IBCentral/FAT Viewer?action=UPDATE&amp;creator=factset&amp;DOC_NAME=fat:reuters_annual_source_window.fat&amp;display_string=Audit&amp;DYN_ARGS=TRUE&amp;VAR:ID1=09062X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65__FDSAUDITLINK__" localSheetId="9" hidden="1">{"fdsup://IBCentral/FAT Viewer?action=UPDATE&amp;creator=factset&amp;DOC_NAME=fat:reuters_annual_source_window.fat&amp;display_string=Audit&amp;DYN_ARGS=TRUE&amp;VAR:ID1=09062X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65__FDSAUDITLINK__" hidden="1">{"fdsup://IBCentral/FAT Viewer?action=UPDATE&amp;creator=factset&amp;DOC_NAME=fat:reuters_annual_source_window.fat&amp;display_string=Audit&amp;DYN_ARGS=TRUE&amp;VAR:ID1=09062X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66__FDSAUDITLINK__" localSheetId="10" hidden="1">{"fdsup://IBCentral/FAT Viewer?action=UPDATE&amp;creator=factset&amp;DOC_NAME=fat:reuters_annual_source_window.fat&amp;display_string=Audit&amp;DYN_ARGS=TRUE&amp;VAR:ID1=09062X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66__FDSAUDITLINK__" localSheetId="9" hidden="1">{"fdsup://IBCentral/FAT Viewer?action=UPDATE&amp;creator=factset&amp;DOC_NAME=fat:reuters_annual_source_window.fat&amp;display_string=Audit&amp;DYN_ARGS=TRUE&amp;VAR:ID1=09062X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66__FDSAUDITLINK__" hidden="1">{"fdsup://IBCentral/FAT Viewer?action=UPDATE&amp;creator=factset&amp;DOC_NAME=fat:reuters_annual_source_window.fat&amp;display_string=Audit&amp;DYN_ARGS=TRUE&amp;VAR:ID1=09062X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67__FDSAUDITLINK__" localSheetId="10" hidden="1">{"fdsup://IBCentral/FAT Viewer?action=UPDATE&amp;creator=factset&amp;DOC_NAME=fat:reuters_annual_source_window.fat&amp;display_string=Audit&amp;DYN_ARGS=TRUE&amp;VAR:ID1=03116210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67__FDSAUDITLINK__" localSheetId="9" hidden="1">{"fdsup://IBCentral/FAT Viewer?action=UPDATE&amp;creator=factset&amp;DOC_NAME=fat:reuters_annual_source_window.fat&amp;display_string=Audit&amp;DYN_ARGS=TRUE&amp;VAR:ID1=03116210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67__FDSAUDITLINK__" hidden="1">{"fdsup://IBCentral/FAT Viewer?action=UPDATE&amp;creator=factset&amp;DOC_NAME=fat:reuters_annual_source_window.fat&amp;display_string=Audit&amp;DYN_ARGS=TRUE&amp;VAR:ID1=03116210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68__FDSAUDITLINK__" localSheetId="10" hidden="1">{"fdsup://IBCentral/FAT Viewer?action=UPDATE&amp;creator=factset&amp;DOC_NAME=fat:reuters_annual_source_window.fat&amp;display_string=Audit&amp;DYN_ARGS=TRUE&amp;VAR:ID1=03116210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68__FDSAUDITLINK__" localSheetId="9" hidden="1">{"fdsup://IBCentral/FAT Viewer?action=UPDATE&amp;creator=factset&amp;DOC_NAME=fat:reuters_annual_source_window.fat&amp;display_string=Audit&amp;DYN_ARGS=TRUE&amp;VAR:ID1=03116210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68__FDSAUDITLINK__" hidden="1">{"fdsup://IBCentral/FAT Viewer?action=UPDATE&amp;creator=factset&amp;DOC_NAME=fat:reuters_annual_source_window.fat&amp;display_string=Audit&amp;DYN_ARGS=TRUE&amp;VAR:ID1=03116210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687__FDSAUDITLINK__" localSheetId="10" hidden="1">{"fdsup://directions/FAT Viewer?action=UPDATE&amp;creator=factset&amp;DYN_ARGS=TRUE&amp;DOC_NAME=FAT:FQL_AUDITING_CLIENT_TEMPLATE.FAT&amp;display_string=Audit&amp;VAR:KEY=LSFKVIFQNY&amp;VAR:QUERY=RkZfRU5UUlBSX1ZBTF9EQUlMWSg0MDk2NywsLCwsJ0RJTCcp&amp;WINDOW=FIRST_POPUP&amp;HEIGHT=450&amp;WIDTH=","450&amp;START_MAXIMIZED=FALSE&amp;VAR:CALENDAR=US&amp;VAR:SYMBOL=LPNT&amp;VAR:INDEX=0"}</definedName>
    <definedName name="_3687__FDSAUDITLINK__" localSheetId="9" hidden="1">{"fdsup://directions/FAT Viewer?action=UPDATE&amp;creator=factset&amp;DYN_ARGS=TRUE&amp;DOC_NAME=FAT:FQL_AUDITING_CLIENT_TEMPLATE.FAT&amp;display_string=Audit&amp;VAR:KEY=LSFKVIFQNY&amp;VAR:QUERY=RkZfRU5UUlBSX1ZBTF9EQUlMWSg0MDk2NywsLCwsJ0RJTCcp&amp;WINDOW=FIRST_POPUP&amp;HEIGHT=450&amp;WIDTH=","450&amp;START_MAXIMIZED=FALSE&amp;VAR:CALENDAR=US&amp;VAR:SYMBOL=LPNT&amp;VAR:INDEX=0"}</definedName>
    <definedName name="_3687__FDSAUDITLINK__" hidden="1">{"fdsup://directions/FAT Viewer?action=UPDATE&amp;creator=factset&amp;DYN_ARGS=TRUE&amp;DOC_NAME=FAT:FQL_AUDITING_CLIENT_TEMPLATE.FAT&amp;display_string=Audit&amp;VAR:KEY=LSFKVIFQNY&amp;VAR:QUERY=RkZfRU5UUlBSX1ZBTF9EQUlMWSg0MDk2NywsLCwsJ0RJTCcp&amp;WINDOW=FIRST_POPUP&amp;HEIGHT=450&amp;WIDTH=","450&amp;START_MAXIMIZED=FALSE&amp;VAR:CALENDAR=US&amp;VAR:SYMBOL=LPNT&amp;VAR:INDEX=0"}</definedName>
    <definedName name="_369__FDSAUDITLINK__" localSheetId="10" hidden="1">{"fdsup://IBCentral/FAT Viewer?action=UPDATE&amp;creator=factset&amp;DOC_NAME=fat:reuters_annual_source_window.fat&amp;display_string=Audit&amp;DYN_ARGS=TRUE&amp;VAR:ID1=37291710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69__FDSAUDITLINK__" localSheetId="9" hidden="1">{"fdsup://IBCentral/FAT Viewer?action=UPDATE&amp;creator=factset&amp;DOC_NAME=fat:reuters_annual_source_window.fat&amp;display_string=Audit&amp;DYN_ARGS=TRUE&amp;VAR:ID1=37291710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69__FDSAUDITLINK__" hidden="1">{"fdsup://IBCentral/FAT Viewer?action=UPDATE&amp;creator=factset&amp;DOC_NAME=fat:reuters_annual_source_window.fat&amp;display_string=Audit&amp;DYN_ARGS=TRUE&amp;VAR:ID1=37291710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7__FDSAUDITLINK__" localSheetId="10" hidden="1">{"fdsup://Directions/FactSet Auditing Viewer?action=AUDIT_VALUE&amp;DB=129&amp;ID1=629171&amp;VALUEID=P05301&amp;SDATE=201102&amp;PERIODTYPE=QTR_STD&amp;SCFT=3&amp;window=popup_no_bar&amp;width=385&amp;height=120&amp;START_MAXIMIZED=FALSE&amp;creator=factset&amp;display_string=Audit"}</definedName>
    <definedName name="_37__FDSAUDITLINK__" localSheetId="9" hidden="1">{"fdsup://Directions/FactSet Auditing Viewer?action=AUDIT_VALUE&amp;DB=129&amp;ID1=629171&amp;VALUEID=P05301&amp;SDATE=201102&amp;PERIODTYPE=QTR_STD&amp;SCFT=3&amp;window=popup_no_bar&amp;width=385&amp;height=120&amp;START_MAXIMIZED=FALSE&amp;creator=factset&amp;display_string=Audit"}</definedName>
    <definedName name="_37__FDSAUDITLINK__" hidden="1">{"fdsup://Directions/FactSet Auditing Viewer?action=AUDIT_VALUE&amp;DB=129&amp;ID1=629171&amp;VALUEID=P05301&amp;SDATE=201102&amp;PERIODTYPE=QTR_STD&amp;SCFT=3&amp;window=popup_no_bar&amp;width=385&amp;height=120&amp;START_MAXIMIZED=FALSE&amp;creator=factset&amp;display_string=Audit"}</definedName>
    <definedName name="_370__FDSAUDITLINK__" localSheetId="10" hidden="1">{"fdsup://IBCentral/FAT Viewer?action=UPDATE&amp;creator=factset&amp;DOC_NAME=fat:reuters_annual_source_window.fat&amp;display_string=Audit&amp;DYN_ARGS=TRUE&amp;VAR:ID1=37291710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70__FDSAUDITLINK__" localSheetId="9" hidden="1">{"fdsup://IBCentral/FAT Viewer?action=UPDATE&amp;creator=factset&amp;DOC_NAME=fat:reuters_annual_source_window.fat&amp;display_string=Audit&amp;DYN_ARGS=TRUE&amp;VAR:ID1=37291710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70__FDSAUDITLINK__" hidden="1">{"fdsup://IBCentral/FAT Viewer?action=UPDATE&amp;creator=factset&amp;DOC_NAME=fat:reuters_annual_source_window.fat&amp;display_string=Audit&amp;DYN_ARGS=TRUE&amp;VAR:ID1=37291710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71__FDSAUDITLINK__" localSheetId="10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" localSheetId="9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1" localSheetId="10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1" localSheetId="9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2__FDSAUDITLINK__" localSheetId="10" hidden="1">{"fdsup://IBCentral/FAT Viewer?action=UPDATE&amp;creator=factset&amp;DOC_NAME=fat:reuters_annual_source_window.fat&amp;display_string=Audit&amp;DYN_ARGS=TRUE&amp;VAR:ID1=36871040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72__FDSAUDITLINK__" localSheetId="9" hidden="1">{"fdsup://IBCentral/FAT Viewer?action=UPDATE&amp;creator=factset&amp;DOC_NAME=fat:reuters_annual_source_window.fat&amp;display_string=Audit&amp;DYN_ARGS=TRUE&amp;VAR:ID1=36871040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72__FDSAUDITLINK__" hidden="1">{"fdsup://IBCentral/FAT Viewer?action=UPDATE&amp;creator=factset&amp;DOC_NAME=fat:reuters_annual_source_window.fat&amp;display_string=Audit&amp;DYN_ARGS=TRUE&amp;VAR:ID1=36871040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73__FDSAUDITLINK__" localSheetId="10" hidden="1">{"fdsup://IBCentral/FAT Viewer?action=UPDATE&amp;creator=factset&amp;DOC_NAME=fat:reuters_annual_source_window.fat&amp;display_string=Audit&amp;DYN_ARGS=TRUE&amp;VAR:ID1=36871040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373__FDSAUDITLINK__" localSheetId="9" hidden="1">{"fdsup://IBCentral/FAT Viewer?action=UPDATE&amp;creator=factset&amp;DOC_NAME=fat:reuters_annual_source_window.fat&amp;display_string=Audit&amp;DYN_ARGS=TRUE&amp;VAR:ID1=36871040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373__FDSAUDITLINK__" hidden="1">{"fdsup://IBCentral/FAT Viewer?action=UPDATE&amp;creator=factset&amp;DOC_NAME=fat:reuters_annual_source_window.fat&amp;display_string=Audit&amp;DYN_ARGS=TRUE&amp;VAR:ID1=36871040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374__FDSAUDITLINK__" localSheetId="10" hidden="1">{"fdsup://IBCentral/FAT Viewer?action=UPDATE&amp;creator=factset&amp;DOC_NAME=fat:reuters_annual_source_window.fat&amp;display_string=Audit&amp;DYN_ARGS=TRUE&amp;VAR:ID1=15102010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74__FDSAUDITLINK__" localSheetId="9" hidden="1">{"fdsup://IBCentral/FAT Viewer?action=UPDATE&amp;creator=factset&amp;DOC_NAME=fat:reuters_annual_source_window.fat&amp;display_string=Audit&amp;DYN_ARGS=TRUE&amp;VAR:ID1=15102010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74__FDSAUDITLINK__" hidden="1">{"fdsup://IBCentral/FAT Viewer?action=UPDATE&amp;creator=factset&amp;DOC_NAME=fat:reuters_annual_source_window.fat&amp;display_string=Audit&amp;DYN_ARGS=TRUE&amp;VAR:ID1=15102010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75__FDSAUDITLINK__" localSheetId="10" hidden="1">{"fdsup://IBCentral/FAT Viewer?action=UPDATE&amp;creator=factset&amp;DOC_NAME=fat:reuters_annual_source_window.fat&amp;display_string=Audit&amp;DYN_ARGS=TRUE&amp;VAR:ID1=15102010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75__FDSAUDITLINK__" localSheetId="9" hidden="1">{"fdsup://IBCentral/FAT Viewer?action=UPDATE&amp;creator=factset&amp;DOC_NAME=fat:reuters_annual_source_window.fat&amp;display_string=Audit&amp;DYN_ARGS=TRUE&amp;VAR:ID1=15102010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75__FDSAUDITLINK__" hidden="1">{"fdsup://IBCentral/FAT Viewer?action=UPDATE&amp;creator=factset&amp;DOC_NAME=fat:reuters_annual_source_window.fat&amp;display_string=Audit&amp;DYN_ARGS=TRUE&amp;VAR:ID1=15102010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76__FDSAUDITLINK__" localSheetId="10" hidden="1">{"fdsup://IBCentral/FAT Viewer?action=UPDATE&amp;creator=factset&amp;DOC_NAME=fat:reuters_annual_source_window.fat&amp;display_string=Audit&amp;DYN_ARGS=TRUE&amp;VAR:ID1=15102010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376__FDSAUDITLINK__" localSheetId="9" hidden="1">{"fdsup://IBCentral/FAT Viewer?action=UPDATE&amp;creator=factset&amp;DOC_NAME=fat:reuters_annual_source_window.fat&amp;display_string=Audit&amp;DYN_ARGS=TRUE&amp;VAR:ID1=15102010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376__FDSAUDITLINK__" hidden="1">{"fdsup://IBCentral/FAT Viewer?action=UPDATE&amp;creator=factset&amp;DOC_NAME=fat:reuters_annual_source_window.fat&amp;display_string=Audit&amp;DYN_ARGS=TRUE&amp;VAR:ID1=15102010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377__FDSAUDITLINK__" localSheetId="10" hidden="1">{"fdsup://IBCentral/FAT Viewer?action=UPDATE&amp;creator=factset&amp;DOC_NAME=fat:reuters_annual_source_window.fat&amp;display_string=Audit&amp;DYN_ARGS=TRUE&amp;VAR:ID1=09062X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77__FDSAUDITLINK__" localSheetId="9" hidden="1">{"fdsup://IBCentral/FAT Viewer?action=UPDATE&amp;creator=factset&amp;DOC_NAME=fat:reuters_annual_source_window.fat&amp;display_string=Audit&amp;DYN_ARGS=TRUE&amp;VAR:ID1=09062X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77__FDSAUDITLINK__" hidden="1">{"fdsup://IBCentral/FAT Viewer?action=UPDATE&amp;creator=factset&amp;DOC_NAME=fat:reuters_annual_source_window.fat&amp;display_string=Audit&amp;DYN_ARGS=TRUE&amp;VAR:ID1=09062X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78__FDSAUDITLINK__" localSheetId="10" hidden="1">{"fdsup://IBCentral/FAT Viewer?action=UPDATE&amp;creator=factset&amp;DOC_NAME=fat:reuters_annual_source_window.fat&amp;display_string=Audit&amp;DYN_ARGS=TRUE&amp;VAR:ID1=09062X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78__FDSAUDITLINK__" localSheetId="9" hidden="1">{"fdsup://IBCentral/FAT Viewer?action=UPDATE&amp;creator=factset&amp;DOC_NAME=fat:reuters_annual_source_window.fat&amp;display_string=Audit&amp;DYN_ARGS=TRUE&amp;VAR:ID1=09062X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78__FDSAUDITLINK__" hidden="1">{"fdsup://IBCentral/FAT Viewer?action=UPDATE&amp;creator=factset&amp;DOC_NAME=fat:reuters_annual_source_window.fat&amp;display_string=Audit&amp;DYN_ARGS=TRUE&amp;VAR:ID1=09062X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79__FDSAUDITLINK__" localSheetId="10" hidden="1">{"fdsup://IBCentral/FAT Viewer?action=UPDATE&amp;creator=factset&amp;DOC_NAME=fat:reuters_annual_source_window.fat&amp;display_string=Audit&amp;DYN_ARGS=TRUE&amp;VAR:ID1=09062X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379__FDSAUDITLINK__" localSheetId="9" hidden="1">{"fdsup://IBCentral/FAT Viewer?action=UPDATE&amp;creator=factset&amp;DOC_NAME=fat:reuters_annual_source_window.fat&amp;display_string=Audit&amp;DYN_ARGS=TRUE&amp;VAR:ID1=09062X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379__FDSAUDITLINK__" hidden="1">{"fdsup://IBCentral/FAT Viewer?action=UPDATE&amp;creator=factset&amp;DOC_NAME=fat:reuters_annual_source_window.fat&amp;display_string=Audit&amp;DYN_ARGS=TRUE&amp;VAR:ID1=09062X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38__FDSAUDITLINK__" localSheetId="10" hidden="1">{"fdsup://Directions/FactSet Auditing Viewer?action=AUDIT_VALUE&amp;DB=129&amp;ID1=621611&amp;VALUEID=03051&amp;SDATE=201102&amp;PERIODTYPE=QTR_STD&amp;SCFT=3&amp;window=popup_no_bar&amp;width=385&amp;height=120&amp;START_MAXIMIZED=FALSE&amp;creator=factset&amp;display_string=Audit"}</definedName>
    <definedName name="_38__FDSAUDITLINK__" localSheetId="9" hidden="1">{"fdsup://Directions/FactSet Auditing Viewer?action=AUDIT_VALUE&amp;DB=129&amp;ID1=621611&amp;VALUEID=03051&amp;SDATE=201102&amp;PERIODTYPE=QTR_STD&amp;SCFT=3&amp;window=popup_no_bar&amp;width=385&amp;height=120&amp;START_MAXIMIZED=FALSE&amp;creator=factset&amp;display_string=Audit"}</definedName>
    <definedName name="_38__FDSAUDITLINK__" hidden="1">{"fdsup://Directions/FactSet Auditing Viewer?action=AUDIT_VALUE&amp;DB=129&amp;ID1=621611&amp;VALUEID=03051&amp;SDATE=201102&amp;PERIODTYPE=QTR_STD&amp;SCFT=3&amp;window=popup_no_bar&amp;width=385&amp;height=120&amp;START_MAXIMIZED=FALSE&amp;creator=factset&amp;display_string=Audit"}</definedName>
    <definedName name="_380__FDSAUDITLINK__" localSheetId="10" hidden="1">{"fdsup://IBCentral/FAT Viewer?action=UPDATE&amp;creator=factset&amp;DOC_NAME=fat:reuters_annual_source_window.fat&amp;display_string=Audit&amp;DYN_ARGS=TRUE&amp;VAR:ID1=03116210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80__FDSAUDITLINK__" localSheetId="9" hidden="1">{"fdsup://IBCentral/FAT Viewer?action=UPDATE&amp;creator=factset&amp;DOC_NAME=fat:reuters_annual_source_window.fat&amp;display_string=Audit&amp;DYN_ARGS=TRUE&amp;VAR:ID1=03116210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80__FDSAUDITLINK__" hidden="1">{"fdsup://IBCentral/FAT Viewer?action=UPDATE&amp;creator=factset&amp;DOC_NAME=fat:reuters_annual_source_window.fat&amp;display_string=Audit&amp;DYN_ARGS=TRUE&amp;VAR:ID1=03116210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81__FDSAUDITLINK__" localSheetId="10" hidden="1">{"fdsup://IBCentral/FAT Viewer?action=UPDATE&amp;creator=factset&amp;DOC_NAME=fat:reuters_annual_source_window.fat&amp;display_string=Audit&amp;DYN_ARGS=TRUE&amp;VAR:ID1=03116210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81__FDSAUDITLINK__" localSheetId="9" hidden="1">{"fdsup://IBCentral/FAT Viewer?action=UPDATE&amp;creator=factset&amp;DOC_NAME=fat:reuters_annual_source_window.fat&amp;display_string=Audit&amp;DYN_ARGS=TRUE&amp;VAR:ID1=03116210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81__FDSAUDITLINK__" hidden="1">{"fdsup://IBCentral/FAT Viewer?action=UPDATE&amp;creator=factset&amp;DOC_NAME=fat:reuters_annual_source_window.fat&amp;display_string=Audit&amp;DYN_ARGS=TRUE&amp;VAR:ID1=03116210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82__FDSAUDITLINK__" localSheetId="10" hidden="1">{"fdsup://IBCentral/FAT Viewer?action=UPDATE&amp;creator=factset&amp;DOC_NAME=fat:reuters_annual_source_window.fat&amp;display_string=Audit&amp;DYN_ARGS=TRUE&amp;VAR:ID1=03116210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382__FDSAUDITLINK__" localSheetId="9" hidden="1">{"fdsup://IBCentral/FAT Viewer?action=UPDATE&amp;creator=factset&amp;DOC_NAME=fat:reuters_annual_source_window.fat&amp;display_string=Audit&amp;DYN_ARGS=TRUE&amp;VAR:ID1=03116210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382__FDSAUDITLINK__" hidden="1">{"fdsup://IBCentral/FAT Viewer?action=UPDATE&amp;creator=factset&amp;DOC_NAME=fat:reuters_annual_source_window.fat&amp;display_string=Audit&amp;DYN_ARGS=TRUE&amp;VAR:ID1=03116210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383__FDSAUDITLINK__" localSheetId="10" hidden="1">{"fdsup://IBCentral/FAT Viewer?action=UPDATE&amp;creator=factset&amp;DOC_NAME=fat:reuters_annual_source_window.fat&amp;display_string=Audit&amp;DYN_ARGS=TRUE&amp;VAR:ID1=37291710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83__FDSAUDITLINK__" localSheetId="9" hidden="1">{"fdsup://IBCentral/FAT Viewer?action=UPDATE&amp;creator=factset&amp;DOC_NAME=fat:reuters_annual_source_window.fat&amp;display_string=Audit&amp;DYN_ARGS=TRUE&amp;VAR:ID1=37291710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83__FDSAUDITLINK__" hidden="1">{"fdsup://IBCentral/FAT Viewer?action=UPDATE&amp;creator=factset&amp;DOC_NAME=fat:reuters_annual_source_window.fat&amp;display_string=Audit&amp;DYN_ARGS=TRUE&amp;VAR:ID1=37291710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84__FDSAUDITLINK__" localSheetId="10" hidden="1">{"fdsup://IBCentral/FAT Viewer?action=UPDATE&amp;creator=factset&amp;DOC_NAME=fat:reuters_annual_source_window.fat&amp;display_string=Audit&amp;DYN_ARGS=TRUE&amp;VAR:ID1=37291710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84__FDSAUDITLINK__" localSheetId="9" hidden="1">{"fdsup://IBCentral/FAT Viewer?action=UPDATE&amp;creator=factset&amp;DOC_NAME=fat:reuters_annual_source_window.fat&amp;display_string=Audit&amp;DYN_ARGS=TRUE&amp;VAR:ID1=37291710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84__FDSAUDITLINK__" hidden="1">{"fdsup://IBCentral/FAT Viewer?action=UPDATE&amp;creator=factset&amp;DOC_NAME=fat:reuters_annual_source_window.fat&amp;display_string=Audit&amp;DYN_ARGS=TRUE&amp;VAR:ID1=37291710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85__FDSAUDITLINK__" localSheetId="10" hidden="1">{"fdsup://IBCentral/FAT Viewer?action=UPDATE&amp;creator=factset&amp;DOC_NAME=fat:reuters_annual_source_window.fat&amp;display_string=Audit&amp;DYN_ARGS=TRUE&amp;VAR:ID1=36871040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85__FDSAUDITLINK__" localSheetId="9" hidden="1">{"fdsup://IBCentral/FAT Viewer?action=UPDATE&amp;creator=factset&amp;DOC_NAME=fat:reuters_annual_source_window.fat&amp;display_string=Audit&amp;DYN_ARGS=TRUE&amp;VAR:ID1=36871040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85__FDSAUDITLINK__" hidden="1">{"fdsup://IBCentral/FAT Viewer?action=UPDATE&amp;creator=factset&amp;DOC_NAME=fat:reuters_annual_source_window.fat&amp;display_string=Audit&amp;DYN_ARGS=TRUE&amp;VAR:ID1=36871040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86__FDSAUDITLINK__" localSheetId="10" hidden="1">{"fdsup://IBCentral/FAT Viewer?action=UPDATE&amp;creator=factset&amp;DOC_NAME=fat:reuters_annual_source_window.fat&amp;display_string=Audit&amp;DYN_ARGS=TRUE&amp;VAR:ID1=36871040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86__FDSAUDITLINK__" localSheetId="9" hidden="1">{"fdsup://IBCentral/FAT Viewer?action=UPDATE&amp;creator=factset&amp;DOC_NAME=fat:reuters_annual_source_window.fat&amp;display_string=Audit&amp;DYN_ARGS=TRUE&amp;VAR:ID1=36871040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86__FDSAUDITLINK__" hidden="1">{"fdsup://IBCentral/FAT Viewer?action=UPDATE&amp;creator=factset&amp;DOC_NAME=fat:reuters_annual_source_window.fat&amp;display_string=Audit&amp;DYN_ARGS=TRUE&amp;VAR:ID1=36871040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87__FDSAUDITLINK__" localSheetId="10" hidden="1">{"fdsup://IBCentral/FAT Viewer?action=UPDATE&amp;creator=factset&amp;DOC_NAME=fat:reuters_annual_source_window.fat&amp;display_string=Audit&amp;DYN_ARGS=TRUE&amp;VAR:ID1=15102010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87__FDSAUDITLINK__" localSheetId="9" hidden="1">{"fdsup://IBCentral/FAT Viewer?action=UPDATE&amp;creator=factset&amp;DOC_NAME=fat:reuters_annual_source_window.fat&amp;display_string=Audit&amp;DYN_ARGS=TRUE&amp;VAR:ID1=15102010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87__FDSAUDITLINK__" hidden="1">{"fdsup://IBCentral/FAT Viewer?action=UPDATE&amp;creator=factset&amp;DOC_NAME=fat:reuters_annual_source_window.fat&amp;display_string=Audit&amp;DYN_ARGS=TRUE&amp;VAR:ID1=15102010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88__FDSAUDITLINK__" localSheetId="10" hidden="1">{"fdsup://IBCentral/FAT Viewer?action=UPDATE&amp;creator=factset&amp;DOC_NAME=fat:reuters_annual_source_window.fat&amp;display_string=Audit&amp;DYN_ARGS=TRUE&amp;VAR:ID1=15102010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88__FDSAUDITLINK__" localSheetId="9" hidden="1">{"fdsup://IBCentral/FAT Viewer?action=UPDATE&amp;creator=factset&amp;DOC_NAME=fat:reuters_annual_source_window.fat&amp;display_string=Audit&amp;DYN_ARGS=TRUE&amp;VAR:ID1=15102010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88__FDSAUDITLINK__" hidden="1">{"fdsup://IBCentral/FAT Viewer?action=UPDATE&amp;creator=factset&amp;DOC_NAME=fat:reuters_annual_source_window.fat&amp;display_string=Audit&amp;DYN_ARGS=TRUE&amp;VAR:ID1=15102010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89__FDSAUDITLINK__" localSheetId="10" hidden="1">{"fdsup://IBCentral/FAT Viewer?action=UPDATE&amp;creator=factset&amp;DOC_NAME=fat:reuters_annual_source_window.fat&amp;display_string=Audit&amp;DYN_ARGS=TRUE&amp;VAR:ID1=09062X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89__FDSAUDITLINK__" localSheetId="9" hidden="1">{"fdsup://IBCentral/FAT Viewer?action=UPDATE&amp;creator=factset&amp;DOC_NAME=fat:reuters_annual_source_window.fat&amp;display_string=Audit&amp;DYN_ARGS=TRUE&amp;VAR:ID1=09062X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89__FDSAUDITLINK__" hidden="1">{"fdsup://IBCentral/FAT Viewer?action=UPDATE&amp;creator=factset&amp;DOC_NAME=fat:reuters_annual_source_window.fat&amp;display_string=Audit&amp;DYN_ARGS=TRUE&amp;VAR:ID1=09062X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9__FDSAUDITLINK__" localSheetId="10" hidden="1">{"fdsup://IBCentral/FAT Viewer?action=UPDATE&amp;creator=factset&amp;DOC_NAME=fat:reuters_annual_source_window.fat&amp;display_string=Audit&amp;DYN_ARGS=TRUE&amp;VAR:ID1=58933110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9__FDSAUDITLINK__" localSheetId="9" hidden="1">{"fdsup://IBCentral/FAT Viewer?action=UPDATE&amp;creator=factset&amp;DOC_NAME=fat:reuters_annual_source_window.fat&amp;display_string=Audit&amp;DYN_ARGS=TRUE&amp;VAR:ID1=58933110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9__FDSAUDITLINK__" hidden="1">{"fdsup://IBCentral/FAT Viewer?action=UPDATE&amp;creator=factset&amp;DOC_NAME=fat:reuters_annual_source_window.fat&amp;display_string=Audit&amp;DYN_ARGS=TRUE&amp;VAR:ID1=58933110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90__FDSAUDITLINK__" localSheetId="10" hidden="1">{"fdsup://IBCentral/FAT Viewer?action=UPDATE&amp;creator=factset&amp;DOC_NAME=fat:reuters_annual_source_window.fat&amp;display_string=Audit&amp;DYN_ARGS=TRUE&amp;VAR:ID1=09062X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90__FDSAUDITLINK__" localSheetId="9" hidden="1">{"fdsup://IBCentral/FAT Viewer?action=UPDATE&amp;creator=factset&amp;DOC_NAME=fat:reuters_annual_source_window.fat&amp;display_string=Audit&amp;DYN_ARGS=TRUE&amp;VAR:ID1=09062X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90__FDSAUDITLINK__" hidden="1">{"fdsup://IBCentral/FAT Viewer?action=UPDATE&amp;creator=factset&amp;DOC_NAME=fat:reuters_annual_source_window.fat&amp;display_string=Audit&amp;DYN_ARGS=TRUE&amp;VAR:ID1=09062X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91__FDSAUDITLINK__" localSheetId="10" hidden="1">{"fdsup://IBCentral/FAT Viewer?action=UPDATE&amp;creator=factset&amp;DOC_NAME=fat:reuters_annual_source_window.fat&amp;display_string=Audit&amp;DYN_ARGS=TRUE&amp;VAR:ID1=03116210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91__FDSAUDITLINK__" localSheetId="9" hidden="1">{"fdsup://IBCentral/FAT Viewer?action=UPDATE&amp;creator=factset&amp;DOC_NAME=fat:reuters_annual_source_window.fat&amp;display_string=Audit&amp;DYN_ARGS=TRUE&amp;VAR:ID1=03116210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91__FDSAUDITLINK__" hidden="1">{"fdsup://IBCentral/FAT Viewer?action=UPDATE&amp;creator=factset&amp;DOC_NAME=fat:reuters_annual_source_window.fat&amp;display_string=Audit&amp;DYN_ARGS=TRUE&amp;VAR:ID1=03116210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92__FDSAUDITLINK__" localSheetId="10" hidden="1">{"fdsup://IBCentral/FAT Viewer?action=UPDATE&amp;creator=factset&amp;DOC_NAME=fat:reuters_annual_source_window.fat&amp;display_string=Audit&amp;DYN_ARGS=TRUE&amp;VAR:ID1=03116210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92__FDSAUDITLINK__" localSheetId="9" hidden="1">{"fdsup://IBCentral/FAT Viewer?action=UPDATE&amp;creator=factset&amp;DOC_NAME=fat:reuters_annual_source_window.fat&amp;display_string=Audit&amp;DYN_ARGS=TRUE&amp;VAR:ID1=03116210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92__FDSAUDITLINK__" hidden="1">{"fdsup://IBCentral/FAT Viewer?action=UPDATE&amp;creator=factset&amp;DOC_NAME=fat:reuters_annual_source_window.fat&amp;display_string=Audit&amp;DYN_ARGS=TRUE&amp;VAR:ID1=03116210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93__FDSAUDITLINK__" localSheetId="10" hidden="1">{"fdsup://IBCentral/FAT Viewer?action=UPDATE&amp;creator=factset&amp;DOC_NAME=fat:reuters_annual_source_window.fat&amp;display_string=Audit&amp;DYN_ARGS=TRUE&amp;VAR:ID1=37291710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393__FDSAUDITLINK__" localSheetId="9" hidden="1">{"fdsup://IBCentral/FAT Viewer?action=UPDATE&amp;creator=factset&amp;DOC_NAME=fat:reuters_annual_source_window.fat&amp;display_string=Audit&amp;DYN_ARGS=TRUE&amp;VAR:ID1=37291710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393__FDSAUDITLINK__" hidden="1">{"fdsup://IBCentral/FAT Viewer?action=UPDATE&amp;creator=factset&amp;DOC_NAME=fat:reuters_annual_source_window.fat&amp;display_string=Audit&amp;DYN_ARGS=TRUE&amp;VAR:ID1=37291710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394__FDSAUDITLINK__" localSheetId="10" hidden="1">{"fdsup://IBCentral/FAT Viewer?action=UPDATE&amp;creator=factset&amp;DOC_NAME=fat:reuters_annual_source_window.fat&amp;display_string=Audit&amp;DYN_ARGS=TRUE&amp;VAR:ID1=37291710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94__FDSAUDITLINK__" localSheetId="9" hidden="1">{"fdsup://IBCentral/FAT Viewer?action=UPDATE&amp;creator=factset&amp;DOC_NAME=fat:reuters_annual_source_window.fat&amp;display_string=Audit&amp;DYN_ARGS=TRUE&amp;VAR:ID1=37291710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94__FDSAUDITLINK__" hidden="1">{"fdsup://IBCentral/FAT Viewer?action=UPDATE&amp;creator=factset&amp;DOC_NAME=fat:reuters_annual_source_window.fat&amp;display_string=Audit&amp;DYN_ARGS=TRUE&amp;VAR:ID1=37291710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95__FDSAUDITLINK__" localSheetId="10" hidden="1">{"fdsup://IBCentral/FAT Viewer?action=UPDATE&amp;creator=factset&amp;DOC_NAME=fat:reuters_annual_source_window.fat&amp;display_string=Audit&amp;DYN_ARGS=TRUE&amp;VAR:ID1=36871040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395__FDSAUDITLINK__" localSheetId="9" hidden="1">{"fdsup://IBCentral/FAT Viewer?action=UPDATE&amp;creator=factset&amp;DOC_NAME=fat:reuters_annual_source_window.fat&amp;display_string=Audit&amp;DYN_ARGS=TRUE&amp;VAR:ID1=36871040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395__FDSAUDITLINK__" hidden="1">{"fdsup://IBCentral/FAT Viewer?action=UPDATE&amp;creator=factset&amp;DOC_NAME=fat:reuters_annual_source_window.fat&amp;display_string=Audit&amp;DYN_ARGS=TRUE&amp;VAR:ID1=36871040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396__FDSAUDITLINK__" localSheetId="10" hidden="1">{"fdsup://IBCentral/FAT Viewer?action=UPDATE&amp;creator=factset&amp;DOC_NAME=fat:reuters_annual_source_window.fat&amp;display_string=Audit&amp;DYN_ARGS=TRUE&amp;VAR:ID1=36871040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96__FDSAUDITLINK__" localSheetId="9" hidden="1">{"fdsup://IBCentral/FAT Viewer?action=UPDATE&amp;creator=factset&amp;DOC_NAME=fat:reuters_annual_source_window.fat&amp;display_string=Audit&amp;DYN_ARGS=TRUE&amp;VAR:ID1=36871040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96__FDSAUDITLINK__" hidden="1">{"fdsup://IBCentral/FAT Viewer?action=UPDATE&amp;creator=factset&amp;DOC_NAME=fat:reuters_annual_source_window.fat&amp;display_string=Audit&amp;DYN_ARGS=TRUE&amp;VAR:ID1=36871040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97__FDSAUDITLINK__" localSheetId="10" hidden="1">{"fdsup://IBCentral/FAT Viewer?action=UPDATE&amp;creator=factset&amp;DOC_NAME=fat:reuters_annual_source_window.fat&amp;display_string=Audit&amp;DYN_ARGS=TRUE&amp;VAR:ID1=15102010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397__FDSAUDITLINK__" localSheetId="9" hidden="1">{"fdsup://IBCentral/FAT Viewer?action=UPDATE&amp;creator=factset&amp;DOC_NAME=fat:reuters_annual_source_window.fat&amp;display_string=Audit&amp;DYN_ARGS=TRUE&amp;VAR:ID1=15102010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397__FDSAUDITLINK__" hidden="1">{"fdsup://IBCentral/FAT Viewer?action=UPDATE&amp;creator=factset&amp;DOC_NAME=fat:reuters_annual_source_window.fat&amp;display_string=Audit&amp;DYN_ARGS=TRUE&amp;VAR:ID1=15102010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398__FDSAUDITLINK__" localSheetId="10" hidden="1">{"fdsup://IBCentral/FAT Viewer?action=UPDATE&amp;creator=factset&amp;DOC_NAME=fat:reuters_annual_source_window.fat&amp;display_string=Audit&amp;DYN_ARGS=TRUE&amp;VAR:ID1=15102010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98__FDSAUDITLINK__" localSheetId="9" hidden="1">{"fdsup://IBCentral/FAT Viewer?action=UPDATE&amp;creator=factset&amp;DOC_NAME=fat:reuters_annual_source_window.fat&amp;display_string=Audit&amp;DYN_ARGS=TRUE&amp;VAR:ID1=15102010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98__FDSAUDITLINK__" hidden="1">{"fdsup://IBCentral/FAT Viewer?action=UPDATE&amp;creator=factset&amp;DOC_NAME=fat:reuters_annual_source_window.fat&amp;display_string=Audit&amp;DYN_ARGS=TRUE&amp;VAR:ID1=15102010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99__FDSAUDITLINK__" localSheetId="10" hidden="1">{"fdsup://IBCentral/FAT Viewer?action=UPDATE&amp;creator=factset&amp;DOC_NAME=fat:reuters_annual_source_window.fat&amp;display_string=Audit&amp;DYN_ARGS=TRUE&amp;VAR:ID1=09062X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399__FDSAUDITLINK__" localSheetId="9" hidden="1">{"fdsup://IBCentral/FAT Viewer?action=UPDATE&amp;creator=factset&amp;DOC_NAME=fat:reuters_annual_source_window.fat&amp;display_string=Audit&amp;DYN_ARGS=TRUE&amp;VAR:ID1=09062X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399__FDSAUDITLINK__" hidden="1">{"fdsup://IBCentral/FAT Viewer?action=UPDATE&amp;creator=factset&amp;DOC_NAME=fat:reuters_annual_source_window.fat&amp;display_string=Audit&amp;DYN_ARGS=TRUE&amp;VAR:ID1=09062X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3hk1_" hidden="1">#REF!</definedName>
    <definedName name="_3K" hidden="1">#REF!</definedName>
    <definedName name="_3q45_" localSheetId="10" hidden="1">{"'용역비'!$A$4:$C$8"}</definedName>
    <definedName name="_3q45_" localSheetId="9" hidden="1">{"'용역비'!$A$4:$C$8"}</definedName>
    <definedName name="_3q45_" hidden="1">{"'용역비'!$A$4:$C$8"}</definedName>
    <definedName name="_4__123Graph_BCHART_1" hidden="1">#REF!</definedName>
    <definedName name="_4__123Graph_BT_OVER" hidden="1">#REF!</definedName>
    <definedName name="_4__123Graph_CCHART_1" hidden="1">#REF!</definedName>
    <definedName name="_4__FDSAUDITLINK__" localSheetId="10" hidden="1">{"fdsup://directions/FAT Viewer?action=UPDATE&amp;creator=factset&amp;DYN_ARGS=TRUE&amp;DOC_NAME=FAT:FQL_AUDITING_CLIENT_TEMPLATE.FAT&amp;display_string=Audit&amp;VAR:KEY=JGHEXUJOBO&amp;VAR:QUERY=RkZfQlBTX1RBTkcoQU5OLDQwMzI2KQ==&amp;WINDOW=FIRST_POPUP&amp;HEIGHT=450&amp;WIDTH=450&amp;START_MAXIMI","ZED=FALSE&amp;VAR:CALENDAR=US&amp;VAR:SYMBOL=ONNN&amp;VAR:INDEX=0"}</definedName>
    <definedName name="_4__FDSAUDITLINK__" localSheetId="9" hidden="1">{"fdsup://directions/FAT Viewer?action=UPDATE&amp;creator=factset&amp;DYN_ARGS=TRUE&amp;DOC_NAME=FAT:FQL_AUDITING_CLIENT_TEMPLATE.FAT&amp;display_string=Audit&amp;VAR:KEY=JGHEXUJOBO&amp;VAR:QUERY=RkZfQlBTX1RBTkcoQU5OLDQwMzI2KQ==&amp;WINDOW=FIRST_POPUP&amp;HEIGHT=450&amp;WIDTH=450&amp;START_MAXIMI","ZED=FALSE&amp;VAR:CALENDAR=US&amp;VAR:SYMBOL=ONNN&amp;VAR:INDEX=0"}</definedName>
    <definedName name="_4__FDSAUDITLINK__" hidden="1">{"fdsup://directions/FAT Viewer?action=UPDATE&amp;creator=factset&amp;DYN_ARGS=TRUE&amp;DOC_NAME=FAT:FQL_AUDITING_CLIENT_TEMPLATE.FAT&amp;display_string=Audit&amp;VAR:KEY=JGHEXUJOBO&amp;VAR:QUERY=RkZfQlBTX1RBTkcoQU5OLDQwMzI2KQ==&amp;WINDOW=FIRST_POPUP&amp;HEIGHT=450&amp;WIDTH=450&amp;START_MAXIMI","ZED=FALSE&amp;VAR:CALENDAR=US&amp;VAR:SYMBOL=ONNN&amp;VAR:INDEX=0"}</definedName>
    <definedName name="_4__FDSAUDITLINK___1" localSheetId="10" hidden="1">{"fdsup://directions/FAT Viewer?action=UPDATE&amp;creator=factset&amp;DYN_ARGS=TRUE&amp;DOC_NAME=FAT:FQL_AUDITING_CLIENT_TEMPLATE.FAT&amp;display_string=Audit&amp;VAR:KEY=JGHEXUJOBO&amp;VAR:QUERY=RkZfQlBTX1RBTkcoQU5OLDQwMzI2KQ==&amp;WINDOW=FIRST_POPUP&amp;HEIGHT=450&amp;WIDTH=450&amp;START_MAXIMI","ZED=FALSE&amp;VAR:CALENDAR=US&amp;VAR:SYMBOL=ONNN&amp;VAR:INDEX=0"}</definedName>
    <definedName name="_4__FDSAUDITLINK___1" localSheetId="9" hidden="1">{"fdsup://directions/FAT Viewer?action=UPDATE&amp;creator=factset&amp;DYN_ARGS=TRUE&amp;DOC_NAME=FAT:FQL_AUDITING_CLIENT_TEMPLATE.FAT&amp;display_string=Audit&amp;VAR:KEY=JGHEXUJOBO&amp;VAR:QUERY=RkZfQlBTX1RBTkcoQU5OLDQwMzI2KQ==&amp;WINDOW=FIRST_POPUP&amp;HEIGHT=450&amp;WIDTH=450&amp;START_MAXIMI","ZED=FALSE&amp;VAR:CALENDAR=US&amp;VAR:SYMBOL=ONNN&amp;VAR:INDEX=0"}</definedName>
    <definedName name="_4__FDSAUDITLINK___1" hidden="1">{"fdsup://directions/FAT Viewer?action=UPDATE&amp;creator=factset&amp;DYN_ARGS=TRUE&amp;DOC_NAME=FAT:FQL_AUDITING_CLIENT_TEMPLATE.FAT&amp;display_string=Audit&amp;VAR:KEY=JGHEXUJOBO&amp;VAR:QUERY=RkZfQlBTX1RBTkcoQU5OLDQwMzI2KQ==&amp;WINDOW=FIRST_POPUP&amp;HEIGHT=450&amp;WIDTH=450&amp;START_MAXIMI","ZED=FALSE&amp;VAR:CALENDAR=US&amp;VAR:SYMBOL=ONNN&amp;VAR:INDEX=0"}</definedName>
    <definedName name="_40__FDSAUDITLINK__" localSheetId="10" hidden="1">{"fdsup://IBCentral/FAT Viewer?action=UPDATE&amp;creator=factset&amp;DOC_NAME=fat:reuters_annual_source_window.fat&amp;display_string=Audit&amp;DYN_ARGS=TRUE&amp;VAR:ID1=58933110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0__FDSAUDITLINK__" localSheetId="9" hidden="1">{"fdsup://IBCentral/FAT Viewer?action=UPDATE&amp;creator=factset&amp;DOC_NAME=fat:reuters_annual_source_window.fat&amp;display_string=Audit&amp;DYN_ARGS=TRUE&amp;VAR:ID1=58933110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0__FDSAUDITLINK__" hidden="1">{"fdsup://IBCentral/FAT Viewer?action=UPDATE&amp;creator=factset&amp;DOC_NAME=fat:reuters_annual_source_window.fat&amp;display_string=Audit&amp;DYN_ARGS=TRUE&amp;VAR:ID1=58933110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00__FDSAUDITLINK__" localSheetId="10" hidden="1">{"fdsup://IBCentral/FAT Viewer?action=UPDATE&amp;creator=factset&amp;DOC_NAME=fat:reuters_annual_source_window.fat&amp;display_string=Audit&amp;DYN_ARGS=TRUE&amp;VAR:ID1=09062X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00__FDSAUDITLINK__" localSheetId="9" hidden="1">{"fdsup://IBCentral/FAT Viewer?action=UPDATE&amp;creator=factset&amp;DOC_NAME=fat:reuters_annual_source_window.fat&amp;display_string=Audit&amp;DYN_ARGS=TRUE&amp;VAR:ID1=09062X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00__FDSAUDITLINK__" hidden="1">{"fdsup://IBCentral/FAT Viewer?action=UPDATE&amp;creator=factset&amp;DOC_NAME=fat:reuters_annual_source_window.fat&amp;display_string=Audit&amp;DYN_ARGS=TRUE&amp;VAR:ID1=09062X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01__FDSAUDITLINK__" localSheetId="10" hidden="1">{"fdsup://IBCentral/FAT Viewer?action=UPDATE&amp;creator=factset&amp;DOC_NAME=fat:reuters_annual_source_window.fat&amp;display_string=Audit&amp;DYN_ARGS=TRUE&amp;VAR:ID1=03116210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401__FDSAUDITLINK__" localSheetId="9" hidden="1">{"fdsup://IBCentral/FAT Viewer?action=UPDATE&amp;creator=factset&amp;DOC_NAME=fat:reuters_annual_source_window.fat&amp;display_string=Audit&amp;DYN_ARGS=TRUE&amp;VAR:ID1=03116210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401__FDSAUDITLINK__" hidden="1">{"fdsup://IBCentral/FAT Viewer?action=UPDATE&amp;creator=factset&amp;DOC_NAME=fat:reuters_annual_source_window.fat&amp;display_string=Audit&amp;DYN_ARGS=TRUE&amp;VAR:ID1=03116210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402__FDSAUDITLINK__" localSheetId="10" hidden="1">{"fdsup://IBCentral/FAT Viewer?action=UPDATE&amp;creator=factset&amp;DOC_NAME=fat:reuters_annual_source_window.fat&amp;display_string=Audit&amp;DYN_ARGS=TRUE&amp;VAR:ID1=03116210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02__FDSAUDITLINK__" localSheetId="9" hidden="1">{"fdsup://IBCentral/FAT Viewer?action=UPDATE&amp;creator=factset&amp;DOC_NAME=fat:reuters_annual_source_window.fat&amp;display_string=Audit&amp;DYN_ARGS=TRUE&amp;VAR:ID1=03116210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02__FDSAUDITLINK__" hidden="1">{"fdsup://IBCentral/FAT Viewer?action=UPDATE&amp;creator=factset&amp;DOC_NAME=fat:reuters_annual_source_window.fat&amp;display_string=Audit&amp;DYN_ARGS=TRUE&amp;VAR:ID1=03116210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03__FDSAUDITLINK__" localSheetId="10" hidden="1">{"fdsup://IBCentral/FAT Viewer?action=UPDATE&amp;creator=factset&amp;DOC_NAME=fat:reuters_annual_source_window.fat&amp;display_string=Audit&amp;DYN_ARGS=TRUE&amp;VAR:ID1=37291710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03__FDSAUDITLINK__" localSheetId="9" hidden="1">{"fdsup://IBCentral/FAT Viewer?action=UPDATE&amp;creator=factset&amp;DOC_NAME=fat:reuters_annual_source_window.fat&amp;display_string=Audit&amp;DYN_ARGS=TRUE&amp;VAR:ID1=37291710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03__FDSAUDITLINK__" hidden="1">{"fdsup://IBCentral/FAT Viewer?action=UPDATE&amp;creator=factset&amp;DOC_NAME=fat:reuters_annual_source_window.fat&amp;display_string=Audit&amp;DYN_ARGS=TRUE&amp;VAR:ID1=37291710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04__FDSAUDITLINK__" localSheetId="10" hidden="1">{"fdsup://IBCentral/FAT Viewer?action=UPDATE&amp;creator=factset&amp;DOC_NAME=fat:reuters_annual_source_window.fat&amp;display_string=Audit&amp;DYN_ARGS=TRUE&amp;VAR:ID1=37291710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04__FDSAUDITLINK__" localSheetId="9" hidden="1">{"fdsup://IBCentral/FAT Viewer?action=UPDATE&amp;creator=factset&amp;DOC_NAME=fat:reuters_annual_source_window.fat&amp;display_string=Audit&amp;DYN_ARGS=TRUE&amp;VAR:ID1=37291710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04__FDSAUDITLINK__" hidden="1">{"fdsup://IBCentral/FAT Viewer?action=UPDATE&amp;creator=factset&amp;DOC_NAME=fat:reuters_annual_source_window.fat&amp;display_string=Audit&amp;DYN_ARGS=TRUE&amp;VAR:ID1=37291710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05__FDSAUDITLINK__" localSheetId="10" hidden="1">{"fdsup://IBCentral/FAT Viewer?action=UPDATE&amp;creator=factset&amp;DOC_NAME=fat:reuters_annual_source_window.fat&amp;display_string=Audit&amp;DYN_ARGS=TRUE&amp;VAR:ID1=36871040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05__FDSAUDITLINK__" localSheetId="9" hidden="1">{"fdsup://IBCentral/FAT Viewer?action=UPDATE&amp;creator=factset&amp;DOC_NAME=fat:reuters_annual_source_window.fat&amp;display_string=Audit&amp;DYN_ARGS=TRUE&amp;VAR:ID1=36871040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05__FDSAUDITLINK__" hidden="1">{"fdsup://IBCentral/FAT Viewer?action=UPDATE&amp;creator=factset&amp;DOC_NAME=fat:reuters_annual_source_window.fat&amp;display_string=Audit&amp;DYN_ARGS=TRUE&amp;VAR:ID1=36871040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06__FDSAUDITLINK__" localSheetId="10" hidden="1">{"fdsup://IBCentral/FAT Viewer?action=UPDATE&amp;creator=factset&amp;DOC_NAME=fat:reuters_annual_source_window.fat&amp;display_string=Audit&amp;DYN_ARGS=TRUE&amp;VAR:ID1=36871040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06__FDSAUDITLINK__" localSheetId="9" hidden="1">{"fdsup://IBCentral/FAT Viewer?action=UPDATE&amp;creator=factset&amp;DOC_NAME=fat:reuters_annual_source_window.fat&amp;display_string=Audit&amp;DYN_ARGS=TRUE&amp;VAR:ID1=36871040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06__FDSAUDITLINK__" hidden="1">{"fdsup://IBCentral/FAT Viewer?action=UPDATE&amp;creator=factset&amp;DOC_NAME=fat:reuters_annual_source_window.fat&amp;display_string=Audit&amp;DYN_ARGS=TRUE&amp;VAR:ID1=36871040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07__FDSAUDITLINK__" localSheetId="10" hidden="1">{"fdsup://IBCentral/FAT Viewer?action=UPDATE&amp;creator=factset&amp;DOC_NAME=fat:reuters_annual_source_window.fat&amp;display_string=Audit&amp;DYN_ARGS=TRUE&amp;VAR:ID1=15102010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07__FDSAUDITLINK__" localSheetId="9" hidden="1">{"fdsup://IBCentral/FAT Viewer?action=UPDATE&amp;creator=factset&amp;DOC_NAME=fat:reuters_annual_source_window.fat&amp;display_string=Audit&amp;DYN_ARGS=TRUE&amp;VAR:ID1=15102010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07__FDSAUDITLINK__" hidden="1">{"fdsup://IBCentral/FAT Viewer?action=UPDATE&amp;creator=factset&amp;DOC_NAME=fat:reuters_annual_source_window.fat&amp;display_string=Audit&amp;DYN_ARGS=TRUE&amp;VAR:ID1=15102010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08__FDSAUDITLINK__" localSheetId="10" hidden="1">{"fdsup://IBCentral/FAT Viewer?action=UPDATE&amp;creator=factset&amp;DOC_NAME=fat:reuters_annual_source_window.fat&amp;display_string=Audit&amp;DYN_ARGS=TRUE&amp;VAR:ID1=15102010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08__FDSAUDITLINK__" localSheetId="9" hidden="1">{"fdsup://IBCentral/FAT Viewer?action=UPDATE&amp;creator=factset&amp;DOC_NAME=fat:reuters_annual_source_window.fat&amp;display_string=Audit&amp;DYN_ARGS=TRUE&amp;VAR:ID1=15102010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08__FDSAUDITLINK__" hidden="1">{"fdsup://IBCentral/FAT Viewer?action=UPDATE&amp;creator=factset&amp;DOC_NAME=fat:reuters_annual_source_window.fat&amp;display_string=Audit&amp;DYN_ARGS=TRUE&amp;VAR:ID1=15102010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09__FDSAUDITLINK__" localSheetId="10" hidden="1">{"fdsup://IBCentral/FAT Viewer?action=UPDATE&amp;creator=factset&amp;DOC_NAME=fat:reuters_annual_source_window.fat&amp;display_string=Audit&amp;DYN_ARGS=TRUE&amp;VAR:ID1=09062X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09__FDSAUDITLINK__" localSheetId="9" hidden="1">{"fdsup://IBCentral/FAT Viewer?action=UPDATE&amp;creator=factset&amp;DOC_NAME=fat:reuters_annual_source_window.fat&amp;display_string=Audit&amp;DYN_ARGS=TRUE&amp;VAR:ID1=09062X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09__FDSAUDITLINK__" hidden="1">{"fdsup://IBCentral/FAT Viewer?action=UPDATE&amp;creator=factset&amp;DOC_NAME=fat:reuters_annual_source_window.fat&amp;display_string=Audit&amp;DYN_ARGS=TRUE&amp;VAR:ID1=09062X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1__FDSAUDITLINK__" localSheetId="10" hidden="1">{"fdsup://IBCentral/FAT Viewer?action=UPDATE&amp;creator=factset&amp;DOC_NAME=fat:reuters_annual_source_window.fat&amp;display_string=Audit&amp;DYN_ARGS=TRUE&amp;VAR:ID1=58933110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41__FDSAUDITLINK__" localSheetId="9" hidden="1">{"fdsup://IBCentral/FAT Viewer?action=UPDATE&amp;creator=factset&amp;DOC_NAME=fat:reuters_annual_source_window.fat&amp;display_string=Audit&amp;DYN_ARGS=TRUE&amp;VAR:ID1=58933110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41__FDSAUDITLINK__" hidden="1">{"fdsup://IBCentral/FAT Viewer?action=UPDATE&amp;creator=factset&amp;DOC_NAME=fat:reuters_annual_source_window.fat&amp;display_string=Audit&amp;DYN_ARGS=TRUE&amp;VAR:ID1=58933110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410__FDSAUDITLINK__" localSheetId="10" hidden="1">{"fdsup://IBCentral/FAT Viewer?action=UPDATE&amp;creator=factset&amp;DOC_NAME=fat:reuters_annual_source_window.fat&amp;display_string=Audit&amp;DYN_ARGS=TRUE&amp;VAR:ID1=09062X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10__FDSAUDITLINK__" localSheetId="9" hidden="1">{"fdsup://IBCentral/FAT Viewer?action=UPDATE&amp;creator=factset&amp;DOC_NAME=fat:reuters_annual_source_window.fat&amp;display_string=Audit&amp;DYN_ARGS=TRUE&amp;VAR:ID1=09062X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10__FDSAUDITLINK__" hidden="1">{"fdsup://IBCentral/FAT Viewer?action=UPDATE&amp;creator=factset&amp;DOC_NAME=fat:reuters_annual_source_window.fat&amp;display_string=Audit&amp;DYN_ARGS=TRUE&amp;VAR:ID1=09062X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11__FDSAUDITLINK__" localSheetId="10" hidden="1">{"fdsup://IBCentral/FAT Viewer?action=UPDATE&amp;creator=factset&amp;DOC_NAME=fat:reuters_annual_source_window.fat&amp;display_string=Audit&amp;DYN_ARGS=TRUE&amp;VAR:ID1=03116210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11__FDSAUDITLINK__" localSheetId="9" hidden="1">{"fdsup://IBCentral/FAT Viewer?action=UPDATE&amp;creator=factset&amp;DOC_NAME=fat:reuters_annual_source_window.fat&amp;display_string=Audit&amp;DYN_ARGS=TRUE&amp;VAR:ID1=03116210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11__FDSAUDITLINK__" hidden="1">{"fdsup://IBCentral/FAT Viewer?action=UPDATE&amp;creator=factset&amp;DOC_NAME=fat:reuters_annual_source_window.fat&amp;display_string=Audit&amp;DYN_ARGS=TRUE&amp;VAR:ID1=03116210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12__FDSAUDITLINK__" localSheetId="10" hidden="1">{"fdsup://IBCentral/FAT Viewer?action=UPDATE&amp;creator=factset&amp;DOC_NAME=fat:reuters_annual_source_window.fat&amp;display_string=Audit&amp;DYN_ARGS=TRUE&amp;VAR:ID1=03116210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12__FDSAUDITLINK__" localSheetId="9" hidden="1">{"fdsup://IBCentral/FAT Viewer?action=UPDATE&amp;creator=factset&amp;DOC_NAME=fat:reuters_annual_source_window.fat&amp;display_string=Audit&amp;DYN_ARGS=TRUE&amp;VAR:ID1=03116210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12__FDSAUDITLINK__" hidden="1">{"fdsup://IBCentral/FAT Viewer?action=UPDATE&amp;creator=factset&amp;DOC_NAME=fat:reuters_annual_source_window.fat&amp;display_string=Audit&amp;DYN_ARGS=TRUE&amp;VAR:ID1=03116210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13__FDSAUDITLINK__" localSheetId="10" hidden="1">{"fdsup://IBCentral/FAT Viewer?action=UPDATE&amp;creator=factset&amp;DOC_NAME=fat:reuters_qtrly_source_window.fat&amp;display_string=Audit&amp;DYN_ARGS=TRUE&amp;VAR:ID1=22967810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413__FDSAUDITLINK__" localSheetId="9" hidden="1">{"fdsup://IBCentral/FAT Viewer?action=UPDATE&amp;creator=factset&amp;DOC_NAME=fat:reuters_qtrly_source_window.fat&amp;display_string=Audit&amp;DYN_ARGS=TRUE&amp;VAR:ID1=22967810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413__FDSAUDITLINK__" hidden="1">{"fdsup://IBCentral/FAT Viewer?action=UPDATE&amp;creator=factset&amp;DOC_NAME=fat:reuters_qtrly_source_window.fat&amp;display_string=Audit&amp;DYN_ARGS=TRUE&amp;VAR:ID1=22967810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414__FDSAUDITLINK__" localSheetId="10" hidden="1">{"fdsup://IBCentral/FAT Viewer?action=UPDATE&amp;creator=factset&amp;DOC_NAME=fat:reuters_qtrly_source_window.fat&amp;display_string=Audit&amp;DYN_ARGS=TRUE&amp;VAR:ID1=04269X10&amp;VAR:RCODE=SCSI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414__FDSAUDITLINK__" localSheetId="9" hidden="1">{"fdsup://IBCentral/FAT Viewer?action=UPDATE&amp;creator=factset&amp;DOC_NAME=fat:reuters_qtrly_source_window.fat&amp;display_string=Audit&amp;DYN_ARGS=TRUE&amp;VAR:ID1=04269X10&amp;VAR:RCODE=SCSI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414__FDSAUDITLINK__" hidden="1">{"fdsup://IBCentral/FAT Viewer?action=UPDATE&amp;creator=factset&amp;DOC_NAME=fat:reuters_qtrly_source_window.fat&amp;display_string=Audit&amp;DYN_ARGS=TRUE&amp;VAR:ID1=04269X10&amp;VAR:RCODE=SCSI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415__FDSAUDITLINK__" localSheetId="10" hidden="1">{"fdsup://IBCentral/FAT Viewer?action=UPDATE&amp;creator=factset&amp;DOC_NAME=fat:reuters_qtrly_source_window.fat&amp;display_string=Audit&amp;DYN_ARGS=TRUE&amp;VAR:ID1=04269E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415__FDSAUDITLINK__" localSheetId="9" hidden="1">{"fdsup://IBCentral/FAT Viewer?action=UPDATE&amp;creator=factset&amp;DOC_NAME=fat:reuters_qtrly_source_window.fat&amp;display_string=Audit&amp;DYN_ARGS=TRUE&amp;VAR:ID1=04269E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415__FDSAUDITLINK__" hidden="1">{"fdsup://IBCentral/FAT Viewer?action=UPDATE&amp;creator=factset&amp;DOC_NAME=fat:reuters_qtrly_source_window.fat&amp;display_string=Audit&amp;DYN_ARGS=TRUE&amp;VAR:ID1=04269E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416__FDSAUDITLINK__" localSheetId="10" hidden="1">{"fdsup://IBCentral/FAT Viewer?action=UPDATE&amp;creator=factset&amp;DOC_NAME=fat:reuters_annual_source_window.fat&amp;display_string=Audit&amp;DYN_ARGS=TRUE&amp;VAR:ID1=98302410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16__FDSAUDITLINK__" localSheetId="9" hidden="1">{"fdsup://IBCentral/FAT Viewer?action=UPDATE&amp;creator=factset&amp;DOC_NAME=fat:reuters_annual_source_window.fat&amp;display_string=Audit&amp;DYN_ARGS=TRUE&amp;VAR:ID1=98302410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16__FDSAUDITLINK__" hidden="1">{"fdsup://IBCentral/FAT Viewer?action=UPDATE&amp;creator=factset&amp;DOC_NAME=fat:reuters_annual_source_window.fat&amp;display_string=Audit&amp;DYN_ARGS=TRUE&amp;VAR:ID1=98302410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17__FDSAUDITLINK__" localSheetId="10" hidden="1">{"fdsup://IBCentral/FAT Viewer?action=UPDATE&amp;creator=factset&amp;DOC_NAME=fat:reuters_annual_source_window.fat&amp;display_string=Audit&amp;DYN_ARGS=TRUE&amp;VAR:ID1=98302410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417__FDSAUDITLINK__" localSheetId="9" hidden="1">{"fdsup://IBCentral/FAT Viewer?action=UPDATE&amp;creator=factset&amp;DOC_NAME=fat:reuters_annual_source_window.fat&amp;display_string=Audit&amp;DYN_ARGS=TRUE&amp;VAR:ID1=98302410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417__FDSAUDITLINK__" hidden="1">{"fdsup://IBCentral/FAT Viewer?action=UPDATE&amp;creator=factset&amp;DOC_NAME=fat:reuters_annual_source_window.fat&amp;display_string=Audit&amp;DYN_ARGS=TRUE&amp;VAR:ID1=98302410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418__FDSAUDITLINK__" localSheetId="10" hidden="1">{"fdsup://IBCentral/FAT Viewer?action=UPDATE&amp;creator=factset&amp;DOC_NAME=fat:reuters_annual_source_window.fat&amp;display_string=Audit&amp;DYN_ARGS=TRUE&amp;VAR:ID1=98302410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18__FDSAUDITLINK__" localSheetId="9" hidden="1">{"fdsup://IBCentral/FAT Viewer?action=UPDATE&amp;creator=factset&amp;DOC_NAME=fat:reuters_annual_source_window.fat&amp;display_string=Audit&amp;DYN_ARGS=TRUE&amp;VAR:ID1=98302410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18__FDSAUDITLINK__" hidden="1">{"fdsup://IBCentral/FAT Viewer?action=UPDATE&amp;creator=factset&amp;DOC_NAME=fat:reuters_annual_source_window.fat&amp;display_string=Audit&amp;DYN_ARGS=TRUE&amp;VAR:ID1=98302410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19__FDSAUDITLINK__" localSheetId="10" hidden="1">{"fdsup://IBCentral/FAT Viewer?action=UPDATE&amp;creator=factset&amp;DOC_NAME=fat:reuters_annual_source_window.fat&amp;display_string=Audit&amp;DYN_ARGS=TRUE&amp;VAR:ID1=98302410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19__FDSAUDITLINK__" localSheetId="9" hidden="1">{"fdsup://IBCentral/FAT Viewer?action=UPDATE&amp;creator=factset&amp;DOC_NAME=fat:reuters_annual_source_window.fat&amp;display_string=Audit&amp;DYN_ARGS=TRUE&amp;VAR:ID1=98302410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19__FDSAUDITLINK__" hidden="1">{"fdsup://IBCentral/FAT Viewer?action=UPDATE&amp;creator=factset&amp;DOC_NAME=fat:reuters_annual_source_window.fat&amp;display_string=Audit&amp;DYN_ARGS=TRUE&amp;VAR:ID1=98302410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2__FDSAUDITLINK__" localSheetId="10" hidden="1">{"fdsup://IBCentral/FAT Viewer?action=UPDATE&amp;creator=factset&amp;DOC_NAME=fat:reuters_annual_source_window.fat&amp;display_string=Audit&amp;DYN_ARGS=TRUE&amp;VAR:ID1=53245710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42__FDSAUDITLINK__" localSheetId="9" hidden="1">{"fdsup://IBCentral/FAT Viewer?action=UPDATE&amp;creator=factset&amp;DOC_NAME=fat:reuters_annual_source_window.fat&amp;display_string=Audit&amp;DYN_ARGS=TRUE&amp;VAR:ID1=53245710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42__FDSAUDITLINK__" hidden="1">{"fdsup://IBCentral/FAT Viewer?action=UPDATE&amp;creator=factset&amp;DOC_NAME=fat:reuters_annual_source_window.fat&amp;display_string=Audit&amp;DYN_ARGS=TRUE&amp;VAR:ID1=53245710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420__FDSAUDITLINK__" localSheetId="10" hidden="1">{"fdsup://IBCentral/FAT Viewer?action=UPDATE&amp;creator=factset&amp;DOC_NAME=fat:reuters_annual_source_window.fat&amp;display_string=Audit&amp;DYN_ARGS=TRUE&amp;VAR:ID1=98302410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20__FDSAUDITLINK__" localSheetId="9" hidden="1">{"fdsup://IBCentral/FAT Viewer?action=UPDATE&amp;creator=factset&amp;DOC_NAME=fat:reuters_annual_source_window.fat&amp;display_string=Audit&amp;DYN_ARGS=TRUE&amp;VAR:ID1=98302410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20__FDSAUDITLINK__" hidden="1">{"fdsup://IBCentral/FAT Viewer?action=UPDATE&amp;creator=factset&amp;DOC_NAME=fat:reuters_annual_source_window.fat&amp;display_string=Audit&amp;DYN_ARGS=TRUE&amp;VAR:ID1=98302410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21__FDSAUDITLINK__" localSheetId="10" hidden="1">{"fdsup://IBCentral/FAT Viewer?action=UPDATE&amp;creator=factset&amp;DOC_NAME=fat:reuters_annual_source_window.fat&amp;display_string=Audit&amp;DYN_ARGS=TRUE&amp;VAR:ID1=98302410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21__FDSAUDITLINK__" localSheetId="9" hidden="1">{"fdsup://IBCentral/FAT Viewer?action=UPDATE&amp;creator=factset&amp;DOC_NAME=fat:reuters_annual_source_window.fat&amp;display_string=Audit&amp;DYN_ARGS=TRUE&amp;VAR:ID1=98302410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21__FDSAUDITLINK__" hidden="1">{"fdsup://IBCentral/FAT Viewer?action=UPDATE&amp;creator=factset&amp;DOC_NAME=fat:reuters_annual_source_window.fat&amp;display_string=Audit&amp;DYN_ARGS=TRUE&amp;VAR:ID1=98302410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22__FDSAUDITLINK__" localSheetId="10" hidden="1">{"fdsup://IBCentral/FAT Viewer?action=UPDATE&amp;creator=factset&amp;DOC_NAME=fat:reuters_annual_source_window.fat&amp;display_string=Audit&amp;DYN_ARGS=TRUE&amp;VAR:ID1=98302410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422__FDSAUDITLINK__" localSheetId="9" hidden="1">{"fdsup://IBCentral/FAT Viewer?action=UPDATE&amp;creator=factset&amp;DOC_NAME=fat:reuters_annual_source_window.fat&amp;display_string=Audit&amp;DYN_ARGS=TRUE&amp;VAR:ID1=98302410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422__FDSAUDITLINK__" hidden="1">{"fdsup://IBCentral/FAT Viewer?action=UPDATE&amp;creator=factset&amp;DOC_NAME=fat:reuters_annual_source_window.fat&amp;display_string=Audit&amp;DYN_ARGS=TRUE&amp;VAR:ID1=98302410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423__FDSAUDITLINK__" localSheetId="10" hidden="1">{"fdsup://IBCentral/FAT Viewer?action=UPDATE&amp;creator=factset&amp;DOC_NAME=fat:reuters_annual_source_window.fat&amp;display_string=Audit&amp;DYN_ARGS=TRUE&amp;VAR:ID1=98302410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23__FDSAUDITLINK__" localSheetId="9" hidden="1">{"fdsup://IBCentral/FAT Viewer?action=UPDATE&amp;creator=factset&amp;DOC_NAME=fat:reuters_annual_source_window.fat&amp;display_string=Audit&amp;DYN_ARGS=TRUE&amp;VAR:ID1=98302410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23__FDSAUDITLINK__" hidden="1">{"fdsup://IBCentral/FAT Viewer?action=UPDATE&amp;creator=factset&amp;DOC_NAME=fat:reuters_annual_source_window.fat&amp;display_string=Audit&amp;DYN_ARGS=TRUE&amp;VAR:ID1=98302410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24__FDSAUDITLINK__" localSheetId="10" hidden="1">{"fdsup://IBCentral/FAT Viewer?action=UPDATE&amp;creator=factset&amp;DOC_NAME=fat:reuters_annual_source_window.fat&amp;display_string=Audit&amp;DYN_ARGS=TRUE&amp;VAR:ID1=98302410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424__FDSAUDITLINK__" localSheetId="9" hidden="1">{"fdsup://IBCentral/FAT Viewer?action=UPDATE&amp;creator=factset&amp;DOC_NAME=fat:reuters_annual_source_window.fat&amp;display_string=Audit&amp;DYN_ARGS=TRUE&amp;VAR:ID1=98302410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424__FDSAUDITLINK__" hidden="1">{"fdsup://IBCentral/FAT Viewer?action=UPDATE&amp;creator=factset&amp;DOC_NAME=fat:reuters_annual_source_window.fat&amp;display_string=Audit&amp;DYN_ARGS=TRUE&amp;VAR:ID1=98302410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425__FDSAUDITLINK__" localSheetId="10" hidden="1">{"fdsup://IBCentral/FAT Viewer?action=UPDATE&amp;creator=factset&amp;DOC_NAME=fat:reuters_annual_source_window.fat&amp;display_string=Audit&amp;DYN_ARGS=TRUE&amp;VAR:ID1=80660510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25__FDSAUDITLINK__" localSheetId="9" hidden="1">{"fdsup://IBCentral/FAT Viewer?action=UPDATE&amp;creator=factset&amp;DOC_NAME=fat:reuters_annual_source_window.fat&amp;display_string=Audit&amp;DYN_ARGS=TRUE&amp;VAR:ID1=80660510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25__FDSAUDITLINK__" hidden="1">{"fdsup://IBCentral/FAT Viewer?action=UPDATE&amp;creator=factset&amp;DOC_NAME=fat:reuters_annual_source_window.fat&amp;display_string=Audit&amp;DYN_ARGS=TRUE&amp;VAR:ID1=80660510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26__FDSAUDITLINK__" localSheetId="10" hidden="1">{"fdsup://IBCentral/FAT Viewer?action=UPDATE&amp;creator=factset&amp;DOC_NAME=fat:reuters_annual_source_window.fat&amp;display_string=Audit&amp;DYN_ARGS=TRUE&amp;VAR:ID1=80660510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426__FDSAUDITLINK__" localSheetId="9" hidden="1">{"fdsup://IBCentral/FAT Viewer?action=UPDATE&amp;creator=factset&amp;DOC_NAME=fat:reuters_annual_source_window.fat&amp;display_string=Audit&amp;DYN_ARGS=TRUE&amp;VAR:ID1=80660510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426__FDSAUDITLINK__" hidden="1">{"fdsup://IBCentral/FAT Viewer?action=UPDATE&amp;creator=factset&amp;DOC_NAME=fat:reuters_annual_source_window.fat&amp;display_string=Audit&amp;DYN_ARGS=TRUE&amp;VAR:ID1=80660510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427__FDSAUDITLINK__" localSheetId="10" hidden="1">{"fdsup://IBCentral/FAT Viewer?action=UPDATE&amp;creator=factset&amp;DOC_NAME=fat:reuters_annual_source_window.fat&amp;display_string=Audit&amp;DYN_ARGS=TRUE&amp;VAR:ID1=80660510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27__FDSAUDITLINK__" localSheetId="9" hidden="1">{"fdsup://IBCentral/FAT Viewer?action=UPDATE&amp;creator=factset&amp;DOC_NAME=fat:reuters_annual_source_window.fat&amp;display_string=Audit&amp;DYN_ARGS=TRUE&amp;VAR:ID1=80660510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27__FDSAUDITLINK__" hidden="1">{"fdsup://IBCentral/FAT Viewer?action=UPDATE&amp;creator=factset&amp;DOC_NAME=fat:reuters_annual_source_window.fat&amp;display_string=Audit&amp;DYN_ARGS=TRUE&amp;VAR:ID1=80660510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28__FDSAUDITLINK__" localSheetId="10" hidden="1">{"fdsup://IBCentral/FAT Viewer?action=UPDATE&amp;creator=factset&amp;DOC_NAME=fat:reuters_annual_source_window.fat&amp;display_string=Audit&amp;DYN_ARGS=TRUE&amp;VAR:ID1=80660510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28__FDSAUDITLINK__" localSheetId="9" hidden="1">{"fdsup://IBCentral/FAT Viewer?action=UPDATE&amp;creator=factset&amp;DOC_NAME=fat:reuters_annual_source_window.fat&amp;display_string=Audit&amp;DYN_ARGS=TRUE&amp;VAR:ID1=80660510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28__FDSAUDITLINK__" hidden="1">{"fdsup://IBCentral/FAT Viewer?action=UPDATE&amp;creator=factset&amp;DOC_NAME=fat:reuters_annual_source_window.fat&amp;display_string=Audit&amp;DYN_ARGS=TRUE&amp;VAR:ID1=80660510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29__FDSAUDITLINK__" localSheetId="10" hidden="1">{"fdsup://IBCentral/FAT Viewer?action=UPDATE&amp;creator=factset&amp;DOC_NAME=fat:reuters_annual_source_window.fat&amp;display_string=Audit&amp;DYN_ARGS=TRUE&amp;VAR:ID1=80660510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29__FDSAUDITLINK__" localSheetId="9" hidden="1">{"fdsup://IBCentral/FAT Viewer?action=UPDATE&amp;creator=factset&amp;DOC_NAME=fat:reuters_annual_source_window.fat&amp;display_string=Audit&amp;DYN_ARGS=TRUE&amp;VAR:ID1=80660510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29__FDSAUDITLINK__" hidden="1">{"fdsup://IBCentral/FAT Viewer?action=UPDATE&amp;creator=factset&amp;DOC_NAME=fat:reuters_annual_source_window.fat&amp;display_string=Audit&amp;DYN_ARGS=TRUE&amp;VAR:ID1=80660510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2wrn.²Ä1­Ó¤ë1_Ü20¤H." localSheetId="10" hidden="1">{#N/A,#N/A,FALSE,"²Ä1­Ó¤ë"}</definedName>
    <definedName name="_42wrn.²Ä1­Ó¤ë1_Ü20¤H." localSheetId="9" hidden="1">{#N/A,#N/A,FALSE,"²Ä1­Ó¤ë"}</definedName>
    <definedName name="_42wrn.²Ä1­Ó¤ë1_Ü20¤H." hidden="1">{#N/A,#N/A,FALSE,"²Ä1­Ó¤ë"}</definedName>
    <definedName name="_43__FDSAUDITLINK__" localSheetId="10" hidden="1">{"fdsup://IBCentral/FAT Viewer?action=UPDATE&amp;creator=factset&amp;DOC_NAME=fat:reuters_annual_source_window.fat&amp;display_string=Audit&amp;DYN_ARGS=TRUE&amp;VAR:ID1=53245710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3__FDSAUDITLINK__" localSheetId="9" hidden="1">{"fdsup://IBCentral/FAT Viewer?action=UPDATE&amp;creator=factset&amp;DOC_NAME=fat:reuters_annual_source_window.fat&amp;display_string=Audit&amp;DYN_ARGS=TRUE&amp;VAR:ID1=53245710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3__FDSAUDITLINK__" hidden="1">{"fdsup://IBCentral/FAT Viewer?action=UPDATE&amp;creator=factset&amp;DOC_NAME=fat:reuters_annual_source_window.fat&amp;display_string=Audit&amp;DYN_ARGS=TRUE&amp;VAR:ID1=53245710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30__FDSAUDITLINK__" localSheetId="10" hidden="1">{"fdsup://IBCentral/FAT Viewer?action=UPDATE&amp;creator=factset&amp;DOC_NAME=fat:reuters_annual_source_window.fat&amp;display_string=Audit&amp;DYN_ARGS=TRUE&amp;VAR:ID1=80660510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30__FDSAUDITLINK__" localSheetId="9" hidden="1">{"fdsup://IBCentral/FAT Viewer?action=UPDATE&amp;creator=factset&amp;DOC_NAME=fat:reuters_annual_source_window.fat&amp;display_string=Audit&amp;DYN_ARGS=TRUE&amp;VAR:ID1=80660510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30__FDSAUDITLINK__" hidden="1">{"fdsup://IBCentral/FAT Viewer?action=UPDATE&amp;creator=factset&amp;DOC_NAME=fat:reuters_annual_source_window.fat&amp;display_string=Audit&amp;DYN_ARGS=TRUE&amp;VAR:ID1=80660510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31__FDSAUDITLINK__" localSheetId="10" hidden="1">{"fdsup://IBCentral/FAT Viewer?action=UPDATE&amp;creator=factset&amp;DOC_NAME=fat:reuters_annual_source_window.fat&amp;display_string=Audit&amp;DYN_ARGS=TRUE&amp;VAR:ID1=80660510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431__FDSAUDITLINK__" localSheetId="9" hidden="1">{"fdsup://IBCentral/FAT Viewer?action=UPDATE&amp;creator=factset&amp;DOC_NAME=fat:reuters_annual_source_window.fat&amp;display_string=Audit&amp;DYN_ARGS=TRUE&amp;VAR:ID1=80660510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431__FDSAUDITLINK__" hidden="1">{"fdsup://IBCentral/FAT Viewer?action=UPDATE&amp;creator=factset&amp;DOC_NAME=fat:reuters_annual_source_window.fat&amp;display_string=Audit&amp;DYN_ARGS=TRUE&amp;VAR:ID1=80660510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432__FDSAUDITLINK__" localSheetId="10" hidden="1">{"fdsup://IBCentral/FAT Viewer?action=UPDATE&amp;creator=factset&amp;DOC_NAME=fat:reuters_annual_source_window.fat&amp;display_string=Audit&amp;DYN_ARGS=TRUE&amp;VAR:ID1=80660510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32__FDSAUDITLINK__" localSheetId="9" hidden="1">{"fdsup://IBCentral/FAT Viewer?action=UPDATE&amp;creator=factset&amp;DOC_NAME=fat:reuters_annual_source_window.fat&amp;display_string=Audit&amp;DYN_ARGS=TRUE&amp;VAR:ID1=80660510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32__FDSAUDITLINK__" hidden="1">{"fdsup://IBCentral/FAT Viewer?action=UPDATE&amp;creator=factset&amp;DOC_NAME=fat:reuters_annual_source_window.fat&amp;display_string=Audit&amp;DYN_ARGS=TRUE&amp;VAR:ID1=80660510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33__FDSAUDITLINK__" localSheetId="10" hidden="1">{"fdsup://IBCentral/FAT Viewer?action=UPDATE&amp;creator=factset&amp;DOC_NAME=fat:reuters_annual_source_window.fat&amp;display_string=Audit&amp;DYN_ARGS=TRUE&amp;VAR:ID1=80660510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433__FDSAUDITLINK__" localSheetId="9" hidden="1">{"fdsup://IBCentral/FAT Viewer?action=UPDATE&amp;creator=factset&amp;DOC_NAME=fat:reuters_annual_source_window.fat&amp;display_string=Audit&amp;DYN_ARGS=TRUE&amp;VAR:ID1=80660510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433__FDSAUDITLINK__" hidden="1">{"fdsup://IBCentral/FAT Viewer?action=UPDATE&amp;creator=factset&amp;DOC_NAME=fat:reuters_annual_source_window.fat&amp;display_string=Audit&amp;DYN_ARGS=TRUE&amp;VAR:ID1=80660510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434__FDSAUDITLINK__" localSheetId="10" hidden="1">{"fdsup://IBCentral/FAT Viewer?action=UPDATE&amp;creator=factset&amp;DOC_NAME=fat:reuters_annual_source_window.fat&amp;display_string=Audit&amp;DYN_ARGS=TRUE&amp;VAR:ID1=71708110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34__FDSAUDITLINK__" localSheetId="9" hidden="1">{"fdsup://IBCentral/FAT Viewer?action=UPDATE&amp;creator=factset&amp;DOC_NAME=fat:reuters_annual_source_window.fat&amp;display_string=Audit&amp;DYN_ARGS=TRUE&amp;VAR:ID1=71708110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34__FDSAUDITLINK__" hidden="1">{"fdsup://IBCentral/FAT Viewer?action=UPDATE&amp;creator=factset&amp;DOC_NAME=fat:reuters_annual_source_window.fat&amp;display_string=Audit&amp;DYN_ARGS=TRUE&amp;VAR:ID1=71708110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35__FDSAUDITLINK__" localSheetId="10" hidden="1">{"fdsup://IBCentral/FAT Viewer?action=UPDATE&amp;creator=factset&amp;DOC_NAME=fat:reuters_annual_source_window.fat&amp;display_string=Audit&amp;DYN_ARGS=TRUE&amp;VAR:ID1=71708110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435__FDSAUDITLINK__" localSheetId="9" hidden="1">{"fdsup://IBCentral/FAT Viewer?action=UPDATE&amp;creator=factset&amp;DOC_NAME=fat:reuters_annual_source_window.fat&amp;display_string=Audit&amp;DYN_ARGS=TRUE&amp;VAR:ID1=71708110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435__FDSAUDITLINK__" hidden="1">{"fdsup://IBCentral/FAT Viewer?action=UPDATE&amp;creator=factset&amp;DOC_NAME=fat:reuters_annual_source_window.fat&amp;display_string=Audit&amp;DYN_ARGS=TRUE&amp;VAR:ID1=71708110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436__FDSAUDITLINK__" localSheetId="10" hidden="1">{"fdsup://IBCentral/FAT Viewer?action=UPDATE&amp;creator=factset&amp;DOC_NAME=fat:reuters_annual_source_window.fat&amp;display_string=Audit&amp;DYN_ARGS=TRUE&amp;VAR:ID1=71708110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36__FDSAUDITLINK__" localSheetId="9" hidden="1">{"fdsup://IBCentral/FAT Viewer?action=UPDATE&amp;creator=factset&amp;DOC_NAME=fat:reuters_annual_source_window.fat&amp;display_string=Audit&amp;DYN_ARGS=TRUE&amp;VAR:ID1=71708110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36__FDSAUDITLINK__" hidden="1">{"fdsup://IBCentral/FAT Viewer?action=UPDATE&amp;creator=factset&amp;DOC_NAME=fat:reuters_annual_source_window.fat&amp;display_string=Audit&amp;DYN_ARGS=TRUE&amp;VAR:ID1=71708110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37__FDSAUDITLINK__" localSheetId="10" hidden="1">{"fdsup://IBCentral/FAT Viewer?action=UPDATE&amp;creator=factset&amp;DOC_NAME=fat:reuters_annual_source_window.fat&amp;display_string=Audit&amp;DYN_ARGS=TRUE&amp;VAR:ID1=71708110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37__FDSAUDITLINK__" localSheetId="9" hidden="1">{"fdsup://IBCentral/FAT Viewer?action=UPDATE&amp;creator=factset&amp;DOC_NAME=fat:reuters_annual_source_window.fat&amp;display_string=Audit&amp;DYN_ARGS=TRUE&amp;VAR:ID1=71708110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37__FDSAUDITLINK__" hidden="1">{"fdsup://IBCentral/FAT Viewer?action=UPDATE&amp;creator=factset&amp;DOC_NAME=fat:reuters_annual_source_window.fat&amp;display_string=Audit&amp;DYN_ARGS=TRUE&amp;VAR:ID1=71708110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38__FDSAUDITLINK__" localSheetId="10" hidden="1">{"fdsup://IBCentral/FAT Viewer?action=UPDATE&amp;creator=factset&amp;DOC_NAME=fat:reuters_annual_source_window.fat&amp;display_string=Audit&amp;DYN_ARGS=TRUE&amp;VAR:ID1=71708110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38__FDSAUDITLINK__" localSheetId="9" hidden="1">{"fdsup://IBCentral/FAT Viewer?action=UPDATE&amp;creator=factset&amp;DOC_NAME=fat:reuters_annual_source_window.fat&amp;display_string=Audit&amp;DYN_ARGS=TRUE&amp;VAR:ID1=71708110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38__FDSAUDITLINK__" hidden="1">{"fdsup://IBCentral/FAT Viewer?action=UPDATE&amp;creator=factset&amp;DOC_NAME=fat:reuters_annual_source_window.fat&amp;display_string=Audit&amp;DYN_ARGS=TRUE&amp;VAR:ID1=71708110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39__FDSAUDITLINK__" localSheetId="10" hidden="1">{"fdsup://IBCentral/FAT Viewer?action=UPDATE&amp;creator=factset&amp;DOC_NAME=fat:reuters_annual_source_window.fat&amp;display_string=Audit&amp;DYN_ARGS=TRUE&amp;VAR:ID1=71708110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39__FDSAUDITLINK__" localSheetId="9" hidden="1">{"fdsup://IBCentral/FAT Viewer?action=UPDATE&amp;creator=factset&amp;DOC_NAME=fat:reuters_annual_source_window.fat&amp;display_string=Audit&amp;DYN_ARGS=TRUE&amp;VAR:ID1=71708110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39__FDSAUDITLINK__" hidden="1">{"fdsup://IBCentral/FAT Viewer?action=UPDATE&amp;creator=factset&amp;DOC_NAME=fat:reuters_annual_source_window.fat&amp;display_string=Audit&amp;DYN_ARGS=TRUE&amp;VAR:ID1=71708110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3A3_" localSheetId="10" hidden="1">{#N/A,#N/A,FALSE,"단축1";#N/A,#N/A,FALSE,"단축2";#N/A,#N/A,FALSE,"단축3";#N/A,#N/A,FALSE,"장축";#N/A,#N/A,FALSE,"4WD"}</definedName>
    <definedName name="_43A3_" localSheetId="9" hidden="1">{#N/A,#N/A,FALSE,"단축1";#N/A,#N/A,FALSE,"단축2";#N/A,#N/A,FALSE,"단축3";#N/A,#N/A,FALSE,"장축";#N/A,#N/A,FALSE,"4WD"}</definedName>
    <definedName name="_43A3_" hidden="1">{#N/A,#N/A,FALSE,"단축1";#N/A,#N/A,FALSE,"단축2";#N/A,#N/A,FALSE,"단축3";#N/A,#N/A,FALSE,"장축";#N/A,#N/A,FALSE,"4WD"}</definedName>
    <definedName name="_44__FDSAUDITLINK__" localSheetId="10" hidden="1">{"fdsup://IBCentral/FAT Viewer?action=UPDATE&amp;creator=factset&amp;DOC_NAME=fat:reuters_annual_source_window.fat&amp;display_string=Audit&amp;DYN_ARGS=TRUE&amp;VAR:ID1=53245710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44__FDSAUDITLINK__" localSheetId="9" hidden="1">{"fdsup://IBCentral/FAT Viewer?action=UPDATE&amp;creator=factset&amp;DOC_NAME=fat:reuters_annual_source_window.fat&amp;display_string=Audit&amp;DYN_ARGS=TRUE&amp;VAR:ID1=53245710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44__FDSAUDITLINK__" hidden="1">{"fdsup://IBCentral/FAT Viewer?action=UPDATE&amp;creator=factset&amp;DOC_NAME=fat:reuters_annual_source_window.fat&amp;display_string=Audit&amp;DYN_ARGS=TRUE&amp;VAR:ID1=53245710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440__FDSAUDITLINK__" localSheetId="10" hidden="1">{"fdsup://IBCentral/FAT Viewer?action=UPDATE&amp;creator=factset&amp;DOC_NAME=fat:reuters_annual_source_window.fat&amp;display_string=Audit&amp;DYN_ARGS=TRUE&amp;VAR:ID1=71708110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440__FDSAUDITLINK__" localSheetId="9" hidden="1">{"fdsup://IBCentral/FAT Viewer?action=UPDATE&amp;creator=factset&amp;DOC_NAME=fat:reuters_annual_source_window.fat&amp;display_string=Audit&amp;DYN_ARGS=TRUE&amp;VAR:ID1=71708110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440__FDSAUDITLINK__" hidden="1">{"fdsup://IBCentral/FAT Viewer?action=UPDATE&amp;creator=factset&amp;DOC_NAME=fat:reuters_annual_source_window.fat&amp;display_string=Audit&amp;DYN_ARGS=TRUE&amp;VAR:ID1=71708110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441__FDSAUDITLINK__" localSheetId="10" hidden="1">{"fdsup://IBCentral/FAT Viewer?action=UPDATE&amp;creator=factset&amp;DOC_NAME=fat:reuters_annual_source_window.fat&amp;display_string=Audit&amp;DYN_ARGS=TRUE&amp;VAR:ID1=71708110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41__FDSAUDITLINK__" localSheetId="9" hidden="1">{"fdsup://IBCentral/FAT Viewer?action=UPDATE&amp;creator=factset&amp;DOC_NAME=fat:reuters_annual_source_window.fat&amp;display_string=Audit&amp;DYN_ARGS=TRUE&amp;VAR:ID1=71708110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41__FDSAUDITLINK__" hidden="1">{"fdsup://IBCentral/FAT Viewer?action=UPDATE&amp;creator=factset&amp;DOC_NAME=fat:reuters_annual_source_window.fat&amp;display_string=Audit&amp;DYN_ARGS=TRUE&amp;VAR:ID1=71708110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42__FDSAUDITLINK__" localSheetId="10" hidden="1">{"fdsup://IBCentral/FAT Viewer?action=UPDATE&amp;creator=factset&amp;DOC_NAME=fat:reuters_annual_source_window.fat&amp;display_string=Audit&amp;DYN_ARGS=TRUE&amp;VAR:ID1=71708110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442__FDSAUDITLINK__" localSheetId="9" hidden="1">{"fdsup://IBCentral/FAT Viewer?action=UPDATE&amp;creator=factset&amp;DOC_NAME=fat:reuters_annual_source_window.fat&amp;display_string=Audit&amp;DYN_ARGS=TRUE&amp;VAR:ID1=71708110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442__FDSAUDITLINK__" hidden="1">{"fdsup://IBCentral/FAT Viewer?action=UPDATE&amp;creator=factset&amp;DOC_NAME=fat:reuters_annual_source_window.fat&amp;display_string=Audit&amp;DYN_ARGS=TRUE&amp;VAR:ID1=71708110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443__FDSAUDITLINK__" localSheetId="10" hidden="1">{"fdsup://IBCentral/FAT Viewer?action=UPDATE&amp;creator=factset&amp;DOC_NAME=fat:reuters_annual_source_window.fat&amp;display_string=Audit&amp;DYN_ARGS=TRUE&amp;VAR:ID1=58933110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43__FDSAUDITLINK__" localSheetId="9" hidden="1">{"fdsup://IBCentral/FAT Viewer?action=UPDATE&amp;creator=factset&amp;DOC_NAME=fat:reuters_annual_source_window.fat&amp;display_string=Audit&amp;DYN_ARGS=TRUE&amp;VAR:ID1=58933110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43__FDSAUDITLINK__" hidden="1">{"fdsup://IBCentral/FAT Viewer?action=UPDATE&amp;creator=factset&amp;DOC_NAME=fat:reuters_annual_source_window.fat&amp;display_string=Audit&amp;DYN_ARGS=TRUE&amp;VAR:ID1=58933110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44__FDSAUDITLINK__" localSheetId="10" hidden="1">{"fdsup://IBCentral/FAT Viewer?action=UPDATE&amp;creator=factset&amp;DOC_NAME=fat:reuters_annual_source_window.fat&amp;display_string=Audit&amp;DYN_ARGS=TRUE&amp;VAR:ID1=58933110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444__FDSAUDITLINK__" localSheetId="9" hidden="1">{"fdsup://IBCentral/FAT Viewer?action=UPDATE&amp;creator=factset&amp;DOC_NAME=fat:reuters_annual_source_window.fat&amp;display_string=Audit&amp;DYN_ARGS=TRUE&amp;VAR:ID1=58933110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444__FDSAUDITLINK__" hidden="1">{"fdsup://IBCentral/FAT Viewer?action=UPDATE&amp;creator=factset&amp;DOC_NAME=fat:reuters_annual_source_window.fat&amp;display_string=Audit&amp;DYN_ARGS=TRUE&amp;VAR:ID1=58933110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445__FDSAUDITLINK__" localSheetId="10" hidden="1">{"fdsup://IBCentral/FAT Viewer?action=UPDATE&amp;creator=factset&amp;DOC_NAME=fat:reuters_annual_source_window.fat&amp;display_string=Audit&amp;DYN_ARGS=TRUE&amp;VAR:ID1=58933110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45__FDSAUDITLINK__" localSheetId="9" hidden="1">{"fdsup://IBCentral/FAT Viewer?action=UPDATE&amp;creator=factset&amp;DOC_NAME=fat:reuters_annual_source_window.fat&amp;display_string=Audit&amp;DYN_ARGS=TRUE&amp;VAR:ID1=58933110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45__FDSAUDITLINK__" hidden="1">{"fdsup://IBCentral/FAT Viewer?action=UPDATE&amp;creator=factset&amp;DOC_NAME=fat:reuters_annual_source_window.fat&amp;display_string=Audit&amp;DYN_ARGS=TRUE&amp;VAR:ID1=58933110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46__FDSAUDITLINK__" localSheetId="10" hidden="1">{"fdsup://IBCentral/FAT Viewer?action=UPDATE&amp;creator=factset&amp;DOC_NAME=fat:reuters_annual_source_window.fat&amp;display_string=Audit&amp;DYN_ARGS=TRUE&amp;VAR:ID1=58933110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46__FDSAUDITLINK__" localSheetId="9" hidden="1">{"fdsup://IBCentral/FAT Viewer?action=UPDATE&amp;creator=factset&amp;DOC_NAME=fat:reuters_annual_source_window.fat&amp;display_string=Audit&amp;DYN_ARGS=TRUE&amp;VAR:ID1=58933110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46__FDSAUDITLINK__" hidden="1">{"fdsup://IBCentral/FAT Viewer?action=UPDATE&amp;creator=factset&amp;DOC_NAME=fat:reuters_annual_source_window.fat&amp;display_string=Audit&amp;DYN_ARGS=TRUE&amp;VAR:ID1=58933110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47__FDSAUDITLINK__" localSheetId="10" hidden="1">{"fdsup://IBCentral/FAT Viewer?action=UPDATE&amp;creator=factset&amp;DOC_NAME=fat:reuters_annual_source_window.fat&amp;display_string=Audit&amp;DYN_ARGS=TRUE&amp;VAR:ID1=58933110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47__FDSAUDITLINK__" localSheetId="9" hidden="1">{"fdsup://IBCentral/FAT Viewer?action=UPDATE&amp;creator=factset&amp;DOC_NAME=fat:reuters_annual_source_window.fat&amp;display_string=Audit&amp;DYN_ARGS=TRUE&amp;VAR:ID1=58933110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47__FDSAUDITLINK__" hidden="1">{"fdsup://IBCentral/FAT Viewer?action=UPDATE&amp;creator=factset&amp;DOC_NAME=fat:reuters_annual_source_window.fat&amp;display_string=Audit&amp;DYN_ARGS=TRUE&amp;VAR:ID1=58933110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48__FDSAUDITLINK__" localSheetId="10" hidden="1">{"fdsup://IBCentral/FAT Viewer?action=UPDATE&amp;creator=factset&amp;DOC_NAME=fat:reuters_annual_source_window.fat&amp;display_string=Audit&amp;DYN_ARGS=TRUE&amp;VAR:ID1=58933110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48__FDSAUDITLINK__" localSheetId="9" hidden="1">{"fdsup://IBCentral/FAT Viewer?action=UPDATE&amp;creator=factset&amp;DOC_NAME=fat:reuters_annual_source_window.fat&amp;display_string=Audit&amp;DYN_ARGS=TRUE&amp;VAR:ID1=58933110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48__FDSAUDITLINK__" hidden="1">{"fdsup://IBCentral/FAT Viewer?action=UPDATE&amp;creator=factset&amp;DOC_NAME=fat:reuters_annual_source_window.fat&amp;display_string=Audit&amp;DYN_ARGS=TRUE&amp;VAR:ID1=58933110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49__FDSAUDITLINK__" localSheetId="10" hidden="1">{"fdsup://IBCentral/FAT Viewer?action=UPDATE&amp;creator=factset&amp;DOC_NAME=fat:reuters_annual_source_window.fat&amp;display_string=Audit&amp;DYN_ARGS=TRUE&amp;VAR:ID1=58933110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449__FDSAUDITLINK__" localSheetId="9" hidden="1">{"fdsup://IBCentral/FAT Viewer?action=UPDATE&amp;creator=factset&amp;DOC_NAME=fat:reuters_annual_source_window.fat&amp;display_string=Audit&amp;DYN_ARGS=TRUE&amp;VAR:ID1=58933110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449__FDSAUDITLINK__" hidden="1">{"fdsup://IBCentral/FAT Viewer?action=UPDATE&amp;creator=factset&amp;DOC_NAME=fat:reuters_annual_source_window.fat&amp;display_string=Audit&amp;DYN_ARGS=TRUE&amp;VAR:ID1=58933110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45__FDSAUDITLINK__" localSheetId="10" hidden="1">{"fdsup://IBCentral/FAT Viewer?action=UPDATE&amp;creator=factset&amp;DOC_NAME=fat:reuters_annual_source_window.fat&amp;display_string=Audit&amp;DYN_ARGS=TRUE&amp;VAR:ID1=11012210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45__FDSAUDITLINK__" localSheetId="9" hidden="1">{"fdsup://IBCentral/FAT Viewer?action=UPDATE&amp;creator=factset&amp;DOC_NAME=fat:reuters_annual_source_window.fat&amp;display_string=Audit&amp;DYN_ARGS=TRUE&amp;VAR:ID1=11012210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45__FDSAUDITLINK__" hidden="1">{"fdsup://IBCentral/FAT Viewer?action=UPDATE&amp;creator=factset&amp;DOC_NAME=fat:reuters_annual_source_window.fat&amp;display_string=Audit&amp;DYN_ARGS=TRUE&amp;VAR:ID1=11012210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450__FDSAUDITLINK__" localSheetId="10" hidden="1">{"fdsup://IBCentral/FAT Viewer?action=UPDATE&amp;creator=factset&amp;DOC_NAME=fat:reuters_annual_source_window.fat&amp;display_string=Audit&amp;DYN_ARGS=TRUE&amp;VAR:ID1=58933110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50__FDSAUDITLINK__" localSheetId="9" hidden="1">{"fdsup://IBCentral/FAT Viewer?action=UPDATE&amp;creator=factset&amp;DOC_NAME=fat:reuters_annual_source_window.fat&amp;display_string=Audit&amp;DYN_ARGS=TRUE&amp;VAR:ID1=58933110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50__FDSAUDITLINK__" hidden="1">{"fdsup://IBCentral/FAT Viewer?action=UPDATE&amp;creator=factset&amp;DOC_NAME=fat:reuters_annual_source_window.fat&amp;display_string=Audit&amp;DYN_ARGS=TRUE&amp;VAR:ID1=58933110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51__FDSAUDITLINK__" localSheetId="10" hidden="1">{"fdsup://IBCentral/FAT Viewer?action=UPDATE&amp;creator=factset&amp;DOC_NAME=fat:reuters_annual_source_window.fat&amp;display_string=Audit&amp;DYN_ARGS=TRUE&amp;VAR:ID1=58933110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451__FDSAUDITLINK__" localSheetId="9" hidden="1">{"fdsup://IBCentral/FAT Viewer?action=UPDATE&amp;creator=factset&amp;DOC_NAME=fat:reuters_annual_source_window.fat&amp;display_string=Audit&amp;DYN_ARGS=TRUE&amp;VAR:ID1=58933110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451__FDSAUDITLINK__" hidden="1">{"fdsup://IBCentral/FAT Viewer?action=UPDATE&amp;creator=factset&amp;DOC_NAME=fat:reuters_annual_source_window.fat&amp;display_string=Audit&amp;DYN_ARGS=TRUE&amp;VAR:ID1=58933110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452__FDSAUDITLINK__" localSheetId="10" hidden="1">{"fdsup://IBCentral/FAT Viewer?action=UPDATE&amp;creator=factset&amp;DOC_NAME=fat:reuters_annual_source_window.fat&amp;display_string=Audit&amp;DYN_ARGS=TRUE&amp;VAR:ID1=53245710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52__FDSAUDITLINK__" localSheetId="9" hidden="1">{"fdsup://IBCentral/FAT Viewer?action=UPDATE&amp;creator=factset&amp;DOC_NAME=fat:reuters_annual_source_window.fat&amp;display_string=Audit&amp;DYN_ARGS=TRUE&amp;VAR:ID1=53245710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52__FDSAUDITLINK__" hidden="1">{"fdsup://IBCentral/FAT Viewer?action=UPDATE&amp;creator=factset&amp;DOC_NAME=fat:reuters_annual_source_window.fat&amp;display_string=Audit&amp;DYN_ARGS=TRUE&amp;VAR:ID1=53245710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53__FDSAUDITLINK__" localSheetId="10" hidden="1">{"fdsup://IBCentral/FAT Viewer?action=UPDATE&amp;creator=factset&amp;DOC_NAME=fat:reuters_annual_source_window.fat&amp;display_string=Audit&amp;DYN_ARGS=TRUE&amp;VAR:ID1=53245710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453__FDSAUDITLINK__" localSheetId="9" hidden="1">{"fdsup://IBCentral/FAT Viewer?action=UPDATE&amp;creator=factset&amp;DOC_NAME=fat:reuters_annual_source_window.fat&amp;display_string=Audit&amp;DYN_ARGS=TRUE&amp;VAR:ID1=53245710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453__FDSAUDITLINK__" hidden="1">{"fdsup://IBCentral/FAT Viewer?action=UPDATE&amp;creator=factset&amp;DOC_NAME=fat:reuters_annual_source_window.fat&amp;display_string=Audit&amp;DYN_ARGS=TRUE&amp;VAR:ID1=53245710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454__FDSAUDITLINK__" localSheetId="10" hidden="1">{"fdsup://IBCentral/FAT Viewer?action=UPDATE&amp;creator=factset&amp;DOC_NAME=fat:reuters_annual_source_window.fat&amp;display_string=Audit&amp;DYN_ARGS=TRUE&amp;VAR:ID1=53245710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54__FDSAUDITLINK__" localSheetId="9" hidden="1">{"fdsup://IBCentral/FAT Viewer?action=UPDATE&amp;creator=factset&amp;DOC_NAME=fat:reuters_annual_source_window.fat&amp;display_string=Audit&amp;DYN_ARGS=TRUE&amp;VAR:ID1=53245710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54__FDSAUDITLINK__" hidden="1">{"fdsup://IBCentral/FAT Viewer?action=UPDATE&amp;creator=factset&amp;DOC_NAME=fat:reuters_annual_source_window.fat&amp;display_string=Audit&amp;DYN_ARGS=TRUE&amp;VAR:ID1=53245710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55__FDSAUDITLINK__" localSheetId="10" hidden="1">{"fdsup://IBCentral/FAT Viewer?action=UPDATE&amp;creator=factset&amp;DOC_NAME=fat:reuters_annual_source_window.fat&amp;display_string=Audit&amp;DYN_ARGS=TRUE&amp;VAR:ID1=53245710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55__FDSAUDITLINK__" localSheetId="9" hidden="1">{"fdsup://IBCentral/FAT Viewer?action=UPDATE&amp;creator=factset&amp;DOC_NAME=fat:reuters_annual_source_window.fat&amp;display_string=Audit&amp;DYN_ARGS=TRUE&amp;VAR:ID1=53245710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55__FDSAUDITLINK__" hidden="1">{"fdsup://IBCentral/FAT Viewer?action=UPDATE&amp;creator=factset&amp;DOC_NAME=fat:reuters_annual_source_window.fat&amp;display_string=Audit&amp;DYN_ARGS=TRUE&amp;VAR:ID1=53245710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56__FDSAUDITLINK__" localSheetId="10" hidden="1">{"fdsup://IBCentral/FAT Viewer?action=UPDATE&amp;creator=factset&amp;DOC_NAME=fat:reuters_annual_source_window.fat&amp;display_string=Audit&amp;DYN_ARGS=TRUE&amp;VAR:ID1=53245710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56__FDSAUDITLINK__" localSheetId="9" hidden="1">{"fdsup://IBCentral/FAT Viewer?action=UPDATE&amp;creator=factset&amp;DOC_NAME=fat:reuters_annual_source_window.fat&amp;display_string=Audit&amp;DYN_ARGS=TRUE&amp;VAR:ID1=53245710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56__FDSAUDITLINK__" hidden="1">{"fdsup://IBCentral/FAT Viewer?action=UPDATE&amp;creator=factset&amp;DOC_NAME=fat:reuters_annual_source_window.fat&amp;display_string=Audit&amp;DYN_ARGS=TRUE&amp;VAR:ID1=53245710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57__FDSAUDITLINK__" localSheetId="10" hidden="1">{"fdsup://IBCentral/FAT Viewer?action=UPDATE&amp;creator=factset&amp;DOC_NAME=fat:reuters_annual_source_window.fat&amp;display_string=Audit&amp;DYN_ARGS=TRUE&amp;VAR:ID1=53245710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57__FDSAUDITLINK__" localSheetId="9" hidden="1">{"fdsup://IBCentral/FAT Viewer?action=UPDATE&amp;creator=factset&amp;DOC_NAME=fat:reuters_annual_source_window.fat&amp;display_string=Audit&amp;DYN_ARGS=TRUE&amp;VAR:ID1=53245710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57__FDSAUDITLINK__" hidden="1">{"fdsup://IBCentral/FAT Viewer?action=UPDATE&amp;creator=factset&amp;DOC_NAME=fat:reuters_annual_source_window.fat&amp;display_string=Audit&amp;DYN_ARGS=TRUE&amp;VAR:ID1=53245710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58__FDSAUDITLINK__" localSheetId="10" hidden="1">{"fdsup://IBCentral/FAT Viewer?action=UPDATE&amp;creator=factset&amp;DOC_NAME=fat:reuters_annual_source_window.fat&amp;display_string=Audit&amp;DYN_ARGS=TRUE&amp;VAR:ID1=53245710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458__FDSAUDITLINK__" localSheetId="9" hidden="1">{"fdsup://IBCentral/FAT Viewer?action=UPDATE&amp;creator=factset&amp;DOC_NAME=fat:reuters_annual_source_window.fat&amp;display_string=Audit&amp;DYN_ARGS=TRUE&amp;VAR:ID1=53245710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458__FDSAUDITLINK__" hidden="1">{"fdsup://IBCentral/FAT Viewer?action=UPDATE&amp;creator=factset&amp;DOC_NAME=fat:reuters_annual_source_window.fat&amp;display_string=Audit&amp;DYN_ARGS=TRUE&amp;VAR:ID1=53245710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459__FDSAUDITLINK__" localSheetId="10" hidden="1">{"fdsup://IBCentral/FAT Viewer?action=UPDATE&amp;creator=factset&amp;DOC_NAME=fat:reuters_annual_source_window.fat&amp;display_string=Audit&amp;DYN_ARGS=TRUE&amp;VAR:ID1=53245710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59__FDSAUDITLINK__" localSheetId="9" hidden="1">{"fdsup://IBCentral/FAT Viewer?action=UPDATE&amp;creator=factset&amp;DOC_NAME=fat:reuters_annual_source_window.fat&amp;display_string=Audit&amp;DYN_ARGS=TRUE&amp;VAR:ID1=53245710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59__FDSAUDITLINK__" hidden="1">{"fdsup://IBCentral/FAT Viewer?action=UPDATE&amp;creator=factset&amp;DOC_NAME=fat:reuters_annual_source_window.fat&amp;display_string=Audit&amp;DYN_ARGS=TRUE&amp;VAR:ID1=53245710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6__FDSAUDITLINK__" localSheetId="10" hidden="1">{"fdsup://IBCentral/FAT Viewer?action=UPDATE&amp;creator=factset&amp;DOC_NAME=fat:reuters_annual_source_window.fat&amp;display_string=Audit&amp;DYN_ARGS=TRUE&amp;VAR:ID1=11012210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6__FDSAUDITLINK__" localSheetId="9" hidden="1">{"fdsup://IBCentral/FAT Viewer?action=UPDATE&amp;creator=factset&amp;DOC_NAME=fat:reuters_annual_source_window.fat&amp;display_string=Audit&amp;DYN_ARGS=TRUE&amp;VAR:ID1=11012210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6__FDSAUDITLINK__" hidden="1">{"fdsup://IBCentral/FAT Viewer?action=UPDATE&amp;creator=factset&amp;DOC_NAME=fat:reuters_annual_source_window.fat&amp;display_string=Audit&amp;DYN_ARGS=TRUE&amp;VAR:ID1=11012210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60__FDSAUDITLINK__" localSheetId="10" hidden="1">{"fdsup://IBCentral/FAT Viewer?action=UPDATE&amp;creator=factset&amp;DOC_NAME=fat:reuters_annual_source_window.fat&amp;display_string=Audit&amp;DYN_ARGS=TRUE&amp;VAR:ID1=53245710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460__FDSAUDITLINK__" localSheetId="9" hidden="1">{"fdsup://IBCentral/FAT Viewer?action=UPDATE&amp;creator=factset&amp;DOC_NAME=fat:reuters_annual_source_window.fat&amp;display_string=Audit&amp;DYN_ARGS=TRUE&amp;VAR:ID1=53245710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460__FDSAUDITLINK__" hidden="1">{"fdsup://IBCentral/FAT Viewer?action=UPDATE&amp;creator=factset&amp;DOC_NAME=fat:reuters_annual_source_window.fat&amp;display_string=Audit&amp;DYN_ARGS=TRUE&amp;VAR:ID1=53245710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461__FDSAUDITLINK__" localSheetId="10" hidden="1">{"fdsup://IBCentral/FAT Viewer?action=UPDATE&amp;creator=factset&amp;DOC_NAME=fat:reuters_annual_source_window.fat&amp;display_string=Audit&amp;DYN_ARGS=TRUE&amp;VAR:ID1=11012210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61__FDSAUDITLINK__" localSheetId="9" hidden="1">{"fdsup://IBCentral/FAT Viewer?action=UPDATE&amp;creator=factset&amp;DOC_NAME=fat:reuters_annual_source_window.fat&amp;display_string=Audit&amp;DYN_ARGS=TRUE&amp;VAR:ID1=11012210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61__FDSAUDITLINK__" hidden="1">{"fdsup://IBCentral/FAT Viewer?action=UPDATE&amp;creator=factset&amp;DOC_NAME=fat:reuters_annual_source_window.fat&amp;display_string=Audit&amp;DYN_ARGS=TRUE&amp;VAR:ID1=11012210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62__FDSAUDITLINK__" localSheetId="10" hidden="1">{"fdsup://IBCentral/FAT Viewer?action=UPDATE&amp;creator=factset&amp;DOC_NAME=fat:reuters_annual_source_window.fat&amp;display_string=Audit&amp;DYN_ARGS=TRUE&amp;VAR:ID1=11012210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462__FDSAUDITLINK__" localSheetId="9" hidden="1">{"fdsup://IBCentral/FAT Viewer?action=UPDATE&amp;creator=factset&amp;DOC_NAME=fat:reuters_annual_source_window.fat&amp;display_string=Audit&amp;DYN_ARGS=TRUE&amp;VAR:ID1=11012210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462__FDSAUDITLINK__" hidden="1">{"fdsup://IBCentral/FAT Viewer?action=UPDATE&amp;creator=factset&amp;DOC_NAME=fat:reuters_annual_source_window.fat&amp;display_string=Audit&amp;DYN_ARGS=TRUE&amp;VAR:ID1=11012210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463__FDSAUDITLINK__" localSheetId="10" hidden="1">{"fdsup://IBCentral/FAT Viewer?action=UPDATE&amp;creator=factset&amp;DOC_NAME=fat:reuters_annual_source_window.fat&amp;display_string=Audit&amp;DYN_ARGS=TRUE&amp;VAR:ID1=11012210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63__FDSAUDITLINK__" localSheetId="9" hidden="1">{"fdsup://IBCentral/FAT Viewer?action=UPDATE&amp;creator=factset&amp;DOC_NAME=fat:reuters_annual_source_window.fat&amp;display_string=Audit&amp;DYN_ARGS=TRUE&amp;VAR:ID1=11012210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63__FDSAUDITLINK__" hidden="1">{"fdsup://IBCentral/FAT Viewer?action=UPDATE&amp;creator=factset&amp;DOC_NAME=fat:reuters_annual_source_window.fat&amp;display_string=Audit&amp;DYN_ARGS=TRUE&amp;VAR:ID1=11012210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64__FDSAUDITLINK__" localSheetId="10" hidden="1">{"fdsup://IBCentral/FAT Viewer?action=UPDATE&amp;creator=factset&amp;DOC_NAME=fat:reuters_annual_source_window.fat&amp;display_string=Audit&amp;DYN_ARGS=TRUE&amp;VAR:ID1=11012210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64__FDSAUDITLINK__" localSheetId="9" hidden="1">{"fdsup://IBCentral/FAT Viewer?action=UPDATE&amp;creator=factset&amp;DOC_NAME=fat:reuters_annual_source_window.fat&amp;display_string=Audit&amp;DYN_ARGS=TRUE&amp;VAR:ID1=11012210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64__FDSAUDITLINK__" hidden="1">{"fdsup://IBCentral/FAT Viewer?action=UPDATE&amp;creator=factset&amp;DOC_NAME=fat:reuters_annual_source_window.fat&amp;display_string=Audit&amp;DYN_ARGS=TRUE&amp;VAR:ID1=11012210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65__FDSAUDITLINK__" localSheetId="10" hidden="1">{"fdsup://IBCentral/FAT Viewer?action=UPDATE&amp;creator=factset&amp;DOC_NAME=fat:reuters_annual_source_window.fat&amp;display_string=Audit&amp;DYN_ARGS=TRUE&amp;VAR:ID1=11012210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65__FDSAUDITLINK__" localSheetId="9" hidden="1">{"fdsup://IBCentral/FAT Viewer?action=UPDATE&amp;creator=factset&amp;DOC_NAME=fat:reuters_annual_source_window.fat&amp;display_string=Audit&amp;DYN_ARGS=TRUE&amp;VAR:ID1=11012210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65__FDSAUDITLINK__" hidden="1">{"fdsup://IBCentral/FAT Viewer?action=UPDATE&amp;creator=factset&amp;DOC_NAME=fat:reuters_annual_source_window.fat&amp;display_string=Audit&amp;DYN_ARGS=TRUE&amp;VAR:ID1=11012210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66__FDSAUDITLINK__" localSheetId="10" hidden="1">{"fdsup://IBCentral/FAT Viewer?action=UPDATE&amp;creator=factset&amp;DOC_NAME=fat:reuters_annual_source_window.fat&amp;display_string=Audit&amp;DYN_ARGS=TRUE&amp;VAR:ID1=11012210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66__FDSAUDITLINK__" localSheetId="9" hidden="1">{"fdsup://IBCentral/FAT Viewer?action=UPDATE&amp;creator=factset&amp;DOC_NAME=fat:reuters_annual_source_window.fat&amp;display_string=Audit&amp;DYN_ARGS=TRUE&amp;VAR:ID1=11012210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66__FDSAUDITLINK__" hidden="1">{"fdsup://IBCentral/FAT Viewer?action=UPDATE&amp;creator=factset&amp;DOC_NAME=fat:reuters_annual_source_window.fat&amp;display_string=Audit&amp;DYN_ARGS=TRUE&amp;VAR:ID1=11012210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67__FDSAUDITLINK__" localSheetId="10" hidden="1">{"fdsup://IBCentral/FAT Viewer?action=UPDATE&amp;creator=factset&amp;DOC_NAME=fat:reuters_annual_source_window.fat&amp;display_string=Audit&amp;DYN_ARGS=TRUE&amp;VAR:ID1=11012210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467__FDSAUDITLINK__" localSheetId="9" hidden="1">{"fdsup://IBCentral/FAT Viewer?action=UPDATE&amp;creator=factset&amp;DOC_NAME=fat:reuters_annual_source_window.fat&amp;display_string=Audit&amp;DYN_ARGS=TRUE&amp;VAR:ID1=11012210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467__FDSAUDITLINK__" hidden="1">{"fdsup://IBCentral/FAT Viewer?action=UPDATE&amp;creator=factset&amp;DOC_NAME=fat:reuters_annual_source_window.fat&amp;display_string=Audit&amp;DYN_ARGS=TRUE&amp;VAR:ID1=11012210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468__FDSAUDITLINK__" localSheetId="10" hidden="1">{"fdsup://IBCentral/FAT Viewer?action=UPDATE&amp;creator=factset&amp;DOC_NAME=fat:reuters_annual_source_window.fat&amp;display_string=Audit&amp;DYN_ARGS=TRUE&amp;VAR:ID1=11012210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68__FDSAUDITLINK__" localSheetId="9" hidden="1">{"fdsup://IBCentral/FAT Viewer?action=UPDATE&amp;creator=factset&amp;DOC_NAME=fat:reuters_annual_source_window.fat&amp;display_string=Audit&amp;DYN_ARGS=TRUE&amp;VAR:ID1=11012210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68__FDSAUDITLINK__" hidden="1">{"fdsup://IBCentral/FAT Viewer?action=UPDATE&amp;creator=factset&amp;DOC_NAME=fat:reuters_annual_source_window.fat&amp;display_string=Audit&amp;DYN_ARGS=TRUE&amp;VAR:ID1=11012210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69__FDSAUDITLINK__" localSheetId="10" hidden="1">{"fdsup://IBCentral/FAT Viewer?action=UPDATE&amp;creator=factset&amp;DOC_NAME=fat:reuters_annual_source_window.fat&amp;display_string=Audit&amp;DYN_ARGS=TRUE&amp;VAR:ID1=11012210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469__FDSAUDITLINK__" localSheetId="9" hidden="1">{"fdsup://IBCentral/FAT Viewer?action=UPDATE&amp;creator=factset&amp;DOC_NAME=fat:reuters_annual_source_window.fat&amp;display_string=Audit&amp;DYN_ARGS=TRUE&amp;VAR:ID1=11012210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469__FDSAUDITLINK__" hidden="1">{"fdsup://IBCentral/FAT Viewer?action=UPDATE&amp;creator=factset&amp;DOC_NAME=fat:reuters_annual_source_window.fat&amp;display_string=Audit&amp;DYN_ARGS=TRUE&amp;VAR:ID1=11012210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47__FDSAUDITLINK__" localSheetId="10" hidden="1">{"fdsup://IBCentral/FAT Viewer?action=UPDATE&amp;creator=factset&amp;DOC_NAME=fat:reuters_annual_source_window.fat&amp;display_string=Audit&amp;DYN_ARGS=TRUE&amp;VAR:ID1=11012210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47__FDSAUDITLINK__" localSheetId="9" hidden="1">{"fdsup://IBCentral/FAT Viewer?action=UPDATE&amp;creator=factset&amp;DOC_NAME=fat:reuters_annual_source_window.fat&amp;display_string=Audit&amp;DYN_ARGS=TRUE&amp;VAR:ID1=11012210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47__FDSAUDITLINK__" hidden="1">{"fdsup://IBCentral/FAT Viewer?action=UPDATE&amp;creator=factset&amp;DOC_NAME=fat:reuters_annual_source_window.fat&amp;display_string=Audit&amp;DYN_ARGS=TRUE&amp;VAR:ID1=11012210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470__FDSAUDITLINK__" localSheetId="10" hidden="1">{"fdsup://IBCentral/FAT Viewer?action=UPDATE&amp;creator=factset&amp;DOC_NAME=fat:reuters_annual_source_window.fat&amp;display_string=Audit&amp;DYN_ARGS=TRUE&amp;VAR:ID1=37291710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70__FDSAUDITLINK__" localSheetId="9" hidden="1">{"fdsup://IBCentral/FAT Viewer?action=UPDATE&amp;creator=factset&amp;DOC_NAME=fat:reuters_annual_source_window.fat&amp;display_string=Audit&amp;DYN_ARGS=TRUE&amp;VAR:ID1=37291710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70__FDSAUDITLINK__" hidden="1">{"fdsup://IBCentral/FAT Viewer?action=UPDATE&amp;creator=factset&amp;DOC_NAME=fat:reuters_annual_source_window.fat&amp;display_string=Audit&amp;DYN_ARGS=TRUE&amp;VAR:ID1=37291710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71__FDSAUDITLINK__" localSheetId="10" hidden="1">{"fdsup://IBCentral/FAT Viewer?action=UPDATE&amp;creator=factset&amp;DOC_NAME=fat:reuters_annual_source_window.fat&amp;display_string=Audit&amp;DYN_ARGS=TRUE&amp;VAR:ID1=37291710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471__FDSAUDITLINK__" localSheetId="9" hidden="1">{"fdsup://IBCentral/FAT Viewer?action=UPDATE&amp;creator=factset&amp;DOC_NAME=fat:reuters_annual_source_window.fat&amp;display_string=Audit&amp;DYN_ARGS=TRUE&amp;VAR:ID1=37291710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471__FDSAUDITLINK__" hidden="1">{"fdsup://IBCentral/FAT Viewer?action=UPDATE&amp;creator=factset&amp;DOC_NAME=fat:reuters_annual_source_window.fat&amp;display_string=Audit&amp;DYN_ARGS=TRUE&amp;VAR:ID1=37291710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472__FDSAUDITLINK__" localSheetId="10" hidden="1">{"fdsup://IBCentral/FAT Viewer?action=UPDATE&amp;creator=factset&amp;DOC_NAME=fat:reuters_annual_source_window.fat&amp;display_string=Audit&amp;DYN_ARGS=TRUE&amp;VAR:ID1=37291710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72__FDSAUDITLINK__" localSheetId="9" hidden="1">{"fdsup://IBCentral/FAT Viewer?action=UPDATE&amp;creator=factset&amp;DOC_NAME=fat:reuters_annual_source_window.fat&amp;display_string=Audit&amp;DYN_ARGS=TRUE&amp;VAR:ID1=37291710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72__FDSAUDITLINK__" hidden="1">{"fdsup://IBCentral/FAT Viewer?action=UPDATE&amp;creator=factset&amp;DOC_NAME=fat:reuters_annual_source_window.fat&amp;display_string=Audit&amp;DYN_ARGS=TRUE&amp;VAR:ID1=37291710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73__FDSAUDITLINK__" localSheetId="10" hidden="1">{"fdsup://IBCentral/FAT Viewer?action=UPDATE&amp;creator=factset&amp;DOC_NAME=fat:reuters_annual_source_window.fat&amp;display_string=Audit&amp;DYN_ARGS=TRUE&amp;VAR:ID1=37291710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73__FDSAUDITLINK__" localSheetId="9" hidden="1">{"fdsup://IBCentral/FAT Viewer?action=UPDATE&amp;creator=factset&amp;DOC_NAME=fat:reuters_annual_source_window.fat&amp;display_string=Audit&amp;DYN_ARGS=TRUE&amp;VAR:ID1=37291710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73__FDSAUDITLINK__" hidden="1">{"fdsup://IBCentral/FAT Viewer?action=UPDATE&amp;creator=factset&amp;DOC_NAME=fat:reuters_annual_source_window.fat&amp;display_string=Audit&amp;DYN_ARGS=TRUE&amp;VAR:ID1=37291710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74__FDSAUDITLINK__" localSheetId="10" hidden="1">{"fdsup://IBCentral/FAT Viewer?action=UPDATE&amp;creator=factset&amp;DOC_NAME=fat:reuters_annual_source_window.fat&amp;display_string=Audit&amp;DYN_ARGS=TRUE&amp;VAR:ID1=37291710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74__FDSAUDITLINK__" localSheetId="9" hidden="1">{"fdsup://IBCentral/FAT Viewer?action=UPDATE&amp;creator=factset&amp;DOC_NAME=fat:reuters_annual_source_window.fat&amp;display_string=Audit&amp;DYN_ARGS=TRUE&amp;VAR:ID1=37291710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74__FDSAUDITLINK__" hidden="1">{"fdsup://IBCentral/FAT Viewer?action=UPDATE&amp;creator=factset&amp;DOC_NAME=fat:reuters_annual_source_window.fat&amp;display_string=Audit&amp;DYN_ARGS=TRUE&amp;VAR:ID1=37291710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75__FDSAUDITLINK__" localSheetId="10" hidden="1">{"fdsup://IBCentral/FAT Viewer?action=UPDATE&amp;creator=factset&amp;DOC_NAME=fat:reuters_annual_source_window.fat&amp;display_string=Audit&amp;DYN_ARGS=TRUE&amp;VAR:ID1=37291710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75__FDSAUDITLINK__" localSheetId="9" hidden="1">{"fdsup://IBCentral/FAT Viewer?action=UPDATE&amp;creator=factset&amp;DOC_NAME=fat:reuters_annual_source_window.fat&amp;display_string=Audit&amp;DYN_ARGS=TRUE&amp;VAR:ID1=37291710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75__FDSAUDITLINK__" hidden="1">{"fdsup://IBCentral/FAT Viewer?action=UPDATE&amp;creator=factset&amp;DOC_NAME=fat:reuters_annual_source_window.fat&amp;display_string=Audit&amp;DYN_ARGS=TRUE&amp;VAR:ID1=37291710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76__FDSAUDITLINK__" localSheetId="10" hidden="1">{"fdsup://IBCentral/FAT Viewer?action=UPDATE&amp;creator=factset&amp;DOC_NAME=fat:reuters_annual_source_window.fat&amp;display_string=Audit&amp;DYN_ARGS=TRUE&amp;VAR:ID1=37291710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476__FDSAUDITLINK__" localSheetId="9" hidden="1">{"fdsup://IBCentral/FAT Viewer?action=UPDATE&amp;creator=factset&amp;DOC_NAME=fat:reuters_annual_source_window.fat&amp;display_string=Audit&amp;DYN_ARGS=TRUE&amp;VAR:ID1=37291710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476__FDSAUDITLINK__" hidden="1">{"fdsup://IBCentral/FAT Viewer?action=UPDATE&amp;creator=factset&amp;DOC_NAME=fat:reuters_annual_source_window.fat&amp;display_string=Audit&amp;DYN_ARGS=TRUE&amp;VAR:ID1=37291710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477__FDSAUDITLINK__" localSheetId="10" hidden="1">{"fdsup://IBCentral/FAT Viewer?action=UPDATE&amp;creator=factset&amp;DOC_NAME=fat:reuters_annual_source_window.fat&amp;display_string=Audit&amp;DYN_ARGS=TRUE&amp;VAR:ID1=37291710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77__FDSAUDITLINK__" localSheetId="9" hidden="1">{"fdsup://IBCentral/FAT Viewer?action=UPDATE&amp;creator=factset&amp;DOC_NAME=fat:reuters_annual_source_window.fat&amp;display_string=Audit&amp;DYN_ARGS=TRUE&amp;VAR:ID1=37291710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77__FDSAUDITLINK__" hidden="1">{"fdsup://IBCentral/FAT Viewer?action=UPDATE&amp;creator=factset&amp;DOC_NAME=fat:reuters_annual_source_window.fat&amp;display_string=Audit&amp;DYN_ARGS=TRUE&amp;VAR:ID1=37291710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78__FDSAUDITLINK__" localSheetId="10" hidden="1">{"fdsup://IBCentral/FAT Viewer?action=UPDATE&amp;creator=factset&amp;DOC_NAME=fat:reuters_annual_source_window.fat&amp;display_string=Audit&amp;DYN_ARGS=TRUE&amp;VAR:ID1=36871040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78__FDSAUDITLINK__" localSheetId="9" hidden="1">{"fdsup://IBCentral/FAT Viewer?action=UPDATE&amp;creator=factset&amp;DOC_NAME=fat:reuters_annual_source_window.fat&amp;display_string=Audit&amp;DYN_ARGS=TRUE&amp;VAR:ID1=36871040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78__FDSAUDITLINK__" hidden="1">{"fdsup://IBCentral/FAT Viewer?action=UPDATE&amp;creator=factset&amp;DOC_NAME=fat:reuters_annual_source_window.fat&amp;display_string=Audit&amp;DYN_ARGS=TRUE&amp;VAR:ID1=36871040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79__FDSAUDITLINK__" localSheetId="10" hidden="1">{"fdsup://IBCentral/FAT Viewer?action=UPDATE&amp;creator=factset&amp;DOC_NAME=fat:reuters_annual_source_window.fat&amp;display_string=Audit&amp;DYN_ARGS=TRUE&amp;VAR:ID1=36871040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479__FDSAUDITLINK__" localSheetId="9" hidden="1">{"fdsup://IBCentral/FAT Viewer?action=UPDATE&amp;creator=factset&amp;DOC_NAME=fat:reuters_annual_source_window.fat&amp;display_string=Audit&amp;DYN_ARGS=TRUE&amp;VAR:ID1=36871040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479__FDSAUDITLINK__" hidden="1">{"fdsup://IBCentral/FAT Viewer?action=UPDATE&amp;creator=factset&amp;DOC_NAME=fat:reuters_annual_source_window.fat&amp;display_string=Audit&amp;DYN_ARGS=TRUE&amp;VAR:ID1=36871040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48__FDSAUDITLINK__" localSheetId="10" hidden="1">{"fdsup://IBCentral/FAT Viewer?action=UPDATE&amp;creator=factset&amp;DOC_NAME=fat:reuters_annual_source_window.fat&amp;display_string=Audit&amp;DYN_ARGS=TRUE&amp;VAR:ID1=98302410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8__FDSAUDITLINK__" localSheetId="9" hidden="1">{"fdsup://IBCentral/FAT Viewer?action=UPDATE&amp;creator=factset&amp;DOC_NAME=fat:reuters_annual_source_window.fat&amp;display_string=Audit&amp;DYN_ARGS=TRUE&amp;VAR:ID1=98302410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8__FDSAUDITLINK__" hidden="1">{"fdsup://IBCentral/FAT Viewer?action=UPDATE&amp;creator=factset&amp;DOC_NAME=fat:reuters_annual_source_window.fat&amp;display_string=Audit&amp;DYN_ARGS=TRUE&amp;VAR:ID1=98302410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80__FDSAUDITLINK__" localSheetId="10" hidden="1">{"fdsup://IBCentral/FAT Viewer?action=UPDATE&amp;creator=factset&amp;DOC_NAME=fat:reuters_annual_source_window.fat&amp;display_string=Audit&amp;DYN_ARGS=TRUE&amp;VAR:ID1=36871040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80__FDSAUDITLINK__" localSheetId="9" hidden="1">{"fdsup://IBCentral/FAT Viewer?action=UPDATE&amp;creator=factset&amp;DOC_NAME=fat:reuters_annual_source_window.fat&amp;display_string=Audit&amp;DYN_ARGS=TRUE&amp;VAR:ID1=36871040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80__FDSAUDITLINK__" hidden="1">{"fdsup://IBCentral/FAT Viewer?action=UPDATE&amp;creator=factset&amp;DOC_NAME=fat:reuters_annual_source_window.fat&amp;display_string=Audit&amp;DYN_ARGS=TRUE&amp;VAR:ID1=36871040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81__FDSAUDITLINK__" localSheetId="10" hidden="1">{"fdsup://IBCentral/FAT Viewer?action=UPDATE&amp;creator=factset&amp;DOC_NAME=fat:reuters_annual_source_window.fat&amp;display_string=Audit&amp;DYN_ARGS=TRUE&amp;VAR:ID1=36871040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81__FDSAUDITLINK__" localSheetId="9" hidden="1">{"fdsup://IBCentral/FAT Viewer?action=UPDATE&amp;creator=factset&amp;DOC_NAME=fat:reuters_annual_source_window.fat&amp;display_string=Audit&amp;DYN_ARGS=TRUE&amp;VAR:ID1=36871040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81__FDSAUDITLINK__" hidden="1">{"fdsup://IBCentral/FAT Viewer?action=UPDATE&amp;creator=factset&amp;DOC_NAME=fat:reuters_annual_source_window.fat&amp;display_string=Audit&amp;DYN_ARGS=TRUE&amp;VAR:ID1=36871040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82__FDSAUDITLINK__" localSheetId="10" hidden="1">{"fdsup://IBCentral/FAT Viewer?action=UPDATE&amp;creator=factset&amp;DOC_NAME=fat:reuters_annual_source_window.fat&amp;display_string=Audit&amp;DYN_ARGS=TRUE&amp;VAR:ID1=36871040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82__FDSAUDITLINK__" localSheetId="9" hidden="1">{"fdsup://IBCentral/FAT Viewer?action=UPDATE&amp;creator=factset&amp;DOC_NAME=fat:reuters_annual_source_window.fat&amp;display_string=Audit&amp;DYN_ARGS=TRUE&amp;VAR:ID1=36871040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82__FDSAUDITLINK__" hidden="1">{"fdsup://IBCentral/FAT Viewer?action=UPDATE&amp;creator=factset&amp;DOC_NAME=fat:reuters_annual_source_window.fat&amp;display_string=Audit&amp;DYN_ARGS=TRUE&amp;VAR:ID1=36871040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83__FDSAUDITLINK__" localSheetId="10" hidden="1">{"fdsup://IBCentral/FAT Viewer?action=UPDATE&amp;creator=factset&amp;DOC_NAME=fat:reuters_annual_source_window.fat&amp;display_string=Audit&amp;DYN_ARGS=TRUE&amp;VAR:ID1=36871040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83__FDSAUDITLINK__" localSheetId="9" hidden="1">{"fdsup://IBCentral/FAT Viewer?action=UPDATE&amp;creator=factset&amp;DOC_NAME=fat:reuters_annual_source_window.fat&amp;display_string=Audit&amp;DYN_ARGS=TRUE&amp;VAR:ID1=36871040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83__FDSAUDITLINK__" hidden="1">{"fdsup://IBCentral/FAT Viewer?action=UPDATE&amp;creator=factset&amp;DOC_NAME=fat:reuters_annual_source_window.fat&amp;display_string=Audit&amp;DYN_ARGS=TRUE&amp;VAR:ID1=36871040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84__FDSAUDITLINK__" localSheetId="10" hidden="1">{"fdsup://IBCentral/FAT Viewer?action=UPDATE&amp;creator=factset&amp;DOC_NAME=fat:reuters_annual_source_window.fat&amp;display_string=Audit&amp;DYN_ARGS=TRUE&amp;VAR:ID1=36871040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484__FDSAUDITLINK__" localSheetId="9" hidden="1">{"fdsup://IBCentral/FAT Viewer?action=UPDATE&amp;creator=factset&amp;DOC_NAME=fat:reuters_annual_source_window.fat&amp;display_string=Audit&amp;DYN_ARGS=TRUE&amp;VAR:ID1=36871040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484__FDSAUDITLINK__" hidden="1">{"fdsup://IBCentral/FAT Viewer?action=UPDATE&amp;creator=factset&amp;DOC_NAME=fat:reuters_annual_source_window.fat&amp;display_string=Audit&amp;DYN_ARGS=TRUE&amp;VAR:ID1=36871040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485__FDSAUDITLINK__" localSheetId="10" hidden="1">{"fdsup://IBCentral/FAT Viewer?action=UPDATE&amp;creator=factset&amp;DOC_NAME=fat:reuters_annual_source_window.fat&amp;display_string=Audit&amp;DYN_ARGS=TRUE&amp;VAR:ID1=36871040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85__FDSAUDITLINK__" localSheetId="9" hidden="1">{"fdsup://IBCentral/FAT Viewer?action=UPDATE&amp;creator=factset&amp;DOC_NAME=fat:reuters_annual_source_window.fat&amp;display_string=Audit&amp;DYN_ARGS=TRUE&amp;VAR:ID1=36871040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85__FDSAUDITLINK__" hidden="1">{"fdsup://IBCentral/FAT Viewer?action=UPDATE&amp;creator=factset&amp;DOC_NAME=fat:reuters_annual_source_window.fat&amp;display_string=Audit&amp;DYN_ARGS=TRUE&amp;VAR:ID1=36871040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86__FDSAUDITLINK__" localSheetId="10" hidden="1">{"fdsup://IBCentral/FAT Viewer?action=UPDATE&amp;creator=factset&amp;DOC_NAME=fat:reuters_annual_source_window.fat&amp;display_string=Audit&amp;DYN_ARGS=TRUE&amp;VAR:ID1=36871040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486__FDSAUDITLINK__" localSheetId="9" hidden="1">{"fdsup://IBCentral/FAT Viewer?action=UPDATE&amp;creator=factset&amp;DOC_NAME=fat:reuters_annual_source_window.fat&amp;display_string=Audit&amp;DYN_ARGS=TRUE&amp;VAR:ID1=36871040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486__FDSAUDITLINK__" hidden="1">{"fdsup://IBCentral/FAT Viewer?action=UPDATE&amp;creator=factset&amp;DOC_NAME=fat:reuters_annual_source_window.fat&amp;display_string=Audit&amp;DYN_ARGS=TRUE&amp;VAR:ID1=36871040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487__FDSAUDITLINK__" localSheetId="10" hidden="1">{"fdsup://IBCentral/FAT Viewer?action=UPDATE&amp;creator=factset&amp;DOC_NAME=fat:reuters_annual_source_window.fat&amp;display_string=Audit&amp;DYN_ARGS=TRUE&amp;VAR:ID1=15102010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87__FDSAUDITLINK__" localSheetId="9" hidden="1">{"fdsup://IBCentral/FAT Viewer?action=UPDATE&amp;creator=factset&amp;DOC_NAME=fat:reuters_annual_source_window.fat&amp;display_string=Audit&amp;DYN_ARGS=TRUE&amp;VAR:ID1=15102010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87__FDSAUDITLINK__" hidden="1">{"fdsup://IBCentral/FAT Viewer?action=UPDATE&amp;creator=factset&amp;DOC_NAME=fat:reuters_annual_source_window.fat&amp;display_string=Audit&amp;DYN_ARGS=TRUE&amp;VAR:ID1=15102010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88__FDSAUDITLINK__" localSheetId="10" hidden="1">{"fdsup://IBCentral/FAT Viewer?action=UPDATE&amp;creator=factset&amp;DOC_NAME=fat:reuters_annual_source_window.fat&amp;display_string=Audit&amp;DYN_ARGS=TRUE&amp;VAR:ID1=15102010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488__FDSAUDITLINK__" localSheetId="9" hidden="1">{"fdsup://IBCentral/FAT Viewer?action=UPDATE&amp;creator=factset&amp;DOC_NAME=fat:reuters_annual_source_window.fat&amp;display_string=Audit&amp;DYN_ARGS=TRUE&amp;VAR:ID1=15102010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488__FDSAUDITLINK__" hidden="1">{"fdsup://IBCentral/FAT Viewer?action=UPDATE&amp;creator=factset&amp;DOC_NAME=fat:reuters_annual_source_window.fat&amp;display_string=Audit&amp;DYN_ARGS=TRUE&amp;VAR:ID1=15102010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489__FDSAUDITLINK__" localSheetId="10" hidden="1">{"fdsup://IBCentral/FAT Viewer?action=UPDATE&amp;creator=factset&amp;DOC_NAME=fat:reuters_annual_source_window.fat&amp;display_string=Audit&amp;DYN_ARGS=TRUE&amp;VAR:ID1=15102010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89__FDSAUDITLINK__" localSheetId="9" hidden="1">{"fdsup://IBCentral/FAT Viewer?action=UPDATE&amp;creator=factset&amp;DOC_NAME=fat:reuters_annual_source_window.fat&amp;display_string=Audit&amp;DYN_ARGS=TRUE&amp;VAR:ID1=15102010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89__FDSAUDITLINK__" hidden="1">{"fdsup://IBCentral/FAT Viewer?action=UPDATE&amp;creator=factset&amp;DOC_NAME=fat:reuters_annual_source_window.fat&amp;display_string=Audit&amp;DYN_ARGS=TRUE&amp;VAR:ID1=15102010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9__FDSAUDITLINK__" localSheetId="10" hidden="1">{"fdsup://IBCentral/FAT Viewer?action=UPDATE&amp;creator=factset&amp;DOC_NAME=fat:reuters_annual_source_window.fat&amp;display_string=Audit&amp;DYN_ARGS=TRUE&amp;VAR:ID1=98302410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9__FDSAUDITLINK__" localSheetId="9" hidden="1">{"fdsup://IBCentral/FAT Viewer?action=UPDATE&amp;creator=factset&amp;DOC_NAME=fat:reuters_annual_source_window.fat&amp;display_string=Audit&amp;DYN_ARGS=TRUE&amp;VAR:ID1=98302410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9__FDSAUDITLINK__" hidden="1">{"fdsup://IBCentral/FAT Viewer?action=UPDATE&amp;creator=factset&amp;DOC_NAME=fat:reuters_annual_source_window.fat&amp;display_string=Audit&amp;DYN_ARGS=TRUE&amp;VAR:ID1=98302410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90__FDSAUDITLINK__" localSheetId="10" hidden="1">{"fdsup://IBCentral/FAT Viewer?action=UPDATE&amp;creator=factset&amp;DOC_NAME=fat:reuters_annual_source_window.fat&amp;display_string=Audit&amp;DYN_ARGS=TRUE&amp;VAR:ID1=15102010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90__FDSAUDITLINK__" localSheetId="9" hidden="1">{"fdsup://IBCentral/FAT Viewer?action=UPDATE&amp;creator=factset&amp;DOC_NAME=fat:reuters_annual_source_window.fat&amp;display_string=Audit&amp;DYN_ARGS=TRUE&amp;VAR:ID1=15102010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90__FDSAUDITLINK__" hidden="1">{"fdsup://IBCentral/FAT Viewer?action=UPDATE&amp;creator=factset&amp;DOC_NAME=fat:reuters_annual_source_window.fat&amp;display_string=Audit&amp;DYN_ARGS=TRUE&amp;VAR:ID1=15102010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91__FDSAUDITLINK__" localSheetId="10" hidden="1">{"fdsup://IBCentral/FAT Viewer?action=UPDATE&amp;creator=factset&amp;DOC_NAME=fat:reuters_annual_source_window.fat&amp;display_string=Audit&amp;DYN_ARGS=TRUE&amp;VAR:ID1=15102010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91__FDSAUDITLINK__" localSheetId="9" hidden="1">{"fdsup://IBCentral/FAT Viewer?action=UPDATE&amp;creator=factset&amp;DOC_NAME=fat:reuters_annual_source_window.fat&amp;display_string=Audit&amp;DYN_ARGS=TRUE&amp;VAR:ID1=15102010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91__FDSAUDITLINK__" hidden="1">{"fdsup://IBCentral/FAT Viewer?action=UPDATE&amp;creator=factset&amp;DOC_NAME=fat:reuters_annual_source_window.fat&amp;display_string=Audit&amp;DYN_ARGS=TRUE&amp;VAR:ID1=15102010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92__FDSAUDITLINK__" localSheetId="10" hidden="1">{"fdsup://IBCentral/FAT Viewer?action=UPDATE&amp;creator=factset&amp;DOC_NAME=fat:reuters_annual_source_window.fat&amp;display_string=Audit&amp;DYN_ARGS=TRUE&amp;VAR:ID1=15102010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92__FDSAUDITLINK__" localSheetId="9" hidden="1">{"fdsup://IBCentral/FAT Viewer?action=UPDATE&amp;creator=factset&amp;DOC_NAME=fat:reuters_annual_source_window.fat&amp;display_string=Audit&amp;DYN_ARGS=TRUE&amp;VAR:ID1=15102010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92__FDSAUDITLINK__" hidden="1">{"fdsup://IBCentral/FAT Viewer?action=UPDATE&amp;creator=factset&amp;DOC_NAME=fat:reuters_annual_source_window.fat&amp;display_string=Audit&amp;DYN_ARGS=TRUE&amp;VAR:ID1=15102010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93__FDSAUDITLINK__" localSheetId="10" hidden="1">{"fdsup://IBCentral/FAT Viewer?action=UPDATE&amp;creator=factset&amp;DOC_NAME=fat:reuters_annual_source_window.fat&amp;display_string=Audit&amp;DYN_ARGS=TRUE&amp;VAR:ID1=15102010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493__FDSAUDITLINK__" localSheetId="9" hidden="1">{"fdsup://IBCentral/FAT Viewer?action=UPDATE&amp;creator=factset&amp;DOC_NAME=fat:reuters_annual_source_window.fat&amp;display_string=Audit&amp;DYN_ARGS=TRUE&amp;VAR:ID1=15102010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493__FDSAUDITLINK__" hidden="1">{"fdsup://IBCentral/FAT Viewer?action=UPDATE&amp;creator=factset&amp;DOC_NAME=fat:reuters_annual_source_window.fat&amp;display_string=Audit&amp;DYN_ARGS=TRUE&amp;VAR:ID1=15102010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494__FDSAUDITLINK__" localSheetId="10" hidden="1">{"fdsup://IBCentral/FAT Viewer?action=UPDATE&amp;creator=factset&amp;DOC_NAME=fat:reuters_annual_source_window.fat&amp;display_string=Audit&amp;DYN_ARGS=TRUE&amp;VAR:ID1=15102010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94__FDSAUDITLINK__" localSheetId="9" hidden="1">{"fdsup://IBCentral/FAT Viewer?action=UPDATE&amp;creator=factset&amp;DOC_NAME=fat:reuters_annual_source_window.fat&amp;display_string=Audit&amp;DYN_ARGS=TRUE&amp;VAR:ID1=15102010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94__FDSAUDITLINK__" hidden="1">{"fdsup://IBCentral/FAT Viewer?action=UPDATE&amp;creator=factset&amp;DOC_NAME=fat:reuters_annual_source_window.fat&amp;display_string=Audit&amp;DYN_ARGS=TRUE&amp;VAR:ID1=15102010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95__FDSAUDITLINK__" localSheetId="10" hidden="1">{"fdsup://IBCentral/FAT Viewer?action=UPDATE&amp;creator=factset&amp;DOC_NAME=fat:reuters_annual_source_window.fat&amp;display_string=Audit&amp;DYN_ARGS=TRUE&amp;VAR:ID1=15102010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495__FDSAUDITLINK__" localSheetId="9" hidden="1">{"fdsup://IBCentral/FAT Viewer?action=UPDATE&amp;creator=factset&amp;DOC_NAME=fat:reuters_annual_source_window.fat&amp;display_string=Audit&amp;DYN_ARGS=TRUE&amp;VAR:ID1=15102010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495__FDSAUDITLINK__" hidden="1">{"fdsup://IBCentral/FAT Viewer?action=UPDATE&amp;creator=factset&amp;DOC_NAME=fat:reuters_annual_source_window.fat&amp;display_string=Audit&amp;DYN_ARGS=TRUE&amp;VAR:ID1=15102010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496__FDSAUDITLINK__" localSheetId="10" hidden="1">{"fdsup://IBCentral/FAT Viewer?action=UPDATE&amp;creator=factset&amp;DOC_NAME=fat:reuters_annual_source_window.fat&amp;display_string=Audit&amp;DYN_ARGS=TRUE&amp;VAR:ID1=09062X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96__FDSAUDITLINK__" localSheetId="9" hidden="1">{"fdsup://IBCentral/FAT Viewer?action=UPDATE&amp;creator=factset&amp;DOC_NAME=fat:reuters_annual_source_window.fat&amp;display_string=Audit&amp;DYN_ARGS=TRUE&amp;VAR:ID1=09062X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96__FDSAUDITLINK__" hidden="1">{"fdsup://IBCentral/FAT Viewer?action=UPDATE&amp;creator=factset&amp;DOC_NAME=fat:reuters_annual_source_window.fat&amp;display_string=Audit&amp;DYN_ARGS=TRUE&amp;VAR:ID1=09062X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97__FDSAUDITLINK__" localSheetId="10" hidden="1">{"fdsup://IBCentral/FAT Viewer?action=UPDATE&amp;creator=factset&amp;DOC_NAME=fat:reuters_annual_source_window.fat&amp;display_string=Audit&amp;DYN_ARGS=TRUE&amp;VAR:ID1=09062X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497__FDSAUDITLINK__" localSheetId="9" hidden="1">{"fdsup://IBCentral/FAT Viewer?action=UPDATE&amp;creator=factset&amp;DOC_NAME=fat:reuters_annual_source_window.fat&amp;display_string=Audit&amp;DYN_ARGS=TRUE&amp;VAR:ID1=09062X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497__FDSAUDITLINK__" hidden="1">{"fdsup://IBCentral/FAT Viewer?action=UPDATE&amp;creator=factset&amp;DOC_NAME=fat:reuters_annual_source_window.fat&amp;display_string=Audit&amp;DYN_ARGS=TRUE&amp;VAR:ID1=09062X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498__FDSAUDITLINK__" localSheetId="10" hidden="1">{"fdsup://IBCentral/FAT Viewer?action=UPDATE&amp;creator=factset&amp;DOC_NAME=fat:reuters_annual_source_window.fat&amp;display_string=Audit&amp;DYN_ARGS=TRUE&amp;VAR:ID1=09062X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98__FDSAUDITLINK__" localSheetId="9" hidden="1">{"fdsup://IBCentral/FAT Viewer?action=UPDATE&amp;creator=factset&amp;DOC_NAME=fat:reuters_annual_source_window.fat&amp;display_string=Audit&amp;DYN_ARGS=TRUE&amp;VAR:ID1=09062X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98__FDSAUDITLINK__" hidden="1">{"fdsup://IBCentral/FAT Viewer?action=UPDATE&amp;creator=factset&amp;DOC_NAME=fat:reuters_annual_source_window.fat&amp;display_string=Audit&amp;DYN_ARGS=TRUE&amp;VAR:ID1=09062X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99__FDSAUDITLINK__" localSheetId="10" hidden="1">{"fdsup://IBCentral/FAT Viewer?action=UPDATE&amp;creator=factset&amp;DOC_NAME=fat:reuters_annual_source_window.fat&amp;display_string=Audit&amp;DYN_ARGS=TRUE&amp;VAR:ID1=09062X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99__FDSAUDITLINK__" localSheetId="9" hidden="1">{"fdsup://IBCentral/FAT Viewer?action=UPDATE&amp;creator=factset&amp;DOC_NAME=fat:reuters_annual_source_window.fat&amp;display_string=Audit&amp;DYN_ARGS=TRUE&amp;VAR:ID1=09062X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99__FDSAUDITLINK__" hidden="1">{"fdsup://IBCentral/FAT Viewer?action=UPDATE&amp;creator=factset&amp;DOC_NAME=fat:reuters_annual_source_window.fat&amp;display_string=Audit&amp;DYN_ARGS=TRUE&amp;VAR:ID1=09062X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a1_" localSheetId="10" hidden="1">{#N/A,#N/A,FALSE,"YTD ,99"}</definedName>
    <definedName name="_4a1_" localSheetId="9" hidden="1">{#N/A,#N/A,FALSE,"YTD ,99"}</definedName>
    <definedName name="_4a1_" hidden="1">{#N/A,#N/A,FALSE,"YTD ,99"}</definedName>
    <definedName name="_4a1__1" localSheetId="10" hidden="1">{#N/A,#N/A,FALSE,"YTD ,99"}</definedName>
    <definedName name="_4a1__1" localSheetId="9" hidden="1">{#N/A,#N/A,FALSE,"YTD ,99"}</definedName>
    <definedName name="_4a1__1" hidden="1">{#N/A,#N/A,FALSE,"YTD ,99"}</definedName>
    <definedName name="_4S" hidden="1">#REF!</definedName>
    <definedName name="_5__123Graph_ACHART_1" hidden="1">#REF!</definedName>
    <definedName name="_5__123Graph_C__LTR" hidden="1">#REF!</definedName>
    <definedName name="_5__123Graph_CCHART_1" hidden="1">#REF!</definedName>
    <definedName name="_5__123Graph_DCHART_1" hidden="1">#REF!</definedName>
    <definedName name="_5__FDSAUDITLINK__" localSheetId="10" hidden="1">{"fdsup://directions/FAT Viewer?action=UPDATE&amp;creator=factset&amp;DYN_ARGS=TRUE&amp;DOC_NAME=FAT:FQL_AUDITING_CLIENT_TEMPLATE.FAT&amp;display_string=Audit&amp;VAR:KEY=CBQXINEPSH&amp;VAR:QUERY=RkZfQlBTX1RBTkcoQU5OLDQwMjc3KQ==&amp;WINDOW=FIRST_POPUP&amp;HEIGHT=450&amp;WIDTH=450&amp;START_MAXIMI","ZED=FALSE&amp;VAR:CALENDAR=US&amp;VAR:SYMBOL=IRF&amp;VAR:INDEX=0"}</definedName>
    <definedName name="_5__FDSAUDITLINK__" localSheetId="9" hidden="1">{"fdsup://directions/FAT Viewer?action=UPDATE&amp;creator=factset&amp;DYN_ARGS=TRUE&amp;DOC_NAME=FAT:FQL_AUDITING_CLIENT_TEMPLATE.FAT&amp;display_string=Audit&amp;VAR:KEY=CBQXINEPSH&amp;VAR:QUERY=RkZfQlBTX1RBTkcoQU5OLDQwMjc3KQ==&amp;WINDOW=FIRST_POPUP&amp;HEIGHT=450&amp;WIDTH=450&amp;START_MAXIMI","ZED=FALSE&amp;VAR:CALENDAR=US&amp;VAR:SYMBOL=IRF&amp;VAR:INDEX=0"}</definedName>
    <definedName name="_5__FDSAUDITLINK__" hidden="1">{"fdsup://directions/FAT Viewer?action=UPDATE&amp;creator=factset&amp;DYN_ARGS=TRUE&amp;DOC_NAME=FAT:FQL_AUDITING_CLIENT_TEMPLATE.FAT&amp;display_string=Audit&amp;VAR:KEY=CBQXINEPSH&amp;VAR:QUERY=RkZfQlBTX1RBTkcoQU5OLDQwMjc3KQ==&amp;WINDOW=FIRST_POPUP&amp;HEIGHT=450&amp;WIDTH=450&amp;START_MAXIMI","ZED=FALSE&amp;VAR:CALENDAR=US&amp;VAR:SYMBOL=IRF&amp;VAR:INDEX=0"}</definedName>
    <definedName name="_5__FDSAUDITLINK___1" localSheetId="10" hidden="1">{"fdsup://directions/FAT Viewer?action=UPDATE&amp;creator=factset&amp;DYN_ARGS=TRUE&amp;DOC_NAME=FAT:FQL_AUDITING_CLIENT_TEMPLATE.FAT&amp;display_string=Audit&amp;VAR:KEY=CBQXINEPSH&amp;VAR:QUERY=RkZfQlBTX1RBTkcoQU5OLDQwMjc3KQ==&amp;WINDOW=FIRST_POPUP&amp;HEIGHT=450&amp;WIDTH=450&amp;START_MAXIMI","ZED=FALSE&amp;VAR:CALENDAR=US&amp;VAR:SYMBOL=IRF&amp;VAR:INDEX=0"}</definedName>
    <definedName name="_5__FDSAUDITLINK___1" localSheetId="9" hidden="1">{"fdsup://directions/FAT Viewer?action=UPDATE&amp;creator=factset&amp;DYN_ARGS=TRUE&amp;DOC_NAME=FAT:FQL_AUDITING_CLIENT_TEMPLATE.FAT&amp;display_string=Audit&amp;VAR:KEY=CBQXINEPSH&amp;VAR:QUERY=RkZfQlBTX1RBTkcoQU5OLDQwMjc3KQ==&amp;WINDOW=FIRST_POPUP&amp;HEIGHT=450&amp;WIDTH=450&amp;START_MAXIMI","ZED=FALSE&amp;VAR:CALENDAR=US&amp;VAR:SYMBOL=IRF&amp;VAR:INDEX=0"}</definedName>
    <definedName name="_5__FDSAUDITLINK___1" hidden="1">{"fdsup://directions/FAT Viewer?action=UPDATE&amp;creator=factset&amp;DYN_ARGS=TRUE&amp;DOC_NAME=FAT:FQL_AUDITING_CLIENT_TEMPLATE.FAT&amp;display_string=Audit&amp;VAR:KEY=CBQXINEPSH&amp;VAR:QUERY=RkZfQlBTX1RBTkcoQU5OLDQwMjc3KQ==&amp;WINDOW=FIRST_POPUP&amp;HEIGHT=450&amp;WIDTH=450&amp;START_MAXIMI","ZED=FALSE&amp;VAR:CALENDAR=US&amp;VAR:SYMBOL=IRF&amp;VAR:INDEX=0"}</definedName>
    <definedName name="_5_0_0_K" hidden="1">#REF!</definedName>
    <definedName name="_50__FDSAUDITLINK__" localSheetId="10" hidden="1">{"fdsup://IBCentral/FAT Viewer?action=UPDATE&amp;creator=factset&amp;DOC_NAME=fat:reuters_annual_source_window.fat&amp;display_string=Audit&amp;DYN_ARGS=TRUE&amp;VAR:ID1=80660510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0__FDSAUDITLINK__" localSheetId="9" hidden="1">{"fdsup://IBCentral/FAT Viewer?action=UPDATE&amp;creator=factset&amp;DOC_NAME=fat:reuters_annual_source_window.fat&amp;display_string=Audit&amp;DYN_ARGS=TRUE&amp;VAR:ID1=80660510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0__FDSAUDITLINK__" hidden="1">{"fdsup://IBCentral/FAT Viewer?action=UPDATE&amp;creator=factset&amp;DOC_NAME=fat:reuters_annual_source_window.fat&amp;display_string=Audit&amp;DYN_ARGS=TRUE&amp;VAR:ID1=80660510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00__FDSAUDITLINK__" localSheetId="10" hidden="1">{"fdsup://IBCentral/FAT Viewer?action=UPDATE&amp;creator=factset&amp;DOC_NAME=fat:reuters_annual_source_window.fat&amp;display_string=Audit&amp;DYN_ARGS=TRUE&amp;VAR:ID1=09062X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500__FDSAUDITLINK__" localSheetId="9" hidden="1">{"fdsup://IBCentral/FAT Viewer?action=UPDATE&amp;creator=factset&amp;DOC_NAME=fat:reuters_annual_source_window.fat&amp;display_string=Audit&amp;DYN_ARGS=TRUE&amp;VAR:ID1=09062X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500__FDSAUDITLINK__" hidden="1">{"fdsup://IBCentral/FAT Viewer?action=UPDATE&amp;creator=factset&amp;DOC_NAME=fat:reuters_annual_source_window.fat&amp;display_string=Audit&amp;DYN_ARGS=TRUE&amp;VAR:ID1=09062X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501__FDSAUDITLINK__" localSheetId="10" hidden="1">{"fdsup://IBCentral/FAT Viewer?action=UPDATE&amp;creator=factset&amp;DOC_NAME=fat:reuters_annual_source_window.fat&amp;display_string=Audit&amp;DYN_ARGS=TRUE&amp;VAR:ID1=09062X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01__FDSAUDITLINK__" localSheetId="9" hidden="1">{"fdsup://IBCentral/FAT Viewer?action=UPDATE&amp;creator=factset&amp;DOC_NAME=fat:reuters_annual_source_window.fat&amp;display_string=Audit&amp;DYN_ARGS=TRUE&amp;VAR:ID1=09062X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01__FDSAUDITLINK__" hidden="1">{"fdsup://IBCentral/FAT Viewer?action=UPDATE&amp;creator=factset&amp;DOC_NAME=fat:reuters_annual_source_window.fat&amp;display_string=Audit&amp;DYN_ARGS=TRUE&amp;VAR:ID1=09062X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02__FDSAUDITLINK__" localSheetId="10" hidden="1">{"fdsup://IBCentral/FAT Viewer?action=UPDATE&amp;creator=factset&amp;DOC_NAME=fat:reuters_annual_source_window.fat&amp;display_string=Audit&amp;DYN_ARGS=TRUE&amp;VAR:ID1=09062X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502__FDSAUDITLINK__" localSheetId="9" hidden="1">{"fdsup://IBCentral/FAT Viewer?action=UPDATE&amp;creator=factset&amp;DOC_NAME=fat:reuters_annual_source_window.fat&amp;display_string=Audit&amp;DYN_ARGS=TRUE&amp;VAR:ID1=09062X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502__FDSAUDITLINK__" hidden="1">{"fdsup://IBCentral/FAT Viewer?action=UPDATE&amp;creator=factset&amp;DOC_NAME=fat:reuters_annual_source_window.fat&amp;display_string=Audit&amp;DYN_ARGS=TRUE&amp;VAR:ID1=09062X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503__FDSAUDITLINK__" localSheetId="10" hidden="1">{"fdsup://IBCentral/FAT Viewer?action=UPDATE&amp;creator=factset&amp;DOC_NAME=fat:reuters_annual_source_window.fat&amp;display_string=Audit&amp;DYN_ARGS=TRUE&amp;VAR:ID1=09062X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503__FDSAUDITLINK__" localSheetId="9" hidden="1">{"fdsup://IBCentral/FAT Viewer?action=UPDATE&amp;creator=factset&amp;DOC_NAME=fat:reuters_annual_source_window.fat&amp;display_string=Audit&amp;DYN_ARGS=TRUE&amp;VAR:ID1=09062X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503__FDSAUDITLINK__" hidden="1">{"fdsup://IBCentral/FAT Viewer?action=UPDATE&amp;creator=factset&amp;DOC_NAME=fat:reuters_annual_source_window.fat&amp;display_string=Audit&amp;DYN_ARGS=TRUE&amp;VAR:ID1=09062X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504__FDSAUDITLINK__" localSheetId="10" hidden="1">{"fdsup://IBCentral/FAT Viewer?action=UPDATE&amp;creator=factset&amp;DOC_NAME=fat:reuters_annual_source_window.fat&amp;display_string=Audit&amp;DYN_ARGS=TRUE&amp;VAR:ID1=09062X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504__FDSAUDITLINK__" localSheetId="9" hidden="1">{"fdsup://IBCentral/FAT Viewer?action=UPDATE&amp;creator=factset&amp;DOC_NAME=fat:reuters_annual_source_window.fat&amp;display_string=Audit&amp;DYN_ARGS=TRUE&amp;VAR:ID1=09062X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504__FDSAUDITLINK__" hidden="1">{"fdsup://IBCentral/FAT Viewer?action=UPDATE&amp;creator=factset&amp;DOC_NAME=fat:reuters_annual_source_window.fat&amp;display_string=Audit&amp;DYN_ARGS=TRUE&amp;VAR:ID1=09062X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505__FDSAUDITLINK__" localSheetId="10" hidden="1">{"fdsup://IBCentral/FAT Viewer?action=UPDATE&amp;creator=factset&amp;DOC_NAME=fat:reuters_annual_source_window.fat&amp;display_string=Audit&amp;DYN_ARGS=TRUE&amp;VAR:ID1=03116210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05__FDSAUDITLINK__" localSheetId="9" hidden="1">{"fdsup://IBCentral/FAT Viewer?action=UPDATE&amp;creator=factset&amp;DOC_NAME=fat:reuters_annual_source_window.fat&amp;display_string=Audit&amp;DYN_ARGS=TRUE&amp;VAR:ID1=03116210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05__FDSAUDITLINK__" hidden="1">{"fdsup://IBCentral/FAT Viewer?action=UPDATE&amp;creator=factset&amp;DOC_NAME=fat:reuters_annual_source_window.fat&amp;display_string=Audit&amp;DYN_ARGS=TRUE&amp;VAR:ID1=03116210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06__FDSAUDITLINK__" localSheetId="10" hidden="1">{"fdsup://IBCentral/FAT Viewer?action=UPDATE&amp;creator=factset&amp;DOC_NAME=fat:reuters_annual_source_window.fat&amp;display_string=Audit&amp;DYN_ARGS=TRUE&amp;VAR:ID1=03116210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506__FDSAUDITLINK__" localSheetId="9" hidden="1">{"fdsup://IBCentral/FAT Viewer?action=UPDATE&amp;creator=factset&amp;DOC_NAME=fat:reuters_annual_source_window.fat&amp;display_string=Audit&amp;DYN_ARGS=TRUE&amp;VAR:ID1=03116210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506__FDSAUDITLINK__" hidden="1">{"fdsup://IBCentral/FAT Viewer?action=UPDATE&amp;creator=factset&amp;DOC_NAME=fat:reuters_annual_source_window.fat&amp;display_string=Audit&amp;DYN_ARGS=TRUE&amp;VAR:ID1=03116210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507__FDSAUDITLINK__" localSheetId="10" hidden="1">{"fdsup://IBCentral/FAT Viewer?action=UPDATE&amp;creator=factset&amp;DOC_NAME=fat:reuters_annual_source_window.fat&amp;display_string=Audit&amp;DYN_ARGS=TRUE&amp;VAR:ID1=03116210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507__FDSAUDITLINK__" localSheetId="9" hidden="1">{"fdsup://IBCentral/FAT Viewer?action=UPDATE&amp;creator=factset&amp;DOC_NAME=fat:reuters_annual_source_window.fat&amp;display_string=Audit&amp;DYN_ARGS=TRUE&amp;VAR:ID1=03116210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507__FDSAUDITLINK__" hidden="1">{"fdsup://IBCentral/FAT Viewer?action=UPDATE&amp;creator=factset&amp;DOC_NAME=fat:reuters_annual_source_window.fat&amp;display_string=Audit&amp;DYN_ARGS=TRUE&amp;VAR:ID1=03116210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508__FDSAUDITLINK__" localSheetId="10" hidden="1">{"fdsup://IBCentral/FAT Viewer?action=UPDATE&amp;creator=factset&amp;DOC_NAME=fat:reuters_annual_source_window.fat&amp;display_string=Audit&amp;DYN_ARGS=TRUE&amp;VAR:ID1=03116210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508__FDSAUDITLINK__" localSheetId="9" hidden="1">{"fdsup://IBCentral/FAT Viewer?action=UPDATE&amp;creator=factset&amp;DOC_NAME=fat:reuters_annual_source_window.fat&amp;display_string=Audit&amp;DYN_ARGS=TRUE&amp;VAR:ID1=03116210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508__FDSAUDITLINK__" hidden="1">{"fdsup://IBCentral/FAT Viewer?action=UPDATE&amp;creator=factset&amp;DOC_NAME=fat:reuters_annual_source_window.fat&amp;display_string=Audit&amp;DYN_ARGS=TRUE&amp;VAR:ID1=03116210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509__FDSAUDITLINK__" localSheetId="10" hidden="1">{"fdsup://IBCentral/FAT Viewer?action=UPDATE&amp;creator=factset&amp;DOC_NAME=fat:reuters_annual_source_window.fat&amp;display_string=Audit&amp;DYN_ARGS=TRUE&amp;VAR:ID1=03116210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509__FDSAUDITLINK__" localSheetId="9" hidden="1">{"fdsup://IBCentral/FAT Viewer?action=UPDATE&amp;creator=factset&amp;DOC_NAME=fat:reuters_annual_source_window.fat&amp;display_string=Audit&amp;DYN_ARGS=TRUE&amp;VAR:ID1=03116210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509__FDSAUDITLINK__" hidden="1">{"fdsup://IBCentral/FAT Viewer?action=UPDATE&amp;creator=factset&amp;DOC_NAME=fat:reuters_annual_source_window.fat&amp;display_string=Audit&amp;DYN_ARGS=TRUE&amp;VAR:ID1=03116210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51__FDSAUDITLINK__" localSheetId="10" hidden="1">{"fdsup://IBCentral/FAT Viewer?action=UPDATE&amp;creator=factset&amp;DOC_NAME=fat:reuters_annual_source_window.fat&amp;display_string=Audit&amp;DYN_ARGS=TRUE&amp;VAR:ID1=80660510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1__FDSAUDITLINK__" localSheetId="9" hidden="1">{"fdsup://IBCentral/FAT Viewer?action=UPDATE&amp;creator=factset&amp;DOC_NAME=fat:reuters_annual_source_window.fat&amp;display_string=Audit&amp;DYN_ARGS=TRUE&amp;VAR:ID1=80660510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1__FDSAUDITLINK__" hidden="1">{"fdsup://IBCentral/FAT Viewer?action=UPDATE&amp;creator=factset&amp;DOC_NAME=fat:reuters_annual_source_window.fat&amp;display_string=Audit&amp;DYN_ARGS=TRUE&amp;VAR:ID1=80660510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10__FDSAUDITLINK__" localSheetId="10" hidden="1">{"fdsup://IBCentral/FAT Viewer?action=UPDATE&amp;creator=factset&amp;DOC_NAME=fat:reuters_annual_source_window.fat&amp;display_string=Audit&amp;DYN_ARGS=TRUE&amp;VAR:ID1=03116210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10__FDSAUDITLINK__" localSheetId="9" hidden="1">{"fdsup://IBCentral/FAT Viewer?action=UPDATE&amp;creator=factset&amp;DOC_NAME=fat:reuters_annual_source_window.fat&amp;display_string=Audit&amp;DYN_ARGS=TRUE&amp;VAR:ID1=03116210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10__FDSAUDITLINK__" hidden="1">{"fdsup://IBCentral/FAT Viewer?action=UPDATE&amp;creator=factset&amp;DOC_NAME=fat:reuters_annual_source_window.fat&amp;display_string=Audit&amp;DYN_ARGS=TRUE&amp;VAR:ID1=03116210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11__FDSAUDITLINK__" localSheetId="10" hidden="1">{"fdsup://IBCentral/FAT Viewer?action=UPDATE&amp;creator=factset&amp;DOC_NAME=fat:reuters_annual_source_window.fat&amp;display_string=Audit&amp;DYN_ARGS=TRUE&amp;VAR:ID1=03116210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511__FDSAUDITLINK__" localSheetId="9" hidden="1">{"fdsup://IBCentral/FAT Viewer?action=UPDATE&amp;creator=factset&amp;DOC_NAME=fat:reuters_annual_source_window.fat&amp;display_string=Audit&amp;DYN_ARGS=TRUE&amp;VAR:ID1=03116210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511__FDSAUDITLINK__" hidden="1">{"fdsup://IBCentral/FAT Viewer?action=UPDATE&amp;creator=factset&amp;DOC_NAME=fat:reuters_annual_source_window.fat&amp;display_string=Audit&amp;DYN_ARGS=TRUE&amp;VAR:ID1=03116210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512__FDSAUDITLINK__" localSheetId="10" hidden="1">{"fdsup://IBCentral/FAT Viewer?action=UPDATE&amp;creator=factset&amp;DOC_NAME=fat:reuters_annual_source_window.fat&amp;display_string=Audit&amp;DYN_ARGS=TRUE&amp;VAR:ID1=03116210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512__FDSAUDITLINK__" localSheetId="9" hidden="1">{"fdsup://IBCentral/FAT Viewer?action=UPDATE&amp;creator=factset&amp;DOC_NAME=fat:reuters_annual_source_window.fat&amp;display_string=Audit&amp;DYN_ARGS=TRUE&amp;VAR:ID1=03116210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512__FDSAUDITLINK__" hidden="1">{"fdsup://IBCentral/FAT Viewer?action=UPDATE&amp;creator=factset&amp;DOC_NAME=fat:reuters_annual_source_window.fat&amp;display_string=Audit&amp;DYN_ARGS=TRUE&amp;VAR:ID1=03116210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513__FDSAUDITLINK__" localSheetId="10" hidden="1">{"fdsup://IBCentral/FAT Viewer?action=UPDATE&amp;creator=factset&amp;DOC_NAME=fat:reuters_annual_source_window.fat&amp;display_string=Audit&amp;DYN_ARGS=TRUE&amp;VAR:ID1=03116210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513__FDSAUDITLINK__" localSheetId="9" hidden="1">{"fdsup://IBCentral/FAT Viewer?action=UPDATE&amp;creator=factset&amp;DOC_NAME=fat:reuters_annual_source_window.fat&amp;display_string=Audit&amp;DYN_ARGS=TRUE&amp;VAR:ID1=03116210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513__FDSAUDITLINK__" hidden="1">{"fdsup://IBCentral/FAT Viewer?action=UPDATE&amp;creator=factset&amp;DOC_NAME=fat:reuters_annual_source_window.fat&amp;display_string=Audit&amp;DYN_ARGS=TRUE&amp;VAR:ID1=03116210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514__FDSAUDITLINK__" localSheetId="10" hidden="1">{"fdsup://IBCentral/FAT Viewer?action=UPDATE&amp;creator=factset&amp;DOC_NAME=fat:reuters_annual_source_window.fat&amp;display_string=Audit&amp;DYN_ARGS=TRUE&amp;VAR:ID1=98302410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14__FDSAUDITLINK__" localSheetId="9" hidden="1">{"fdsup://IBCentral/FAT Viewer?action=UPDATE&amp;creator=factset&amp;DOC_NAME=fat:reuters_annual_source_window.fat&amp;display_string=Audit&amp;DYN_ARGS=TRUE&amp;VAR:ID1=98302410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14__FDSAUDITLINK__" hidden="1">{"fdsup://IBCentral/FAT Viewer?action=UPDATE&amp;creator=factset&amp;DOC_NAME=fat:reuters_annual_source_window.fat&amp;display_string=Audit&amp;DYN_ARGS=TRUE&amp;VAR:ID1=98302410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15__FDSAUDITLINK__" localSheetId="10" hidden="1">{"fdsup://IBCentral/FAT Viewer?action=UPDATE&amp;creator=factset&amp;DOC_NAME=fat:reuters_annual_source_window.fat&amp;display_string=Audit&amp;DYN_ARGS=TRUE&amp;VAR:ID1=98302410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15__FDSAUDITLINK__" localSheetId="9" hidden="1">{"fdsup://IBCentral/FAT Viewer?action=UPDATE&amp;creator=factset&amp;DOC_NAME=fat:reuters_annual_source_window.fat&amp;display_string=Audit&amp;DYN_ARGS=TRUE&amp;VAR:ID1=98302410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15__FDSAUDITLINK__" hidden="1">{"fdsup://IBCentral/FAT Viewer?action=UPDATE&amp;creator=factset&amp;DOC_NAME=fat:reuters_annual_source_window.fat&amp;display_string=Audit&amp;DYN_ARGS=TRUE&amp;VAR:ID1=98302410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16__FDSAUDITLINK__" localSheetId="10" hidden="1">{"fdsup://IBCentral/FAT Viewer?action=UPDATE&amp;creator=factset&amp;DOC_NAME=fat:reuters_annual_source_window.fat&amp;display_string=Audit&amp;DYN_ARGS=TRUE&amp;VAR:ID1=80660510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16__FDSAUDITLINK__" localSheetId="9" hidden="1">{"fdsup://IBCentral/FAT Viewer?action=UPDATE&amp;creator=factset&amp;DOC_NAME=fat:reuters_annual_source_window.fat&amp;display_string=Audit&amp;DYN_ARGS=TRUE&amp;VAR:ID1=80660510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16__FDSAUDITLINK__" hidden="1">{"fdsup://IBCentral/FAT Viewer?action=UPDATE&amp;creator=factset&amp;DOC_NAME=fat:reuters_annual_source_window.fat&amp;display_string=Audit&amp;DYN_ARGS=TRUE&amp;VAR:ID1=80660510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17__FDSAUDITLINK__" localSheetId="10" hidden="1">{"fdsup://IBCentral/FAT Viewer?action=UPDATE&amp;creator=factset&amp;DOC_NAME=fat:reuters_annual_source_window.fat&amp;display_string=Audit&amp;DYN_ARGS=TRUE&amp;VAR:ID1=80660510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17__FDSAUDITLINK__" localSheetId="9" hidden="1">{"fdsup://IBCentral/FAT Viewer?action=UPDATE&amp;creator=factset&amp;DOC_NAME=fat:reuters_annual_source_window.fat&amp;display_string=Audit&amp;DYN_ARGS=TRUE&amp;VAR:ID1=80660510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17__FDSAUDITLINK__" hidden="1">{"fdsup://IBCentral/FAT Viewer?action=UPDATE&amp;creator=factset&amp;DOC_NAME=fat:reuters_annual_source_window.fat&amp;display_string=Audit&amp;DYN_ARGS=TRUE&amp;VAR:ID1=80660510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18__FDSAUDITLINK__" localSheetId="10" hidden="1">{"fdsup://IBCentral/FAT Viewer?action=UPDATE&amp;creator=factset&amp;DOC_NAME=fat:reuters_annual_source_window.fat&amp;display_string=Audit&amp;DYN_ARGS=TRUE&amp;VAR:ID1=71708110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18__FDSAUDITLINK__" localSheetId="9" hidden="1">{"fdsup://IBCentral/FAT Viewer?action=UPDATE&amp;creator=factset&amp;DOC_NAME=fat:reuters_annual_source_window.fat&amp;display_string=Audit&amp;DYN_ARGS=TRUE&amp;VAR:ID1=71708110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18__FDSAUDITLINK__" hidden="1">{"fdsup://IBCentral/FAT Viewer?action=UPDATE&amp;creator=factset&amp;DOC_NAME=fat:reuters_annual_source_window.fat&amp;display_string=Audit&amp;DYN_ARGS=TRUE&amp;VAR:ID1=71708110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19__FDSAUDITLINK__" localSheetId="10" hidden="1">{"fdsup://IBCentral/FAT Viewer?action=UPDATE&amp;creator=factset&amp;DOC_NAME=fat:reuters_annual_source_window.fat&amp;display_string=Audit&amp;DYN_ARGS=TRUE&amp;VAR:ID1=71708110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19__FDSAUDITLINK__" localSheetId="9" hidden="1">{"fdsup://IBCentral/FAT Viewer?action=UPDATE&amp;creator=factset&amp;DOC_NAME=fat:reuters_annual_source_window.fat&amp;display_string=Audit&amp;DYN_ARGS=TRUE&amp;VAR:ID1=71708110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19__FDSAUDITLINK__" hidden="1">{"fdsup://IBCentral/FAT Viewer?action=UPDATE&amp;creator=factset&amp;DOC_NAME=fat:reuters_annual_source_window.fat&amp;display_string=Audit&amp;DYN_ARGS=TRUE&amp;VAR:ID1=71708110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2__FDSAUDITLINK__" localSheetId="10" hidden="1">{"fdsup://IBCentral/FAT Viewer?action=UPDATE&amp;creator=factset&amp;DOC_NAME=fat:reuters_annual_source_window.fat&amp;display_string=Audit&amp;DYN_ARGS=TRUE&amp;VAR:ID1=71708110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2__FDSAUDITLINK__" localSheetId="9" hidden="1">{"fdsup://IBCentral/FAT Viewer?action=UPDATE&amp;creator=factset&amp;DOC_NAME=fat:reuters_annual_source_window.fat&amp;display_string=Audit&amp;DYN_ARGS=TRUE&amp;VAR:ID1=71708110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2__FDSAUDITLINK__" hidden="1">{"fdsup://IBCentral/FAT Viewer?action=UPDATE&amp;creator=factset&amp;DOC_NAME=fat:reuters_annual_source_window.fat&amp;display_string=Audit&amp;DYN_ARGS=TRUE&amp;VAR:ID1=71708110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20__FDSAUDITLINK__" localSheetId="10" hidden="1">{"fdsup://IBCentral/FAT Viewer?action=UPDATE&amp;creator=factset&amp;DOC_NAME=fat:reuters_annual_source_window.fat&amp;display_string=Audit&amp;DYN_ARGS=TRUE&amp;VAR:ID1=58933110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20__FDSAUDITLINK__" localSheetId="9" hidden="1">{"fdsup://IBCentral/FAT Viewer?action=UPDATE&amp;creator=factset&amp;DOC_NAME=fat:reuters_annual_source_window.fat&amp;display_string=Audit&amp;DYN_ARGS=TRUE&amp;VAR:ID1=58933110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20__FDSAUDITLINK__" hidden="1">{"fdsup://IBCentral/FAT Viewer?action=UPDATE&amp;creator=factset&amp;DOC_NAME=fat:reuters_annual_source_window.fat&amp;display_string=Audit&amp;DYN_ARGS=TRUE&amp;VAR:ID1=58933110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21__FDSAUDITLINK__" localSheetId="10" hidden="1">{"fdsup://IBCentral/FAT Viewer?action=UPDATE&amp;creator=factset&amp;DOC_NAME=fat:reuters_annual_source_window.fat&amp;display_string=Audit&amp;DYN_ARGS=TRUE&amp;VAR:ID1=58933110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21__FDSAUDITLINK__" localSheetId="9" hidden="1">{"fdsup://IBCentral/FAT Viewer?action=UPDATE&amp;creator=factset&amp;DOC_NAME=fat:reuters_annual_source_window.fat&amp;display_string=Audit&amp;DYN_ARGS=TRUE&amp;VAR:ID1=58933110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21__FDSAUDITLINK__" hidden="1">{"fdsup://IBCentral/FAT Viewer?action=UPDATE&amp;creator=factset&amp;DOC_NAME=fat:reuters_annual_source_window.fat&amp;display_string=Audit&amp;DYN_ARGS=TRUE&amp;VAR:ID1=58933110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22__FDSAUDITLINK__" localSheetId="10" hidden="1">{"fdsup://IBCentral/FAT Viewer?action=UPDATE&amp;creator=factset&amp;DOC_NAME=fat:reuters_annual_source_window.fat&amp;display_string=Audit&amp;DYN_ARGS=TRUE&amp;VAR:ID1=53245710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22__FDSAUDITLINK__" localSheetId="9" hidden="1">{"fdsup://IBCentral/FAT Viewer?action=UPDATE&amp;creator=factset&amp;DOC_NAME=fat:reuters_annual_source_window.fat&amp;display_string=Audit&amp;DYN_ARGS=TRUE&amp;VAR:ID1=53245710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22__FDSAUDITLINK__" hidden="1">{"fdsup://IBCentral/FAT Viewer?action=UPDATE&amp;creator=factset&amp;DOC_NAME=fat:reuters_annual_source_window.fat&amp;display_string=Audit&amp;DYN_ARGS=TRUE&amp;VAR:ID1=53245710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23__FDSAUDITLINK__" localSheetId="10" hidden="1">{"fdsup://IBCentral/FAT Viewer?action=UPDATE&amp;creator=factset&amp;DOC_NAME=fat:reuters_annual_source_window.fat&amp;display_string=Audit&amp;DYN_ARGS=TRUE&amp;VAR:ID1=53245710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23__FDSAUDITLINK__" localSheetId="9" hidden="1">{"fdsup://IBCentral/FAT Viewer?action=UPDATE&amp;creator=factset&amp;DOC_NAME=fat:reuters_annual_source_window.fat&amp;display_string=Audit&amp;DYN_ARGS=TRUE&amp;VAR:ID1=53245710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23__FDSAUDITLINK__" hidden="1">{"fdsup://IBCentral/FAT Viewer?action=UPDATE&amp;creator=factset&amp;DOC_NAME=fat:reuters_annual_source_window.fat&amp;display_string=Audit&amp;DYN_ARGS=TRUE&amp;VAR:ID1=53245710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24__FDSAUDITLINK__" localSheetId="10" hidden="1">{"fdsup://IBCentral/FAT Viewer?action=UPDATE&amp;creator=factset&amp;DOC_NAME=fat:reuters_annual_source_window.fat&amp;display_string=Audit&amp;DYN_ARGS=TRUE&amp;VAR:ID1=11012210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24__FDSAUDITLINK__" localSheetId="9" hidden="1">{"fdsup://IBCentral/FAT Viewer?action=UPDATE&amp;creator=factset&amp;DOC_NAME=fat:reuters_annual_source_window.fat&amp;display_string=Audit&amp;DYN_ARGS=TRUE&amp;VAR:ID1=11012210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24__FDSAUDITLINK__" hidden="1">{"fdsup://IBCentral/FAT Viewer?action=UPDATE&amp;creator=factset&amp;DOC_NAME=fat:reuters_annual_source_window.fat&amp;display_string=Audit&amp;DYN_ARGS=TRUE&amp;VAR:ID1=11012210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25__FDSAUDITLINK__" localSheetId="10" hidden="1">{"fdsup://IBCentral/FAT Viewer?action=UPDATE&amp;creator=factset&amp;DOC_NAME=fat:reuters_annual_source_window.fat&amp;display_string=Audit&amp;DYN_ARGS=TRUE&amp;VAR:ID1=11012210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25__FDSAUDITLINK__" localSheetId="9" hidden="1">{"fdsup://IBCentral/FAT Viewer?action=UPDATE&amp;creator=factset&amp;DOC_NAME=fat:reuters_annual_source_window.fat&amp;display_string=Audit&amp;DYN_ARGS=TRUE&amp;VAR:ID1=11012210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25__FDSAUDITLINK__" hidden="1">{"fdsup://IBCentral/FAT Viewer?action=UPDATE&amp;creator=factset&amp;DOC_NAME=fat:reuters_annual_source_window.fat&amp;display_string=Audit&amp;DYN_ARGS=TRUE&amp;VAR:ID1=11012210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26__FDSAUDITLINK__" localSheetId="10" hidden="1">{"fdsup://IBCentral/FAT Viewer?action=UPDATE&amp;creator=factset&amp;DOC_NAME=fat:reuters_annual_source_window.fat&amp;display_string=Audit&amp;DYN_ARGS=TRUE&amp;VAR:ID1=37291710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26__FDSAUDITLINK__" localSheetId="9" hidden="1">{"fdsup://IBCentral/FAT Viewer?action=UPDATE&amp;creator=factset&amp;DOC_NAME=fat:reuters_annual_source_window.fat&amp;display_string=Audit&amp;DYN_ARGS=TRUE&amp;VAR:ID1=37291710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26__FDSAUDITLINK__" hidden="1">{"fdsup://IBCentral/FAT Viewer?action=UPDATE&amp;creator=factset&amp;DOC_NAME=fat:reuters_annual_source_window.fat&amp;display_string=Audit&amp;DYN_ARGS=TRUE&amp;VAR:ID1=37291710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27__FDSAUDITLINK__" localSheetId="10" hidden="1">{"fdsup://IBCentral/FAT Viewer?action=UPDATE&amp;creator=factset&amp;DOC_NAME=fat:reuters_annual_source_window.fat&amp;display_string=Audit&amp;DYN_ARGS=TRUE&amp;VAR:ID1=37291710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27__FDSAUDITLINK__" localSheetId="9" hidden="1">{"fdsup://IBCentral/FAT Viewer?action=UPDATE&amp;creator=factset&amp;DOC_NAME=fat:reuters_annual_source_window.fat&amp;display_string=Audit&amp;DYN_ARGS=TRUE&amp;VAR:ID1=37291710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27__FDSAUDITLINK__" hidden="1">{"fdsup://IBCentral/FAT Viewer?action=UPDATE&amp;creator=factset&amp;DOC_NAME=fat:reuters_annual_source_window.fat&amp;display_string=Audit&amp;DYN_ARGS=TRUE&amp;VAR:ID1=37291710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28__FDSAUDITLINK__" localSheetId="10" hidden="1">{"fdsup://IBCentral/FAT Viewer?action=UPDATE&amp;creator=factset&amp;DOC_NAME=fat:reuters_annual_source_window.fat&amp;display_string=Audit&amp;DYN_ARGS=TRUE&amp;VAR:ID1=36871040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28__FDSAUDITLINK__" localSheetId="9" hidden="1">{"fdsup://IBCentral/FAT Viewer?action=UPDATE&amp;creator=factset&amp;DOC_NAME=fat:reuters_annual_source_window.fat&amp;display_string=Audit&amp;DYN_ARGS=TRUE&amp;VAR:ID1=36871040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28__FDSAUDITLINK__" hidden="1">{"fdsup://IBCentral/FAT Viewer?action=UPDATE&amp;creator=factset&amp;DOC_NAME=fat:reuters_annual_source_window.fat&amp;display_string=Audit&amp;DYN_ARGS=TRUE&amp;VAR:ID1=36871040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29__FDSAUDITLINK__" localSheetId="10" hidden="1">{"fdsup://IBCentral/FAT Viewer?action=UPDATE&amp;creator=factset&amp;DOC_NAME=fat:reuters_annual_source_window.fat&amp;display_string=Audit&amp;DYN_ARGS=TRUE&amp;VAR:ID1=36871040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29__FDSAUDITLINK__" localSheetId="9" hidden="1">{"fdsup://IBCentral/FAT Viewer?action=UPDATE&amp;creator=factset&amp;DOC_NAME=fat:reuters_annual_source_window.fat&amp;display_string=Audit&amp;DYN_ARGS=TRUE&amp;VAR:ID1=36871040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29__FDSAUDITLINK__" hidden="1">{"fdsup://IBCentral/FAT Viewer?action=UPDATE&amp;creator=factset&amp;DOC_NAME=fat:reuters_annual_source_window.fat&amp;display_string=Audit&amp;DYN_ARGS=TRUE&amp;VAR:ID1=36871040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3__FDSAUDITLINK__" localSheetId="10" hidden="1">{"fdsup://IBCentral/FAT Viewer?action=UPDATE&amp;creator=factset&amp;DOC_NAME=fat:reuters_annual_source_window.fat&amp;display_string=Audit&amp;DYN_ARGS=TRUE&amp;VAR:ID1=71708110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3__FDSAUDITLINK__" localSheetId="9" hidden="1">{"fdsup://IBCentral/FAT Viewer?action=UPDATE&amp;creator=factset&amp;DOC_NAME=fat:reuters_annual_source_window.fat&amp;display_string=Audit&amp;DYN_ARGS=TRUE&amp;VAR:ID1=71708110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3__FDSAUDITLINK__" hidden="1">{"fdsup://IBCentral/FAT Viewer?action=UPDATE&amp;creator=factset&amp;DOC_NAME=fat:reuters_annual_source_window.fat&amp;display_string=Audit&amp;DYN_ARGS=TRUE&amp;VAR:ID1=71708110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30__FDSAUDITLINK__" localSheetId="10" hidden="1">{"fdsup://IBCentral/FAT Viewer?action=UPDATE&amp;creator=factset&amp;DOC_NAME=fat:reuters_annual_source_window.fat&amp;display_string=Audit&amp;DYN_ARGS=TRUE&amp;VAR:ID1=15102010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30__FDSAUDITLINK__" localSheetId="9" hidden="1">{"fdsup://IBCentral/FAT Viewer?action=UPDATE&amp;creator=factset&amp;DOC_NAME=fat:reuters_annual_source_window.fat&amp;display_string=Audit&amp;DYN_ARGS=TRUE&amp;VAR:ID1=15102010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30__FDSAUDITLINK__" hidden="1">{"fdsup://IBCentral/FAT Viewer?action=UPDATE&amp;creator=factset&amp;DOC_NAME=fat:reuters_annual_source_window.fat&amp;display_string=Audit&amp;DYN_ARGS=TRUE&amp;VAR:ID1=15102010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31__FDSAUDITLINK__" localSheetId="10" hidden="1">{"fdsup://IBCentral/FAT Viewer?action=UPDATE&amp;creator=factset&amp;DOC_NAME=fat:reuters_annual_source_window.fat&amp;display_string=Audit&amp;DYN_ARGS=TRUE&amp;VAR:ID1=15102010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31__FDSAUDITLINK__" localSheetId="9" hidden="1">{"fdsup://IBCentral/FAT Viewer?action=UPDATE&amp;creator=factset&amp;DOC_NAME=fat:reuters_annual_source_window.fat&amp;display_string=Audit&amp;DYN_ARGS=TRUE&amp;VAR:ID1=15102010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31__FDSAUDITLINK__" hidden="1">{"fdsup://IBCentral/FAT Viewer?action=UPDATE&amp;creator=factset&amp;DOC_NAME=fat:reuters_annual_source_window.fat&amp;display_string=Audit&amp;DYN_ARGS=TRUE&amp;VAR:ID1=15102010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32__FDSAUDITLINK__" localSheetId="10" hidden="1">{"fdsup://IBCentral/FAT Viewer?action=UPDATE&amp;creator=factset&amp;DOC_NAME=fat:reuters_annual_source_window.fat&amp;display_string=Audit&amp;DYN_ARGS=TRUE&amp;VAR:ID1=09062X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32__FDSAUDITLINK__" localSheetId="9" hidden="1">{"fdsup://IBCentral/FAT Viewer?action=UPDATE&amp;creator=factset&amp;DOC_NAME=fat:reuters_annual_source_window.fat&amp;display_string=Audit&amp;DYN_ARGS=TRUE&amp;VAR:ID1=09062X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32__FDSAUDITLINK__" hidden="1">{"fdsup://IBCentral/FAT Viewer?action=UPDATE&amp;creator=factset&amp;DOC_NAME=fat:reuters_annual_source_window.fat&amp;display_string=Audit&amp;DYN_ARGS=TRUE&amp;VAR:ID1=09062X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33__FDSAUDITLINK__" localSheetId="10" hidden="1">{"fdsup://IBCentral/FAT Viewer?action=UPDATE&amp;creator=factset&amp;DOC_NAME=fat:reuters_annual_source_window.fat&amp;display_string=Audit&amp;DYN_ARGS=TRUE&amp;VAR:ID1=09062X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33__FDSAUDITLINK__" localSheetId="9" hidden="1">{"fdsup://IBCentral/FAT Viewer?action=UPDATE&amp;creator=factset&amp;DOC_NAME=fat:reuters_annual_source_window.fat&amp;display_string=Audit&amp;DYN_ARGS=TRUE&amp;VAR:ID1=09062X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33__FDSAUDITLINK__" hidden="1">{"fdsup://IBCentral/FAT Viewer?action=UPDATE&amp;creator=factset&amp;DOC_NAME=fat:reuters_annual_source_window.fat&amp;display_string=Audit&amp;DYN_ARGS=TRUE&amp;VAR:ID1=09062X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34__FDSAUDITLINK__" localSheetId="10" hidden="1">{"fdsup://IBCentral/FAT Viewer?action=UPDATE&amp;creator=factset&amp;DOC_NAME=fat:reuters_annual_source_window.fat&amp;display_string=Audit&amp;DYN_ARGS=TRUE&amp;VAR:ID1=03116210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34__FDSAUDITLINK__" localSheetId="9" hidden="1">{"fdsup://IBCentral/FAT Viewer?action=UPDATE&amp;creator=factset&amp;DOC_NAME=fat:reuters_annual_source_window.fat&amp;display_string=Audit&amp;DYN_ARGS=TRUE&amp;VAR:ID1=03116210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34__FDSAUDITLINK__" hidden="1">{"fdsup://IBCentral/FAT Viewer?action=UPDATE&amp;creator=factset&amp;DOC_NAME=fat:reuters_annual_source_window.fat&amp;display_string=Audit&amp;DYN_ARGS=TRUE&amp;VAR:ID1=03116210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35__FDSAUDITLINK__" localSheetId="10" hidden="1">{"fdsup://IBCentral/FAT Viewer?action=UPDATE&amp;creator=factset&amp;DOC_NAME=fat:reuters_annual_source_window.fat&amp;display_string=Audit&amp;DYN_ARGS=TRUE&amp;VAR:ID1=03116210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35__FDSAUDITLINK__" localSheetId="9" hidden="1">{"fdsup://IBCentral/FAT Viewer?action=UPDATE&amp;creator=factset&amp;DOC_NAME=fat:reuters_annual_source_window.fat&amp;display_string=Audit&amp;DYN_ARGS=TRUE&amp;VAR:ID1=03116210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35__FDSAUDITLINK__" hidden="1">{"fdsup://IBCentral/FAT Viewer?action=UPDATE&amp;creator=factset&amp;DOC_NAME=fat:reuters_annual_source_window.fat&amp;display_string=Audit&amp;DYN_ARGS=TRUE&amp;VAR:ID1=03116210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36__FDSAUDITLINK__" localSheetId="10" hidden="1">{"fdsup://IBCentral/FAT Viewer?action=UPDATE&amp;creator=factset&amp;DOC_NAME=fat:reuters_qtrly_source_window.fat&amp;display_string=Audit&amp;DYN_ARGS=TRUE&amp;VAR:ID1=92532F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36__FDSAUDITLINK__" localSheetId="9" hidden="1">{"fdsup://IBCentral/FAT Viewer?action=UPDATE&amp;creator=factset&amp;DOC_NAME=fat:reuters_qtrly_source_window.fat&amp;display_string=Audit&amp;DYN_ARGS=TRUE&amp;VAR:ID1=92532F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36__FDSAUDITLINK__" hidden="1">{"fdsup://IBCentral/FAT Viewer?action=UPDATE&amp;creator=factset&amp;DOC_NAME=fat:reuters_qtrly_source_window.fat&amp;display_string=Audit&amp;DYN_ARGS=TRUE&amp;VAR:ID1=92532F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37__FDSAUDITLINK__" localSheetId="10" hidden="1">{"fdsup://IBCentral/FAT Viewer?action=UPDATE&amp;creator=factset&amp;DOC_NAME=fat:reuters_qtrly_source_window.fat&amp;display_string=Audit&amp;DYN_ARGS=TRUE&amp;VAR:ID1=87612C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37__FDSAUDITLINK__" localSheetId="9" hidden="1">{"fdsup://IBCentral/FAT Viewer?action=UPDATE&amp;creator=factset&amp;DOC_NAME=fat:reuters_qtrly_source_window.fat&amp;display_string=Audit&amp;DYN_ARGS=TRUE&amp;VAR:ID1=87612C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37__FDSAUDITLINK__" hidden="1">{"fdsup://IBCentral/FAT Viewer?action=UPDATE&amp;creator=factset&amp;DOC_NAME=fat:reuters_qtrly_source_window.fat&amp;display_string=Audit&amp;DYN_ARGS=TRUE&amp;VAR:ID1=87612C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38__FDSAUDITLINK__" localSheetId="10" hidden="1">{"fdsup://IBCentral/FAT Viewer?action=UPDATE&amp;creator=factset&amp;DOC_NAME=fat:reuters_qtrly_source_window.fat&amp;display_string=Audit&amp;DYN_ARGS=TRUE&amp;VAR:ID1=73244930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38__FDSAUDITLINK__" localSheetId="9" hidden="1">{"fdsup://IBCentral/FAT Viewer?action=UPDATE&amp;creator=factset&amp;DOC_NAME=fat:reuters_qtrly_source_window.fat&amp;display_string=Audit&amp;DYN_ARGS=TRUE&amp;VAR:ID1=73244930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38__FDSAUDITLINK__" hidden="1">{"fdsup://IBCentral/FAT Viewer?action=UPDATE&amp;creator=factset&amp;DOC_NAME=fat:reuters_qtrly_source_window.fat&amp;display_string=Audit&amp;DYN_ARGS=TRUE&amp;VAR:ID1=73244930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39__FDSAUDITLINK__" localSheetId="10" hidden="1">{"fdsup://IBCentral/FAT Viewer?action=UPDATE&amp;creator=factset&amp;DOC_NAME=fat:reuters_qtrly_source_window.fat&amp;display_string=Audit&amp;DYN_ARGS=TRUE&amp;VAR:ID1=67104010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39__FDSAUDITLINK__" localSheetId="9" hidden="1">{"fdsup://IBCentral/FAT Viewer?action=UPDATE&amp;creator=factset&amp;DOC_NAME=fat:reuters_qtrly_source_window.fat&amp;display_string=Audit&amp;DYN_ARGS=TRUE&amp;VAR:ID1=67104010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39__FDSAUDITLINK__" hidden="1">{"fdsup://IBCentral/FAT Viewer?action=UPDATE&amp;creator=factset&amp;DOC_NAME=fat:reuters_qtrly_source_window.fat&amp;display_string=Audit&amp;DYN_ARGS=TRUE&amp;VAR:ID1=67104010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4__FDSAUDITLINK__" localSheetId="10" hidden="1">{"fdsup://IBCentral/FAT Viewer?action=UPDATE&amp;creator=factset&amp;DOC_NAME=fat:reuters_annual_source_window.fat&amp;display_string=Audit&amp;DYN_ARGS=TRUE&amp;VAR:ID1=58933110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4__FDSAUDITLINK__" localSheetId="9" hidden="1">{"fdsup://IBCentral/FAT Viewer?action=UPDATE&amp;creator=factset&amp;DOC_NAME=fat:reuters_annual_source_window.fat&amp;display_string=Audit&amp;DYN_ARGS=TRUE&amp;VAR:ID1=58933110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4__FDSAUDITLINK__" hidden="1">{"fdsup://IBCentral/FAT Viewer?action=UPDATE&amp;creator=factset&amp;DOC_NAME=fat:reuters_annual_source_window.fat&amp;display_string=Audit&amp;DYN_ARGS=TRUE&amp;VAR:ID1=58933110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40__FDSAUDITLINK__" localSheetId="10" hidden="1">{"fdsup://IBCentral/FAT Viewer?action=UPDATE&amp;creator=factset&amp;DOC_NAME=fat:reuters_qtrly_source_window.fat&amp;display_string=Audit&amp;DYN_ARGS=TRUE&amp;VAR:ID1=68339910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40__FDSAUDITLINK__" localSheetId="9" hidden="1">{"fdsup://IBCentral/FAT Viewer?action=UPDATE&amp;creator=factset&amp;DOC_NAME=fat:reuters_qtrly_source_window.fat&amp;display_string=Audit&amp;DYN_ARGS=TRUE&amp;VAR:ID1=68339910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40__FDSAUDITLINK__" hidden="1">{"fdsup://IBCentral/FAT Viewer?action=UPDATE&amp;creator=factset&amp;DOC_NAME=fat:reuters_qtrly_source_window.fat&amp;display_string=Audit&amp;DYN_ARGS=TRUE&amp;VAR:ID1=68339910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41__FDSAUDITLINK__" localSheetId="10" hidden="1">{"fdsup://IBCentral/FAT Viewer?action=UPDATE&amp;creator=factset&amp;DOC_NAME=fat:reuters_qtrly_source_window.fat&amp;display_string=Audit&amp;DYN_ARGS=TRUE&amp;VAR:ID1=59990210&amp;VAR:RCODE=SCSI&amp;VAR:SDATE=20080399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41__FDSAUDITLINK__" localSheetId="9" hidden="1">{"fdsup://IBCentral/FAT Viewer?action=UPDATE&amp;creator=factset&amp;DOC_NAME=fat:reuters_qtrly_source_window.fat&amp;display_string=Audit&amp;DYN_ARGS=TRUE&amp;VAR:ID1=59990210&amp;VAR:RCODE=SCSI&amp;VAR:SDATE=20080399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41__FDSAUDITLINK__" hidden="1">{"fdsup://IBCentral/FAT Viewer?action=UPDATE&amp;creator=factset&amp;DOC_NAME=fat:reuters_qtrly_source_window.fat&amp;display_string=Audit&amp;DYN_ARGS=TRUE&amp;VAR:ID1=59990210&amp;VAR:RCODE=SCSI&amp;VAR:SDATE=20080399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42__FDSAUDITLINK__" localSheetId="10" hidden="1">{"fdsup://IBCentral/FAT Viewer?action=UPDATE&amp;creator=factset&amp;DOC_NAME=fat:reuters_qtrly_source_window.fat&amp;display_string=Audit&amp;DYN_ARGS=TRUE&amp;VAR:ID1=55288010&amp;VAR:RCODE=SCSI&amp;VAR:SDATE=20070999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42__FDSAUDITLINK__" localSheetId="9" hidden="1">{"fdsup://IBCentral/FAT Viewer?action=UPDATE&amp;creator=factset&amp;DOC_NAME=fat:reuters_qtrly_source_window.fat&amp;display_string=Audit&amp;DYN_ARGS=TRUE&amp;VAR:ID1=55288010&amp;VAR:RCODE=SCSI&amp;VAR:SDATE=20070999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42__FDSAUDITLINK__" hidden="1">{"fdsup://IBCentral/FAT Viewer?action=UPDATE&amp;creator=factset&amp;DOC_NAME=fat:reuters_qtrly_source_window.fat&amp;display_string=Audit&amp;DYN_ARGS=TRUE&amp;VAR:ID1=55288010&amp;VAR:RCODE=SCSI&amp;VAR:SDATE=20070999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43__FDSAUDITLINK__" localSheetId="10" hidden="1">{"fdsup://IBCentral/FAT Viewer?action=UPDATE&amp;creator=factset&amp;DOC_NAME=fat:reuters_qtrly_source_window.fat&amp;display_string=Audit&amp;DYN_ARGS=TRUE&amp;VAR:ID1=50064W10&amp;VAR:RCODE=SCSI&amp;VAR:SDATE=20080399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43__FDSAUDITLINK__" localSheetId="9" hidden="1">{"fdsup://IBCentral/FAT Viewer?action=UPDATE&amp;creator=factset&amp;DOC_NAME=fat:reuters_qtrly_source_window.fat&amp;display_string=Audit&amp;DYN_ARGS=TRUE&amp;VAR:ID1=50064W10&amp;VAR:RCODE=SCSI&amp;VAR:SDATE=20080399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43__FDSAUDITLINK__" hidden="1">{"fdsup://IBCentral/FAT Viewer?action=UPDATE&amp;creator=factset&amp;DOC_NAME=fat:reuters_qtrly_source_window.fat&amp;display_string=Audit&amp;DYN_ARGS=TRUE&amp;VAR:ID1=50064W10&amp;VAR:RCODE=SCSI&amp;VAR:SDATE=20080399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44__FDSAUDITLINK__" localSheetId="10" hidden="1">{"fdsup://IBCentral/FAT Viewer?action=UPDATE&amp;creator=factset&amp;DOC_NAME=fat:reuters_qtrly_source_window.fat&amp;display_string=Audit&amp;DYN_ARGS=TRUE&amp;VAR:ID1=45884X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44__FDSAUDITLINK__" localSheetId="9" hidden="1">{"fdsup://IBCentral/FAT Viewer?action=UPDATE&amp;creator=factset&amp;DOC_NAME=fat:reuters_qtrly_source_window.fat&amp;display_string=Audit&amp;DYN_ARGS=TRUE&amp;VAR:ID1=45884X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44__FDSAUDITLINK__" hidden="1">{"fdsup://IBCentral/FAT Viewer?action=UPDATE&amp;creator=factset&amp;DOC_NAME=fat:reuters_qtrly_source_window.fat&amp;display_string=Audit&amp;DYN_ARGS=TRUE&amp;VAR:ID1=45884X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45__FDSAUDITLINK__" localSheetId="10" hidden="1">{"fdsup://IBCentral/FAT Viewer?action=UPDATE&amp;creator=factset&amp;DOC_NAME=fat:reuters_qtrly_source_window.fat&amp;display_string=Audit&amp;DYN_ARGS=TRUE&amp;VAR:ID1=45166R20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45__FDSAUDITLINK__" localSheetId="9" hidden="1">{"fdsup://IBCentral/FAT Viewer?action=UPDATE&amp;creator=factset&amp;DOC_NAME=fat:reuters_qtrly_source_window.fat&amp;display_string=Audit&amp;DYN_ARGS=TRUE&amp;VAR:ID1=45166R20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45__FDSAUDITLINK__" hidden="1">{"fdsup://IBCentral/FAT Viewer?action=UPDATE&amp;creator=factset&amp;DOC_NAME=fat:reuters_qtrly_source_window.fat&amp;display_string=Audit&amp;DYN_ARGS=TRUE&amp;VAR:ID1=45166R20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46__FDSAUDITLINK__" localSheetId="10" hidden="1">{"fdsup://IBCentral/FAT Viewer?action=UPDATE&amp;creator=factset&amp;DOC_NAME=fat:reuters_qtrly_source_window.fat&amp;display_string=Audit&amp;DYN_ARGS=TRUE&amp;VAR:ID1=40963P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46__FDSAUDITLINK__" localSheetId="9" hidden="1">{"fdsup://IBCentral/FAT Viewer?action=UPDATE&amp;creator=factset&amp;DOC_NAME=fat:reuters_qtrly_source_window.fat&amp;display_string=Audit&amp;DYN_ARGS=TRUE&amp;VAR:ID1=40963P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46__FDSAUDITLINK__" hidden="1">{"fdsup://IBCentral/FAT Viewer?action=UPDATE&amp;creator=factset&amp;DOC_NAME=fat:reuters_qtrly_source_window.fat&amp;display_string=Audit&amp;DYN_ARGS=TRUE&amp;VAR:ID1=40963P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47__FDSAUDITLINK__" localSheetId="10" hidden="1">{"fdsup://IBCentral/FAT Viewer?action=UPDATE&amp;creator=factset&amp;DOC_NAME=fat:reuters_qtrly_source_window.fat&amp;display_string=Audit&amp;DYN_ARGS=TRUE&amp;VAR:ID1=40052B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47__FDSAUDITLINK__" localSheetId="9" hidden="1">{"fdsup://IBCentral/FAT Viewer?action=UPDATE&amp;creator=factset&amp;DOC_NAME=fat:reuters_qtrly_source_window.fat&amp;display_string=Audit&amp;DYN_ARGS=TRUE&amp;VAR:ID1=40052B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47__FDSAUDITLINK__" hidden="1">{"fdsup://IBCentral/FAT Viewer?action=UPDATE&amp;creator=factset&amp;DOC_NAME=fat:reuters_qtrly_source_window.fat&amp;display_string=Audit&amp;DYN_ARGS=TRUE&amp;VAR:ID1=40052B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48__FDSAUDITLINK__" localSheetId="10" hidden="1">{"fdsup://IBCentral/FAT Viewer?action=UPDATE&amp;creator=factset&amp;DOC_NAME=fat:reuters_qtrly_source_window.fat&amp;display_string=Audit&amp;DYN_ARGS=TRUE&amp;VAR:ID1=16342810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48__FDSAUDITLINK__" localSheetId="9" hidden="1">{"fdsup://IBCentral/FAT Viewer?action=UPDATE&amp;creator=factset&amp;DOC_NAME=fat:reuters_qtrly_source_window.fat&amp;display_string=Audit&amp;DYN_ARGS=TRUE&amp;VAR:ID1=16342810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48__FDSAUDITLINK__" hidden="1">{"fdsup://IBCentral/FAT Viewer?action=UPDATE&amp;creator=factset&amp;DOC_NAME=fat:reuters_qtrly_source_window.fat&amp;display_string=Audit&amp;DYN_ARGS=TRUE&amp;VAR:ID1=16342810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49__FDSAUDITLINK__" localSheetId="10" hidden="1">{"fdsup://IBCentral/FAT Viewer?action=UPDATE&amp;creator=factset&amp;DOC_NAME=fat:reuters_qtrly_source_window.fat&amp;display_string=Audit&amp;DYN_ARGS=TRUE&amp;VAR:ID1=22208310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49__FDSAUDITLINK__" localSheetId="9" hidden="1">{"fdsup://IBCentral/FAT Viewer?action=UPDATE&amp;creator=factset&amp;DOC_NAME=fat:reuters_qtrly_source_window.fat&amp;display_string=Audit&amp;DYN_ARGS=TRUE&amp;VAR:ID1=22208310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49__FDSAUDITLINK__" hidden="1">{"fdsup://IBCentral/FAT Viewer?action=UPDATE&amp;creator=factset&amp;DOC_NAME=fat:reuters_qtrly_source_window.fat&amp;display_string=Audit&amp;DYN_ARGS=TRUE&amp;VAR:ID1=22208310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5__FDSAUDITLINK__" localSheetId="10" hidden="1">{"fdsup://IBCentral/FAT Viewer?action=UPDATE&amp;creator=factset&amp;DOC_NAME=fat:reuters_annual_source_window.fat&amp;display_string=Audit&amp;DYN_ARGS=TRUE&amp;VAR:ID1=58933110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5__FDSAUDITLINK__" localSheetId="9" hidden="1">{"fdsup://IBCentral/FAT Viewer?action=UPDATE&amp;creator=factset&amp;DOC_NAME=fat:reuters_annual_source_window.fat&amp;display_string=Audit&amp;DYN_ARGS=TRUE&amp;VAR:ID1=58933110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5__FDSAUDITLINK__" hidden="1">{"fdsup://IBCentral/FAT Viewer?action=UPDATE&amp;creator=factset&amp;DOC_NAME=fat:reuters_annual_source_window.fat&amp;display_string=Audit&amp;DYN_ARGS=TRUE&amp;VAR:ID1=58933110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50__FDSAUDITLINK__" localSheetId="10" hidden="1">{"fdsup://IBCentral/FAT Viewer?action=UPDATE&amp;creator=factset&amp;DOC_NAME=fat:reuters_qtrly_source_window.fat&amp;display_string=Audit&amp;DYN_ARGS=TRUE&amp;VAR:ID1=15102010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50__FDSAUDITLINK__" localSheetId="9" hidden="1">{"fdsup://IBCentral/FAT Viewer?action=UPDATE&amp;creator=factset&amp;DOC_NAME=fat:reuters_qtrly_source_window.fat&amp;display_string=Audit&amp;DYN_ARGS=TRUE&amp;VAR:ID1=15102010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50__FDSAUDITLINK__" hidden="1">{"fdsup://IBCentral/FAT Viewer?action=UPDATE&amp;creator=factset&amp;DOC_NAME=fat:reuters_qtrly_source_window.fat&amp;display_string=Audit&amp;DYN_ARGS=TRUE&amp;VAR:ID1=15102010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51__FDSAUDITLINK__" localSheetId="10" hidden="1">{"fdsup://IBCentral/FAT Viewer?action=UPDATE&amp;creator=factset&amp;DOC_NAME=fat:reuters_qtrly_source_window.fat&amp;display_string=Audit&amp;DYN_ARGS=TRUE&amp;VAR:ID1=22967810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51__FDSAUDITLINK__" localSheetId="9" hidden="1">{"fdsup://IBCentral/FAT Viewer?action=UPDATE&amp;creator=factset&amp;DOC_NAME=fat:reuters_qtrly_source_window.fat&amp;display_string=Audit&amp;DYN_ARGS=TRUE&amp;VAR:ID1=22967810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51__FDSAUDITLINK__" hidden="1">{"fdsup://IBCentral/FAT Viewer?action=UPDATE&amp;creator=factset&amp;DOC_NAME=fat:reuters_qtrly_source_window.fat&amp;display_string=Audit&amp;DYN_ARGS=TRUE&amp;VAR:ID1=22967810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52__FDSAUDITLINK__" localSheetId="10" hidden="1">{"fdsup://IBCentral/FAT Viewer?action=UPDATE&amp;creator=factset&amp;DOC_NAME=fat:reuters_qtrly_source_window.fat&amp;display_string=Audit&amp;DYN_ARGS=TRUE&amp;VAR:ID1=04269E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52__FDSAUDITLINK__" localSheetId="9" hidden="1">{"fdsup://IBCentral/FAT Viewer?action=UPDATE&amp;creator=factset&amp;DOC_NAME=fat:reuters_qtrly_source_window.fat&amp;display_string=Audit&amp;DYN_ARGS=TRUE&amp;VAR:ID1=04269E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52__FDSAUDITLINK__" hidden="1">{"fdsup://IBCentral/FAT Viewer?action=UPDATE&amp;creator=factset&amp;DOC_NAME=fat:reuters_qtrly_source_window.fat&amp;display_string=Audit&amp;DYN_ARGS=TRUE&amp;VAR:ID1=04269E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6__FDSAUDITLINK__" localSheetId="10" hidden="1">{"fdsup://IBCentral/FAT Viewer?action=UPDATE&amp;creator=factset&amp;DOC_NAME=fat:reuters_annual_source_window.fat&amp;display_string=Audit&amp;DYN_ARGS=TRUE&amp;VAR:ID1=53245710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6__FDSAUDITLINK__" localSheetId="9" hidden="1">{"fdsup://IBCentral/FAT Viewer?action=UPDATE&amp;creator=factset&amp;DOC_NAME=fat:reuters_annual_source_window.fat&amp;display_string=Audit&amp;DYN_ARGS=TRUE&amp;VAR:ID1=53245710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6__FDSAUDITLINK__" hidden="1">{"fdsup://IBCentral/FAT Viewer?action=UPDATE&amp;creator=factset&amp;DOC_NAME=fat:reuters_annual_source_window.fat&amp;display_string=Audit&amp;DYN_ARGS=TRUE&amp;VAR:ID1=53245710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7__FDSAUDITLINK__" localSheetId="10" hidden="1">{"fdsup://IBCentral/FAT Viewer?action=UPDATE&amp;creator=factset&amp;DOC_NAME=fat:reuters_annual_source_window.fat&amp;display_string=Audit&amp;DYN_ARGS=TRUE&amp;VAR:ID1=53245710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7__FDSAUDITLINK__" localSheetId="9" hidden="1">{"fdsup://IBCentral/FAT Viewer?action=UPDATE&amp;creator=factset&amp;DOC_NAME=fat:reuters_annual_source_window.fat&amp;display_string=Audit&amp;DYN_ARGS=TRUE&amp;VAR:ID1=53245710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7__FDSAUDITLINK__" hidden="1">{"fdsup://IBCentral/FAT Viewer?action=UPDATE&amp;creator=factset&amp;DOC_NAME=fat:reuters_annual_source_window.fat&amp;display_string=Audit&amp;DYN_ARGS=TRUE&amp;VAR:ID1=53245710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8__FDSAUDITLINK__" localSheetId="10" hidden="1">{"fdsup://IBCentral/FAT Viewer?action=UPDATE&amp;creator=factset&amp;DOC_NAME=fat:reuters_annual_source_window.fat&amp;display_string=Audit&amp;DYN_ARGS=TRUE&amp;VAR:ID1=11012210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8__FDSAUDITLINK__" localSheetId="9" hidden="1">{"fdsup://IBCentral/FAT Viewer?action=UPDATE&amp;creator=factset&amp;DOC_NAME=fat:reuters_annual_source_window.fat&amp;display_string=Audit&amp;DYN_ARGS=TRUE&amp;VAR:ID1=11012210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8__FDSAUDITLINK__" hidden="1">{"fdsup://IBCentral/FAT Viewer?action=UPDATE&amp;creator=factset&amp;DOC_NAME=fat:reuters_annual_source_window.fat&amp;display_string=Audit&amp;DYN_ARGS=TRUE&amp;VAR:ID1=11012210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83IQ___SET_WRITEDOWN_INS" hidden="1">"c59"</definedName>
    <definedName name="_59__FDSAUDITLINK__" localSheetId="10" hidden="1">{"fdsup://IBCentral/FAT Viewer?action=UPDATE&amp;creator=factset&amp;DOC_NAME=fat:reuters_annual_source_window.fat&amp;display_string=Audit&amp;DYN_ARGS=TRUE&amp;VAR:ID1=11012210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9__FDSAUDITLINK__" localSheetId="9" hidden="1">{"fdsup://IBCentral/FAT Viewer?action=UPDATE&amp;creator=factset&amp;DOC_NAME=fat:reuters_annual_source_window.fat&amp;display_string=Audit&amp;DYN_ARGS=TRUE&amp;VAR:ID1=11012210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9__FDSAUDITLINK__" hidden="1">{"fdsup://IBCentral/FAT Viewer?action=UPDATE&amp;creator=factset&amp;DOC_NAME=fat:reuters_annual_source_window.fat&amp;display_string=Audit&amp;DYN_ARGS=TRUE&amp;VAR:ID1=11012210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IQ_F_LB_DUE_CY3" hidden="1">"c2083"</definedName>
    <definedName name="_6__123Graph_CO_S_GAS" hidden="1">#REF!</definedName>
    <definedName name="_6__123Graph_DCHART_1" hidden="1">#REF!</definedName>
    <definedName name="_6__123Graph_ECHART_1" hidden="1">#REF!</definedName>
    <definedName name="_6__FDSAUDITLINK__" localSheetId="10" hidden="1">{"fdsup://directions/FAT Viewer?action=UPDATE&amp;creator=factset&amp;DYN_ARGS=TRUE&amp;DOC_NAME=FAT:FQL_AUDITING_CLIENT_TEMPLATE.FAT&amp;display_string=Audit&amp;VAR:KEY=OTSHKDQZSV&amp;VAR:QUERY=RkZfQlBTX1RBTkcoQU5OLDQwMjc3KQ==&amp;WINDOW=FIRST_POPUP&amp;HEIGHT=450&amp;WIDTH=450&amp;START_MAXIMI","ZED=FALSE&amp;VAR:CALENDAR=US&amp;VAR:SYMBOL=DIOD&amp;VAR:INDEX=0"}</definedName>
    <definedName name="_6__FDSAUDITLINK__" localSheetId="9" hidden="1">{"fdsup://directions/FAT Viewer?action=UPDATE&amp;creator=factset&amp;DYN_ARGS=TRUE&amp;DOC_NAME=FAT:FQL_AUDITING_CLIENT_TEMPLATE.FAT&amp;display_string=Audit&amp;VAR:KEY=OTSHKDQZSV&amp;VAR:QUERY=RkZfQlBTX1RBTkcoQU5OLDQwMjc3KQ==&amp;WINDOW=FIRST_POPUP&amp;HEIGHT=450&amp;WIDTH=450&amp;START_MAXIMI","ZED=FALSE&amp;VAR:CALENDAR=US&amp;VAR:SYMBOL=DIOD&amp;VAR:INDEX=0"}</definedName>
    <definedName name="_6__FDSAUDITLINK__" hidden="1">{"fdsup://directions/FAT Viewer?action=UPDATE&amp;creator=factset&amp;DYN_ARGS=TRUE&amp;DOC_NAME=FAT:FQL_AUDITING_CLIENT_TEMPLATE.FAT&amp;display_string=Audit&amp;VAR:KEY=OTSHKDQZSV&amp;VAR:QUERY=RkZfQlBTX1RBTkcoQU5OLDQwMjc3KQ==&amp;WINDOW=FIRST_POPUP&amp;HEIGHT=450&amp;WIDTH=450&amp;START_MAXIMI","ZED=FALSE&amp;VAR:CALENDAR=US&amp;VAR:SYMBOL=DIOD&amp;VAR:INDEX=0"}</definedName>
    <definedName name="_6__FDSAUDITLINK___1" localSheetId="10" hidden="1">{"fdsup://directions/FAT Viewer?action=UPDATE&amp;creator=factset&amp;DYN_ARGS=TRUE&amp;DOC_NAME=FAT:FQL_AUDITING_CLIENT_TEMPLATE.FAT&amp;display_string=Audit&amp;VAR:KEY=OTSHKDQZSV&amp;VAR:QUERY=RkZfQlBTX1RBTkcoQU5OLDQwMjc3KQ==&amp;WINDOW=FIRST_POPUP&amp;HEIGHT=450&amp;WIDTH=450&amp;START_MAXIMI","ZED=FALSE&amp;VAR:CALENDAR=US&amp;VAR:SYMBOL=DIOD&amp;VAR:INDEX=0"}</definedName>
    <definedName name="_6__FDSAUDITLINK___1" localSheetId="9" hidden="1">{"fdsup://directions/FAT Viewer?action=UPDATE&amp;creator=factset&amp;DYN_ARGS=TRUE&amp;DOC_NAME=FAT:FQL_AUDITING_CLIENT_TEMPLATE.FAT&amp;display_string=Audit&amp;VAR:KEY=OTSHKDQZSV&amp;VAR:QUERY=RkZfQlBTX1RBTkcoQU5OLDQwMjc3KQ==&amp;WINDOW=FIRST_POPUP&amp;HEIGHT=450&amp;WIDTH=450&amp;START_MAXIMI","ZED=FALSE&amp;VAR:CALENDAR=US&amp;VAR:SYMBOL=DIOD&amp;VAR:INDEX=0"}</definedName>
    <definedName name="_6__FDSAUDITLINK___1" hidden="1">{"fdsup://directions/FAT Viewer?action=UPDATE&amp;creator=factset&amp;DYN_ARGS=TRUE&amp;DOC_NAME=FAT:FQL_AUDITING_CLIENT_TEMPLATE.FAT&amp;display_string=Audit&amp;VAR:KEY=OTSHKDQZSV&amp;VAR:QUERY=RkZfQlBTX1RBTkcoQU5OLDQwMjc3KQ==&amp;WINDOW=FIRST_POPUP&amp;HEIGHT=450&amp;WIDTH=450&amp;START_MAXIMI","ZED=FALSE&amp;VAR:CALENDAR=US&amp;VAR:SYMBOL=DIOD&amp;VAR:INDEX=0"}</definedName>
    <definedName name="_6_0_0_K" hidden="1">#REF!</definedName>
    <definedName name="_6_0_0_S" hidden="1">#REF!</definedName>
    <definedName name="_60__FDSAUDITLINK__" localSheetId="10" hidden="1">{"fdsup://IBCentral/FAT Viewer?action=UPDATE&amp;creator=factset&amp;DOC_NAME=fat:reuters_annual_source_window.fat&amp;display_string=Audit&amp;DYN_ARGS=TRUE&amp;VAR:ID1=98302410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60__FDSAUDITLINK__" localSheetId="9" hidden="1">{"fdsup://IBCentral/FAT Viewer?action=UPDATE&amp;creator=factset&amp;DOC_NAME=fat:reuters_annual_source_window.fat&amp;display_string=Audit&amp;DYN_ARGS=TRUE&amp;VAR:ID1=98302410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60__FDSAUDITLINK__" hidden="1">{"fdsup://IBCentral/FAT Viewer?action=UPDATE&amp;creator=factset&amp;DOC_NAME=fat:reuters_annual_source_window.fat&amp;display_string=Audit&amp;DYN_ARGS=TRUE&amp;VAR:ID1=98302410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61__FDSAUDITLINK__" localSheetId="10" hidden="1">{"fdsup://IBCentral/FAT Viewer?action=UPDATE&amp;creator=factset&amp;DOC_NAME=fat:reuters_annual_source_window.fat&amp;display_string=Audit&amp;DYN_ARGS=TRUE&amp;VAR:ID1=98302410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61__FDSAUDITLINK__" localSheetId="9" hidden="1">{"fdsup://IBCentral/FAT Viewer?action=UPDATE&amp;creator=factset&amp;DOC_NAME=fat:reuters_annual_source_window.fat&amp;display_string=Audit&amp;DYN_ARGS=TRUE&amp;VAR:ID1=98302410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61__FDSAUDITLINK__" hidden="1">{"fdsup://IBCentral/FAT Viewer?action=UPDATE&amp;creator=factset&amp;DOC_NAME=fat:reuters_annual_source_window.fat&amp;display_string=Audit&amp;DYN_ARGS=TRUE&amp;VAR:ID1=98302410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62__FDSAUDITLINK__" localSheetId="10" hidden="1">{"fdsup://IBCentral/FAT Viewer?action=UPDATE&amp;creator=factset&amp;DOC_NAME=fat:reuters_annual_source_window.fat&amp;display_string=Audit&amp;DYN_ARGS=TRUE&amp;VAR:ID1=80660510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62__FDSAUDITLINK__" localSheetId="9" hidden="1">{"fdsup://IBCentral/FAT Viewer?action=UPDATE&amp;creator=factset&amp;DOC_NAME=fat:reuters_annual_source_window.fat&amp;display_string=Audit&amp;DYN_ARGS=TRUE&amp;VAR:ID1=80660510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62__FDSAUDITLINK__" hidden="1">{"fdsup://IBCentral/FAT Viewer?action=UPDATE&amp;creator=factset&amp;DOC_NAME=fat:reuters_annual_source_window.fat&amp;display_string=Audit&amp;DYN_ARGS=TRUE&amp;VAR:ID1=80660510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63__FDSAUDITLINK__" localSheetId="10" hidden="1">{"fdsup://IBCentral/FAT Viewer?action=UPDATE&amp;creator=factset&amp;DOC_NAME=fat:reuters_annual_source_window.fat&amp;display_string=Audit&amp;DYN_ARGS=TRUE&amp;VAR:ID1=80660510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63__FDSAUDITLINK__" localSheetId="9" hidden="1">{"fdsup://IBCentral/FAT Viewer?action=UPDATE&amp;creator=factset&amp;DOC_NAME=fat:reuters_annual_source_window.fat&amp;display_string=Audit&amp;DYN_ARGS=TRUE&amp;VAR:ID1=80660510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63__FDSAUDITLINK__" hidden="1">{"fdsup://IBCentral/FAT Viewer?action=UPDATE&amp;creator=factset&amp;DOC_NAME=fat:reuters_annual_source_window.fat&amp;display_string=Audit&amp;DYN_ARGS=TRUE&amp;VAR:ID1=80660510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64__FDSAUDITLINK__" localSheetId="10" hidden="1">{"fdsup://IBCentral/FAT Viewer?action=UPDATE&amp;creator=factset&amp;DOC_NAME=fat:reuters_annual_source_window.fat&amp;display_string=Audit&amp;DYN_ARGS=TRUE&amp;VAR:ID1=71708110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64__FDSAUDITLINK__" localSheetId="9" hidden="1">{"fdsup://IBCentral/FAT Viewer?action=UPDATE&amp;creator=factset&amp;DOC_NAME=fat:reuters_annual_source_window.fat&amp;display_string=Audit&amp;DYN_ARGS=TRUE&amp;VAR:ID1=71708110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64__FDSAUDITLINK__" hidden="1">{"fdsup://IBCentral/FAT Viewer?action=UPDATE&amp;creator=factset&amp;DOC_NAME=fat:reuters_annual_source_window.fat&amp;display_string=Audit&amp;DYN_ARGS=TRUE&amp;VAR:ID1=71708110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65__FDSAUDITLINK__" localSheetId="10" hidden="1">{"fdsup://IBCentral/FAT Viewer?action=UPDATE&amp;creator=factset&amp;DOC_NAME=fat:reuters_annual_source_window.fat&amp;display_string=Audit&amp;DYN_ARGS=TRUE&amp;VAR:ID1=71708110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65__FDSAUDITLINK__" localSheetId="9" hidden="1">{"fdsup://IBCentral/FAT Viewer?action=UPDATE&amp;creator=factset&amp;DOC_NAME=fat:reuters_annual_source_window.fat&amp;display_string=Audit&amp;DYN_ARGS=TRUE&amp;VAR:ID1=71708110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65__FDSAUDITLINK__" hidden="1">{"fdsup://IBCentral/FAT Viewer?action=UPDATE&amp;creator=factset&amp;DOC_NAME=fat:reuters_annual_source_window.fat&amp;display_string=Audit&amp;DYN_ARGS=TRUE&amp;VAR:ID1=71708110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66__FDSAUDITLINK__" localSheetId="10" hidden="1">{"fdsup://IBCentral/FAT Viewer?action=UPDATE&amp;creator=factset&amp;DOC_NAME=fat:reuters_annual_source_window.fat&amp;display_string=Audit&amp;DYN_ARGS=TRUE&amp;VAR:ID1=58933110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66__FDSAUDITLINK__" localSheetId="9" hidden="1">{"fdsup://IBCentral/FAT Viewer?action=UPDATE&amp;creator=factset&amp;DOC_NAME=fat:reuters_annual_source_window.fat&amp;display_string=Audit&amp;DYN_ARGS=TRUE&amp;VAR:ID1=58933110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66__FDSAUDITLINK__" hidden="1">{"fdsup://IBCentral/FAT Viewer?action=UPDATE&amp;creator=factset&amp;DOC_NAME=fat:reuters_annual_source_window.fat&amp;display_string=Audit&amp;DYN_ARGS=TRUE&amp;VAR:ID1=58933110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67__FDSAUDITLINK__" localSheetId="10" hidden="1">{"fdsup://IBCentral/FAT Viewer?action=UPDATE&amp;creator=factset&amp;DOC_NAME=fat:reuters_annual_source_window.fat&amp;display_string=Audit&amp;DYN_ARGS=TRUE&amp;VAR:ID1=58933110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67__FDSAUDITLINK__" localSheetId="9" hidden="1">{"fdsup://IBCentral/FAT Viewer?action=UPDATE&amp;creator=factset&amp;DOC_NAME=fat:reuters_annual_source_window.fat&amp;display_string=Audit&amp;DYN_ARGS=TRUE&amp;VAR:ID1=58933110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67__FDSAUDITLINK__" hidden="1">{"fdsup://IBCentral/FAT Viewer?action=UPDATE&amp;creator=factset&amp;DOC_NAME=fat:reuters_annual_source_window.fat&amp;display_string=Audit&amp;DYN_ARGS=TRUE&amp;VAR:ID1=58933110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68__FDSAUDITLINK__" localSheetId="10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" localSheetId="9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1" localSheetId="10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1" localSheetId="9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9__FDSAUDITLINK__" localSheetId="10" hidden="1">{"fdsup://IBCentral/FAT Viewer?action=UPDATE&amp;creator=factset&amp;DOC_NAME=fat:reuters_annual_source_window.fat&amp;display_string=Audit&amp;DYN_ARGS=TRUE&amp;VAR:ID1=53245710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69__FDSAUDITLINK__" localSheetId="9" hidden="1">{"fdsup://IBCentral/FAT Viewer?action=UPDATE&amp;creator=factset&amp;DOC_NAME=fat:reuters_annual_source_window.fat&amp;display_string=Audit&amp;DYN_ARGS=TRUE&amp;VAR:ID1=53245710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69__FDSAUDITLINK__" hidden="1">{"fdsup://IBCentral/FAT Viewer?action=UPDATE&amp;creator=factset&amp;DOC_NAME=fat:reuters_annual_source_window.fat&amp;display_string=Audit&amp;DYN_ARGS=TRUE&amp;VAR:ID1=53245710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6IQ_FHLB_DUE_CY" hidden="1">"c2082"</definedName>
    <definedName name="_6S" hidden="1">#REF!</definedName>
    <definedName name="_7__123Graph_CT_OVER" hidden="1">#REF!</definedName>
    <definedName name="_7__123Graph_ECHART_1" hidden="1">#REF!</definedName>
    <definedName name="_7__123Graph_XCHART_2" hidden="1">#REF!</definedName>
    <definedName name="_7__FDSAUDITLINK__" localSheetId="10" hidden="1">{"fdsup://directions/FAT Viewer?action=UPDATE&amp;creator=factset&amp;DYN_ARGS=TRUE&amp;DOC_NAME=FAT:FQL_AUDITING_CLIENT_TEMPLATE.FAT&amp;display_string=Audit&amp;VAR:KEY=KHAXWZIVMT&amp;VAR:QUERY=RkZfQlBTX1RBTkcoQU5OLDQwMjc3KQ==&amp;WINDOW=FIRST_POPUP&amp;HEIGHT=450&amp;WIDTH=450&amp;START_MAXIMI","ZED=FALSE&amp;VAR:CALENDAR=US&amp;VAR:SYMBOL=VSH&amp;VAR:INDEX=0"}</definedName>
    <definedName name="_7__FDSAUDITLINK__" localSheetId="9" hidden="1">{"fdsup://directions/FAT Viewer?action=UPDATE&amp;creator=factset&amp;DYN_ARGS=TRUE&amp;DOC_NAME=FAT:FQL_AUDITING_CLIENT_TEMPLATE.FAT&amp;display_string=Audit&amp;VAR:KEY=KHAXWZIVMT&amp;VAR:QUERY=RkZfQlBTX1RBTkcoQU5OLDQwMjc3KQ==&amp;WINDOW=FIRST_POPUP&amp;HEIGHT=450&amp;WIDTH=450&amp;START_MAXIMI","ZED=FALSE&amp;VAR:CALENDAR=US&amp;VAR:SYMBOL=VSH&amp;VAR:INDEX=0"}</definedName>
    <definedName name="_7__FDSAUDITLINK__" hidden="1">{"fdsup://directions/FAT Viewer?action=UPDATE&amp;creator=factset&amp;DYN_ARGS=TRUE&amp;DOC_NAME=FAT:FQL_AUDITING_CLIENT_TEMPLATE.FAT&amp;display_string=Audit&amp;VAR:KEY=KHAXWZIVMT&amp;VAR:QUERY=RkZfQlBTX1RBTkcoQU5OLDQwMjc3KQ==&amp;WINDOW=FIRST_POPUP&amp;HEIGHT=450&amp;WIDTH=450&amp;START_MAXIMI","ZED=FALSE&amp;VAR:CALENDAR=US&amp;VAR:SYMBOL=VSH&amp;VAR:INDEX=0"}</definedName>
    <definedName name="_7__FDSAUDITLINK___1" localSheetId="10" hidden="1">{"fdsup://directions/FAT Viewer?action=UPDATE&amp;creator=factset&amp;DYN_ARGS=TRUE&amp;DOC_NAME=FAT:FQL_AUDITING_CLIENT_TEMPLATE.FAT&amp;display_string=Audit&amp;VAR:KEY=KHAXWZIVMT&amp;VAR:QUERY=RkZfQlBTX1RBTkcoQU5OLDQwMjc3KQ==&amp;WINDOW=FIRST_POPUP&amp;HEIGHT=450&amp;WIDTH=450&amp;START_MAXIMI","ZED=FALSE&amp;VAR:CALENDAR=US&amp;VAR:SYMBOL=VSH&amp;VAR:INDEX=0"}</definedName>
    <definedName name="_7__FDSAUDITLINK___1" localSheetId="9" hidden="1">{"fdsup://directions/FAT Viewer?action=UPDATE&amp;creator=factset&amp;DYN_ARGS=TRUE&amp;DOC_NAME=FAT:FQL_AUDITING_CLIENT_TEMPLATE.FAT&amp;display_string=Audit&amp;VAR:KEY=KHAXWZIVMT&amp;VAR:QUERY=RkZfQlBTX1RBTkcoQU5OLDQwMjc3KQ==&amp;WINDOW=FIRST_POPUP&amp;HEIGHT=450&amp;WIDTH=450&amp;START_MAXIMI","ZED=FALSE&amp;VAR:CALENDAR=US&amp;VAR:SYMBOL=VSH&amp;VAR:INDEX=0"}</definedName>
    <definedName name="_7__FDSAUDITLINK___1" hidden="1">{"fdsup://directions/FAT Viewer?action=UPDATE&amp;creator=factset&amp;DYN_ARGS=TRUE&amp;DOC_NAME=FAT:FQL_AUDITING_CLIENT_TEMPLATE.FAT&amp;display_string=Audit&amp;VAR:KEY=KHAXWZIVMT&amp;VAR:QUERY=RkZfQlBTX1RBTkcoQU5OLDQwMjc3KQ==&amp;WINDOW=FIRST_POPUP&amp;HEIGHT=450&amp;WIDTH=450&amp;START_MAXIMI","ZED=FALSE&amp;VAR:CALENDAR=US&amp;VAR:SYMBOL=VSH&amp;VAR:INDEX=0"}</definedName>
    <definedName name="_7_0__123Grap" hidden="1">#REF!</definedName>
    <definedName name="_70__FDSAUDITLINK__" localSheetId="10" hidden="1">{"fdsup://IBCentral/FAT Viewer?action=UPDATE&amp;creator=factset&amp;DOC_NAME=fat:reuters_annual_source_window.fat&amp;display_string=Audit&amp;DYN_ARGS=TRUE&amp;VAR:ID1=11012210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70__FDSAUDITLINK__" localSheetId="9" hidden="1">{"fdsup://IBCentral/FAT Viewer?action=UPDATE&amp;creator=factset&amp;DOC_NAME=fat:reuters_annual_source_window.fat&amp;display_string=Audit&amp;DYN_ARGS=TRUE&amp;VAR:ID1=11012210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70__FDSAUDITLINK__" hidden="1">{"fdsup://IBCentral/FAT Viewer?action=UPDATE&amp;creator=factset&amp;DOC_NAME=fat:reuters_annual_source_window.fat&amp;display_string=Audit&amp;DYN_ARGS=TRUE&amp;VAR:ID1=11012210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71__FDSAUDITLINK__" localSheetId="10" hidden="1">{"fdsup://IBCentral/FAT Viewer?action=UPDATE&amp;creator=factset&amp;DOC_NAME=fat:reuters_annual_source_window.fat&amp;display_string=Audit&amp;DYN_ARGS=TRUE&amp;VAR:ID1=11012210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71__FDSAUDITLINK__" localSheetId="9" hidden="1">{"fdsup://IBCentral/FAT Viewer?action=UPDATE&amp;creator=factset&amp;DOC_NAME=fat:reuters_annual_source_window.fat&amp;display_string=Audit&amp;DYN_ARGS=TRUE&amp;VAR:ID1=11012210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71__FDSAUDITLINK__" hidden="1">{"fdsup://IBCentral/FAT Viewer?action=UPDATE&amp;creator=factset&amp;DOC_NAME=fat:reuters_annual_source_window.fat&amp;display_string=Audit&amp;DYN_ARGS=TRUE&amp;VAR:ID1=11012210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72__FDSAUDITLINK__" localSheetId="10" hidden="1">{"fdsup://IBCentral/FAT Viewer?action=UPDATE&amp;creator=factset&amp;DOC_NAME=fat:reuters_annual_source_window.fat&amp;display_string=Audit&amp;DYN_ARGS=TRUE&amp;VAR:ID1=98302410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72__FDSAUDITLINK__" localSheetId="9" hidden="1">{"fdsup://IBCentral/FAT Viewer?action=UPDATE&amp;creator=factset&amp;DOC_NAME=fat:reuters_annual_source_window.fat&amp;display_string=Audit&amp;DYN_ARGS=TRUE&amp;VAR:ID1=98302410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72__FDSAUDITLINK__" hidden="1">{"fdsup://IBCentral/FAT Viewer?action=UPDATE&amp;creator=factset&amp;DOC_NAME=fat:reuters_annual_source_window.fat&amp;display_string=Audit&amp;DYN_ARGS=TRUE&amp;VAR:ID1=98302410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73__FDSAUDITLINK__" localSheetId="10" hidden="1">{"fdsup://IBCentral/FAT Viewer?action=UPDATE&amp;creator=factset&amp;DOC_NAME=fat:reuters_annual_source_window.fat&amp;display_string=Audit&amp;DYN_ARGS=TRUE&amp;VAR:ID1=98302410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73__FDSAUDITLINK__" localSheetId="9" hidden="1">{"fdsup://IBCentral/FAT Viewer?action=UPDATE&amp;creator=factset&amp;DOC_NAME=fat:reuters_annual_source_window.fat&amp;display_string=Audit&amp;DYN_ARGS=TRUE&amp;VAR:ID1=98302410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73__FDSAUDITLINK__" hidden="1">{"fdsup://IBCentral/FAT Viewer?action=UPDATE&amp;creator=factset&amp;DOC_NAME=fat:reuters_annual_source_window.fat&amp;display_string=Audit&amp;DYN_ARGS=TRUE&amp;VAR:ID1=98302410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74__FDSAUDITLINK__" localSheetId="10" hidden="1">{"fdsup://IBCentral/FAT Viewer?action=UPDATE&amp;creator=factset&amp;DOC_NAME=fat:reuters_annual_source_window.fat&amp;display_string=Audit&amp;DYN_ARGS=TRUE&amp;VAR:ID1=80660510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74__FDSAUDITLINK__" localSheetId="9" hidden="1">{"fdsup://IBCentral/FAT Viewer?action=UPDATE&amp;creator=factset&amp;DOC_NAME=fat:reuters_annual_source_window.fat&amp;display_string=Audit&amp;DYN_ARGS=TRUE&amp;VAR:ID1=80660510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74__FDSAUDITLINK__" hidden="1">{"fdsup://IBCentral/FAT Viewer?action=UPDATE&amp;creator=factset&amp;DOC_NAME=fat:reuters_annual_source_window.fat&amp;display_string=Audit&amp;DYN_ARGS=TRUE&amp;VAR:ID1=80660510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75__FDSAUDITLINK__" localSheetId="10" hidden="1">{"fdsup://IBCentral/FAT Viewer?action=UPDATE&amp;creator=factset&amp;DOC_NAME=fat:reuters_annual_source_window.fat&amp;display_string=Audit&amp;DYN_ARGS=TRUE&amp;VAR:ID1=80660510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75__FDSAUDITLINK__" localSheetId="9" hidden="1">{"fdsup://IBCentral/FAT Viewer?action=UPDATE&amp;creator=factset&amp;DOC_NAME=fat:reuters_annual_source_window.fat&amp;display_string=Audit&amp;DYN_ARGS=TRUE&amp;VAR:ID1=80660510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75__FDSAUDITLINK__" hidden="1">{"fdsup://IBCentral/FAT Viewer?action=UPDATE&amp;creator=factset&amp;DOC_NAME=fat:reuters_annual_source_window.fat&amp;display_string=Audit&amp;DYN_ARGS=TRUE&amp;VAR:ID1=80660510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76__FDSAUDITLINK__" localSheetId="10" hidden="1">{"fdsup://IBCentral/FAT Viewer?action=UPDATE&amp;creator=factset&amp;DOC_NAME=fat:reuters_annual_source_window.fat&amp;display_string=Audit&amp;DYN_ARGS=TRUE&amp;VAR:ID1=71708110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76__FDSAUDITLINK__" localSheetId="9" hidden="1">{"fdsup://IBCentral/FAT Viewer?action=UPDATE&amp;creator=factset&amp;DOC_NAME=fat:reuters_annual_source_window.fat&amp;display_string=Audit&amp;DYN_ARGS=TRUE&amp;VAR:ID1=71708110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76__FDSAUDITLINK__" hidden="1">{"fdsup://IBCentral/FAT Viewer?action=UPDATE&amp;creator=factset&amp;DOC_NAME=fat:reuters_annual_source_window.fat&amp;display_string=Audit&amp;DYN_ARGS=TRUE&amp;VAR:ID1=71708110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77__FDSAUDITLINK__" localSheetId="10" hidden="1">{"fdsup://IBCentral/FAT Viewer?action=UPDATE&amp;creator=factset&amp;DOC_NAME=fat:reuters_annual_source_window.fat&amp;display_string=Audit&amp;DYN_ARGS=TRUE&amp;VAR:ID1=71708110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77__FDSAUDITLINK__" localSheetId="9" hidden="1">{"fdsup://IBCentral/FAT Viewer?action=UPDATE&amp;creator=factset&amp;DOC_NAME=fat:reuters_annual_source_window.fat&amp;display_string=Audit&amp;DYN_ARGS=TRUE&amp;VAR:ID1=71708110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77__FDSAUDITLINK__" hidden="1">{"fdsup://IBCentral/FAT Viewer?action=UPDATE&amp;creator=factset&amp;DOC_NAME=fat:reuters_annual_source_window.fat&amp;display_string=Audit&amp;DYN_ARGS=TRUE&amp;VAR:ID1=71708110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78__FDSAUDITLINK__" localSheetId="10" hidden="1">{"fdsup://IBCentral/FAT Viewer?action=UPDATE&amp;creator=factset&amp;DOC_NAME=fat:reuters_annual_source_window.fat&amp;display_string=Audit&amp;DYN_ARGS=TRUE&amp;VAR:ID1=58933110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78__FDSAUDITLINK__" localSheetId="9" hidden="1">{"fdsup://IBCentral/FAT Viewer?action=UPDATE&amp;creator=factset&amp;DOC_NAME=fat:reuters_annual_source_window.fat&amp;display_string=Audit&amp;DYN_ARGS=TRUE&amp;VAR:ID1=58933110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78__FDSAUDITLINK__" hidden="1">{"fdsup://IBCentral/FAT Viewer?action=UPDATE&amp;creator=factset&amp;DOC_NAME=fat:reuters_annual_source_window.fat&amp;display_string=Audit&amp;DYN_ARGS=TRUE&amp;VAR:ID1=58933110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79__FDSAUDITLINK__" localSheetId="10" hidden="1">{"fdsup://IBCentral/FAT Viewer?action=UPDATE&amp;creator=factset&amp;DOC_NAME=fat:reuters_annual_source_window.fat&amp;display_string=Audit&amp;DYN_ARGS=TRUE&amp;VAR:ID1=58933110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79__FDSAUDITLINK__" localSheetId="9" hidden="1">{"fdsup://IBCentral/FAT Viewer?action=UPDATE&amp;creator=factset&amp;DOC_NAME=fat:reuters_annual_source_window.fat&amp;display_string=Audit&amp;DYN_ARGS=TRUE&amp;VAR:ID1=58933110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79__FDSAUDITLINK__" hidden="1">{"fdsup://IBCentral/FAT Viewer?action=UPDATE&amp;creator=factset&amp;DOC_NAME=fat:reuters_annual_source_window.fat&amp;display_string=Audit&amp;DYN_ARGS=TRUE&amp;VAR:ID1=58933110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7A3_" localSheetId="10" hidden="1">{#N/A,#N/A,FALSE,"단축1";#N/A,#N/A,FALSE,"단축2";#N/A,#N/A,FALSE,"단축3";#N/A,#N/A,FALSE,"장축";#N/A,#N/A,FALSE,"4WD"}</definedName>
    <definedName name="_7A3_" localSheetId="9" hidden="1">{#N/A,#N/A,FALSE,"단축1";#N/A,#N/A,FALSE,"단축2";#N/A,#N/A,FALSE,"단축3";#N/A,#N/A,FALSE,"장축";#N/A,#N/A,FALSE,"4WD"}</definedName>
    <definedName name="_7A3_" hidden="1">{#N/A,#N/A,FALSE,"단축1";#N/A,#N/A,FALSE,"단축2";#N/A,#N/A,FALSE,"단축3";#N/A,#N/A,FALSE,"장축";#N/A,#N/A,FALSE,"4WD"}</definedName>
    <definedName name="_8__123Graph_D__LTR" hidden="1">#REF!</definedName>
    <definedName name="_8__123Graph_XCHART_2" hidden="1">#REF!</definedName>
    <definedName name="_8__FDSAUDITLINK__" localSheetId="10" hidden="1">{"fdsup://directions/FAT Viewer?action=UPDATE&amp;creator=factset&amp;DYN_ARGS=TRUE&amp;DOC_NAME=FAT:FQL_AUDITING_CLIENT_TEMPLATE.FAT&amp;display_string=Audit&amp;VAR:KEY=MROTUPEVCL&amp;VAR:QUERY=RkZfQlBTX1RBTkcoQU5OLDQwMjc3KQ==&amp;WINDOW=FIRST_POPUP&amp;HEIGHT=450&amp;WIDTH=450&amp;START_MAXIMI","ZED=FALSE&amp;VAR:CALENDAR=US&amp;VAR:SYMBOL=ONNN&amp;VAR:INDEX=0"}</definedName>
    <definedName name="_8__FDSAUDITLINK__" localSheetId="9" hidden="1">{"fdsup://directions/FAT Viewer?action=UPDATE&amp;creator=factset&amp;DYN_ARGS=TRUE&amp;DOC_NAME=FAT:FQL_AUDITING_CLIENT_TEMPLATE.FAT&amp;display_string=Audit&amp;VAR:KEY=MROTUPEVCL&amp;VAR:QUERY=RkZfQlBTX1RBTkcoQU5OLDQwMjc3KQ==&amp;WINDOW=FIRST_POPUP&amp;HEIGHT=450&amp;WIDTH=450&amp;START_MAXIMI","ZED=FALSE&amp;VAR:CALENDAR=US&amp;VAR:SYMBOL=ONNN&amp;VAR:INDEX=0"}</definedName>
    <definedName name="_8__FDSAUDITLINK__" hidden="1">{"fdsup://directions/FAT Viewer?action=UPDATE&amp;creator=factset&amp;DYN_ARGS=TRUE&amp;DOC_NAME=FAT:FQL_AUDITING_CLIENT_TEMPLATE.FAT&amp;display_string=Audit&amp;VAR:KEY=MROTUPEVCL&amp;VAR:QUERY=RkZfQlBTX1RBTkcoQU5OLDQwMjc3KQ==&amp;WINDOW=FIRST_POPUP&amp;HEIGHT=450&amp;WIDTH=450&amp;START_MAXIMI","ZED=FALSE&amp;VAR:CALENDAR=US&amp;VAR:SYMBOL=ONNN&amp;VAR:INDEX=0"}</definedName>
    <definedName name="_8__FDSAUDITLINK___1" localSheetId="10" hidden="1">{"fdsup://directions/FAT Viewer?action=UPDATE&amp;creator=factset&amp;DYN_ARGS=TRUE&amp;DOC_NAME=FAT:FQL_AUDITING_CLIENT_TEMPLATE.FAT&amp;display_string=Audit&amp;VAR:KEY=MROTUPEVCL&amp;VAR:QUERY=RkZfQlBTX1RBTkcoQU5OLDQwMjc3KQ==&amp;WINDOW=FIRST_POPUP&amp;HEIGHT=450&amp;WIDTH=450&amp;START_MAXIMI","ZED=FALSE&amp;VAR:CALENDAR=US&amp;VAR:SYMBOL=ONNN&amp;VAR:INDEX=0"}</definedName>
    <definedName name="_8__FDSAUDITLINK___1" localSheetId="9" hidden="1">{"fdsup://directions/FAT Viewer?action=UPDATE&amp;creator=factset&amp;DYN_ARGS=TRUE&amp;DOC_NAME=FAT:FQL_AUDITING_CLIENT_TEMPLATE.FAT&amp;display_string=Audit&amp;VAR:KEY=MROTUPEVCL&amp;VAR:QUERY=RkZfQlBTX1RBTkcoQU5OLDQwMjc3KQ==&amp;WINDOW=FIRST_POPUP&amp;HEIGHT=450&amp;WIDTH=450&amp;START_MAXIMI","ZED=FALSE&amp;VAR:CALENDAR=US&amp;VAR:SYMBOL=ONNN&amp;VAR:INDEX=0"}</definedName>
    <definedName name="_8__FDSAUDITLINK___1" hidden="1">{"fdsup://directions/FAT Viewer?action=UPDATE&amp;creator=factset&amp;DYN_ARGS=TRUE&amp;DOC_NAME=FAT:FQL_AUDITING_CLIENT_TEMPLATE.FAT&amp;display_string=Audit&amp;VAR:KEY=MROTUPEVCL&amp;VAR:QUERY=RkZfQlBTX1RBTkcoQU5OLDQwMjc3KQ==&amp;WINDOW=FIRST_POPUP&amp;HEIGHT=450&amp;WIDTH=450&amp;START_MAXIMI","ZED=FALSE&amp;VAR:CALENDAR=US&amp;VAR:SYMBOL=ONNN&amp;VAR:INDEX=0"}</definedName>
    <definedName name="_80__FDSAUDITLINK__" localSheetId="10" hidden="1">{"fdsup://IBCentral/FAT Viewer?action=UPDATE&amp;creator=factset&amp;DOC_NAME=fat:reuters_annual_source_window.fat&amp;display_string=Audit&amp;DYN_ARGS=TRUE&amp;VAR:ID1=53245710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80__FDSAUDITLINK__" localSheetId="9" hidden="1">{"fdsup://IBCentral/FAT Viewer?action=UPDATE&amp;creator=factset&amp;DOC_NAME=fat:reuters_annual_source_window.fat&amp;display_string=Audit&amp;DYN_ARGS=TRUE&amp;VAR:ID1=53245710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80__FDSAUDITLINK__" hidden="1">{"fdsup://IBCentral/FAT Viewer?action=UPDATE&amp;creator=factset&amp;DOC_NAME=fat:reuters_annual_source_window.fat&amp;display_string=Audit&amp;DYN_ARGS=TRUE&amp;VAR:ID1=53245710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81__FDSAUDITLINK__" localSheetId="10" hidden="1">{"fdsup://IBCentral/FAT Viewer?action=UPDATE&amp;creator=factset&amp;DOC_NAME=fat:reuters_annual_source_window.fat&amp;display_string=Audit&amp;DYN_ARGS=TRUE&amp;VAR:ID1=53245710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81__FDSAUDITLINK__" localSheetId="9" hidden="1">{"fdsup://IBCentral/FAT Viewer?action=UPDATE&amp;creator=factset&amp;DOC_NAME=fat:reuters_annual_source_window.fat&amp;display_string=Audit&amp;DYN_ARGS=TRUE&amp;VAR:ID1=53245710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81__FDSAUDITLINK__" hidden="1">{"fdsup://IBCentral/FAT Viewer?action=UPDATE&amp;creator=factset&amp;DOC_NAME=fat:reuters_annual_source_window.fat&amp;display_string=Audit&amp;DYN_ARGS=TRUE&amp;VAR:ID1=53245710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82__FDSAUDITLINK__" localSheetId="10" hidden="1">{"fdsup://IBCentral/FAT Viewer?action=UPDATE&amp;creator=factset&amp;DOC_NAME=fat:reuters_annual_source_window.fat&amp;display_string=Audit&amp;DYN_ARGS=TRUE&amp;VAR:ID1=11012210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82__FDSAUDITLINK__" localSheetId="9" hidden="1">{"fdsup://IBCentral/FAT Viewer?action=UPDATE&amp;creator=factset&amp;DOC_NAME=fat:reuters_annual_source_window.fat&amp;display_string=Audit&amp;DYN_ARGS=TRUE&amp;VAR:ID1=11012210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82__FDSAUDITLINK__" hidden="1">{"fdsup://IBCentral/FAT Viewer?action=UPDATE&amp;creator=factset&amp;DOC_NAME=fat:reuters_annual_source_window.fat&amp;display_string=Audit&amp;DYN_ARGS=TRUE&amp;VAR:ID1=11012210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83__FDSAUDITLINK__" localSheetId="10" hidden="1">{"fdsup://IBCentral/FAT Viewer?action=UPDATE&amp;creator=factset&amp;DOC_NAME=fat:reuters_annual_source_window.fat&amp;display_string=Audit&amp;DYN_ARGS=TRUE&amp;VAR:ID1=11012210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83__FDSAUDITLINK__" localSheetId="9" hidden="1">{"fdsup://IBCentral/FAT Viewer?action=UPDATE&amp;creator=factset&amp;DOC_NAME=fat:reuters_annual_source_window.fat&amp;display_string=Audit&amp;DYN_ARGS=TRUE&amp;VAR:ID1=11012210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83__FDSAUDITLINK__" hidden="1">{"fdsup://IBCentral/FAT Viewer?action=UPDATE&amp;creator=factset&amp;DOC_NAME=fat:reuters_annual_source_window.fat&amp;display_string=Audit&amp;DYN_ARGS=TRUE&amp;VAR:ID1=11012210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84__FDSAUDITLINK__" localSheetId="10" hidden="1">{"fdsup://IBCentral/FAT Viewer?action=UPDATE&amp;creator=factset&amp;DOC_NAME=fat:reuters_annual_source_window.fat&amp;display_string=Audit&amp;DYN_ARGS=TRUE&amp;VAR:ID1=37291710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84__FDSAUDITLINK__" localSheetId="9" hidden="1">{"fdsup://IBCentral/FAT Viewer?action=UPDATE&amp;creator=factset&amp;DOC_NAME=fat:reuters_annual_source_window.fat&amp;display_string=Audit&amp;DYN_ARGS=TRUE&amp;VAR:ID1=37291710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84__FDSAUDITLINK__" hidden="1">{"fdsup://IBCentral/FAT Viewer?action=UPDATE&amp;creator=factset&amp;DOC_NAME=fat:reuters_annual_source_window.fat&amp;display_string=Audit&amp;DYN_ARGS=TRUE&amp;VAR:ID1=37291710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85__FDSAUDITLINK__" localSheetId="10" hidden="1">{"fdsup://IBCentral/FAT Viewer?action=UPDATE&amp;creator=factset&amp;DOC_NAME=fat:reuters_annual_source_window.fat&amp;display_string=Audit&amp;DYN_ARGS=TRUE&amp;VAR:ID1=37291710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85__FDSAUDITLINK__" localSheetId="9" hidden="1">{"fdsup://IBCentral/FAT Viewer?action=UPDATE&amp;creator=factset&amp;DOC_NAME=fat:reuters_annual_source_window.fat&amp;display_string=Audit&amp;DYN_ARGS=TRUE&amp;VAR:ID1=37291710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85__FDSAUDITLINK__" hidden="1">{"fdsup://IBCentral/FAT Viewer?action=UPDATE&amp;creator=factset&amp;DOC_NAME=fat:reuters_annual_source_window.fat&amp;display_string=Audit&amp;DYN_ARGS=TRUE&amp;VAR:ID1=37291710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86__FDSAUDITLINK__" localSheetId="10" hidden="1">{"fdsup://IBCentral/FAT Viewer?action=UPDATE&amp;creator=factset&amp;DOC_NAME=fat:reuters_annual_source_window.fat&amp;display_string=Audit&amp;DYN_ARGS=TRUE&amp;VAR:ID1=36871040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86__FDSAUDITLINK__" localSheetId="9" hidden="1">{"fdsup://IBCentral/FAT Viewer?action=UPDATE&amp;creator=factset&amp;DOC_NAME=fat:reuters_annual_source_window.fat&amp;display_string=Audit&amp;DYN_ARGS=TRUE&amp;VAR:ID1=36871040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86__FDSAUDITLINK__" hidden="1">{"fdsup://IBCentral/FAT Viewer?action=UPDATE&amp;creator=factset&amp;DOC_NAME=fat:reuters_annual_source_window.fat&amp;display_string=Audit&amp;DYN_ARGS=TRUE&amp;VAR:ID1=36871040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87__FDSAUDITLINK__" localSheetId="10" hidden="1">{"fdsup://IBCentral/FAT Viewer?action=UPDATE&amp;creator=factset&amp;DOC_NAME=fat:reuters_annual_source_window.fat&amp;display_string=Audit&amp;DYN_ARGS=TRUE&amp;VAR:ID1=36871040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87__FDSAUDITLINK__" localSheetId="9" hidden="1">{"fdsup://IBCentral/FAT Viewer?action=UPDATE&amp;creator=factset&amp;DOC_NAME=fat:reuters_annual_source_window.fat&amp;display_string=Audit&amp;DYN_ARGS=TRUE&amp;VAR:ID1=36871040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87__FDSAUDITLINK__" hidden="1">{"fdsup://IBCentral/FAT Viewer?action=UPDATE&amp;creator=factset&amp;DOC_NAME=fat:reuters_annual_source_window.fat&amp;display_string=Audit&amp;DYN_ARGS=TRUE&amp;VAR:ID1=36871040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88__FDSAUDITLINK__" localSheetId="10" hidden="1">{"fdsup://IBCentral/FAT Viewer?action=UPDATE&amp;creator=factset&amp;DOC_NAME=fat:reuters_annual_source_window.fat&amp;display_string=Audit&amp;DYN_ARGS=TRUE&amp;VAR:ID1=15102010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88__FDSAUDITLINK__" localSheetId="9" hidden="1">{"fdsup://IBCentral/FAT Viewer?action=UPDATE&amp;creator=factset&amp;DOC_NAME=fat:reuters_annual_source_window.fat&amp;display_string=Audit&amp;DYN_ARGS=TRUE&amp;VAR:ID1=15102010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88__FDSAUDITLINK__" hidden="1">{"fdsup://IBCentral/FAT Viewer?action=UPDATE&amp;creator=factset&amp;DOC_NAME=fat:reuters_annual_source_window.fat&amp;display_string=Audit&amp;DYN_ARGS=TRUE&amp;VAR:ID1=15102010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89__FDSAUDITLINK__" localSheetId="10" hidden="1">{"fdsup://IBCentral/FAT Viewer?action=UPDATE&amp;creator=factset&amp;DOC_NAME=fat:reuters_annual_source_window.fat&amp;display_string=Audit&amp;DYN_ARGS=TRUE&amp;VAR:ID1=15102010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89__FDSAUDITLINK__" localSheetId="9" hidden="1">{"fdsup://IBCentral/FAT Viewer?action=UPDATE&amp;creator=factset&amp;DOC_NAME=fat:reuters_annual_source_window.fat&amp;display_string=Audit&amp;DYN_ARGS=TRUE&amp;VAR:ID1=15102010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89__FDSAUDITLINK__" hidden="1">{"fdsup://IBCentral/FAT Viewer?action=UPDATE&amp;creator=factset&amp;DOC_NAME=fat:reuters_annual_source_window.fat&amp;display_string=Audit&amp;DYN_ARGS=TRUE&amp;VAR:ID1=15102010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8hk1_" hidden="1">#REF!</definedName>
    <definedName name="_9__123Graph_ACHART_2" hidden="1">#REF!</definedName>
    <definedName name="_9__123Graph_DO_S_GAS" hidden="1">#REF!</definedName>
    <definedName name="_9__FDSAUDITLINK__" localSheetId="10" hidden="1">{"fdsup://IBCentral/FAT Viewer?action=UPDATE&amp;creator=factset&amp;DOC_NAME=fat:reuters_annual_source_window.fat&amp;display_string=Audit&amp;DYN_ARGS=TRUE&amp;VAR:ID1=71429010&amp;VAR:RCODE=COGSFDS&amp;VAR:SDATE=20060699&amp;VAR:FREQ=Y&amp;VAR:RELITEM=RP&amp;VAR:CURRENCY=&amp;VAR:CURRSOURCE=EXSHAR","E&amp;VAR:NATFREQ=ANNUAL&amp;VAR:RFIELD=FINALIZED&amp;VAR:DB_TYPE=&amp;VAR:UNITS=M&amp;window=popup&amp;width=450&amp;height=300&amp;START_MAXIMIZED=FALSE"}</definedName>
    <definedName name="_9__FDSAUDITLINK__" localSheetId="9" hidden="1">{"fdsup://IBCentral/FAT Viewer?action=UPDATE&amp;creator=factset&amp;DOC_NAME=fat:reuters_annual_source_window.fat&amp;display_string=Audit&amp;DYN_ARGS=TRUE&amp;VAR:ID1=71429010&amp;VAR:RCODE=COGSFDS&amp;VAR:SDATE=20060699&amp;VAR:FREQ=Y&amp;VAR:RELITEM=RP&amp;VAR:CURRENCY=&amp;VAR:CURRSOURCE=EXSHAR","E&amp;VAR:NATFREQ=ANNUAL&amp;VAR:RFIELD=FINALIZED&amp;VAR:DB_TYPE=&amp;VAR:UNITS=M&amp;window=popup&amp;width=450&amp;height=300&amp;START_MAXIMIZED=FALSE"}</definedName>
    <definedName name="_9__FDSAUDITLINK__" hidden="1">{"fdsup://IBCentral/FAT Viewer?action=UPDATE&amp;creator=factset&amp;DOC_NAME=fat:reuters_annual_source_window.fat&amp;display_string=Audit&amp;DYN_ARGS=TRUE&amp;VAR:ID1=71429010&amp;VAR:RCODE=COGSFDS&amp;VAR:SDATE=20060699&amp;VAR:FREQ=Y&amp;VAR:RELITEM=RP&amp;VAR:CURRENCY=&amp;VAR:CURRSOURCE=EXSHAR","E&amp;VAR:NATFREQ=ANNUAL&amp;VAR:RFIELD=FINALIZED&amp;VAR:DB_TYPE=&amp;VAR:UNITS=M&amp;window=popup&amp;width=450&amp;height=300&amp;START_MAXIMIZED=FALSE"}</definedName>
    <definedName name="_9__FDSAUDITLINK___1" localSheetId="10" hidden="1">{"fdsup://IBCentral/FAT Viewer?action=UPDATE&amp;creator=factset&amp;DOC_NAME=fat:reuters_annual_source_window.fat&amp;display_string=Audit&amp;DYN_ARGS=TRUE&amp;VAR:ID1=71429010&amp;VAR:RCODE=COGSFDS&amp;VAR:SDATE=20060699&amp;VAR:FREQ=Y&amp;VAR:RELITEM=RP&amp;VAR:CURRENCY=&amp;VAR:CURRSOURCE=EXSHAR","E&amp;VAR:NATFREQ=ANNUAL&amp;VAR:RFIELD=FINALIZED&amp;VAR:DB_TYPE=&amp;VAR:UNITS=M&amp;window=popup&amp;width=450&amp;height=300&amp;START_MAXIMIZED=FALSE"}</definedName>
    <definedName name="_9__FDSAUDITLINK___1" localSheetId="9" hidden="1">{"fdsup://IBCentral/FAT Viewer?action=UPDATE&amp;creator=factset&amp;DOC_NAME=fat:reuters_annual_source_window.fat&amp;display_string=Audit&amp;DYN_ARGS=TRUE&amp;VAR:ID1=71429010&amp;VAR:RCODE=COGSFDS&amp;VAR:SDATE=20060699&amp;VAR:FREQ=Y&amp;VAR:RELITEM=RP&amp;VAR:CURRENCY=&amp;VAR:CURRSOURCE=EXSHAR","E&amp;VAR:NATFREQ=ANNUAL&amp;VAR:RFIELD=FINALIZED&amp;VAR:DB_TYPE=&amp;VAR:UNITS=M&amp;window=popup&amp;width=450&amp;height=300&amp;START_MAXIMIZED=FALSE"}</definedName>
    <definedName name="_9__FDSAUDITLINK___1" hidden="1">{"fdsup://IBCentral/FAT Viewer?action=UPDATE&amp;creator=factset&amp;DOC_NAME=fat:reuters_annual_source_window.fat&amp;display_string=Audit&amp;DYN_ARGS=TRUE&amp;VAR:ID1=71429010&amp;VAR:RCODE=COGSFDS&amp;VAR:SDATE=20060699&amp;VAR:FREQ=Y&amp;VAR:RELITEM=RP&amp;VAR:CURRENCY=&amp;VAR:CURRSOURCE=EXSHAR","E&amp;VAR:NATFREQ=ANNUAL&amp;VAR:RFIELD=FINALIZED&amp;VAR:DB_TYPE=&amp;VAR:UNITS=M&amp;window=popup&amp;width=450&amp;height=300&amp;START_MAXIMIZED=FALSE"}</definedName>
    <definedName name="_9_0_0_K" hidden="1">#REF!</definedName>
    <definedName name="_90__FDSAUDITLINK__" localSheetId="10" hidden="1">{"fdsup://IBCentral/FAT Viewer?action=UPDATE&amp;creator=factset&amp;DOC_NAME=fat:reuters_annual_source_window.fat&amp;display_string=Audit&amp;DYN_ARGS=TRUE&amp;VAR:ID1=09062X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90__FDSAUDITLINK__" localSheetId="9" hidden="1">{"fdsup://IBCentral/FAT Viewer?action=UPDATE&amp;creator=factset&amp;DOC_NAME=fat:reuters_annual_source_window.fat&amp;display_string=Audit&amp;DYN_ARGS=TRUE&amp;VAR:ID1=09062X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90__FDSAUDITLINK__" hidden="1">{"fdsup://IBCentral/FAT Viewer?action=UPDATE&amp;creator=factset&amp;DOC_NAME=fat:reuters_annual_source_window.fat&amp;display_string=Audit&amp;DYN_ARGS=TRUE&amp;VAR:ID1=09062X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91__FDSAUDITLINK__" localSheetId="10" hidden="1">{"fdsup://IBCentral/FAT Viewer?action=UPDATE&amp;creator=factset&amp;DOC_NAME=fat:reuters_annual_source_window.fat&amp;display_string=Audit&amp;DYN_ARGS=TRUE&amp;VAR:ID1=09062X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91__FDSAUDITLINK__" localSheetId="9" hidden="1">{"fdsup://IBCentral/FAT Viewer?action=UPDATE&amp;creator=factset&amp;DOC_NAME=fat:reuters_annual_source_window.fat&amp;display_string=Audit&amp;DYN_ARGS=TRUE&amp;VAR:ID1=09062X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91__FDSAUDITLINK__" hidden="1">{"fdsup://IBCentral/FAT Viewer?action=UPDATE&amp;creator=factset&amp;DOC_NAME=fat:reuters_annual_source_window.fat&amp;display_string=Audit&amp;DYN_ARGS=TRUE&amp;VAR:ID1=09062X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92__FDSAUDITLINK__" localSheetId="10" hidden="1">{"fdsup://IBCentral/FAT Viewer?action=UPDATE&amp;creator=factset&amp;DOC_NAME=fat:reuters_annual_source_window.fat&amp;display_string=Audit&amp;DYN_ARGS=TRUE&amp;VAR:ID1=03116210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92__FDSAUDITLINK__" localSheetId="9" hidden="1">{"fdsup://IBCentral/FAT Viewer?action=UPDATE&amp;creator=factset&amp;DOC_NAME=fat:reuters_annual_source_window.fat&amp;display_string=Audit&amp;DYN_ARGS=TRUE&amp;VAR:ID1=03116210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92__FDSAUDITLINK__" hidden="1">{"fdsup://IBCentral/FAT Viewer?action=UPDATE&amp;creator=factset&amp;DOC_NAME=fat:reuters_annual_source_window.fat&amp;display_string=Audit&amp;DYN_ARGS=TRUE&amp;VAR:ID1=03116210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93__FDSAUDITLINK__" localSheetId="10" hidden="1">{"fdsup://Directions/FactSet Auditing Viewer?action=AUDIT_VALUE&amp;DB=129&amp;ID1=651702&amp;VALUEID=02001&amp;SDATE=201102&amp;PERIODTYPE=QTR_STD&amp;SCFT=3&amp;window=popup_no_bar&amp;width=385&amp;height=120&amp;START_MAXIMIZED=FALSE&amp;creator=factset&amp;display_string=Audit"}</definedName>
    <definedName name="_93__FDSAUDITLINK__" localSheetId="9" hidden="1">{"fdsup://Directions/FactSet Auditing Viewer?action=AUDIT_VALUE&amp;DB=129&amp;ID1=651702&amp;VALUEID=02001&amp;SDATE=201102&amp;PERIODTYPE=QTR_STD&amp;SCFT=3&amp;window=popup_no_bar&amp;width=385&amp;height=120&amp;START_MAXIMIZED=FALSE&amp;creator=factset&amp;display_string=Audit"}</definedName>
    <definedName name="_93__FDSAUDITLINK__" hidden="1">{"fdsup://Directions/FactSet Auditing Viewer?action=AUDIT_VALUE&amp;DB=129&amp;ID1=651702&amp;VALUEID=02001&amp;SDATE=201102&amp;PERIODTYPE=QTR_STD&amp;SCFT=3&amp;window=popup_no_bar&amp;width=385&amp;height=120&amp;START_MAXIMIZED=FALSE&amp;creator=factset&amp;display_string=Audit"}</definedName>
    <definedName name="_94__FDSAUDITLINK__" localSheetId="10" hidden="1">{"fdsup://IBCentral/FAT Viewer?action=UPDATE&amp;creator=factset&amp;DOC_NAME=fat:reuters_annual_source_window.fat&amp;display_string=Audit&amp;DYN_ARGS=TRUE&amp;VAR:ID1=37291710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94__FDSAUDITLINK__" localSheetId="9" hidden="1">{"fdsup://IBCentral/FAT Viewer?action=UPDATE&amp;creator=factset&amp;DOC_NAME=fat:reuters_annual_source_window.fat&amp;display_string=Audit&amp;DYN_ARGS=TRUE&amp;VAR:ID1=37291710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94__FDSAUDITLINK__" hidden="1">{"fdsup://IBCentral/FAT Viewer?action=UPDATE&amp;creator=factset&amp;DOC_NAME=fat:reuters_annual_source_window.fat&amp;display_string=Audit&amp;DYN_ARGS=TRUE&amp;VAR:ID1=37291710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95__FDSAUDITLINK__" localSheetId="10" hidden="1">{"fdsup://IBCentral/FAT Viewer?action=UPDATE&amp;creator=factset&amp;DOC_NAME=fat:reuters_annual_source_window.fat&amp;display_string=Audit&amp;DYN_ARGS=TRUE&amp;VAR:ID1=37291710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95__FDSAUDITLINK__" localSheetId="9" hidden="1">{"fdsup://IBCentral/FAT Viewer?action=UPDATE&amp;creator=factset&amp;DOC_NAME=fat:reuters_annual_source_window.fat&amp;display_string=Audit&amp;DYN_ARGS=TRUE&amp;VAR:ID1=37291710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95__FDSAUDITLINK__" hidden="1">{"fdsup://IBCentral/FAT Viewer?action=UPDATE&amp;creator=factset&amp;DOC_NAME=fat:reuters_annual_source_window.fat&amp;display_string=Audit&amp;DYN_ARGS=TRUE&amp;VAR:ID1=37291710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96__FDSAUDITLINK__" localSheetId="10" hidden="1">{"fdsup://IBCentral/FAT Viewer?action=UPDATE&amp;creator=factset&amp;DOC_NAME=fat:reuters_annual_source_window.fat&amp;display_string=Audit&amp;DYN_ARGS=TRUE&amp;VAR:ID1=36871040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96__FDSAUDITLINK__" localSheetId="9" hidden="1">{"fdsup://IBCentral/FAT Viewer?action=UPDATE&amp;creator=factset&amp;DOC_NAME=fat:reuters_annual_source_window.fat&amp;display_string=Audit&amp;DYN_ARGS=TRUE&amp;VAR:ID1=36871040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96__FDSAUDITLINK__" hidden="1">{"fdsup://IBCentral/FAT Viewer?action=UPDATE&amp;creator=factset&amp;DOC_NAME=fat:reuters_annual_source_window.fat&amp;display_string=Audit&amp;DYN_ARGS=TRUE&amp;VAR:ID1=36871040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97__FDSAUDITLINK__" localSheetId="10" hidden="1">{"fdsup://IBCentral/FAT Viewer?action=UPDATE&amp;creator=factset&amp;DOC_NAME=fat:reuters_annual_source_window.fat&amp;display_string=Audit&amp;DYN_ARGS=TRUE&amp;VAR:ID1=36871040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97__FDSAUDITLINK__" localSheetId="9" hidden="1">{"fdsup://IBCentral/FAT Viewer?action=UPDATE&amp;creator=factset&amp;DOC_NAME=fat:reuters_annual_source_window.fat&amp;display_string=Audit&amp;DYN_ARGS=TRUE&amp;VAR:ID1=36871040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97__FDSAUDITLINK__" hidden="1">{"fdsup://IBCentral/FAT Viewer?action=UPDATE&amp;creator=factset&amp;DOC_NAME=fat:reuters_annual_source_window.fat&amp;display_string=Audit&amp;DYN_ARGS=TRUE&amp;VAR:ID1=36871040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970p1_" localSheetId="1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_970p1_" localSheetId="9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_970p1_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_970p1__1" localSheetId="1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_970p1__1" localSheetId="9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_970p1__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_98__FDSAUDITLINK__" localSheetId="10" hidden="1">{"fdsup://IBCentral/FAT Viewer?action=UPDATE&amp;creator=factset&amp;DOC_NAME=fat:reuters_annual_source_window.fat&amp;display_string=Audit&amp;DYN_ARGS=TRUE&amp;VAR:ID1=36871040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98__FDSAUDITLINK__" localSheetId="9" hidden="1">{"fdsup://IBCentral/FAT Viewer?action=UPDATE&amp;creator=factset&amp;DOC_NAME=fat:reuters_annual_source_window.fat&amp;display_string=Audit&amp;DYN_ARGS=TRUE&amp;VAR:ID1=36871040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98__FDSAUDITLINK__" hidden="1">{"fdsup://IBCentral/FAT Viewer?action=UPDATE&amp;creator=factset&amp;DOC_NAME=fat:reuters_annual_source_window.fat&amp;display_string=Audit&amp;DYN_ARGS=TRUE&amp;VAR:ID1=36871040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99__FDSAUDITLINK__" localSheetId="10" hidden="1">{"fdsup://IBCentral/FAT Viewer?action=UPDATE&amp;creator=factset&amp;DOC_NAME=fat:reuters_annual_source_window.fat&amp;display_string=Audit&amp;DYN_ARGS=TRUE&amp;VAR:ID1=15102010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99__FDSAUDITLINK__" localSheetId="9" hidden="1">{"fdsup://IBCentral/FAT Viewer?action=UPDATE&amp;creator=factset&amp;DOC_NAME=fat:reuters_annual_source_window.fat&amp;display_string=Audit&amp;DYN_ARGS=TRUE&amp;VAR:ID1=15102010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99__FDSAUDITLINK__" hidden="1">{"fdsup://IBCentral/FAT Viewer?action=UPDATE&amp;creator=factset&amp;DOC_NAME=fat:reuters_annual_source_window.fat&amp;display_string=Audit&amp;DYN_ARGS=TRUE&amp;VAR:ID1=15102010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a1" localSheetId="10" hidden="1">{#N/A,#N/A,TRUE,"Overall";#N/A,#N/A,TRUE,"Region Wise ";#N/A,#N/A,TRUE,"Client Wise"}</definedName>
    <definedName name="_a1" localSheetId="9" hidden="1">{#N/A,#N/A,TRUE,"Overall";#N/A,#N/A,TRUE,"Region Wise ";#N/A,#N/A,TRUE,"Client Wise"}</definedName>
    <definedName name="_a1" hidden="1">{#N/A,#N/A,TRUE,"Overall";#N/A,#N/A,TRUE,"Region Wise ";#N/A,#N/A,TRUE,"Client Wise"}</definedName>
    <definedName name="_a1_1" localSheetId="10" hidden="1">{#N/A,#N/A,TRUE,"Overall";#N/A,#N/A,TRUE,"Region Wise ";#N/A,#N/A,TRUE,"Client Wise"}</definedName>
    <definedName name="_a1_1" localSheetId="9" hidden="1">{#N/A,#N/A,TRUE,"Overall";#N/A,#N/A,TRUE,"Region Wise ";#N/A,#N/A,TRUE,"Client Wise"}</definedName>
    <definedName name="_a1_1" hidden="1">{#N/A,#N/A,TRUE,"Overall";#N/A,#N/A,TRUE,"Region Wise ";#N/A,#N/A,TRUE,"Client Wise"}</definedName>
    <definedName name="_A100" localSheetId="10" hidden="1">{#N/A,#N/A,FALSE,"Ocean";#N/A,#N/A,FALSE,"NewYork";#N/A,#N/A,FALSE,"Gateway";#N/A,#N/A,FALSE,"GVH";#N/A,#N/A,FALSE,"GVM";#N/A,#N/A,FALSE,"GVT"}</definedName>
    <definedName name="_A100" localSheetId="9" hidden="1">{#N/A,#N/A,FALSE,"Ocean";#N/A,#N/A,FALSE,"NewYork";#N/A,#N/A,FALSE,"Gateway";#N/A,#N/A,FALSE,"GVH";#N/A,#N/A,FALSE,"GVM";#N/A,#N/A,FALSE,"GVT"}</definedName>
    <definedName name="_A100" hidden="1">{#N/A,#N/A,FALSE,"Ocean";#N/A,#N/A,FALSE,"NewYork";#N/A,#N/A,FALSE,"Gateway";#N/A,#N/A,FALSE,"GVH";#N/A,#N/A,FALSE,"GVM";#N/A,#N/A,FALSE,"GVT"}</definedName>
    <definedName name="_A100_1" localSheetId="10" hidden="1">{#N/A,#N/A,FALSE,"Ocean";#N/A,#N/A,FALSE,"NewYork";#N/A,#N/A,FALSE,"Gateway";#N/A,#N/A,FALSE,"GVH";#N/A,#N/A,FALSE,"GVM";#N/A,#N/A,FALSE,"GVT"}</definedName>
    <definedName name="_A100_1" localSheetId="9" hidden="1">{#N/A,#N/A,FALSE,"Ocean";#N/A,#N/A,FALSE,"NewYork";#N/A,#N/A,FALSE,"Gateway";#N/A,#N/A,FALSE,"GVH";#N/A,#N/A,FALSE,"GVM";#N/A,#N/A,FALSE,"GVT"}</definedName>
    <definedName name="_A100_1" hidden="1">{#N/A,#N/A,FALSE,"Ocean";#N/A,#N/A,FALSE,"NewYork";#N/A,#N/A,FALSE,"Gateway";#N/A,#N/A,FALSE,"GVH";#N/A,#N/A,FALSE,"GVM";#N/A,#N/A,FALSE,"GVT"}</definedName>
    <definedName name="_A11" localSheetId="10" hidden="1">{#N/A,#N/A,FALSE,"Umsatz 99";#N/A,#N/A,FALSE,"ER 99 "}</definedName>
    <definedName name="_A11" localSheetId="9" hidden="1">{#N/A,#N/A,FALSE,"Umsatz 99";#N/A,#N/A,FALSE,"ER 99 "}</definedName>
    <definedName name="_A11" hidden="1">{#N/A,#N/A,FALSE,"Umsatz 99";#N/A,#N/A,FALSE,"ER 99 "}</definedName>
    <definedName name="_a2" localSheetId="10" hidden="1">{#N/A,#N/A,TRUE,"CC_IN965"}</definedName>
    <definedName name="_a2" localSheetId="9" hidden="1">{#N/A,#N/A,TRUE,"CC_IN965"}</definedName>
    <definedName name="_a2" hidden="1">{#N/A,#N/A,TRUE,"CC_IN965"}</definedName>
    <definedName name="_A231" localSheetId="1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A231" localSheetId="9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A23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A231_1" localSheetId="1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A231_1" localSheetId="9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A231_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a3" localSheetId="10" hidden="1">{#N/A,#N/A,TRUE,"CC_IN965"}</definedName>
    <definedName name="_a3" localSheetId="9" hidden="1">{#N/A,#N/A,TRUE,"CC_IN965"}</definedName>
    <definedName name="_a3" hidden="1">{#N/A,#N/A,TRUE,"CC_IN965"}</definedName>
    <definedName name="_a4" localSheetId="10" hidden="1">{#N/A,#N/A,TRUE,"CC_IN965"}</definedName>
    <definedName name="_a4" localSheetId="9" hidden="1">{#N/A,#N/A,TRUE,"CC_IN965"}</definedName>
    <definedName name="_a4" hidden="1">{#N/A,#N/A,TRUE,"CC_IN965"}</definedName>
    <definedName name="_A401" localSheetId="1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A401" localSheetId="9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A40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A401_1" localSheetId="1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A401_1" localSheetId="9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A401_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aaa1" localSheetId="10" hidden="1">{#N/A,#N/A,FALSE,"REPORT"}</definedName>
    <definedName name="_aaa1" localSheetId="9" hidden="1">{#N/A,#N/A,FALSE,"REPORT"}</definedName>
    <definedName name="_aaa1" hidden="1">{#N/A,#N/A,FALSE,"REPORT"}</definedName>
    <definedName name="_aaa2" localSheetId="10" hidden="1">{#N/A,#N/A,FALSE,"Aging Summary";#N/A,#N/A,FALSE,"Ratio Analysis";#N/A,#N/A,FALSE,"Test 120 Day Accts";#N/A,#N/A,FALSE,"Tickmarks"}</definedName>
    <definedName name="_aaa2" localSheetId="9" hidden="1">{#N/A,#N/A,FALSE,"Aging Summary";#N/A,#N/A,FALSE,"Ratio Analysis";#N/A,#N/A,FALSE,"Test 120 Day Accts";#N/A,#N/A,FALSE,"Tickmarks"}</definedName>
    <definedName name="_aaa2" hidden="1">{#N/A,#N/A,FALSE,"Aging Summary";#N/A,#N/A,FALSE,"Ratio Analysis";#N/A,#N/A,FALSE,"Test 120 Day Accts";#N/A,#N/A,FALSE,"Tickmarks"}</definedName>
    <definedName name="_aas1" localSheetId="10" hidden="1">{#N/A,#N/A,FALSE,"REPORT"}</definedName>
    <definedName name="_aas1" localSheetId="9" hidden="1">{#N/A,#N/A,FALSE,"REPORT"}</definedName>
    <definedName name="_aas1" hidden="1">{#N/A,#N/A,FALSE,"REPORT"}</definedName>
    <definedName name="_ACS2000" localSheetId="10" hidden="1">{#N/A,#N/A,FALSE,"REPORT"}</definedName>
    <definedName name="_ACS2000" localSheetId="9" hidden="1">{#N/A,#N/A,FALSE,"REPORT"}</definedName>
    <definedName name="_ACS2000" hidden="1">{#N/A,#N/A,FALSE,"REPORT"}</definedName>
    <definedName name="_ae2" localSheetId="10" hidden="1">{"'Inventory &amp; Anal-Cur Wkbk'!$A$7:$AP$71"}</definedName>
    <definedName name="_ae2" localSheetId="9" hidden="1">{"'Inventory &amp; Anal-Cur Wkbk'!$A$7:$AP$71"}</definedName>
    <definedName name="_ae2" hidden="1">{"'Inventory &amp; Anal-Cur Wkbk'!$A$7:$AP$71"}</definedName>
    <definedName name="_ae2_1" localSheetId="10" hidden="1">{"'Inventory &amp; Anal-Cur Wkbk'!$A$7:$AP$71"}</definedName>
    <definedName name="_ae2_1" localSheetId="9" hidden="1">{"'Inventory &amp; Anal-Cur Wkbk'!$A$7:$AP$71"}</definedName>
    <definedName name="_ae2_1" hidden="1">{"'Inventory &amp; Anal-Cur Wkbk'!$A$7:$AP$71"}</definedName>
    <definedName name="_All1" localSheetId="10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_All1" localSheetId="9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_All1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_ALT3" localSheetId="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ALT3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ALT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ATPCorr_Dlg_Types" localSheetId="10" hidden="1">{"EXCELHLP.HLP!1784";5;10;5;10;5;11;112;112;13;1;2;24}</definedName>
    <definedName name="_ATPCorr_Dlg_Types" localSheetId="9" hidden="1">{"EXCELHLP.HLP!1784";5;10;5;10;5;11;112;112;13;1;2;24}</definedName>
    <definedName name="_ATPCorr_Dlg_Types" hidden="1">{"EXCELHLP.HLP!1784";5;10;5;10;5;11;112;112;13;1;2;24}</definedName>
    <definedName name="_ATPCorr_Dlg_Types_1" localSheetId="10" hidden="1">{"EXCELHLP.HLP!1784";5;10;5;10;5;11;112;112;13;1;2;24}</definedName>
    <definedName name="_ATPCorr_Dlg_Types_1" localSheetId="9" hidden="1">{"EXCELHLP.HLP!1784";5;10;5;10;5;11;112;112;13;1;2;24}</definedName>
    <definedName name="_ATPCorr_Dlg_Types_1" hidden="1">{"EXCELHLP.HLP!1784";5;10;5;10;5;11;112;112;13;1;2;24}</definedName>
    <definedName name="_ATPHist_Dlg_Types" localSheetId="10" hidden="1">{"EXCELHLP.HLP!1790";5;10;5;10;5;10;13;13;13;1;2;24}</definedName>
    <definedName name="_ATPHist_Dlg_Types" localSheetId="9" hidden="1">{"EXCELHLP.HLP!1790";5;10;5;10;5;10;13;13;13;1;2;24}</definedName>
    <definedName name="_ATPHist_Dlg_Types" hidden="1">{"EXCELHLP.HLP!1790";5;10;5;10;5;10;13;13;13;1;2;24}</definedName>
    <definedName name="_ATPHist_Dlg_Types_1" localSheetId="10" hidden="1">{"EXCELHLP.HLP!1790";5;10;5;10;5;10;13;13;13;1;2;24}</definedName>
    <definedName name="_ATPHist_Dlg_Types_1" localSheetId="9" hidden="1">{"EXCELHLP.HLP!1790";5;10;5;10;5;10;13;13;13;1;2;24}</definedName>
    <definedName name="_ATPHist_Dlg_Types_1" hidden="1">{"EXCELHLP.HLP!1790";5;10;5;10;5;10;13;13;13;1;2;24}</definedName>
    <definedName name="_ATPHist_Range2" hidden="1">"="</definedName>
    <definedName name="_ATPHist_Range3" hidden="1">"="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" hidden="1">#REF!</definedName>
    <definedName name="_b111" localSheetId="10" hidden="1">{#N/A,#N/A,FALSE,"Pharm";#N/A,#N/A,FALSE,"WWCM"}</definedName>
    <definedName name="_b111" localSheetId="9" hidden="1">{#N/A,#N/A,FALSE,"Pharm";#N/A,#N/A,FALSE,"WWCM"}</definedName>
    <definedName name="_b111" hidden="1">{#N/A,#N/A,FALSE,"Pharm";#N/A,#N/A,FALSE,"WWCM"}</definedName>
    <definedName name="_B201" localSheetId="10" hidden="1">{#N/A,#N/A,FALSE,"Ocean";#N/A,#N/A,FALSE,"NewYork";#N/A,#N/A,FALSE,"Gateway";#N/A,#N/A,FALSE,"GVH";#N/A,#N/A,FALSE,"GVM";#N/A,#N/A,FALSE,"GVT"}</definedName>
    <definedName name="_B201" localSheetId="9" hidden="1">{#N/A,#N/A,FALSE,"Ocean";#N/A,#N/A,FALSE,"NewYork";#N/A,#N/A,FALSE,"Gateway";#N/A,#N/A,FALSE,"GVH";#N/A,#N/A,FALSE,"GVM";#N/A,#N/A,FALSE,"GVT"}</definedName>
    <definedName name="_B201" hidden="1">{#N/A,#N/A,FALSE,"Ocean";#N/A,#N/A,FALSE,"NewYork";#N/A,#N/A,FALSE,"Gateway";#N/A,#N/A,FALSE,"GVH";#N/A,#N/A,FALSE,"GVM";#N/A,#N/A,FALSE,"GVT"}</definedName>
    <definedName name="_B201_1" localSheetId="10" hidden="1">{#N/A,#N/A,FALSE,"Ocean";#N/A,#N/A,FALSE,"NewYork";#N/A,#N/A,FALSE,"Gateway";#N/A,#N/A,FALSE,"GVH";#N/A,#N/A,FALSE,"GVM";#N/A,#N/A,FALSE,"GVT"}</definedName>
    <definedName name="_B201_1" localSheetId="9" hidden="1">{#N/A,#N/A,FALSE,"Ocean";#N/A,#N/A,FALSE,"NewYork";#N/A,#N/A,FALSE,"Gateway";#N/A,#N/A,FALSE,"GVH";#N/A,#N/A,FALSE,"GVM";#N/A,#N/A,FALSE,"GVT"}</definedName>
    <definedName name="_B201_1" hidden="1">{#N/A,#N/A,FALSE,"Ocean";#N/A,#N/A,FALSE,"NewYork";#N/A,#N/A,FALSE,"Gateway";#N/A,#N/A,FALSE,"GVH";#N/A,#N/A,FALSE,"GVM";#N/A,#N/A,FALSE,"GVT"}</definedName>
    <definedName name="_bdm.00057d84263f43db8eded546b9e44646.edm" hidden="1">#REF!</definedName>
    <definedName name="_bdm.002290f7a9474445aabf5edf1a37c513.edm" hidden="1">#REF!</definedName>
    <definedName name="_bdm.00380602CEC54629B5E69CBCBF45E486.edm" hidden="1">#REF!</definedName>
    <definedName name="_bdm.008b736d82fb4ca18e80eddff50a093e.edm" hidden="1">#REF!</definedName>
    <definedName name="_bdm.00d5d45a8210484e82ca9ef753c1720e.edm" hidden="1">#REF!</definedName>
    <definedName name="_bdm.00e4bec2afb14ef1b74e546139514c3d.edm" hidden="1">#REF!</definedName>
    <definedName name="_bdm.00e82a02468a4bc49672649084f9c0c5.edm" hidden="1">#REF!</definedName>
    <definedName name="_bdm.00ecd7b4d39a4f0a80bc3ecca5a74a31.edm" hidden="1">#REF!</definedName>
    <definedName name="_bdm.01e1f4f7f187407b88c9586731842e1d.edm" hidden="1">#REF!</definedName>
    <definedName name="_bdm.023e9922cc9343f5a9a01ba499d1a718.edm" hidden="1">#REF!</definedName>
    <definedName name="_bdm.029fea8fa74e4312abfebac311fb7927.edm" hidden="1">#REF!</definedName>
    <definedName name="_bdm.02D9028ABB87403EA5A20696CE73B8D1.edm" hidden="1">#REF!</definedName>
    <definedName name="_bdm.02e12046b96048cba7dab9d8bf0bf6d7.edm" hidden="1">#REF!</definedName>
    <definedName name="_bdm.02E29E7B1053433EA3CCCBE4E5141596.edm" hidden="1">#REF!</definedName>
    <definedName name="_bdm.02f65e7811494ff28039a62eed0d0ffe.edm" hidden="1">#REF!</definedName>
    <definedName name="_bdm.0353e49201c5423ca30b9b643db89ffb.edm" hidden="1">#REF!</definedName>
    <definedName name="_bdm.035ad214c0c245efbee7500b2f770460.edm" hidden="1">#REF!</definedName>
    <definedName name="_bdm.03e79e600ec544499206b7a77f2ee435.edm" hidden="1">#REF!</definedName>
    <definedName name="_bdm.0438693a3cef45218a2fa451cace84b1.edm" hidden="1">#REF!</definedName>
    <definedName name="_bdm.0465D0F8BD2C4E888AB9C11EA0CBE52C.edm" hidden="1">#REF!</definedName>
    <definedName name="_bdm.048F4163A7BB4186891DC124FB3B9E66.edm" hidden="1">#REF!</definedName>
    <definedName name="_bdm.04aadc6bc25b4308b93d0b2a90f5d1ef.edm" hidden="1">#REF!</definedName>
    <definedName name="_bdm.05014202F2F74FEBA82C7ECB9BD89D08.edm" hidden="1">#REF!</definedName>
    <definedName name="_bdm.05479E8EED4D41008F7A6342CB9E7F19.edm" hidden="1">#REF!</definedName>
    <definedName name="_bdm.0589facab78e4f85912363842748c8de.edm" hidden="1">#REF!</definedName>
    <definedName name="_bdm.060f46e1b9204037ada042c81fcc5cf6.edm" hidden="1">#REF!</definedName>
    <definedName name="_bdm.0616bd0609754a3ea4bee9ce41787c34.edm" hidden="1">#REF!</definedName>
    <definedName name="_bdm.06272ab24db64db38b5e46f5075da3e2.edm" hidden="1">#REF!</definedName>
    <definedName name="_bdm.0669FE93EBBF4DDB8B4F42E6C354B3C8.edm" hidden="1">#REF!</definedName>
    <definedName name="_bdm.06afa4b28ce04f11afcf0ebfffe501de.edm" hidden="1">#REF!</definedName>
    <definedName name="_bdm.06d9f663e4fd4aaaa60f07fd0a8a7efc.edm" hidden="1">#REF!</definedName>
    <definedName name="_bdm.06fd3fc479544c149d2855d7fae6e39c.edm" hidden="1">#REF!</definedName>
    <definedName name="_bdm.0701ed429fc241c5ab31440966b1ae08.edm" hidden="1">#REF!</definedName>
    <definedName name="_bdm.076540411D0344CA9C89FD5113F5E084.edm" hidden="1">#REF!</definedName>
    <definedName name="_bdm.078a954b222a455b964249abfaec1f82.edm" hidden="1">#REF!</definedName>
    <definedName name="_bdm.078e73b502c74b578d902502b0977147.edm" hidden="1">#REF!</definedName>
    <definedName name="_bdm.07B5818A383F4DC2A6BFA30C130CBB78.edm" hidden="1">#REF!</definedName>
    <definedName name="_bdm.07d0a4df0d3f4801b3c7565abec43b10.edm" hidden="1">#REF!</definedName>
    <definedName name="_bdm.07EDBF063D5241C68ED2956DAB9DA92C.edm" hidden="1">#REF!</definedName>
    <definedName name="_bdm.0828e4259c394ca8aa054571281442fb.edm" hidden="1">#REF!</definedName>
    <definedName name="_bdm.0841efface7b46819c520fa5e00ecf2c.edm" hidden="1">#REF!</definedName>
    <definedName name="_bdm.0842458B54D14DCBB4B51DB1744E2406.edm" hidden="1">#REF!</definedName>
    <definedName name="_bdm.084e006dbc3441d4a46643cb9617724c.edm" hidden="1">#REF!</definedName>
    <definedName name="_bdm.0852c89b0928492fb6dc8184a94c94bf.edm" hidden="1">#REF!</definedName>
    <definedName name="_bdm.0882784eaacd458ca1e4ffe8e1b2783e.edm" hidden="1">#REF!</definedName>
    <definedName name="_bdm.08922ef0c9db4dc6a6d93493087fd27f.edm" hidden="1">#REF!</definedName>
    <definedName name="_bdm.08a5231f9ccd4479abd47a22c5f812b1.edm" hidden="1">#REF!</definedName>
    <definedName name="_bdm.08cd52062e5b47399490f03777f48c64.edm" hidden="1">#REF!</definedName>
    <definedName name="_bdm.08CDD1169B9744818C5FF51194EADCF9.edm" hidden="1">#REF!</definedName>
    <definedName name="_bdm.08f7b670bde04840a0c2ec416700f00a.edm" hidden="1">#REF!</definedName>
    <definedName name="_bdm.0941a1326bf24fbab693d708391b8315.edm" hidden="1">#REF!</definedName>
    <definedName name="_bdm.09458D71669D4FB4ABD45CE05D2EDC2D.edm" hidden="1">#REF!</definedName>
    <definedName name="_bdm.098632b2cfe04d06be89add8b413209a.edm" hidden="1">#REF!</definedName>
    <definedName name="_bdm.09A3B15E0EC3436687052E05DBE438E8.edm" hidden="1">#REF!</definedName>
    <definedName name="_bdm.09E23822DA7B436A9533902DC784A74E.edm" hidden="1">#REF!</definedName>
    <definedName name="_bdm.0a708ee1bd7544f782fb13e81572ce5b.edm" hidden="1">#REF!</definedName>
    <definedName name="_bdm.0a8b9e6f0c634e64b4005376cec26a28.edm" hidden="1">#REF!</definedName>
    <definedName name="_bdm.0AD57FD48C554287A7B486C1B7E10F38.edm" hidden="1">#REF!</definedName>
    <definedName name="_bdm.0b44381296ad474c96f357855c310306.edm" hidden="1">#REF!</definedName>
    <definedName name="_bdm.0B4C389B65FD43CDA39DCA196268F135.edm" hidden="1">#REF!</definedName>
    <definedName name="_bdm.0b55692f79f94b00ab03bf74a46fc55f.edm" hidden="1">#REF!</definedName>
    <definedName name="_bdm.0b564318c2fc40388efa70555b674f02.edm" hidden="1">#REF!</definedName>
    <definedName name="_bdm.0beaff45d6304d4ea8f34742541a292d.edm" hidden="1">#REF!</definedName>
    <definedName name="_bdm.0bfc61e7ce644d40b571bc0d6bc31392.edm" hidden="1">#REF!</definedName>
    <definedName name="_bdm.0cc2085344014b289620d78c6a24b059.edm" hidden="1">#REF!</definedName>
    <definedName name="_bdm.0d1637aa9ea14521b5fc2a2802396dee.edm" hidden="1">#REF!</definedName>
    <definedName name="_bdm.0d432b9e091c4559851f6b646617a11e.edm" hidden="1">#REF!</definedName>
    <definedName name="_bdm.0dabf9daa6934707a4f858e968d5797b.edm" hidden="1">#REF!</definedName>
    <definedName name="_bdm.0db8d0df136c46cf9715bb706adfe717.edm" hidden="1">#REF!</definedName>
    <definedName name="_bdm.0e2ac69e78f44658b14d530f4d3f4402.edm" hidden="1">#REF!</definedName>
    <definedName name="_bdm.0E3947D6EE7B4757BAB4DEFDF1621701.edm" hidden="1">#REF!</definedName>
    <definedName name="_bdm.0e517ccf26fc4ed2b61e25be8f2a5349.edm" hidden="1">#REF!</definedName>
    <definedName name="_bdm.0e5f412c0d9f441780cfe1575ac12f7a.edm" hidden="1">#REF!</definedName>
    <definedName name="_bdm.0E93F193D1F8404D89B615F9FE49F721.edm" hidden="1">#REF!</definedName>
    <definedName name="_bdm.0ed17fbf62ca424d82fa6336dd3ec455.edm" hidden="1">#REF!</definedName>
    <definedName name="_bdm.0edef9a0a1f5410bba0f9e4247709b96.edm" hidden="1">#REF!</definedName>
    <definedName name="_bdm.0f2abdd0d2c846e7ae5fdd50bbaf4b47.edm" hidden="1">#REF!</definedName>
    <definedName name="_bdm.0f41064b7a5547d29f2dd66bde6cb62e.edm" hidden="1">#REF!</definedName>
    <definedName name="_bdm.0f9084d3d0194d7b8e0b58654a8e5fe7.edm" hidden="1">#REF!</definedName>
    <definedName name="_bdm.0f9bafc7874242fd8adc4d6808052665.edm" hidden="1">#REF!</definedName>
    <definedName name="_bdm.0FE649E291AB45519996455FAC5817A4.edm" hidden="1">#REF!</definedName>
    <definedName name="_bdm.10aa1f18aae9473dbc941904e833cc7c.edm" hidden="1">#REF!</definedName>
    <definedName name="_bdm.10ae7660b64d4ccdaff9c0512f797fab.edm" hidden="1">#REF!</definedName>
    <definedName name="_bdm.10b8158a498c461f8c5607a214be5ac8.edm" hidden="1">#REF!</definedName>
    <definedName name="_bdm.116768428c204ebd854b4ab034db537a.edm" hidden="1">#REF!</definedName>
    <definedName name="_bdm.117fb9db66074b6184e4bc1fc1fa84c3.edm" hidden="1">#REF!</definedName>
    <definedName name="_bdm.1196541474b54a82a084f355d2a4ffe8.edm" hidden="1">#REF!</definedName>
    <definedName name="_bdm.11beaacdaf3c4c48810d15f400c96878.edm" hidden="1">#REF!</definedName>
    <definedName name="_bdm.1255F9F846DA43649714B5D095743758.edm" hidden="1">#REF!</definedName>
    <definedName name="_bdm.128290ebf0f44c7d9a71ec8f27d9613e.edm" hidden="1">#REF!</definedName>
    <definedName name="_bdm.132595f83086424cbb1625da43d4c047.edm" hidden="1">#REF!</definedName>
    <definedName name="_bdm.1345aff427d044f3a5bd28cab92e3b56.edm" hidden="1">#REF!</definedName>
    <definedName name="_bdm.1348BD52014C432EAE23AC4380ED3D9A.edm" hidden="1">#REF!</definedName>
    <definedName name="_bdm.14200C51F23343DBA038D22B6303B8CC.edm" hidden="1">#REF!</definedName>
    <definedName name="_bdm.14320c2758b444119e057093b4cb2c14.edm" hidden="1">#REF!</definedName>
    <definedName name="_bdm.14358ab6d30c4b6bb3bca69a4c060fb5.edm" hidden="1">#REF!</definedName>
    <definedName name="_bdm.14D1A22932234486A69AAF8B879B86C4.edm" hidden="1">#REF!</definedName>
    <definedName name="_bdm.14e5a530559f4eab8f748b9c3fc16297.edm" hidden="1">#REF!</definedName>
    <definedName name="_bdm.15835b6f5f0848ccbc80874a50e49bf4.edm" hidden="1">#REF!</definedName>
    <definedName name="_bdm.158eb1897ad74cd586922b4ded6cd161.edm" hidden="1">#REF!</definedName>
    <definedName name="_bdm.15d6749e3bb343959632eec14f8a2a97.edm" hidden="1">#REF!</definedName>
    <definedName name="_bdm.162cd579060d4438bd8c5bdc1b250e00.edm" hidden="1">#REF!</definedName>
    <definedName name="_bdm.163B010309934CC989BB312588D5CA8C.edm" hidden="1">#REF!</definedName>
    <definedName name="_bdm.166199DFB2944513AF333DF11C54F383.edm" hidden="1">#REF!</definedName>
    <definedName name="_bdm.1669792b4f9e477da7dc774eec1ee996.edm" hidden="1">#REF!</definedName>
    <definedName name="_bdm.16757ef908984fe5bbdf5b72e9acdf7a.edm" hidden="1">#REF!</definedName>
    <definedName name="_bdm.16EF0C265E354E948C7B64F1526FC309.edm" hidden="1">#REF!</definedName>
    <definedName name="_bdm.17749676a0744802abc4d3eea8a305f9.edm" hidden="1">#REF!</definedName>
    <definedName name="_bdm.17a3375e3f604f0097b8b3bd57f8cc87.edm" hidden="1">#REF!</definedName>
    <definedName name="_bdm.186280A39156476EADA2CEBD12DA924E.edm" hidden="1">#REF!</definedName>
    <definedName name="_bdm.186980F8FA5049C891C62D14ED06CB65.edm" hidden="1">#REF!</definedName>
    <definedName name="_bdm.186FEBF876404762B67A19064C69805F.edm" hidden="1">#REF!</definedName>
    <definedName name="_bdm.189d2a8ae063415ba0680d9cf1ee79cd.edm" hidden="1">#REF!</definedName>
    <definedName name="_bdm.18e97dcc20c74cfcac3070d068a484fb.edm" hidden="1">#REF!</definedName>
    <definedName name="_bdm.1907e7308fbb4e42ae21c45d5abb2d8b.edm" hidden="1">#REF!</definedName>
    <definedName name="_bdm.199351f6868549afa3d724cfce883d5a.edm" hidden="1">#REF!</definedName>
    <definedName name="_bdm.19AAF218BA1642CE9E653773F6681E1E.edm" hidden="1">#REF!</definedName>
    <definedName name="_bdm.19d0441339c04677b17a470ce638d97f.edm" hidden="1">#REF!</definedName>
    <definedName name="_bdm.19dbe4c9c02d4d179228917121025b03.edm" hidden="1">#REF!</definedName>
    <definedName name="_bdm.1a03fc2f3930479d92c87f49b897d296.edm" hidden="1">#REF!</definedName>
    <definedName name="_bdm.1a2b421721e248c194b61588ff51ec13.edm" hidden="1">#REF!</definedName>
    <definedName name="_bdm.1aa77284ebf24cbd88c46ec1d96fb916.edm" hidden="1">#REF!</definedName>
    <definedName name="_bdm.1B7CD7A550B34ABE95CC6E31E8CF89E0.edm" hidden="1">#REF!</definedName>
    <definedName name="_bdm.1bd3ff6e9ed1478b8e67236e9aab38d2.edm" hidden="1">#REF!</definedName>
    <definedName name="_bdm.1c36d076efba4f6d8a78aa6de1239059.edm" hidden="1">#REF!</definedName>
    <definedName name="_bdm.1c50765e638b4cb1a04aede5479e5870.edm" hidden="1">#REF!</definedName>
    <definedName name="_bdm.1c7001965eb5453f9235d810a073bd29.edm" hidden="1">#REF!</definedName>
    <definedName name="_bdm.1c72931c624c45f5bd9ee3cf9e151a4c.edm" hidden="1">#REF!</definedName>
    <definedName name="_bdm.1c88a9c8d1734390838e80d57a8eadd8.edm" hidden="1">#REF!</definedName>
    <definedName name="_bdm.1d2148be0fef41e2a203b1ea45e094a7.edm" hidden="1">#REF!</definedName>
    <definedName name="_bdm.1d361054ea1c451fba0719cac45fb8f5.edm" hidden="1">#REF!</definedName>
    <definedName name="_bdm.1d4d3de3fc3a42ef97c906738a66cea8.edm" hidden="1">#REF!</definedName>
    <definedName name="_bdm.1d5ce885228146449c505864401a328e.edm" hidden="1">#REF!</definedName>
    <definedName name="_bdm.1da5055a8a954aab97c15f9afc1fa26d.edm" hidden="1">#REF!</definedName>
    <definedName name="_bdm.1ddd2a0bd6514df7b57ef34b80e17b63.edm" hidden="1">#REF!</definedName>
    <definedName name="_bdm.1df48fe6776341f6b2656aaed4fbe639.edm" hidden="1">#REF!</definedName>
    <definedName name="_bdm.1e38220da7304e45836dfa1ebcae47da.edm" hidden="1">#REF!</definedName>
    <definedName name="_bdm.1e4a4d5c23fb486e8ab8a48d397e0c19.edm" hidden="1">#REF!</definedName>
    <definedName name="_bdm.1e4cce9109864c62a63727bfc4152f9f.edm" hidden="1">#REF!</definedName>
    <definedName name="_bdm.1e63362453664b93bbe4e149b06fb4bf.edm" hidden="1">#REF!</definedName>
    <definedName name="_bdm.1EB83F927B0E4AD0BA724909A81AE3BF.edm" hidden="1">#REF!</definedName>
    <definedName name="_bdm.1EF4E360FD8C4236926E0F0378DF6A7B.edm" hidden="1">#REF!</definedName>
    <definedName name="_bdm.1F20C678E84F4D65B91C6BC841063E67.edm" hidden="1">#REF!</definedName>
    <definedName name="_bdm.1F6FFD2764284C56860696A54219E329.edm" hidden="1">#REF!</definedName>
    <definedName name="_bdm.1f73b3da1cec4a53add6548ac2f75c4e.edm" hidden="1">#REF!</definedName>
    <definedName name="_bdm.1fa8cfa316c34e658f0841ba2bec759d.edm" hidden="1">#REF!</definedName>
    <definedName name="_bdm.2016B8DD80824DD892695DD171345FF9.edm" hidden="1">#REF!</definedName>
    <definedName name="_bdm.20a0a38ccfd44937bc7361389c3d91d2.edm" hidden="1">#REF!</definedName>
    <definedName name="_bdm.20ee8567c9b44bff9e5f42642cc5353b.edm" hidden="1">#REF!</definedName>
    <definedName name="_bdm.20f489f5e1d940688a0ff1737f02ec8b.edm" hidden="1">#REF!</definedName>
    <definedName name="_bdm.211211912DCE43FB88D47D494E5B21C7.edm" hidden="1">#REF!</definedName>
    <definedName name="_bdm.2112B832BEB14F1BAE81031C74F06429.edm" hidden="1">#REF!</definedName>
    <definedName name="_bdm.212E4E76DA12434BAD94D2CF06FCB3F2.edm" hidden="1">#REF!</definedName>
    <definedName name="_bdm.21693161CADA41A6BF1BBB6609EC6CF8.edm" hidden="1">#REF!</definedName>
    <definedName name="_bdm.22130cb7623540d6b1c0cbdbaac68a1e.edm" hidden="1">#REF!</definedName>
    <definedName name="_bdm.221a6c60608b4018866d3477f702c1db.edm" hidden="1">#REF!</definedName>
    <definedName name="_bdm.225666f73b944695b33b3dea33284b37.edm" hidden="1">#REF!</definedName>
    <definedName name="_bdm.2256FA3F78A045A492672F4EA44B0AC8.edm" hidden="1">#REF!</definedName>
    <definedName name="_bdm.22627b4fff2643eb99cefe8e691a0d99.edm" hidden="1">#REF!</definedName>
    <definedName name="_bdm.22794A4B010A4A8692E496303EA793DB.edm" hidden="1">#REF!</definedName>
    <definedName name="_bdm.22AB115C27FA47A88E43877B2BA27DF9.edm" hidden="1">#REF!</definedName>
    <definedName name="_bdm.22b2496fd49a4a34b7866afdd7e926bb.edm" hidden="1">#REF!</definedName>
    <definedName name="_bdm.2331541350F747CAA10B075B0387DBD6.edm" hidden="1">#REF!</definedName>
    <definedName name="_bdm.236761eaa7b14b24bd0426fb50ba0197.edm" hidden="1">#REF!</definedName>
    <definedName name="_bdm.23CAB1676C0C411BB6D812CE5B582BC0.edm" hidden="1">#REF!</definedName>
    <definedName name="_bdm.23f5ba0095c240c3bf88cf88254640fa.edm" hidden="1">#REF!</definedName>
    <definedName name="_bdm.24211B9B5FCD4020B7A60F561AC5B9D0.edm" hidden="1">#REF!</definedName>
    <definedName name="_bdm.243e3dfbe1ca4799bcf93d1c63223f91.edm" hidden="1">#REF!</definedName>
    <definedName name="_bdm.251560fed70149be9d5a87af023d36fb.edm" hidden="1">#REF!</definedName>
    <definedName name="_bdm.251A86C85919485AB53EB7228D4DCBCF.edm" hidden="1">#REF!</definedName>
    <definedName name="_bdm.251FA9818C6841E5AC25873749222986.edm" hidden="1">#REF!</definedName>
    <definedName name="_bdm.255cb7c141cd4393b612448ae67c0446.edm" hidden="1">#REF!</definedName>
    <definedName name="_bdm.25896BCF9B9D4EEBAFAA752A4482F105.edm" hidden="1">#REF!</definedName>
    <definedName name="_bdm.27051eb7f27049f39fe48a48179f680c.edm" hidden="1">#REF!</definedName>
    <definedName name="_bdm.27220a9672994c8682e2f368a2e4effa.edm" hidden="1">#REF!</definedName>
    <definedName name="_bdm.27D1FFB4296540F099375453788F565D.edm" hidden="1">#REF!</definedName>
    <definedName name="_bdm.28101a9102ec4442a548735431b1b6e9.edm" hidden="1">#REF!</definedName>
    <definedName name="_bdm.285d5fce4bac43d284d88b71a7415199.edm" hidden="1">#REF!</definedName>
    <definedName name="_bdm.287c7655c076424482d49a614515f6be.edm" hidden="1">#REF!</definedName>
    <definedName name="_bdm.28b69cb3fb354ec4b03575920b89aefb.edm" hidden="1">#REF!</definedName>
    <definedName name="_bdm.2948BB3726244FA6A6CD1F7DE39D1EE5.edm" hidden="1">#REF!</definedName>
    <definedName name="_bdm.29B4A10C1E9748C7ABE37CA17F7A8115.edm" hidden="1">#REF!</definedName>
    <definedName name="_bdm.29c262dd8bdf447d875585516e51ee09.edm" hidden="1">#REF!</definedName>
    <definedName name="_bdm.2a0a796d4289429cb14a10fce62ffdb8.edm" hidden="1">#REF!</definedName>
    <definedName name="_bdm.2a1dfbcb9daa418aa1ce384e7d878ba6.edm" hidden="1">#REF!</definedName>
    <definedName name="_bdm.2A9C5C9F89C44479B33B02DD483C5193.edm" hidden="1">#REF!</definedName>
    <definedName name="_bdm.2B2808E198A64E529AE3E295F4204CB9.edm" hidden="1">#REF!</definedName>
    <definedName name="_bdm.2b3c3ca722194f24b860b5116853a5e4.edm" hidden="1">#REF!</definedName>
    <definedName name="_bdm.2b8e2c8a868b403ea6f71dec0c3b585b.edm" hidden="1">#REF!</definedName>
    <definedName name="_bdm.2bfb722235964d9fab1d34f0fffaf056.edm" hidden="1">#REF!</definedName>
    <definedName name="_bdm.2CC16B5483144CA28ED26D54D77C624B.edm" hidden="1">#REF!</definedName>
    <definedName name="_bdm.2db0ec81e4c844089706037d05a7da6d.edm" hidden="1">#REF!</definedName>
    <definedName name="_bdm.2DD2C96D34A94119897BA9F9064DA371.edm" hidden="1">#REF!</definedName>
    <definedName name="_bdm.2df4b20286cf4311aa4382618818d590.edm" hidden="1">#REF!</definedName>
    <definedName name="_bdm.2df98334eaa646b285bafb5eb05161e2.edm" hidden="1">#REF!</definedName>
    <definedName name="_bdm.2dfabb3172f2496eb4e34acf7477d073.edm" hidden="1">#REF!</definedName>
    <definedName name="_bdm.2e0e4d08e2de4ac8bc05ba5182f5df23.edm" hidden="1">#REF!</definedName>
    <definedName name="_bdm.2e2e340de9624249a0f20523574c3a20.edm" hidden="1">#REF!</definedName>
    <definedName name="_bdm.2e60d605d7574c99802a953ece8596f5.edm" hidden="1">#REF!</definedName>
    <definedName name="_bdm.2ea74b9a110b45d79b88cfd6ae30a07b.edm" hidden="1">#REF!</definedName>
    <definedName name="_bdm.2edd88bda3824372b31b4c25eee2c607.edm" hidden="1">#REF!</definedName>
    <definedName name="_bdm.2f2fd8a7a39c4998adcf2a52bd9b545b.edm" hidden="1">#REF!</definedName>
    <definedName name="_bdm.2f93119615f4478fbf821e3c2bd4d7a7.edm" hidden="1">#REF!</definedName>
    <definedName name="_bdm.306a6ab4772140c48cb5926aacc18fa9.edm" hidden="1">#REF!</definedName>
    <definedName name="_bdm.3077c8632150461eb4c71f7a16fe4763.edm" hidden="1">#REF!</definedName>
    <definedName name="_bdm.312166fd94ae4d0a925e3e2b00127d6d.edm" hidden="1">#REF!</definedName>
    <definedName name="_bdm.31464aba154a4e8b94ed366665620e7b.edm" hidden="1">#REF!</definedName>
    <definedName name="_bdm.318e1216025c4ce9b28baf64884667f6.edm" hidden="1">#REF!</definedName>
    <definedName name="_bdm.31B38A4456914D13B036C519BB497D92.edm" hidden="1">#REF!</definedName>
    <definedName name="_bdm.324D53C82F8D478AA4269D3A520A6972.edm" hidden="1">#REF!</definedName>
    <definedName name="_bdm.32abfab419f44241a2cc6b28b3b62ea4.edm" hidden="1">#REF!</definedName>
    <definedName name="_bdm.32e8c768815f4f7c8214f94a55c024c1.edm" hidden="1">#REF!</definedName>
    <definedName name="_bdm.3364a31d88f643b4a3f148890d900424.edm" hidden="1">#REF!</definedName>
    <definedName name="_bdm.33935fa104b2451cb77ae291b6be6060.edm" hidden="1">#REF!</definedName>
    <definedName name="_bdm.34051DCFB9374422887B56459E327F41.edm" hidden="1">#REF!</definedName>
    <definedName name="_bdm.345865b81b3d4c24a528c57227c18224.edm" hidden="1">#REF!</definedName>
    <definedName name="_bdm.347be05715724d4981ed893dd44b5c87.edm" hidden="1">#REF!</definedName>
    <definedName name="_bdm.34e0e0ed2f5045059dde2fafe2316c29.edm" hidden="1">#REF!</definedName>
    <definedName name="_bdm.355608d8c9c5438ba7415c1b9bfb0be8.edm" hidden="1">#REF!</definedName>
    <definedName name="_bdm.3570a655fb4c4e75a462658eb47db2b7.edm" hidden="1">#REF!</definedName>
    <definedName name="_bdm.357adff6d2d94e54b5b4fb4ff33e9a9b.edm" hidden="1">#REF!</definedName>
    <definedName name="_bdm.358b344fe0884050a9ccb4766e6cecf9.edm" hidden="1">#REF!</definedName>
    <definedName name="_bdm.360F4EC256C2435FB5856EF8991EB9BA.edm" hidden="1">#REF!</definedName>
    <definedName name="_bdm.3691f59758e24e1cb625a1a9d1fb8665.edm" hidden="1">#REF!</definedName>
    <definedName name="_bdm.36fa230205c242f49cc787316ad9f6c4.edm" hidden="1">#REF!</definedName>
    <definedName name="_bdm.378ed35b52bd41d89e4ae687fd821005.edm" hidden="1">#REF!</definedName>
    <definedName name="_bdm.3797105dd1694ae2bbbcec2100a40b1f.edm" hidden="1">#REF!</definedName>
    <definedName name="_bdm.37bdffcc82e244a8b75954fbc508aa7c.edm" hidden="1">#REF!</definedName>
    <definedName name="_bdm.37ceb455e0b645db8ac0af1848d24041.edm" hidden="1">#REF!</definedName>
    <definedName name="_bdm.37DE5EBCCCFE4A209E12C7CABBB5E379.edm" hidden="1">#REF!</definedName>
    <definedName name="_bdm.37E6BDDA51D64107AEC413E364833DAE.edm" hidden="1">#REF!</definedName>
    <definedName name="_bdm.384BFCED33ED4B149016C877E23F998D.edm" hidden="1">#REF!</definedName>
    <definedName name="_bdm.38D079ECA70045259471FA759D261F18.edm" hidden="1">#REF!</definedName>
    <definedName name="_bdm.3999143e2a404ff6a74144e9232e6d9c.edm" hidden="1">#REF!</definedName>
    <definedName name="_bdm.39ae62dad99d430a8543d2e9e72b0a9f.edm" hidden="1">#REF!</definedName>
    <definedName name="_bdm.3A2C1B9DC45B4921A405796009E004CB.edm" hidden="1">#REF!</definedName>
    <definedName name="_bdm.3A7D25B6FCA943F48A195BC8EDEC7C24.edm" hidden="1">#REF!</definedName>
    <definedName name="_bdm.3AE51B349CB64710914C57BF7EAD0F08.edm" hidden="1">#REF!</definedName>
    <definedName name="_bdm.3AE7F6D155624516AE661DC9CA82642A.edm" hidden="1">#REF!</definedName>
    <definedName name="_bdm.3b545db08be341b1ad17cb01851022ee.edm" hidden="1">#REF!</definedName>
    <definedName name="_bdm.3b90796017aa4bcf8cbcf2874f7df97a.edm" hidden="1">#REF!</definedName>
    <definedName name="_bdm.3b921ddf047447a18778ce02d975f808.edm" hidden="1">#REF!</definedName>
    <definedName name="_bdm.3bbc6f0e4d8c4137bc65535ee3d03111.edm" hidden="1">#REF!</definedName>
    <definedName name="_bdm.3BC36ED406CA47E4AE166982FE760D1D.edm" hidden="1">#REF!</definedName>
    <definedName name="_bdm.3c086a01de194d35a8ee2e6ac134beb7.edm" hidden="1">#REF!</definedName>
    <definedName name="_bdm.3c2e445e681b4213ae147fc3f2dea4e4.edm" hidden="1">#REF!</definedName>
    <definedName name="_bdm.3c3b87e239aa4c84b53fae9a8659670d.edm" hidden="1">#REF!</definedName>
    <definedName name="_bdm.3CC90336AE594B0CBE7317C53C0D66DD.edm" hidden="1">#REF!</definedName>
    <definedName name="_bdm.3cd8b8f190914455afa2f07d9da19dd5.edm" hidden="1">#REF!</definedName>
    <definedName name="_bdm.3cfb83ee990b485fbb83224cdb069c89.edm" hidden="1">#REF!</definedName>
    <definedName name="_bdm.3cfc742b676e40c9a1ea2d97091b1d86.edm" hidden="1">#REF!</definedName>
    <definedName name="_bdm.3d63321a8a5f40f884c1399f58e4f4b4.edm" hidden="1">#REF!</definedName>
    <definedName name="_bdm.3d82aaf11d7446ecbb32eaad6f167a4a.edm" hidden="1">#REF!</definedName>
    <definedName name="_bdm.3d86f560931b4b32936b8409c16c7202.edm" hidden="1">#REF!</definedName>
    <definedName name="_bdm.3dc3c19a28694312923f4ec8506ed9da.edm" hidden="1">#REF!</definedName>
    <definedName name="_bdm.3e0be91d50b44e7fa42cafa54ff0f176.edm" hidden="1">#REF!</definedName>
    <definedName name="_bdm.3e4dc4a18f1b4012aa52a6f60b48df6a.edm" hidden="1">#REF!</definedName>
    <definedName name="_bdm.3E5FF8FFF387436D9C3DEFBD37792AA1.edm" hidden="1">#REF!</definedName>
    <definedName name="_bdm.3ec99b41c74d45d982fc3008f3efad92.edm" hidden="1">#REF!</definedName>
    <definedName name="_bdm.3ecce1bfd81f4c4791bc36b4d55265c2.edm" hidden="1">#REF!</definedName>
    <definedName name="_bdm.3ECF1C93436D47FB96EE05468E5DFC84.edm" hidden="1">#REF!</definedName>
    <definedName name="_bdm.3F1A3D17937443C5BB4BBC282C03991D.edm" hidden="1">#REF!</definedName>
    <definedName name="_bdm.3f2e542730014957877f03c7e6a87e26.edm" hidden="1">#REF!</definedName>
    <definedName name="_bdm.3fbd4b23eaa546ceb086cf4a246e0161.edm" hidden="1">#REF!</definedName>
    <definedName name="_bdm.3FECBA13036545C79B9A473AA4E3CAED.edm" hidden="1">#REF!</definedName>
    <definedName name="_bdm.401d0321fce24c42a9840a0695d42d4c.edm" hidden="1">#REF!</definedName>
    <definedName name="_bdm.402d1e8e76a7433d926618c6875c7f8a.edm" hidden="1">#REF!</definedName>
    <definedName name="_bdm.40a25568d73e4aa39bd7a7421fe232f3.edm" hidden="1">#REF!</definedName>
    <definedName name="_bdm.40FE2EA916D5479C8ED603CC8782DEBD.edm" hidden="1">#REF!</definedName>
    <definedName name="_bdm.4100AB239C464BE9B4969DD7A686A416.edm" hidden="1">#REF!</definedName>
    <definedName name="_bdm.41187d60bbbd49fa99fe35f1376a67a6.edm" hidden="1">#REF!</definedName>
    <definedName name="_bdm.412F48EB960A45F0B5E86D43154AD35C.edm" hidden="1">#REF!</definedName>
    <definedName name="_bdm.41c2ad2a5b004ea59014837ac480dc0a.edm" hidden="1">#REF!</definedName>
    <definedName name="_bdm.41f83dc503b44fd193cabc8ebf34b987.edm" hidden="1">#REF!</definedName>
    <definedName name="_bdm.4203dcf442d64bfab21a470f65a6b2a6.edm" hidden="1">#REF!</definedName>
    <definedName name="_bdm.421757ea80874f7da03e488b4b30cb8d.edm" hidden="1">#REF!</definedName>
    <definedName name="_bdm.421eadb0fa594012817a9bb2071253a1.edm" hidden="1">#REF!</definedName>
    <definedName name="_bdm.42797cb093244a259c8b6c912d2a13b2.edm" hidden="1">#REF!</definedName>
    <definedName name="_bdm.42a6bff0986e4d8a8fc3eea8fff61dae.edm" hidden="1">#REF!</definedName>
    <definedName name="_bdm.42a9509bacc74d2383393766914b82c6.edm" hidden="1">#REF!</definedName>
    <definedName name="_bdm.42F67CCC3C1C45638B5EC98256E90947.edm" hidden="1">#REF!</definedName>
    <definedName name="_bdm.438538854B784FDFB8ABC666C03C7DDD.edm" hidden="1">#REF!</definedName>
    <definedName name="_bdm.43c780ea90054c3fae4efd43b824a417.edm" hidden="1">#REF!</definedName>
    <definedName name="_bdm.440cb95d5235458da08c2345f9d3a234.edm" hidden="1">#REF!</definedName>
    <definedName name="_bdm.4416e1dd71724a09a628125c170bdb65.edm" hidden="1">#REF!</definedName>
    <definedName name="_bdm.44584A308F37487E9C0DE549E6CE87DA.edm" hidden="1">#REF!</definedName>
    <definedName name="_bdm.4469fee9ad4a4409a2ec5e15a03d4ed7.edm" hidden="1">#REF!</definedName>
    <definedName name="_bdm.44bf6b653239408080f7cd152d07ccb0.edm" hidden="1">#REF!</definedName>
    <definedName name="_bdm.4535424e45d94891b0dd9c8e03803018.edm" hidden="1">#REF!</definedName>
    <definedName name="_bdm.453a6ae2677f47c6a740e8965bffc36e.edm" hidden="1">#REF!</definedName>
    <definedName name="_bdm.455a7d01642c4bf3b852f995fa08a50f.edm" hidden="1">#REF!</definedName>
    <definedName name="_bdm.4560dbd104fb4ae582dc58b648053f77.edm" hidden="1">#REF!</definedName>
    <definedName name="_bdm.456d92dc9f2249dea964a292d3a462c5.edm" hidden="1">#REF!</definedName>
    <definedName name="_bdm.45768169185643a393bf70d1a388c0ff.edm" hidden="1">#REF!</definedName>
    <definedName name="_bdm.457aa850b2c54714ac7e89e571c53a23.edm" hidden="1">#REF!</definedName>
    <definedName name="_bdm.45af085d22f24b7eb9c3f9665ff04fb4.edm" hidden="1">#REF!</definedName>
    <definedName name="_bdm.45B9C8F785854AB488E99304FDF61E7B.edm" hidden="1">#REF!</definedName>
    <definedName name="_bdm.45E565F3C59C40EBB02D709AE94F7082.edm" hidden="1">#REF!</definedName>
    <definedName name="_bdm.45e58db81ee94b77a7d59db97af171e7.edm" hidden="1">#REF!</definedName>
    <definedName name="_bdm.464112F94E9340A5A1C0E21A2E138CC4.edm" hidden="1">#REF!</definedName>
    <definedName name="_bdm.46D56600DB7840728F138544F8E425DB.edm" hidden="1">#REF!</definedName>
    <definedName name="_bdm.46dd5165ea4d4bb0b7196de79bfa301e.edm" hidden="1">#REF!</definedName>
    <definedName name="_bdm.47606e3c426b4b49b5f6b6af59d7e86c.edm" hidden="1">#REF!</definedName>
    <definedName name="_bdm.478800273afd488380a512711f1f0ca3.edm" hidden="1">#REF!</definedName>
    <definedName name="_bdm.47b5da3f56c241af97e8848c61407b06.edm" hidden="1">#REF!</definedName>
    <definedName name="_bdm.48512961081b4764b7a4dfea9858a7b3.edm" hidden="1">#REF!</definedName>
    <definedName name="_bdm.48698CFAD0EB431C9F0527C988EE6C8F.edm" hidden="1">#REF!</definedName>
    <definedName name="_bdm.4898239B4037497CB608C1C511CEC295.edm" hidden="1">#REF!</definedName>
    <definedName name="_bdm.494e53b01ce84881b3992c3d000761d6.edm" hidden="1">#REF!</definedName>
    <definedName name="_bdm.49D252299CC945BBAF9101D5AEAE5785.edm" hidden="1">#REF!</definedName>
    <definedName name="_bdm.49d888b4a84c44b9a35b47b5d2817dab.edm" hidden="1">#REF!</definedName>
    <definedName name="_bdm.4a7238faa7cb4cc6a7358512564457b9.edm" hidden="1">#REF!</definedName>
    <definedName name="_bdm.4b2901c37ac24e30b0136f875bc8cbea.edm" hidden="1">#REF!</definedName>
    <definedName name="_bdm.4B817BC57E7D43DE9E8A3B7068264FD2.edm" hidden="1">#REF!</definedName>
    <definedName name="_bdm.4b9379aee397414e8cc079a29ce9e28f.edm" hidden="1">#REF!</definedName>
    <definedName name="_bdm.4bcdcff98f884236955e14e72014c92d.edm" hidden="1">#REF!</definedName>
    <definedName name="_bdm.4bdfa67b276f47ec9199599a3bf186c9.edm" hidden="1">#REF!</definedName>
    <definedName name="_bdm.4C2125ADCDCD46B586F92D143B9BAEE5.edm" hidden="1">#REF!</definedName>
    <definedName name="_bdm.4C43AC4208044702831B79C0245D422F.edm" hidden="1">#REF!</definedName>
    <definedName name="_bdm.4C728DA8E40143EBA67F38FC2AACAA6A.edm" hidden="1">#REF!</definedName>
    <definedName name="_bdm.4C95544FBA7742B1954FBC69874DDEE9.edm" hidden="1">#REF!</definedName>
    <definedName name="_bdm.4cb100f4502347d88f7fadcd5234a2f9.edm" hidden="1">#REF!</definedName>
    <definedName name="_bdm.4ceeddc8ed1f48bb84ff2d297e0145eb.edm" hidden="1">#REF!</definedName>
    <definedName name="_bdm.4cf0102f3d1142748fe17c05ea637799.edm" hidden="1">#REF!</definedName>
    <definedName name="_bdm.4d0096c7efdc488ea459b72f2f503438.edm" hidden="1">#REF!</definedName>
    <definedName name="_bdm.4d3d3a500623403b9c49137ed0a41c23.edm" hidden="1">#REF!</definedName>
    <definedName name="_bdm.4D88F2B366744CEC93CEE2A5F892A18D.edm" hidden="1">#REF!</definedName>
    <definedName name="_bdm.4d9131c5adf14471b071ce414c5715f0.edm" hidden="1">#REF!</definedName>
    <definedName name="_bdm.4DC06811808549E28F873B85BA48313B.edm" hidden="1">#REF!</definedName>
    <definedName name="_bdm.4DC120E224DD4D7B9BE6EC75EBD4BC04.edm" hidden="1">#REF!</definedName>
    <definedName name="_bdm.4e171c1c12f947eca83fd2002d3ce12a.edm" hidden="1">#REF!</definedName>
    <definedName name="_bdm.4e1e8e01b15c4d12bb3e67dbfb2ca85c.edm" hidden="1">#REF!</definedName>
    <definedName name="_bdm.4e20252af4c04dd1a8b9893cb3f4b1f2.edm" hidden="1">#REF!</definedName>
    <definedName name="_bdm.4e2394c953884e648f82ed1bad0e13de.edm" hidden="1">#REF!</definedName>
    <definedName name="_bdm.4ea6367ae01f4b3f9887c4deb3f42976.edm" hidden="1">#REF!</definedName>
    <definedName name="_bdm.4f595b7be2bc4ec7b392fff9e667ab9c.edm" hidden="1">#REF!</definedName>
    <definedName name="_bdm.5056b87794e64a41abbd852b924c6f8e.edm" hidden="1">#REF!</definedName>
    <definedName name="_bdm.506c75bcb57a48d99cb3f3baa05b95e2.edm" hidden="1">#REF!</definedName>
    <definedName name="_bdm.50795377E29B479D95B364477AB6E29E.edm" hidden="1">#REF!</definedName>
    <definedName name="_bdm.5112222eb629452ebd317a9d6ad601fe.edm" hidden="1">#REF!</definedName>
    <definedName name="_bdm.514305093bb442e5a1cd5092ca82b104.edm" hidden="1">#REF!</definedName>
    <definedName name="_bdm.520f4ac21cc3489ab50931fac55920ca.edm" hidden="1">#REF!</definedName>
    <definedName name="_bdm.527ce4fefa3e4b8682de96adf6fc8063.edm" hidden="1">#REF!</definedName>
    <definedName name="_bdm.52cb8424b0ac414e978cc6061af93169.edm" hidden="1">#REF!</definedName>
    <definedName name="_bdm.546afc1a57e343f5bee9a6957efb1c73.edm" hidden="1">#REF!</definedName>
    <definedName name="_bdm.547009f26eb04b4f968a55a34ba566dc.edm" hidden="1">#REF!</definedName>
    <definedName name="_bdm.54b1fcd728af4afd89a1af82937c7a1d.edm" hidden="1">#REF!</definedName>
    <definedName name="_bdm.56324138398e4b3b9c0e9e0f7fc591f9.edm" hidden="1">#REF!</definedName>
    <definedName name="_bdm.568D650E99084616B72DB0D77ED2D8C8.edm" hidden="1">#REF!</definedName>
    <definedName name="_bdm.570d27128f9b4907af86184762af4e7e.edm" hidden="1">#REF!</definedName>
    <definedName name="_bdm.57321820b9c3447a96d65ecf2a3b25b5.edm" hidden="1">#REF!</definedName>
    <definedName name="_bdm.574fe1b9222146e187d06a8e44f80a6b.edm" hidden="1">#REF!</definedName>
    <definedName name="_bdm.57aa9479445040599a07277d33846057.edm" hidden="1">#REF!</definedName>
    <definedName name="_bdm.58BCF407F57148BFAB219B65213185DD.edm" hidden="1">#REF!</definedName>
    <definedName name="_bdm.58cc2cad49314c35bfca30f6ee797654.edm" hidden="1">#REF!</definedName>
    <definedName name="_bdm.58efac82197447ffa96ea21935c9ed10.edm" hidden="1">#REF!</definedName>
    <definedName name="_bdm.59086534125a4c1198c511a46c9046a6.edm" hidden="1">#REF!</definedName>
    <definedName name="_bdm.5919e62cabb74082845fd6a192f4f8bf.edm" hidden="1">#REF!</definedName>
    <definedName name="_bdm.59a851ee84554a8da2db53e60d8dfa07.edm" hidden="1">#REF!</definedName>
    <definedName name="_bdm.59d32a7d52a14bb6a0ad0b004dd6321d.edm" hidden="1">#REF!</definedName>
    <definedName name="_bdm.59d9a4df0aa84614b41876ecabba9888.edm" hidden="1">#REF!</definedName>
    <definedName name="_bdm.59df1a8bbc994b1cbc70fb336fc7eeab.edm" hidden="1">#REF!</definedName>
    <definedName name="_bdm.5a302c09040848dea9fc9a32af3a7c4b.edm" hidden="1">#REF!</definedName>
    <definedName name="_bdm.5a3f0c30188840bfb0fec6b4fc54bfe0.edm" hidden="1">#REF!</definedName>
    <definedName name="_bdm.5A4E7A0A51B34F8CB060B94F673880E0.edm" hidden="1">#REF!</definedName>
    <definedName name="_bdm.5aed654182a44ec48e71f70eae340669.edm" hidden="1">#REF!</definedName>
    <definedName name="_bdm.5b9a4a8389ba481198d848cb8f9c045c.edm" hidden="1">#REF!</definedName>
    <definedName name="_bdm.5BCF65F5FCDD48DC94EF9106A7397AAA.edm" hidden="1">#REF!</definedName>
    <definedName name="_bdm.5BF7424BDB064A3CA73B77DA8298E8C9.edm" hidden="1">#REF!</definedName>
    <definedName name="_bdm.5c08ee6e8d154a6fb8efd5a1581884ed.edm" hidden="1">#REF!</definedName>
    <definedName name="_bdm.5c3fa225d5614fdd8e4fe3b6a7086420.edm" hidden="1">#REF!</definedName>
    <definedName name="_bdm.5c69123575e3445baa4b76584f7afaa7.edm" hidden="1">#REF!</definedName>
    <definedName name="_bdm.5ca79715f84e42b5a9f7acfea7c0863b.edm" hidden="1">#REF!</definedName>
    <definedName name="_bdm.5cb36121a0bf4b80942bd5cac5e8f0d3.edm" hidden="1">#REF!</definedName>
    <definedName name="_bdm.5cdf317970d745e49b6b0e5ba7b5df2c.edm" hidden="1">#REF!</definedName>
    <definedName name="_bdm.5cfe9680ab734c7b851b4ced49cf0fb8.edm" hidden="1">#REF!</definedName>
    <definedName name="_bdm.5d2fa24ee7f949ffa7a72481d394c522.edm" hidden="1">#REF!</definedName>
    <definedName name="_bdm.5D98A186B2F44BABBA212F97E31DE1DB.edm" hidden="1">#REF!</definedName>
    <definedName name="_bdm.5DA83351381D445092D553D326F046EC.edm" hidden="1">#REF!</definedName>
    <definedName name="_bdm.5daf66aecfa943b0902a2bf378748bf9.edm" hidden="1">#REF!</definedName>
    <definedName name="_bdm.5db771d39f504eb8bf54cd2ae022e26f.edm" hidden="1">#REF!</definedName>
    <definedName name="_bdm.5e571896341141569a118c687fdc4237.edm" hidden="1">#REF!</definedName>
    <definedName name="_bdm.5ee8240acc4c41988b295fb5d10db0ed.edm" hidden="1">#REF!</definedName>
    <definedName name="_bdm.5ef96822ce264f3a974aa5daadea6287.edm" hidden="1">#REF!</definedName>
    <definedName name="_bdm.5efb063111214cd1966b70c6fbd67933.edm" hidden="1">#REF!</definedName>
    <definedName name="_bdm.5F1885707D3344F0A4139CF01D1D1F5E.edm" hidden="1">#REF!</definedName>
    <definedName name="_bdm.5f194e5c79fe487f90caac17f27ec1f8.edm" hidden="1">#REF!</definedName>
    <definedName name="_bdm.5f57120fcad74873b64fa0d550c5f68a.edm" hidden="1">#REF!</definedName>
    <definedName name="_bdm.5f8ed927fd2d48e9bddee1b264b12445.edm" hidden="1">#REF!</definedName>
    <definedName name="_bdm.5f8fd2516ee64f3a9eec273b9e79ac01.edm" hidden="1">#REF!</definedName>
    <definedName name="_bdm.5fc949453e17405192f10bfc90cfecaa.edm" hidden="1">#REF!</definedName>
    <definedName name="_bdm.5FD62E3CFE08434F92780CF4FE383167.edm" hidden="1">#REF!</definedName>
    <definedName name="_bdm.609751d69283473ebd5d643f1b10e6ac.edm" hidden="1">#REF!</definedName>
    <definedName name="_bdm.60A1016E4A5045B0B4BE42FB21AAF6D6.edm" hidden="1">#REF!</definedName>
    <definedName name="_bdm.6129e92ce47040f49e12bf5641bd04df.edm" hidden="1">#REF!</definedName>
    <definedName name="_bdm.61323a0f93174a189ac94a62a732c578.edm" hidden="1">#REF!</definedName>
    <definedName name="_bdm.6170c0f13ce74002acb0746025cfaa9d.edm" hidden="1">#REF!</definedName>
    <definedName name="_bdm.61b1c6e4210e407fa81df86f0091d644.edm" hidden="1">#REF!</definedName>
    <definedName name="_bdm.61bc89700d484473bce953f005821bc6.edm" hidden="1">#REF!</definedName>
    <definedName name="_bdm.61ff4d18e920445ebafb4ad366f71ad2.edm" hidden="1">#REF!</definedName>
    <definedName name="_bdm.6233250e30774c508708044163ba51b6.edm" hidden="1">#REF!</definedName>
    <definedName name="_bdm.6258efe1eaff4af69fb1a3296bb36c9f.edm" hidden="1">#REF!</definedName>
    <definedName name="_bdm.62A43F42B3654792AA4511E8993E21B4.edm" hidden="1">#REF!</definedName>
    <definedName name="_bdm.63b396f43852461eb2c7b21c3b1f9d20.edm" hidden="1">#REF!</definedName>
    <definedName name="_bdm.649A80C3FF5E4DF0A6BF7FD8B8B6BCC3.edm" hidden="1">#REF!</definedName>
    <definedName name="_bdm.64a4171a7cda474293b2de9b9b019d55.edm" hidden="1">#REF!</definedName>
    <definedName name="_bdm.64a4601907734ef6b9306ff53dd646a9.edm" hidden="1">#REF!</definedName>
    <definedName name="_bdm.655544486e654755af264c299f2a95ae.edm" hidden="1">#REF!</definedName>
    <definedName name="_bdm.6557ef2a33fa4feeb9ba512230ead04d.edm" hidden="1">#REF!</definedName>
    <definedName name="_bdm.6569e9fa03f242cfae06432eac0071a6.edm" hidden="1">#REF!</definedName>
    <definedName name="_bdm.65F9EB696FC746649BC61AD8D778200B.edm" hidden="1">#REF!</definedName>
    <definedName name="_bdm.6677eae3bafd47f694f83f22eb4c38fa.edm" hidden="1">#REF!</definedName>
    <definedName name="_bdm.67070e937747469cb440423fb67410d7.edm" hidden="1">#REF!</definedName>
    <definedName name="_bdm.6724276d673947f381788ff2a622dea8.edm" hidden="1">#REF!</definedName>
    <definedName name="_bdm.677bd4c4a3f841bc8813771e022f2016.edm" hidden="1">#REF!</definedName>
    <definedName name="_bdm.6799cd18b0e943a0a9bab9d4237625c0.edm" hidden="1">#REF!</definedName>
    <definedName name="_bdm.67b1357ae5464d46a14a50b50f183998.edm" hidden="1">#REF!</definedName>
    <definedName name="_bdm.68090f3820114e50bf8ce7ce3da53a3a.edm" hidden="1">#REF!</definedName>
    <definedName name="_bdm.688484aa8da04b6caa1ee32cffc277c9.edm" hidden="1">#REF!</definedName>
    <definedName name="_bdm.68ace0c5cf944e8cbd097330d70859a2.edm" hidden="1">#REF!</definedName>
    <definedName name="_bdm.69003c5203d849e88b84e5aeb99a0122.edm" hidden="1">#REF!</definedName>
    <definedName name="_bdm.690ccd59421248b69b1a042f5506640e.edm" hidden="1">#REF!</definedName>
    <definedName name="_bdm.6a09f3eaff8448d9bcca214ad792397d.edm" hidden="1">#REF!</definedName>
    <definedName name="_bdm.6A4F462DA4214750AB39B28F564964EF.edm" hidden="1">#REF!</definedName>
    <definedName name="_bdm.6a5dffa5806c499fb734d90bd4c236ed.edm" hidden="1">#REF!</definedName>
    <definedName name="_bdm.6A97FAE4CDA2440485E7D75C77862BA9.edm" hidden="1">#REF!</definedName>
    <definedName name="_bdm.6afcd76f9ce647609a4efbb5325d0d7b.edm" hidden="1">#REF!</definedName>
    <definedName name="_bdm.6b58e96af06c40d1b2e579cc9126fa9d.edm" hidden="1">#REF!</definedName>
    <definedName name="_bdm.6bea1a3416074ffba5c1de44e6e0446f.edm" hidden="1">#REF!</definedName>
    <definedName name="_bdm.6C256DB9C5FE486A9BFC3575DA50C313.edm" hidden="1">#REF!</definedName>
    <definedName name="_bdm.6C55D18345044AE59CB549633C249B4D.edm" hidden="1">#REF!</definedName>
    <definedName name="_bdm.6d200463c6b648879dbe202de9841d81.edm" hidden="1">#REF!</definedName>
    <definedName name="_bdm.6d40804490e047feae763bbd29677c25.edm" hidden="1">#REF!</definedName>
    <definedName name="_bdm.6d4877b0031f4a6f82f16139633bedd4.edm" hidden="1">#REF!</definedName>
    <definedName name="_bdm.6d74be6cc6d84cbab7849fe625c3d9e4.edm" hidden="1">#REF!</definedName>
    <definedName name="_bdm.6d89ea25748647eda3ff335c5d07f36c.edm" hidden="1">#REF!</definedName>
    <definedName name="_bdm.6dbe8a8ee31b42ca983aa7f2dececb33.edm" hidden="1">#REF!</definedName>
    <definedName name="_bdm.6e094d9ada7448adb735d78797836b20.edm" hidden="1">#REF!</definedName>
    <definedName name="_bdm.6E73B2E02A8D4A81B1C0C17B5E83EE92.edm" hidden="1">#REF!</definedName>
    <definedName name="_bdm.6ee08555055643e0b9382a8f17453715.edm" hidden="1">#REF!</definedName>
    <definedName name="_bdm.6f8b4f486ef445d7aed71314e46158da.edm" hidden="1">#REF!</definedName>
    <definedName name="_bdm.6fa0b12984054a07a4854b6ba51271c8.edm" hidden="1">#REF!</definedName>
    <definedName name="_bdm.6faf35b7701349baadd68aed9664af53.edm" hidden="1">#REF!</definedName>
    <definedName name="_bdm.7031251a1a9d469a992d913b66eff2b0.edm" hidden="1">#REF!</definedName>
    <definedName name="_bdm.704e3fc9d35e4840910214d1b86793ef.edm" hidden="1">#REF!</definedName>
    <definedName name="_bdm.70D443087C3F43E08221892D72DDC0FC.edm" hidden="1">#REF!</definedName>
    <definedName name="_bdm.70d77a47fdbd4ed6a4b8d8a3d84d1ffd.edm" hidden="1">#REF!</definedName>
    <definedName name="_bdm.71309d48cfea492dbbecf4a979a6a7a2.edm" hidden="1">#REF!</definedName>
    <definedName name="_bdm.7176185e33df4bf5ac3e0942d222687d.edm" hidden="1">#REF!</definedName>
    <definedName name="_bdm.71df56a7e43d42768cc18f2a046f93f2.edm" hidden="1">#REF!</definedName>
    <definedName name="_bdm.72090c4c658348e5bfe2bef1d9a56b04.edm" hidden="1">#REF!</definedName>
    <definedName name="_bdm.721a2dfadda746418f743b014c7395e4.edm" hidden="1">#REF!</definedName>
    <definedName name="_bdm.721f445cba4046c898ce8d4337a0d877.edm" hidden="1">#REF!</definedName>
    <definedName name="_bdm.7239792cd170443389f76ee7de6e818e.edm" hidden="1">#REF!</definedName>
    <definedName name="_bdm.728F11F0AFCA412FB7ED10EC5A6B0D96.edm" hidden="1">#REF!</definedName>
    <definedName name="_bdm.729E22FC76834592A3EF9812853CAA72.edm" hidden="1">#REF!</definedName>
    <definedName name="_bdm.730772bbf83b472b9227f93cae2bbfd8.edm" hidden="1">#REF!</definedName>
    <definedName name="_bdm.7317521E367C4A50896524C70180A68C.edm" hidden="1">#REF!</definedName>
    <definedName name="_bdm.731BDA48F9E34C35A30B181461F49F5F.edm" hidden="1">#REF!</definedName>
    <definedName name="_bdm.734cdec447104e3b91386d092e75c184.edm" hidden="1">#REF!</definedName>
    <definedName name="_bdm.73E75839B59247D78AD12A7ABF451BA5.edm" hidden="1">#REF!</definedName>
    <definedName name="_bdm.73ffaef1e76f43979db25e9a07306c20.edm" hidden="1">#REF!</definedName>
    <definedName name="_bdm.740b5a2ec6174434879703665aa516a6.edm" hidden="1">#REF!</definedName>
    <definedName name="_bdm.743e1075413c41cdbd483ca552a73948.edm" hidden="1">#REF!</definedName>
    <definedName name="_bdm.7470820949c54a089443a58c84daa7a3.edm" hidden="1">#REF!</definedName>
    <definedName name="_bdm.74738D6ABB26423B908AFE501F0725F5.edm" hidden="1">#REF!</definedName>
    <definedName name="_bdm.74B7DBBD75204C8096FC153EB238181A.edm" hidden="1">#REF!</definedName>
    <definedName name="_bdm.7519931b3fce4cb49ba7d85ff54ff07e.edm" hidden="1">#REF!</definedName>
    <definedName name="_bdm.75333eb87972445c91f4d09540716790.edm" hidden="1">#REF!</definedName>
    <definedName name="_bdm.7557b83ca1da46f981baee3828a56af9.edm" hidden="1">#REF!</definedName>
    <definedName name="_bdm.757034bda624428c8fdb2c0f7d1c7310.edm" hidden="1">#REF!</definedName>
    <definedName name="_bdm.759e52a9378e407ebc7fdc8dee07e387.edm" hidden="1">#REF!</definedName>
    <definedName name="_bdm.76074D17ADD044A287D271B1AAFC4036.edm" hidden="1">#REF!</definedName>
    <definedName name="_bdm.7637808501084786b9924cb3770f4b59.edm" hidden="1">#REF!</definedName>
    <definedName name="_bdm.76c86deb0e9f43fab387adae7bf835ca.edm" hidden="1">#REF!</definedName>
    <definedName name="_bdm.77192A69936D48368D0A13E908672759.edm" hidden="1">#REF!</definedName>
    <definedName name="_bdm.7731cc5070e44f88a91f21886649e107.edm" hidden="1">#REF!</definedName>
    <definedName name="_bdm.77453DAF91854373A25ACDB8F1877D47.edm" hidden="1">#REF!</definedName>
    <definedName name="_bdm.77476bbf5bc54ae7b52612fb1a2376ab.edm" hidden="1">#REF!</definedName>
    <definedName name="_bdm.7757076A173D4402BD533DE2F5EDA064.edm" hidden="1">#REF!</definedName>
    <definedName name="_bdm.77af3faf523d45aaa54cc7164f697b8f.edm" hidden="1">#REF!</definedName>
    <definedName name="_bdm.77b3166615f3450987da2c597157664b.edm" hidden="1">#REF!</definedName>
    <definedName name="_bdm.780F56ADB5884472A86A7C831E0575C0.edm" hidden="1">#REF!</definedName>
    <definedName name="_bdm.78add7fd5d104f568f23ae7a38b88e46.edm" hidden="1">#REF!</definedName>
    <definedName name="_bdm.79801339df634dc1b522b661044aaff3.edm" hidden="1">#REF!</definedName>
    <definedName name="_bdm.79f0f3a135c947d4a679e7bcc7100bc9.edm" hidden="1">#REF!</definedName>
    <definedName name="_bdm.7a08f00538cf41469a78c5cdeefe9ffe.edm" hidden="1">#REF!</definedName>
    <definedName name="_bdm.7a8fc6bd061d47a08cd5356f938e6355.edm" hidden="1">#REF!</definedName>
    <definedName name="_bdm.7a9da4e3c651420888fc51fb94613e4c.edm" hidden="1">#REF!</definedName>
    <definedName name="_bdm.7aa744a1a4234fb1b55f47cedcf6444f.edm" hidden="1">#REF!</definedName>
    <definedName name="_bdm.7b0489cfb03640ccaf31061f87e8bfd5.edm" hidden="1">#REF!</definedName>
    <definedName name="_bdm.7b10e4a88bb74fc0b55f519ca9136693.edm" hidden="1">#REF!</definedName>
    <definedName name="_bdm.7b7ea237429e41d3b14db13b4ec640ef.edm" hidden="1">#REF!</definedName>
    <definedName name="_bdm.7BEAC603E1CF424DAB39026C65C8AAA7.edm" hidden="1">#REF!</definedName>
    <definedName name="_bdm.7c2eb99c5a8948bf8dff9c7d9692d807.edm" hidden="1">#REF!</definedName>
    <definedName name="_bdm.7c4a1612adb2496c9b8b71467a84f9da.edm" hidden="1">#REF!</definedName>
    <definedName name="_bdm.7c6578b6f1c943889926a7dc16127d56.edm" hidden="1">#REF!</definedName>
    <definedName name="_bdm.7c96e86ad9af48fe8f55ecde875813d3.edm" hidden="1">#REF!</definedName>
    <definedName name="_bdm.7ca03ad0740845b6a601329fd64be51c.edm" hidden="1">#REF!</definedName>
    <definedName name="_bdm.7d308bdf99a74983aa5f12d2e2a98bf5.edm" hidden="1">#REF!</definedName>
    <definedName name="_bdm.7d3166fa32e540c687676d044b9d21a5.edm" hidden="1">#REF!</definedName>
    <definedName name="_bdm.7d3ec768487149e3b013055591eb9646.edm" hidden="1">#REF!</definedName>
    <definedName name="_bdm.7D6E681F77244C12A40CE5CA848716B2.edm" hidden="1">#REF!</definedName>
    <definedName name="_bdm.7d72d20cc4b54627aee933d5670443bc.edm" hidden="1">#REF!</definedName>
    <definedName name="_bdm.7d9a72d97a2748fdbd9a77161fd7336c.edm" hidden="1">#REF!</definedName>
    <definedName name="_bdm.7DE2BCC0FEFC4784B6BD5828D0391665.edm" hidden="1">#REF!</definedName>
    <definedName name="_bdm.7e260801c8d34418a1bd18276f3b9e6f.edm" hidden="1">#REF!</definedName>
    <definedName name="_bdm.7e33397181484488bc477f1cf98928ec.edm" hidden="1">#REF!</definedName>
    <definedName name="_bdm.7e8c50cfede64063bb222bfcebd34233.edm" hidden="1">#REF!</definedName>
    <definedName name="_bdm.7e8f919fe91d443497607c852b28e0b4.edm" hidden="1">#REF!</definedName>
    <definedName name="_bdm.7f084484661843e290ad01101d559337.edm" hidden="1">#REF!</definedName>
    <definedName name="_bdm.7f1bc1252e5645949ac5e172a99764c8.edm" hidden="1">#REF!</definedName>
    <definedName name="_bdm.7F2CDAA6B7634328A6F91E659486C5A1.edm" hidden="1">#REF!</definedName>
    <definedName name="_bdm.7fa4466662ce4b11a88a0db9731b0562.edm" hidden="1">#REF!</definedName>
    <definedName name="_bdm.7fd1c89f2f28410ca547c6af1592cfe0.edm" hidden="1">#REF!</definedName>
    <definedName name="_bdm.80232d49968b49d09b0ad719b9e0f4da.edm" hidden="1">#REF!</definedName>
    <definedName name="_bdm.802466289b9f41319f6412771a8e8fe5.edm" hidden="1">#REF!</definedName>
    <definedName name="_bdm.808db2275e994746848ad516e1effc4e.edm" hidden="1">#REF!</definedName>
    <definedName name="_bdm.80b8a3cf85824ee49287353fe703da07.edm" hidden="1">#REF!</definedName>
    <definedName name="_bdm.80ba9e86564d4a88861dfdf0b1cb6c51.edm" hidden="1">#REF!</definedName>
    <definedName name="_bdm.80c5bce57a5f4f3a9b9a4bbcc950632a.edm" hidden="1">#REF!</definedName>
    <definedName name="_bdm.80D2589F3C064063BD30C8CCDFE63AF1.edm" hidden="1">#REF!</definedName>
    <definedName name="_bdm.8110051aa5dc466ca3e0876832a4749f.edm" hidden="1">#REF!</definedName>
    <definedName name="_bdm.820a080791d24292b4991119a8595c57.edm" hidden="1">#REF!</definedName>
    <definedName name="_bdm.821611604a194b14807ef620accacbf6.edm" hidden="1">#REF!</definedName>
    <definedName name="_bdm.82221f79935f4e4e9f38faa0d44eded6.edm" hidden="1">#REF!</definedName>
    <definedName name="_bdm.826340924643480CBF8D6C74065F3F43.edm" hidden="1">#REF!</definedName>
    <definedName name="_bdm.8300cf1f213247f79f5882ef0126f953.edm" hidden="1">#REF!</definedName>
    <definedName name="_bdm.8357430c4b0e4817b14e4b68259ac30d.edm" hidden="1">#REF!</definedName>
    <definedName name="_bdm.8370AA08F01B4C8786E9DDAC44888A8A.edm" hidden="1">#REF!</definedName>
    <definedName name="_bdm.8374faaa00e64f32b91fd84790034636.edm" hidden="1">#REF!</definedName>
    <definedName name="_bdm.83baed999e484c828a71192496a74674.edm" hidden="1">#REF!</definedName>
    <definedName name="_bdm.847d633e32784aad92440ce3d5ce6f33.edm" hidden="1">#REF!</definedName>
    <definedName name="_bdm.84ac2c08a6df47339ef892f2a6031645.edm" hidden="1">#REF!</definedName>
    <definedName name="_bdm.84F38A9759994A80A6CF34B5BBEB633C.edm" hidden="1">#REF!</definedName>
    <definedName name="_bdm.8524a4f802f64a328ac8694c237f494d.edm" hidden="1">#REF!</definedName>
    <definedName name="_bdm.8540e8fb41da4e6ca48f51bc47f61755.edm" hidden="1">#REF!</definedName>
    <definedName name="_bdm.8606f95b7ef944a7aa3ee03aa59d222c.edm" hidden="1">#REF!</definedName>
    <definedName name="_bdm.864547a33cd346e4b03873c6746bd8ca.edm" hidden="1">#REF!</definedName>
    <definedName name="_bdm.868ae7dcc11a4274ab698c802441da7e.edm" hidden="1">#REF!</definedName>
    <definedName name="_bdm.86a7af01628f46e28d2bd364c626345b.edm" hidden="1">#REF!</definedName>
    <definedName name="_bdm.873b5434ce6846ff86467dcb4fbd50bf.edm" hidden="1">#REF!</definedName>
    <definedName name="_bdm.8764d3fbe0fe4e609b0d800b5c98fd57.edm" hidden="1">#REF!</definedName>
    <definedName name="_bdm.879B950EBBAB4597B88189350706EC93.edm" hidden="1">#REF!</definedName>
    <definedName name="_bdm.87b837595d0e4ac6a25e65aa2a160c5c.edm" hidden="1">#REF!</definedName>
    <definedName name="_bdm.87f5bc6ea74a4a8a816860eb28b958b7.edm" hidden="1">#REF!</definedName>
    <definedName name="_bdm.883de4e17912414282aa610d64d3e0f4.edm" hidden="1">#REF!</definedName>
    <definedName name="_bdm.884e827421c543f7a055f53e1a979ab3.edm" hidden="1">#REF!</definedName>
    <definedName name="_bdm.88fe7543d82c4cfc86dcbc70b7a06d83.edm" hidden="1">#REF!</definedName>
    <definedName name="_bdm.896e18b0e9e64441980d37389f8df762.edm" hidden="1">#REF!</definedName>
    <definedName name="_bdm.89780df2c8244a66918d4ef5da6ddf27.edm" hidden="1">#REF!</definedName>
    <definedName name="_bdm.899d5c2c020049188ad464bdf6864128.edm" hidden="1">#REF!</definedName>
    <definedName name="_bdm.89e3f8201fa64015aa1928d82d8ac63a.edm" hidden="1">#REF!</definedName>
    <definedName name="_bdm.8a16cd8119624da0989752b28880dd3c.edm" hidden="1">#REF!</definedName>
    <definedName name="_bdm.8a907f7ffa68479a8774cb7bde8723d6.edm" hidden="1">#REF!</definedName>
    <definedName name="_bdm.8b18fc8fa26f4157bcb705e4ff861d71.edm" hidden="1">#REF!</definedName>
    <definedName name="_bdm.8b4b5e39911f4422b8ce064e941737bc.edm" hidden="1">#REF!</definedName>
    <definedName name="_bdm.8b57acb7754d42e882c5c0149b17b42e.edm" hidden="1">#REF!</definedName>
    <definedName name="_bdm.8b599b434dba459db423949a79a0b5eb.edm" hidden="1">#REF!</definedName>
    <definedName name="_bdm.8B5A055CA7B045E3A5F28F215CF26EA3.edm" hidden="1">#REF!</definedName>
    <definedName name="_bdm.8bf61a5cb1e04743b99f3561b1776fe4.edm" hidden="1">#REF!</definedName>
    <definedName name="_bdm.8c50311d301b4ddb83af08e9260b2dc8.edm" hidden="1">#REF!</definedName>
    <definedName name="_bdm.8C7E72C597044957B76907A45BD5A746.edm" hidden="1">#REF!</definedName>
    <definedName name="_bdm.8c7f3a8fe8bc4249b2fc1fe15d593e62.edm" hidden="1">#REF!</definedName>
    <definedName name="_bdm.8C9EA93F3DA54C6CB0B73703986F6211.edm" hidden="1">#REF!</definedName>
    <definedName name="_bdm.8D2ECDF262964C078C8760642DB9B760.edm" hidden="1">#REF!</definedName>
    <definedName name="_bdm.8D773A9CC63247228A72E9229D95627E.edm" hidden="1">#REF!</definedName>
    <definedName name="_bdm.8d8fddf6397a4b8b9d016c758c99acd8.edm" hidden="1">#REF!</definedName>
    <definedName name="_bdm.8dabb1cc4ed64e1c90604b89208346b4.edm" hidden="1">#REF!</definedName>
    <definedName name="_bdm.8de8ee5faf09402b9d4386d53f7fdfba.edm" hidden="1">#REF!</definedName>
    <definedName name="_bdm.8E1E96539F3242DA81EA85834A7CA2E4.edm" hidden="1">#REF!</definedName>
    <definedName name="_bdm.8e42b97d1a4d4c199e632c325e67c26f.edm" hidden="1">#REF!</definedName>
    <definedName name="_bdm.8E42E2B6A1CD4236B64D4991159A81BB.edm" hidden="1">#REF!</definedName>
    <definedName name="_bdm.8E62E968ADB443BE901CF0C67B9F21EA.edm" hidden="1">#REF!</definedName>
    <definedName name="_bdm.8e79c7015bc54881a1aaa60ff0387ea6.edm" hidden="1">#REF!</definedName>
    <definedName name="_bdm.8e9949d339224f64a2ed11fc5f5aec31.edm" hidden="1">#REF!</definedName>
    <definedName name="_bdm.8f42916e0d004945b29e1faa87810de8.edm" hidden="1">#REF!</definedName>
    <definedName name="_bdm.8f5f77927ecc421184b766d793de0f6d.edm" hidden="1">#REF!</definedName>
    <definedName name="_bdm.905cedb9f260462695aac7afc4108eed.edm" hidden="1">#REF!</definedName>
    <definedName name="_bdm.905fbea248c5443587cc3f6af106f902.edm" hidden="1">#REF!</definedName>
    <definedName name="_bdm.90a52032935b4f5ba5180fa52547d07d.edm" hidden="1">#REF!</definedName>
    <definedName name="_bdm.90dcff2661434e31bd470e152a98c46a.edm" hidden="1">#REF!</definedName>
    <definedName name="_bdm.90F48C158E044DB6B87574C63575737B.edm" hidden="1">#REF!</definedName>
    <definedName name="_bdm.91c8af2603b6488b9c59add1a5581291.edm" hidden="1">#REF!</definedName>
    <definedName name="_bdm.91F16F5D9EDA42BA838E5A46F6DAFF9B.edm" hidden="1">#REF!</definedName>
    <definedName name="_bdm.9202b319fa57437d88b96100feb99c60.edm" hidden="1">#REF!</definedName>
    <definedName name="_bdm.92343231ac38436688f265a138347370.edm" hidden="1">#REF!</definedName>
    <definedName name="_bdm.92a099ca5963435ca3be7060eb906111.edm" hidden="1">#REF!</definedName>
    <definedName name="_bdm.92AADDD97F7646C882610C87EEFFB2D7.edm" hidden="1">#REF!</definedName>
    <definedName name="_bdm.9301DDFC67D846248C16E96B86458D94.edm" hidden="1">#REF!</definedName>
    <definedName name="_bdm.933297DE7D6F49A68A375152DE3F7377.edm" hidden="1">#REF!</definedName>
    <definedName name="_bdm.937e6dd1e73f407490d3a9c764637c41.edm" hidden="1">#REF!</definedName>
    <definedName name="_bdm.93dc5d07f70a482a813f46713ae40ad8.edm" hidden="1">#REF!</definedName>
    <definedName name="_bdm.9404D71466BC4C27A764E1E718FD0848.edm" hidden="1">#REF!</definedName>
    <definedName name="_bdm.942b5e234c7441e68eeb2d217883d944.edm" hidden="1">#REF!</definedName>
    <definedName name="_bdm.944A9BA92CF74C0FB5FB022CA18670EC.edm" hidden="1">#REF!</definedName>
    <definedName name="_bdm.946242c751014590867761795b20613c.edm" hidden="1">#REF!</definedName>
    <definedName name="_bdm.946f7b4b20934311bab40d33e3bc2d91.edm" hidden="1">#REF!</definedName>
    <definedName name="_bdm.94ebf30962d342e4b1ea0d2494077511.edm" hidden="1">#REF!</definedName>
    <definedName name="_bdm.95678cffde624aa8b0287a236d4c77d4.edm" hidden="1">#REF!</definedName>
    <definedName name="_bdm.95802ad3c4714be7b22b363fd6192540.edm" hidden="1">#REF!</definedName>
    <definedName name="_bdm.95934c3086834869bd85575b4fb2c996.edm" hidden="1">#REF!</definedName>
    <definedName name="_bdm.95B3BB646EED4CCE80790D8D8638B047.edm" hidden="1">#REF!</definedName>
    <definedName name="_bdm.960D5BE294DD44E494FC4D297EFF166E.edm" hidden="1">#REF!</definedName>
    <definedName name="_bdm.96283d51fd5f4419a2c0704beb79f307.edm" hidden="1">#REF!</definedName>
    <definedName name="_bdm.969791be17644e419ee200b0cbde3941.edm" hidden="1">#REF!</definedName>
    <definedName name="_bdm.96ac8e9d86f243dbad0def707ed86bc4.edm" hidden="1">#REF!</definedName>
    <definedName name="_bdm.96c216f5e2544d7ba845760b2bd122fc.edm" hidden="1">#REF!</definedName>
    <definedName name="_bdm.96D48181D53F4B17A1DBD617504188FB.edm" hidden="1">#REF!</definedName>
    <definedName name="_bdm.96df41847c37415f945ec164a5d72ddc.edm" hidden="1">#REF!</definedName>
    <definedName name="_bdm.9725d62f3949457b84c045b8b1a9b466.edm" hidden="1">#REF!</definedName>
    <definedName name="_bdm.972fc269455b4f6ea7320f85b10f17eb.edm" hidden="1">#REF!</definedName>
    <definedName name="_bdm.97C019964AD1489E92080F328CB1C920.edm" hidden="1">#REF!</definedName>
    <definedName name="_bdm.98021cee59584d919e0d875fa6d01226.edm" hidden="1">#REF!</definedName>
    <definedName name="_bdm.980453d4a6ad4ce383cae72fbc24c45d.edm" hidden="1">#REF!</definedName>
    <definedName name="_bdm.98447346f2ef48758a304ab14a1ed809.edm" hidden="1">#REF!</definedName>
    <definedName name="_bdm.98ee14be1bb340f1b5f0c5dd85962cc5.edm" hidden="1">#REF!</definedName>
    <definedName name="_bdm.9a57f5c46c3e4fa6962164e1b321ac74.edm" hidden="1">#REF!</definedName>
    <definedName name="_bdm.9b0cb94ea09e4b04a59209275a5ec6a4.edm" hidden="1">#REF!</definedName>
    <definedName name="_bdm.9b171653cbe64dc2b32d9119c47ded43.edm" hidden="1">#REF!</definedName>
    <definedName name="_bdm.9b21ae23dc7e4081a8ce4b041f90d102.edm" hidden="1">#REF!</definedName>
    <definedName name="_bdm.9b3a563b168e4a30b395ac201ffa64d8.edm" hidden="1">#REF!</definedName>
    <definedName name="_bdm.9b898a10f3c54f6495847c8e8bf6ddc5.edm" hidden="1">#REF!</definedName>
    <definedName name="_bdm.9BBE3E0BE9544B2FA3690BC9105FC4D6.edm" hidden="1">#REF!</definedName>
    <definedName name="_bdm.9bc43822ab464121a4b646c403ba57f4.edm" hidden="1">#REF!</definedName>
    <definedName name="_bdm.9bfc6e41741a41cfaac4b11b8b155fe8.edm" hidden="1">#REF!</definedName>
    <definedName name="_bdm.9c993ea6a88d42b1b40b9aacb5c61dde.edm" hidden="1">#REF!</definedName>
    <definedName name="_bdm.9cc0fd01d837463d99daf11e8dd491d3.edm" hidden="1">#REF!</definedName>
    <definedName name="_bdm.9ccffcb98ac74a4581e12bef87438f38.edm" hidden="1">#REF!</definedName>
    <definedName name="_bdm.9d06571cbf8641ee817bee205d74959f.edm" hidden="1">#REF!</definedName>
    <definedName name="_bdm.9D0A34220A574DC98C800BD91486BF16.edm" hidden="1">#REF!</definedName>
    <definedName name="_bdm.9d2f3c86f6b74f859d2fc94b1a8ef2c1.edm" hidden="1">#REF!</definedName>
    <definedName name="_bdm.9d53c82a26274d17aff50efcc7ff57b8.edm" hidden="1">#REF!</definedName>
    <definedName name="_bdm.9D6EF826A2A24218B8A7B494D6EEDE29.edm" hidden="1">#REF!</definedName>
    <definedName name="_bdm.9D991E67C66D41E7B439FCACED6ED56B.edm" hidden="1">#REF!</definedName>
    <definedName name="_bdm.9da910326783471c8ae7a375da7fc021.edm" hidden="1">#REF!</definedName>
    <definedName name="_bdm.9db27426787b47f8ba81674acb319bbe.edm" hidden="1">#REF!</definedName>
    <definedName name="_bdm.9DC239BF935E43D0A8A98D36FC15BE4B.edm" hidden="1">#REF!</definedName>
    <definedName name="_bdm.9dc52e6231a341f3acec3ba3c1be9fdc.edm" hidden="1">#REF!</definedName>
    <definedName name="_bdm.9dd6885809804caca60df66d42a0337e.edm" hidden="1">#REF!</definedName>
    <definedName name="_bdm.9E1A823B5A284BF7BCB71905D689975E.edm" hidden="1">#REF!</definedName>
    <definedName name="_bdm.9ee26a7cb5984e299057103a82a9fe8b.edm" hidden="1">#REF!</definedName>
    <definedName name="_bdm.9ee8d6a5293d4d9583f2f9aa5ddf3c39.edm" hidden="1">#REF!</definedName>
    <definedName name="_bdm.9fa118bca3bc4630b74de80b05571fa5.edm" hidden="1">#REF!</definedName>
    <definedName name="_bdm.A02863D54F344FC880F3FAB6C7E3F67B.edm" hidden="1">#REF!</definedName>
    <definedName name="_bdm.A02D80F893DD4C7DA6D997E701C867FB.edm" hidden="1">#REF!</definedName>
    <definedName name="_bdm.A091CBBF1FFE49F69EC8427148E2C5A6.edm" hidden="1">#REF!</definedName>
    <definedName name="_bdm.a0a8d8df5c0f45f8add56c5a2ca93cb3.edm" hidden="1">#REF!</definedName>
    <definedName name="_bdm.A0CBFF6911FC4CBBBF686BB818B0D63F.edm" hidden="1">#REF!</definedName>
    <definedName name="_bdm.a0f198b24ccb49ff8336fe26a89fdc03.edm" hidden="1">#REF!</definedName>
    <definedName name="_bdm.A0F5735C3A364B8A8ACF6042FB6F70B8.edm" hidden="1">#REF!</definedName>
    <definedName name="_bdm.A13245B40A18401F84759EFA4EA924FD.edm" hidden="1">#REF!</definedName>
    <definedName name="_bdm.A14504C4685843CABFA70BDB420D1B49.edm" hidden="1">#REF!</definedName>
    <definedName name="_bdm.A284F5FEC6424E079E29DDC1294C0748.edm" hidden="1">#REF!</definedName>
    <definedName name="_bdm.a2a55dbf5ce94b52ba04fbbc6409b468.edm" hidden="1">#REF!</definedName>
    <definedName name="_bdm.A2CD13E3907D4FE38C199A374466D219.edm" hidden="1">#REF!</definedName>
    <definedName name="_bdm.a311c2512dc948718c053323cf44d3de.edm" hidden="1">#REF!</definedName>
    <definedName name="_bdm.a32c3fae228e41b3ae691adf93d8001f.edm" hidden="1">#REF!</definedName>
    <definedName name="_bdm.A3306D7ED94B4F47BFDAA4A48E2445C8.edm" hidden="1">#REF!</definedName>
    <definedName name="_bdm.a3405c9600254b89bfb4d8848fcea023.edm" hidden="1">#REF!</definedName>
    <definedName name="_bdm.a3b7b036d48e432582c368fded74836a.edm" hidden="1">#REF!</definedName>
    <definedName name="_bdm.a3ea14edcaef4d9f8c0311cb0f825f8a.edm" hidden="1">#REF!</definedName>
    <definedName name="_bdm.a43b4cf643a948bf8d8f5652d30e140a.edm" hidden="1">#REF!</definedName>
    <definedName name="_bdm.a46bb21243a1454883f33cd277fb3ba0.edm" hidden="1">#REF!</definedName>
    <definedName name="_bdm.a49dc4a3c92c4b81a4d226fee503bc19.edm" hidden="1">#REF!</definedName>
    <definedName name="_bdm.a557dc97f39c4709a49b6518377662c0.edm" hidden="1">#REF!</definedName>
    <definedName name="_bdm.A55D015405394FC28AF44D3721998613.edm" hidden="1">#REF!</definedName>
    <definedName name="_bdm.A57834B3A63745EDBB0542846BC8802D.edm" hidden="1">#REF!</definedName>
    <definedName name="_bdm.a5b8124b441947bd973623468fdc9343.edm" hidden="1">#REF!</definedName>
    <definedName name="_bdm.a5dab17b7a7c4cbb9e02024278570441.edm" hidden="1">#REF!</definedName>
    <definedName name="_bdm.a5e30aa7b3c4427ca61b42e3094a9ee6.edm" hidden="1">#REF!</definedName>
    <definedName name="_bdm.a6157e28daa84787aa76fec9782224e5.edm" hidden="1">#REF!</definedName>
    <definedName name="_bdm.a67f35390db140da98a9e9d623d0d076.edm" hidden="1">#REF!</definedName>
    <definedName name="_bdm.a690d0b4e50c4f57b6c0eb25efca1702.edm" hidden="1">#REF!</definedName>
    <definedName name="_bdm.a78946fa40a04d2484e2922c4b646757.edm" hidden="1">#REF!</definedName>
    <definedName name="_bdm.a7ca658fb54948a98fdfa44c1567fe5b.edm" hidden="1">#REF!</definedName>
    <definedName name="_bdm.A85BC073FA484361A5AEB4558F501A9E.edm" hidden="1">#REF!</definedName>
    <definedName name="_bdm.A89257C6C10E4104964DB13725C5B4A9.edm" hidden="1">#REF!</definedName>
    <definedName name="_bdm.A8C0D3402BF74479A8049D1919AAA6A7.edm" hidden="1">#REF!</definedName>
    <definedName name="_bdm.a9061fb8592443819c01c2a02a50c0b9.edm" hidden="1">#REF!</definedName>
    <definedName name="_bdm.a9118aca7aa6433492df0c248d3e326a.edm" hidden="1">#REF!</definedName>
    <definedName name="_bdm.A92B57B49CA7440AB9E581A9460A4843.edm" hidden="1">#REF!</definedName>
    <definedName name="_bdm.a939fa87efb54774a921dd9a1a5c8359.edm" hidden="1">#REF!</definedName>
    <definedName name="_bdm.A977A6B96DDE41E4A35D37F04F81BDAE.edm" hidden="1">#REF!</definedName>
    <definedName name="_bdm.a990e873029f44df9ceb56de6d8ea812.edm" hidden="1">#REF!</definedName>
    <definedName name="_bdm.a99f7e0ad3054a2690efd240b5a25ae7.edm" hidden="1">#REF!</definedName>
    <definedName name="_bdm.a9a8c5a215a24911afabd4eb935ff300.edm" hidden="1">#REF!</definedName>
    <definedName name="_bdm.A9C0A15C1F644D30A36E54AEBC931FAE.edm" hidden="1">#REF!</definedName>
    <definedName name="_bdm.aa1bc6e8e3e94bd480e185b617ac79d2.edm" hidden="1">#REF!</definedName>
    <definedName name="_bdm.aa78bc0bc39b4366b422954a37421fd4.edm" hidden="1">#REF!</definedName>
    <definedName name="_bdm.AADD33CB0D3A4DF0B92F24CA522E798A.edm" hidden="1">#REF!</definedName>
    <definedName name="_bdm.AB072B82377147B3B0EE8C82F1E45B29.edm" hidden="1">#REF!</definedName>
    <definedName name="_bdm.ab37b2c2271947be9ff6b2069601d4e2.edm" hidden="1">#REF!</definedName>
    <definedName name="_bdm.ab5ab9781a904e85bb78ace3517e289b.edm" hidden="1">#REF!</definedName>
    <definedName name="_bdm.abea315bcce64c64a0b7ce8dd9c159cb.edm" hidden="1">#REF!</definedName>
    <definedName name="_bdm.abf18426573d474fbc978c9c3136b508.edm" hidden="1">#REF!</definedName>
    <definedName name="_bdm.ABF4C587F39E4A3194A2FF4C715CA58A.edm" hidden="1">#REF!</definedName>
    <definedName name="_bdm.ac220a612e464e34aae9bdcbd9fd0542.edm" hidden="1">#REF!</definedName>
    <definedName name="_bdm.ac7ab630a16d4fae8739a1b6c6e9a7ec.edm" hidden="1">#REF!</definedName>
    <definedName name="_bdm.ac8ed8356e854519bbfa8c9f2d38f388.edm" hidden="1">#REF!</definedName>
    <definedName name="_bdm.ac92b7c279034e5282a72f7ca8a559e9.edm" hidden="1">#REF!</definedName>
    <definedName name="_bdm.ACA8E3D4AC554DA48ADC714D163E3290.edm" hidden="1">#REF!</definedName>
    <definedName name="_bdm.acfec920f06543748383730c139b08ac.edm" hidden="1">#REF!</definedName>
    <definedName name="_bdm.ad08a973192f49caa87e3fb2439d5b8e.edm" hidden="1">#REF!</definedName>
    <definedName name="_bdm.ae1c2195a94a46318a9d79682838ce3b.edm" hidden="1">#REF!</definedName>
    <definedName name="_bdm.ae3f427405c74cf281ded4e7de9d2e66.edm" hidden="1">#REF!</definedName>
    <definedName name="_bdm.ae6a52bf0b60454db7b6430d565b47a5.edm" hidden="1">#REF!</definedName>
    <definedName name="_bdm.AE933E3A98F5429BAD5F2E4FF5D30B84.edm" hidden="1">#REF!</definedName>
    <definedName name="_bdm.aec451f4624e4a6ba7a2cc9a9d693eba.edm" hidden="1">#REF!</definedName>
    <definedName name="_bdm.af054b6c883f4a42939639241022c524.edm" hidden="1">#REF!</definedName>
    <definedName name="_bdm.af0a6c03e48847d6b3cd14f51c79fe1b.edm" hidden="1">#REF!</definedName>
    <definedName name="_bdm.AF4281F8F8ED4395A31F5E89C2007FF8.edm" hidden="1">#REF!</definedName>
    <definedName name="_bdm.af61f6218396411ca0ff4fcefcf24330.edm" hidden="1">#REF!</definedName>
    <definedName name="_bdm.af6ce544fc374ae58fbe42aeba43d05c.edm" hidden="1">#REF!</definedName>
    <definedName name="_bdm.af6d8eda46a54d12a22a54c5fc06bd6a.edm" hidden="1">#REF!</definedName>
    <definedName name="_bdm.AFB3A2A337CA47FA91F2218DD67C81A6.edm" hidden="1">#REF!</definedName>
    <definedName name="_bdm.afc09fa035a2408bba10774e23f20e03.edm" hidden="1">#REF!</definedName>
    <definedName name="_bdm.afdd21299dcb42fcaf27ed2d2d47fddc.edm" hidden="1">#REF!</definedName>
    <definedName name="_bdm.afe8f0136c4040e981922d4fda1d383d.edm" hidden="1">#REF!</definedName>
    <definedName name="_bdm.afeb178a8fc441f3a4d009655a9a3812.edm" hidden="1">#REF!</definedName>
    <definedName name="_bdm.b066e7bc1f9d443ea6dead4ef122ca61.edm" hidden="1">#REF!</definedName>
    <definedName name="_bdm.B06E839B0DA3441CA54CEBDD2B87FC1E.edm" hidden="1">#REF!</definedName>
    <definedName name="_bdm.b0a101d81d084d1a9b66f51ce7190165.edm" hidden="1">#REF!</definedName>
    <definedName name="_bdm.b105abb227de44ed9fd9dda7547d7060.edm" hidden="1">#REF!</definedName>
    <definedName name="_bdm.b111ec95b1c5452a99b8b65e0c481acd.edm" hidden="1">#REF!</definedName>
    <definedName name="_bdm.b18e232e6f9b48f8b553bf02c1edf1a0.edm" hidden="1">#REF!</definedName>
    <definedName name="_bdm.B197CE94B1B04EE5842B6A5437A43D0D.edm" hidden="1">#REF!</definedName>
    <definedName name="_bdm.B21B9DDD275E448CBEA15C84DEF8CA9D.edm" hidden="1">#REF!</definedName>
    <definedName name="_bdm.B22AD4F509C4459086591EC3EE413975.edm" hidden="1">#REF!</definedName>
    <definedName name="_bdm.B2B9A9456EBF45FC98CF598AF934509D.edm" hidden="1">#REF!</definedName>
    <definedName name="_bdm.b2c12e540e234db681f2067393f20c2e.edm" hidden="1">#REF!</definedName>
    <definedName name="_bdm.b2dbb9a1dd6e431f9200f68580eb7900.edm" hidden="1">#REF!</definedName>
    <definedName name="_bdm.b2f12935026d4d3eb1f32b2ce767561c.edm" hidden="1">#REF!</definedName>
    <definedName name="_bdm.b31a310b72f249c181e900368928bf72.edm" hidden="1">#REF!</definedName>
    <definedName name="_bdm.b330a65e9c7744b2b4aacc59d6ea5aa7.edm" hidden="1">#REF!</definedName>
    <definedName name="_bdm.B394CADA7A034942831282E920848EDA.edm" hidden="1">#REF!</definedName>
    <definedName name="_bdm.b3c08531b3e74880a25cae2be4aa30ff.edm" hidden="1">#REF!</definedName>
    <definedName name="_bdm.b4131d290ed54ac6870c245280f836d8.edm" hidden="1">#REF!</definedName>
    <definedName name="_bdm.B417C91ADF114C918F652FDCA0B3A021.edm" hidden="1">#REF!</definedName>
    <definedName name="_bdm.b440ca99eb4d4f55bbf1bf7a33bfab23.edm" hidden="1">#REF!</definedName>
    <definedName name="_bdm.b45533122f92430f88eb7971d991ebac.edm" hidden="1">#REF!</definedName>
    <definedName name="_bdm.B4D12549E350406BAA51498992EFF515.edm" hidden="1">#REF!</definedName>
    <definedName name="_bdm.b58822e878f145fd986543b2678181e5.edm" hidden="1">#REF!</definedName>
    <definedName name="_bdm.B58D23F1E3C94CD38E867795BA622BFC.edm" hidden="1">#REF!</definedName>
    <definedName name="_bdm.B6015F1BFE764DEA8AA6312F1EFBFD16.edm" hidden="1">#REF!</definedName>
    <definedName name="_bdm.b66a508e9b584f0d87d16109fba2d14c.edm" hidden="1">#REF!</definedName>
    <definedName name="_bdm.B66E14FA10C64D23B40D87A691B3DA52.edm" hidden="1">#REF!</definedName>
    <definedName name="_bdm.b6c89b19194b4dfd90f2806a5c91e092.edm" hidden="1">#REF!</definedName>
    <definedName name="_bdm.b72d4810030d4d93ad19f73cb8859f5d.edm" hidden="1">#REF!</definedName>
    <definedName name="_bdm.b7388c30c3c84068946e950b487bc79b.edm" hidden="1">#REF!</definedName>
    <definedName name="_bdm.b756d837c3fb4640b8a5dd494be397d0.edm" hidden="1">#REF!</definedName>
    <definedName name="_bdm.B7CC83D9B1D34661812434787CF5F95D.edm" hidden="1">#REF!</definedName>
    <definedName name="_bdm.b7d529fbd5a84759897d755f9e22965d.edm" hidden="1">#REF!</definedName>
    <definedName name="_bdm.b83efa74f1224818bd9977f0647e4c24.edm" hidden="1">#REF!</definedName>
    <definedName name="_bdm.b87ca6805faf4dbf8568c1f3bf7b1e6b.edm" hidden="1">#REF!</definedName>
    <definedName name="_bdm.B8CD88916D4C4096B6406CAE062F9563.edm" hidden="1">#REF!</definedName>
    <definedName name="_bdm.b8e775dc3f1f4d3aa761955b05a8c2eb.edm" hidden="1">#REF!</definedName>
    <definedName name="_bdm.b969faa237ee4cb9b25578bd3ef5db17.edm" hidden="1">#REF!</definedName>
    <definedName name="_bdm.b992cabd3daf47d7a2e32de991153355.edm" hidden="1">#REF!</definedName>
    <definedName name="_bdm.b9cacfbb370d4208b8449931ae56ceee.edm" hidden="1">#REF!</definedName>
    <definedName name="_bdm.b9d69cfb166046489bcbaa867428dc54.edm" hidden="1">#REF!</definedName>
    <definedName name="_bdm.b9da233e74f34424ae7bc71c3d3ddaf1.edm" hidden="1">#REF!</definedName>
    <definedName name="_bdm.ba23ea241c7b458c9d7a1fbfd05534ce.edm" hidden="1">#REF!</definedName>
    <definedName name="_bdm.ba690419b1b949309bc40ee72e6695e8.edm" hidden="1">#REF!</definedName>
    <definedName name="_bdm.baa17d8342cf41a09fe623eaffe03327.edm" hidden="1">#REF!</definedName>
    <definedName name="_bdm.babae0627e3a494aad7c57e046365ce6.edm" hidden="1">#REF!</definedName>
    <definedName name="_bdm.BB2DBE893B144ED2A6F9DCFA420A8360.edm" hidden="1">#REF!</definedName>
    <definedName name="_bdm.bc4b1448cede46e689de1c7c66852502.edm" hidden="1">#REF!</definedName>
    <definedName name="_bdm.bc689c7a0b544265ac2410c1acc7061c.edm" hidden="1">#REF!</definedName>
    <definedName name="_bdm.BC9E5B38C26642C2AE060E8A73CA67CA.edm" hidden="1">#REF!</definedName>
    <definedName name="_bdm.BCB8827E798F4FCDAA616150ABA5F871.edm" hidden="1">#REF!</definedName>
    <definedName name="_bdm.bd2767d7baf44ae7a3322077a75ccecf.edm" hidden="1">#REF!</definedName>
    <definedName name="_bdm.BD423D3458324BEBB4AAAF6E3CD37557.edm" hidden="1">#REF!</definedName>
    <definedName name="_bdm.bd5724f7545e40fea88a152de46671c9.edm" hidden="1">#REF!</definedName>
    <definedName name="_bdm.bdb12b2a6bae4020ab3b953c115a2adb.edm" hidden="1">#REF!</definedName>
    <definedName name="_bdm.bdd12ea4c819452b9ac383ad7f9be7f7.edm" hidden="1">#REF!</definedName>
    <definedName name="_bdm.be3296f686bd49f5a9726e0ee679d704.edm" hidden="1">#REF!</definedName>
    <definedName name="_bdm.be9b0ea64ffc4c35a63710b53b3c2925.edm" hidden="1">#REF!</definedName>
    <definedName name="_bdm.bea382ddfb4e4eb0adae942a1d099127.edm" hidden="1">#REF!</definedName>
    <definedName name="_bdm.bea41a8ec943456cab60dfc31dd804c4.edm" hidden="1">#REF!</definedName>
    <definedName name="_bdm.becbf6b6b1204eecbf6f3b5b19ff8b87.edm" hidden="1">#REF!</definedName>
    <definedName name="_bdm.bedd059a34fe4ee099ec2ac5539e3aeb.edm" hidden="1">#REF!</definedName>
    <definedName name="_bdm.BEEEB67354D54AB0A5082AE4932AFCEF.edm" hidden="1">#REF!</definedName>
    <definedName name="_bdm.bf3ffae8f3734cfda0730ef007648f37.edm" hidden="1">#REF!</definedName>
    <definedName name="_bdm.bf4c9f1a31724ded92e76bc60a2d70ab.edm" hidden="1">#REF!</definedName>
    <definedName name="_bdm.bf5d0c5a134442a180d1af1925868c7d.edm" hidden="1">#REF!</definedName>
    <definedName name="_bdm.bf7a7cd08df54cd28b7b11952e8a9321.edm" hidden="1">#REF!</definedName>
    <definedName name="_bdm.c0945cc4781049dda3763f0cf64d5cca.edm" hidden="1">#REF!</definedName>
    <definedName name="_bdm.c0d496f36e2942429e37f79a860690a5.edm" hidden="1">#REF!</definedName>
    <definedName name="_bdm.c1279d7f7a8448dea94f2f9feb4839c1.edm" hidden="1">#REF!</definedName>
    <definedName name="_bdm.C143B498FEE343158C5059FD7AD9D747.edm" hidden="1">#REF!</definedName>
    <definedName name="_bdm.c173cbe0672c4faabb86af3cbe395a16.edm" hidden="1">#REF!</definedName>
    <definedName name="_bdm.c1a23a52ea9f4949869aac6713682e65.edm" hidden="1">#REF!</definedName>
    <definedName name="_bdm.C1C568366D1D4A98BC8F7885F7EE48EB.edm" hidden="1">#REF!</definedName>
    <definedName name="_bdm.c1f2a7c78d7a470a9da89ec22accd937.edm" hidden="1">#REF!</definedName>
    <definedName name="_bdm.c258dbc8bea949ae8934c6ac76ca4e73.edm" hidden="1">#REF!</definedName>
    <definedName name="_bdm.c26811ccac624c18a6298f61a5a60d68.edm" hidden="1">#REF!</definedName>
    <definedName name="_bdm.c2909c13b66b43fa906b8937efc2b9a1.edm" hidden="1">#REF!</definedName>
    <definedName name="_bdm.c2a1f7b6554446059cef4ce00535e050.edm" hidden="1">#REF!</definedName>
    <definedName name="_bdm.c34e4077501b40a5b5513f5d1d86d04a.edm" hidden="1">#REF!</definedName>
    <definedName name="_bdm.c350072d2d3a41d9bb3a393c03672730.edm" hidden="1">#REF!</definedName>
    <definedName name="_bdm.c35b1f1b2688432d8db2c4ff40e296a9.edm" hidden="1">#REF!</definedName>
    <definedName name="_bdm.C3EE21DCA7744F4E90F06617163703E3.edm" hidden="1">#REF!</definedName>
    <definedName name="_bdm.c4369ce4b05241049abbe460104527aa.edm" hidden="1">#REF!</definedName>
    <definedName name="_bdm.c44795e0fbab4683a92aeba2b8e4c5d4.edm" hidden="1">#REF!</definedName>
    <definedName name="_bdm.c469ea1af7ff49c1923079151353e29e.edm" hidden="1">#REF!</definedName>
    <definedName name="_bdm.c471d60d451048e58e9ae6cb46ab4083.edm" hidden="1">#REF!</definedName>
    <definedName name="_bdm.c47878ab603a48f995b5715de957a1b2.edm" hidden="1">#REF!</definedName>
    <definedName name="_bdm.c4a00daa0fcc4e8bb35a510d165117c7.edm" hidden="1">#REF!</definedName>
    <definedName name="_bdm.c53037fd11814d8d959f59e9fc34727f.edm" hidden="1">#REF!</definedName>
    <definedName name="_bdm.c5328091c8384ff0a2ca54830a19aa76.edm" hidden="1">#REF!</definedName>
    <definedName name="_bdm.c5a192f765744a3fa647303d5bd805ec.edm" hidden="1">#REF!</definedName>
    <definedName name="_bdm.c6009b31ebf94ae2a86c74089066915e.edm" hidden="1">#REF!</definedName>
    <definedName name="_bdm.C60D1D34E07D482C9CB2020C041C00FE.edm" hidden="1">#REF!</definedName>
    <definedName name="_bdm.c682fb060c6c4cdd8dcd88596426e333.edm" hidden="1">#REF!</definedName>
    <definedName name="_bdm.c6b95ca4da2042448fc10a518af16bc3.edm" hidden="1">#REF!</definedName>
    <definedName name="_bdm.c6f2455706444e949d39f7711ee94788.edm" hidden="1">#REF!</definedName>
    <definedName name="_bdm.c6fb6f2e8b4f40339941a8050d6c5eaa.edm" hidden="1">#REF!</definedName>
    <definedName name="_bdm.c712da6b5c484a30823d5659407b3b21.edm" hidden="1">#REF!</definedName>
    <definedName name="_bdm.c724f1f113464b55afab6e2b246e05ca.edm" hidden="1">#REF!</definedName>
    <definedName name="_bdm.c78f704d76dd4d5095dd2a57bfc748ba.edm" hidden="1">#REF!</definedName>
    <definedName name="_bdm.C7C6FBA36F39444B8BCEC128D5B7F931.edm" hidden="1">#REF!</definedName>
    <definedName name="_bdm.c7fa1aeb22274f1987454106d6e8952f.edm" hidden="1">#REF!</definedName>
    <definedName name="_bdm.c840573fbb8a472daee43b1f5d69567e.edm" hidden="1">#REF!</definedName>
    <definedName name="_bdm.c8a703d217024232bd6208a23116c2f8.edm" hidden="1">#REF!</definedName>
    <definedName name="_bdm.C8CB969A12524576A8EDB23B07CEF2BE.edm" hidden="1">#REF!</definedName>
    <definedName name="_bdm.c903b0f5e3214800b0bae6e29c517bf7.edm" hidden="1">#REF!</definedName>
    <definedName name="_bdm.c9c04301bf91404f976277ad6e421d0b.edm" hidden="1">#REF!</definedName>
    <definedName name="_bdm.c9e67d67cca840989446d1ff6fe30bd9.edm" hidden="1">#REF!</definedName>
    <definedName name="_bdm.CA0B0CAC6522419B8221BEA627D1C086.edm" hidden="1">#REF!</definedName>
    <definedName name="_bdm.CA0B3AD6743A4F68B0D719ED6EBECAA8.edm" hidden="1">#REF!</definedName>
    <definedName name="_bdm.ca13dc94c4224f4fa3e194e39fa0ccec.edm" hidden="1">#REF!</definedName>
    <definedName name="_bdm.ca33db317bff48d396a93d6f02d4ef35.edm" hidden="1">#REF!</definedName>
    <definedName name="_bdm.CA616D871C9D486F889AF49D34915FD9.edm" hidden="1">#REF!</definedName>
    <definedName name="_bdm.ca82e4cca8aa4ae7b8aaad59b96ce321.edm" hidden="1">#REF!</definedName>
    <definedName name="_bdm.cacdd18036f44cbf83f21bf548216f76.edm" hidden="1">#REF!</definedName>
    <definedName name="_bdm.cb05a65adb2a48b1a0032ee6b939e461.edm" hidden="1">#REF!</definedName>
    <definedName name="_bdm.CC11D43B1027436E989F8FBDCCB13F22.edm" hidden="1">#REF!</definedName>
    <definedName name="_bdm.CC3FF6F960C9498189918C1B0D68C706.edm" hidden="1">#REF!</definedName>
    <definedName name="_bdm.cc5a399754f84fdbbdbad4158eb09af0.edm" hidden="1">#REF!</definedName>
    <definedName name="_bdm.cca8bcf2c0774d94add63cc787142177.edm" hidden="1">#REF!</definedName>
    <definedName name="_bdm.cd32bee8bf9f43fab6ee8445d267b832.edm" hidden="1">#REF!</definedName>
    <definedName name="_bdm.CD6CB50723DB45219BE0A881385C2285.edm" hidden="1">#REF!</definedName>
    <definedName name="_bdm.cdedd7c8d4fe4f1a948e7a2880c5fbf1.edm" hidden="1">#REF!</definedName>
    <definedName name="_bdm.ce262ae39451411d834fab6e49c54acb.edm" hidden="1">#REF!</definedName>
    <definedName name="_bdm.ce2b64c18cc342568a12d52c332b3fed.edm" hidden="1">#REF!</definedName>
    <definedName name="_bdm.cedb3db60c6a44cdadbd5c3ea93567eb.edm" hidden="1">#REF!</definedName>
    <definedName name="_bdm.cee40f0694724656bbc0d77e720fbd3b.edm" hidden="1">#REF!</definedName>
    <definedName name="_bdm.cf8c6fdd26dc4b9cb8b995b25c94cd1f.edm" hidden="1">#REF!</definedName>
    <definedName name="_bdm.CFA9B694CF524F3AA685905B8F1404BA.edm" hidden="1">#REF!</definedName>
    <definedName name="_bdm.cff641fa6b714f3fb17b869d711ac73a.edm" hidden="1">#REF!</definedName>
    <definedName name="_bdm.d014b3cc51e14bb49a0b8c92ca96a575.edm" hidden="1">#REF!</definedName>
    <definedName name="_bdm.D065479D2C074ED48693D449F7EBA52C.edm" hidden="1">#REF!</definedName>
    <definedName name="_bdm.d06fe75cff944c71826b9ec5d8101d55.edm" hidden="1">#REF!</definedName>
    <definedName name="_bdm.d08b23cfd2c84e6e92c85d88b74fe304.edm" hidden="1">#REF!</definedName>
    <definedName name="_bdm.d08e64f0722c4bf4af5f3a65f6c56bbd.edm" hidden="1">#REF!</definedName>
    <definedName name="_bdm.d0c710b43a6d40269923a165864ac3bf.edm" hidden="1">#REF!</definedName>
    <definedName name="_bdm.d0e6ec1870a0448e85eb14ba0eb99d2a.edm" hidden="1">#REF!</definedName>
    <definedName name="_bdm.d0fa47b463cc4af3942febfefd925c46.edm" hidden="1">#REF!</definedName>
    <definedName name="_bdm.D1632E6866424C96A38D0B42FB203066.edm" hidden="1">#REF!</definedName>
    <definedName name="_bdm.d1911d3c95774f4ab1a5fe78398c5f33.edm" hidden="1">#REF!</definedName>
    <definedName name="_bdm.d1e44c6bdd754bb1babc727190ecc7d8.edm" hidden="1">#REF!</definedName>
    <definedName name="_bdm.d1f0cc4595d74dc29873dc5cf00dd301.edm" hidden="1">#REF!</definedName>
    <definedName name="_bdm.d1fb25a8b0394cceac6a3b78f445d085.edm" hidden="1">#REF!</definedName>
    <definedName name="_bdm.D2326C321D2443B8A8E4DF2265948450.edm" hidden="1">#REF!</definedName>
    <definedName name="_bdm.d27106f619d64192b33324a4b0b61e1d.edm" hidden="1">#REF!</definedName>
    <definedName name="_bdm.d34b9a06fc0447b880f0475d3e27f535.edm" hidden="1">#REF!</definedName>
    <definedName name="_bdm.D359EF84ABEB4E61B5A043AB200D2A06.edm" hidden="1">#REF!</definedName>
    <definedName name="_bdm.d3dbfd4cbbf341e495e44e9e9684c15a.edm" hidden="1">#REF!</definedName>
    <definedName name="_bdm.D402146C31174FF490B9420D1AB0A7EE.edm" hidden="1">#REF!</definedName>
    <definedName name="_bdm.d40f9e54e02348579048c75e40621569.edm" hidden="1">#REF!</definedName>
    <definedName name="_bdm.d42e370e29e44954894293154712c81d.edm" hidden="1">#REF!</definedName>
    <definedName name="_bdm.d4535ddb4ac74490aef370d8343da6c0.edm" hidden="1">#REF!</definedName>
    <definedName name="_bdm.d4768eebc4e64eee98485f1adc400630.edm" hidden="1">#REF!</definedName>
    <definedName name="_bdm.D493B5FC453A49BE935A600CDF083043.edm" hidden="1">#REF!</definedName>
    <definedName name="_bdm.d4bfe9a4753d4c7888cdf502d2b9fcdc.edm" hidden="1">#REF!</definedName>
    <definedName name="_bdm.D4C09183BF824BB0977DE4B42E3D8550.edm" hidden="1">#REF!</definedName>
    <definedName name="_bdm.d4eccd441a34495bbca79bbfd5f3090c.edm" hidden="1">#REF!</definedName>
    <definedName name="_bdm.d500964e3ae2497887e616f2ac54bcfe.edm" hidden="1">#REF!</definedName>
    <definedName name="_bdm.d628f58222264927980798b5a3e68cc9.edm" hidden="1">#REF!</definedName>
    <definedName name="_bdm.d6703cb9888d4178bd351fe0d4437c5d.edm" hidden="1">#REF!</definedName>
    <definedName name="_bdm.d70fe25e7a5b4c78a60cc6a5f98b40b0.edm" hidden="1">#REF!</definedName>
    <definedName name="_bdm.d7b403c28d5a4345b3d7cafa464be49f.edm" hidden="1">#REF!</definedName>
    <definedName name="_bdm.d7d12c8cf75b4db2ad7749acceb63096.edm" hidden="1">#REF!</definedName>
    <definedName name="_bdm.D8226746037A4B218F06698B6B570FD4.edm" hidden="1">#REF!</definedName>
    <definedName name="_bdm.D894745BCE1C4935981AB8C734AA3A4F.edm" hidden="1">#REF!</definedName>
    <definedName name="_bdm.d8d1b34d7e70487a81a32ec2ca019b6b.edm" hidden="1">#REF!</definedName>
    <definedName name="_bdm.d937b9c15d2148e6ba2a47548999b6db.edm" hidden="1">#REF!</definedName>
    <definedName name="_bdm.D93C0FD92B0D473ABD076F0F13BF9551.edm" hidden="1">#REF!</definedName>
    <definedName name="_bdm.D9933F00C0834B44874D9828DA65B8BB.edm" hidden="1">#REF!</definedName>
    <definedName name="_bdm.d9be015380c64fb9b5a4c715cf00573c.edm" hidden="1">#REF!</definedName>
    <definedName name="_bdm.d9d3f9a18f984f7db1895ac9a4929393.edm" hidden="1">#REF!</definedName>
    <definedName name="_bdm.da3ab8891f3c4eaa9a54bd158d463bff.edm" hidden="1">#REF!</definedName>
    <definedName name="_bdm.DA3D26E750D24936AEE5B87A52DD73E7.edm" hidden="1">#REF!</definedName>
    <definedName name="_bdm.da9942a21d0b4230bc31d643d3b48599.edm" hidden="1">#REF!</definedName>
    <definedName name="_bdm.DB025FAEC1C64FA8A1345BF84765D309.edm" hidden="1">#REF!</definedName>
    <definedName name="_bdm.dc6b3ebbeba24a0182e89096fbaf1deb.edm" hidden="1">#REF!</definedName>
    <definedName name="_bdm.DD3660EEAEC0472A8DD93B3E398F30EF.edm" hidden="1">#REF!</definedName>
    <definedName name="_bdm.dd4b1304f9a74bab901054dfbace7f59.edm" hidden="1">#REF!</definedName>
    <definedName name="_bdm.DD4DCFC1AC7A48468CF303645D5ED01E.edm" hidden="1">#REF!</definedName>
    <definedName name="_bdm.dd6556eb2d1e479b8b8dec570e6ad0cd.edm" hidden="1">#REF!</definedName>
    <definedName name="_bdm.DD69F12FD67D462D904D689761AF3D5C.edm" hidden="1">#REF!</definedName>
    <definedName name="_bdm.ddb427750bdc44c991110a98df98457c.edm" hidden="1">#REF!</definedName>
    <definedName name="_bdm.dec69a7f605a4cea80ec292c5bd908e9.edm" hidden="1">#REF!</definedName>
    <definedName name="_bdm.decd185690a244358df06fc036562d94.edm" hidden="1">#REF!</definedName>
    <definedName name="_bdm.deda7821b7c440f4a52621f13e93f188.edm" hidden="1">#REF!</definedName>
    <definedName name="_bdm.DF0189156A2C46A199D6247EEECA7C5D.edm" hidden="1">#REF!</definedName>
    <definedName name="_bdm.df2da7a8b77d4454b2893b38f4e60d38.edm" hidden="1">#REF!</definedName>
    <definedName name="_bdm.df8bb26fabb34045a49455b99ac9aed0.edm" hidden="1">#REF!</definedName>
    <definedName name="_bdm.DF991BADFE1B49129ED96C4FEEF24CB8.edm" hidden="1">#REF!</definedName>
    <definedName name="_bdm.dfc611815c8742aebaa74e8a1b57b50e.edm" hidden="1">#REF!</definedName>
    <definedName name="_bdm.dfca1eb18c6c42b5bf1a60d8c7665ac9.edm" hidden="1">#REF!</definedName>
    <definedName name="_bdm.e017ef6dbde04048bbf7c887a7fc0328.edm" hidden="1">#REF!</definedName>
    <definedName name="_bdm.e07610f27e994adfb8d11a1cf006356c.edm" hidden="1">#REF!</definedName>
    <definedName name="_bdm.e12954b396904745b6b0c8bb49a8d125.edm" hidden="1">#REF!</definedName>
    <definedName name="_bdm.e1994c62ca5c4cde89abc2d5ed68bccc.edm" hidden="1">#REF!</definedName>
    <definedName name="_bdm.e1e3d3db2afe436faa198973c693a44d.edm" hidden="1">#REF!</definedName>
    <definedName name="_bdm.E21E382C69DA4447AFEB970D63072EC7.edm" hidden="1">#REF!</definedName>
    <definedName name="_bdm.e22ba6af8b904df98cf9690e93775935.edm" hidden="1">#REF!</definedName>
    <definedName name="_bdm.e28ef4e23fe946baa1d5393f8078c8e4.edm" hidden="1">#REF!</definedName>
    <definedName name="_bdm.E2B991B7B5454C4CBE252B2B73D6513B.edm" hidden="1">#REF!</definedName>
    <definedName name="_bdm.e3140dcfcf1d4b1e897fbc10cc0841ef.edm" hidden="1">#REF!</definedName>
    <definedName name="_bdm.E3222726F79E4B2D9166CB4C021833D9.edm" hidden="1">#REF!</definedName>
    <definedName name="_bdm.E32DAE6001C14323998B2DE20D9E53CD.edm" hidden="1">#REF!</definedName>
    <definedName name="_bdm.e39a1b93bd7b40e0b959129670b5430f.edm" hidden="1">#REF!</definedName>
    <definedName name="_bdm.e39ea8ab253541b991cbad3c7174fcaa.edm" hidden="1">#REF!</definedName>
    <definedName name="_bdm.e3d981db25734737be5410f8d4acd5d8.edm" hidden="1">#REF!</definedName>
    <definedName name="_bdm.e41bf3cfff524791b5cff38a02c2fec7.edm" hidden="1">#REF!</definedName>
    <definedName name="_bdm.E4C3A3759ED04ECDA486A7DB38EE3A80.edm" hidden="1">#REF!</definedName>
    <definedName name="_bdm.e4d1d416b1f6442cbbd0b5a050ab140e.edm" hidden="1">#REF!</definedName>
    <definedName name="_bdm.E4E3840195D943C1BBA8C588485FF8D7.edm" hidden="1">#REF!</definedName>
    <definedName name="_bdm.e51c3983306b450495fea93e0664e4c2.edm" hidden="1">#REF!</definedName>
    <definedName name="_bdm.E5352D1D3EC141C594E1F1490B0AB8BF.edm" hidden="1">#REF!</definedName>
    <definedName name="_bdm.e5b5ec0cf5ec41e08e27e53ae25b503d.edm" hidden="1">#REF!</definedName>
    <definedName name="_bdm.e5cc939e4ff34f7aa0086a1d514ad096.edm" hidden="1">#REF!</definedName>
    <definedName name="_bdm.e60576b3f0c2411193954c18d501ac61.edm" hidden="1">#REF!</definedName>
    <definedName name="_bdm.e61687893d2840e1bf26e4c7ab70c161.edm" hidden="1">#REF!</definedName>
    <definedName name="_bdm.E6396E3190BB4448AE473894EBB5D42D.edm" hidden="1">#REF!</definedName>
    <definedName name="_bdm.e63abb8e60d0446cbd501ac0b634b6ff.edm" hidden="1">#REF!</definedName>
    <definedName name="_bdm.e6578beacbde4cac84c46745106c2956.edm" hidden="1">#REF!</definedName>
    <definedName name="_bdm.e66d0d464f1e405aae6776f39c371c8f.edm" hidden="1">#REF!</definedName>
    <definedName name="_bdm.e689a05b067c40c4a86e3a0dd20199fd.edm" hidden="1">#REF!</definedName>
    <definedName name="_bdm.e6bbf68c972145e0b70920493d2a9547.edm" hidden="1">#REF!</definedName>
    <definedName name="_bdm.E740C0FDA4514EE4A13531D2644E24FE.edm" hidden="1">#REF!</definedName>
    <definedName name="_bdm.e7745c2ff493436ca2c5995742f992ec.edm" hidden="1">#REF!</definedName>
    <definedName name="_bdm.e7970b329785414a9628fb92cd5fb111.edm" hidden="1">#REF!</definedName>
    <definedName name="_bdm.e8043c2c38014d599b14e5b0c7655d10.edm" hidden="1">#REF!</definedName>
    <definedName name="_bdm.E89BC7BE3B0F4168A11B0FB845022BF1.edm" hidden="1">#REF!</definedName>
    <definedName name="_bdm.e89c162db1d24aba90af715273ea8a9d.edm" hidden="1">#REF!</definedName>
    <definedName name="_bdm.E93CF733CE1D4A5A94E3C95B0A7E783E.edm" hidden="1">#REF!</definedName>
    <definedName name="_bdm.e98e0e5f9321415bbff3a973e431d3a5.edm" hidden="1">#REF!</definedName>
    <definedName name="_bdm.EA1D1A2FD836474AAB9E13499F15A1E1.edm" hidden="1">#REF!</definedName>
    <definedName name="_bdm.EA934AFCE3AE4572A61D5FD23ECD2527.edm" hidden="1">#REF!</definedName>
    <definedName name="_bdm.EAA38DDB0DF74626850997D8255ECEF1.edm" hidden="1">#REF!</definedName>
    <definedName name="_bdm.EB10CA33154A48478593B52CEC155E75.edm" hidden="1">#REF!</definedName>
    <definedName name="_bdm.EB1971F00E9E40849B43A844CFF3F594.edm" hidden="1">#REF!</definedName>
    <definedName name="_bdm.eb7958117aa74f2b80fb8d9a5cb9a662.edm" hidden="1">#REF!</definedName>
    <definedName name="_bdm.ebfe615d85d546a2b7b7f00c4795c3f5.edm" hidden="1">#REF!</definedName>
    <definedName name="_bdm.EC27DDAF57D3429AA8B0541AE6BAAB5B.edm" hidden="1">#REF!</definedName>
    <definedName name="_bdm.ec2b153134d8410d84ec3e366471dfea.edm" hidden="1">#REF!</definedName>
    <definedName name="_bdm.ec5942c0183f4b2a8bd579bec3a9afd4.edm" hidden="1">#REF!</definedName>
    <definedName name="_bdm.ec5fc127ecc8495682721741b54a89c1.edm" hidden="1">#REF!</definedName>
    <definedName name="_bdm.EC62C0BBF16643EEA688DCE79BE88DCB.edm" hidden="1">#REF!</definedName>
    <definedName name="_bdm.EC7B62342CD8469199CB0C98B858780D.edm" hidden="1">#REF!</definedName>
    <definedName name="_bdm.ec8f7b6a217e4ca88d98ac718ccc88bc.edm" hidden="1">#REF!</definedName>
    <definedName name="_bdm.ecad3b7e373841efbcf962c015cc0583.edm" hidden="1">#REF!</definedName>
    <definedName name="_bdm.ECC4E258CD71400BB0409682824A369C.edm" hidden="1">#REF!</definedName>
    <definedName name="_bdm.ed76ae3d861141d89e584b89aebc41d0.edm" hidden="1">#REF!</definedName>
    <definedName name="_bdm.ee12907441e34af392b5179eb2e20f8c.edm" hidden="1">#REF!</definedName>
    <definedName name="_bdm.eeb2dc035a674e8598bda8f334e76846.edm" hidden="1">#REF!</definedName>
    <definedName name="_bdm.ef2baaed79854221b4c0e6a1a1de9725.edm" hidden="1">#REF!</definedName>
    <definedName name="_bdm.ef404b4e264a48d5bf3b9b35afca7487.edm" hidden="1">#REF!</definedName>
    <definedName name="_bdm.EF45B073B21D405FBC8408B9DF9C592B.edm" hidden="1">#REF!</definedName>
    <definedName name="_bdm.ef8ddb9166914205ba2d6981b392dac1.edm" hidden="1">#REF!</definedName>
    <definedName name="_bdm.efbebc1724f54f2eaa52371b5ee81552.edm" hidden="1">#REF!</definedName>
    <definedName name="_bdm.f02f0637f40344a39de0970ea0c3fcd0.edm" hidden="1">#REF!</definedName>
    <definedName name="_bdm.f03bfaf4859b414591c53f6fbf30da98.edm" hidden="1">#REF!</definedName>
    <definedName name="_bdm.f0871bd679164167802e11456c12e49b.edm" hidden="1">#REF!</definedName>
    <definedName name="_bdm.f0880e8e6a76452db3ed4dd2561cee58.edm" hidden="1">#REF!</definedName>
    <definedName name="_bdm.f0898db501374961a0f701e4be18840b.edm" hidden="1">#REF!</definedName>
    <definedName name="_bdm.f09b028d14ee44f28cbec354d62df224.edm" hidden="1">#REF!</definedName>
    <definedName name="_bdm.f09d23d565e64c66a5b890a13f1aebf0.edm" hidden="1">#REF!</definedName>
    <definedName name="_bdm.f0d4ab06216742bab5239d230062efc7.edm" hidden="1">#REF!</definedName>
    <definedName name="_bdm.F0D73515AC3D4919BC3602806970DE2D.edm" hidden="1">#REF!</definedName>
    <definedName name="_bdm.f12a2beeda6f4537bbd6877674689349.edm" hidden="1">#REF!</definedName>
    <definedName name="_bdm.f19a399656c94dd0828991e9f395c201.edm" hidden="1">#REF!</definedName>
    <definedName name="_bdm.f19ed480fe0c49a084433819fda02f9c.edm" hidden="1">#REF!</definedName>
    <definedName name="_bdm.f1a3b7312132429fb6a996c9e71618f2.edm" hidden="1">#REF!</definedName>
    <definedName name="_bdm.f1f186acc78a4ebca6b9ef5a1394b84f.edm" hidden="1">#REF!</definedName>
    <definedName name="_bdm.f2648cd0f456494189a590af745dd0e6.edm" hidden="1">#REF!</definedName>
    <definedName name="_bdm.f26cdb7c7d774cae8377536d65eec335.edm" hidden="1">#REF!</definedName>
    <definedName name="_bdm.f2a810f2fb4e4a3aa34b70941b161b1b.edm" hidden="1">#REF!</definedName>
    <definedName name="_bdm.f2ed87e73fa744bf954220e0cd2a0cb8.edm" hidden="1">#REF!</definedName>
    <definedName name="_bdm.f35f47f0ac6446a7b86ca5fa40e4614b.edm" hidden="1">#REF!</definedName>
    <definedName name="_bdm.f39ea12f16fc47dfb811aafc78b45263.edm" hidden="1">#REF!</definedName>
    <definedName name="_bdm.f39ff463a6734de58a5b600e3a96a3f0.edm" hidden="1">#REF!</definedName>
    <definedName name="_bdm.f3ac4e87f82b417f9270b3e2e38cbbca.edm" hidden="1">#REF!</definedName>
    <definedName name="_bdm.f3f74b52c73a412581607618c4847cf1.edm" hidden="1">#REF!</definedName>
    <definedName name="_bdm.f4262803227545ceaea6023df0a49db6.edm" hidden="1">#REF!</definedName>
    <definedName name="_bdm.f42bd0540a134eac86cef84bbe04a527.edm" hidden="1">#REF!</definedName>
    <definedName name="_bdm.f46b161a358e4324953048ca5818b20a.edm" hidden="1">#REF!</definedName>
    <definedName name="_bdm.f4a9a44ab17949cc880602815d06d0c4.edm" hidden="1">#REF!</definedName>
    <definedName name="_bdm.f4cb2e51f66942b78cb05466f2dbdb57.edm" hidden="1">#REF!</definedName>
    <definedName name="_bdm.F503F160FFA641EDB1AD757205401861.edm" hidden="1">#REF!</definedName>
    <definedName name="_bdm.f54ec70ed72c4b578316b3b48cb800fe.edm" hidden="1">#REF!</definedName>
    <definedName name="_bdm.f5c9c4f46dc04bdab08d175811e979fe.edm" hidden="1">#REF!</definedName>
    <definedName name="_bdm.F5EAC274A14C4078909A0567710CF6D7.edm" hidden="1">#REF!</definedName>
    <definedName name="_bdm.F66D4C6A45BC4579815894E60F5B5966.edm" hidden="1">#REF!</definedName>
    <definedName name="_bdm.f6bc989e3b554de5a513ce857cab4276.edm" hidden="1">#REF!</definedName>
    <definedName name="_bdm.F6F59C88A31849CA94B08B4669401456.edm" hidden="1">#REF!</definedName>
    <definedName name="_bdm.f727f38ce4cb4915bc0dc9bdca08c55a.edm" hidden="1">#REF!</definedName>
    <definedName name="_bdm.f7961cdb44f848cdb40f05c59ab4d06f.edm" hidden="1">#REF!</definedName>
    <definedName name="_bdm.f7a154ce6ca54b848e477484183c46e9.edm" hidden="1">#REF!</definedName>
    <definedName name="_bdm.f7a8b2e2b26647a98dd57387055d4e59.edm" hidden="1">#REF!</definedName>
    <definedName name="_bdm.f7ff864e146b47cfa52dd579145abb05.edm" hidden="1">#REF!</definedName>
    <definedName name="_bdm.F86FF3DF04404443998AA4B72B70F166.edm" hidden="1">#REF!</definedName>
    <definedName name="_bdm.F875B0BE233345FB9417CE30A141FB82.edm" hidden="1">#REF!</definedName>
    <definedName name="_bdm.f88475530c4c4bcca885508a46fed903.edm" hidden="1">#REF!</definedName>
    <definedName name="_bdm.F884B1E39C21447CA8368BA93938F816.edm" hidden="1">#REF!</definedName>
    <definedName name="_bdm.F8F19F7893AA4BCCAF63C514506F4E86.edm" hidden="1">#REF!</definedName>
    <definedName name="_bdm.f946a0e9f15a4591a61be6f24ac68505.edm" hidden="1">#REF!</definedName>
    <definedName name="_bdm.f95230b529ef4046bf3ae801acc64633.edm" hidden="1">#REF!</definedName>
    <definedName name="_bdm.f98c176d94bd404d8dcf597b8b052e41.edm" hidden="1">#REF!</definedName>
    <definedName name="_bdm.f9e7189df2754a43bda7e48ab274c560.edm" hidden="1">#REF!</definedName>
    <definedName name="_bdm.fa5534e8ca0a4965908b53ed4a7ff97e.edm" hidden="1">#REF!</definedName>
    <definedName name="_bdm.fa71f3557b734e5abf8b9c6002ace715.edm" hidden="1">#REF!</definedName>
    <definedName name="_bdm.FA876D1A62364B1AA0FF313AB8943DAF.edm" hidden="1">#REF!</definedName>
    <definedName name="_bdm.fac511b0b0564583ad92475334661fa1.edm" hidden="1">#REF!</definedName>
    <definedName name="_bdm.fb2d3d1cf6ce422499abd7eaaeeb6a2c.edm" hidden="1">#REF!</definedName>
    <definedName name="_bdm.FB2DE0B77EC04FBFAE963D3636CAF0F3.edm" hidden="1">#REF!</definedName>
    <definedName name="_bdm.fc5bc48ac97e4568b308c81df130dc87.edm" hidden="1">#REF!</definedName>
    <definedName name="_bdm.fca930a8250a4a60a0eb6941f3c50737.edm" hidden="1">#REF!</definedName>
    <definedName name="_bdm.fcc6a70550f2439aa94023658491ee17.edm" hidden="1">#REF!</definedName>
    <definedName name="_bdm.fd1860382674404baa348b9f7fe4dea4.edm" hidden="1">#REF!</definedName>
    <definedName name="_bdm.fd6cab26a873441b92491a24bb5ef2cb.edm" hidden="1">#REF!</definedName>
    <definedName name="_bdm.fd87664b7b43475884524f82c358a488.edm" hidden="1">#REF!</definedName>
    <definedName name="_bdm.fdad12ae575b4e52934713b4a940f76a.edm" hidden="1">#REF!</definedName>
    <definedName name="_bdm.fe1dd227848547d597dd3e2dfbeeac34.edm" hidden="1">#REF!</definedName>
    <definedName name="_bdm.fe2e21e75d784dc1bb518188403b680b.edm" hidden="1">#REF!</definedName>
    <definedName name="_bdm.FED38F3AC164429EA7EBAA49128BE955.edm" hidden="1">#REF!</definedName>
    <definedName name="_bdm.FEFAFB90EF4843B686B3C5EE1E69BCF8.edm" hidden="1">#REF!</definedName>
    <definedName name="_bdm.FF43140406E34A85BC18817A4F4DD203.edm" hidden="1">#REF!</definedName>
    <definedName name="_bdm.ff5931311a294285958d50b98c3e991a.edm" hidden="1">#REF!</definedName>
    <definedName name="_bdm.ff65f41bb822424d899d110be29475ff.edm" hidden="1">#REF!</definedName>
    <definedName name="_bdm.ffa9eae480274ddba4defa3646d43a41.edm" hidden="1">#REF!</definedName>
    <definedName name="_bdm.ffac27c899e6400da5b6d758c5008cdf.edm" hidden="1">#REF!</definedName>
    <definedName name="_BQ4.1" hidden="1">#REF!</definedName>
    <definedName name="_BQ5.1" hidden="1">#REF!</definedName>
    <definedName name="_c" localSheetId="10" hidden="1">{"Fiesta Facer Page",#N/A,FALSE,"Q_C_S";"Fiesta Main Page",#N/A,FALSE,"V_L";"Fiesta 95BP Struct",#N/A,FALSE,"StructBP";"Fiesta Post 95BP Struct",#N/A,FALSE,"AdjStructBP"}</definedName>
    <definedName name="_c" localSheetId="9" hidden="1">{"Fiesta Facer Page",#N/A,FALSE,"Q_C_S";"Fiesta Main Page",#N/A,FALSE,"V_L";"Fiesta 95BP Struct",#N/A,FALSE,"StructBP";"Fiesta Post 95BP Struct",#N/A,FALSE,"AdjStructBP"}</definedName>
    <definedName name="_c" hidden="1">{"Fiesta Facer Page",#N/A,FALSE,"Q_C_S";"Fiesta Main Page",#N/A,FALSE,"V_L";"Fiesta 95BP Struct",#N/A,FALSE,"StructBP";"Fiesta Post 95BP Struct",#N/A,FALSE,"AdjStructBP"}</definedName>
    <definedName name="_c83" localSheetId="10" hidden="1">{0,0,0,0;0,0,0,0;0,0,0,0}</definedName>
    <definedName name="_c83" localSheetId="9" hidden="1">{0,0,0,0;0,0,0,0;0,0,0,0}</definedName>
    <definedName name="_c83" hidden="1">{0,0,0,0;0,0,0,0;0,0,0,0}</definedName>
    <definedName name="_c83_1" localSheetId="10" hidden="1">{0,0,0,0;0,0,0,0;0,0,0,0}</definedName>
    <definedName name="_c83_1" localSheetId="9" hidden="1">{0,0,0,0;0,0,0,0;0,0,0,0}</definedName>
    <definedName name="_c83_1" hidden="1">{0,0,0,0;0,0,0,0;0,0,0,0}</definedName>
    <definedName name="_c88" localSheetId="10" hidden="1">{0,0,0,0;0,0,0,0;0,0,0,0;0,0,TRUE,0}</definedName>
    <definedName name="_c88" localSheetId="9" hidden="1">{0,0,0,0;0,0,0,0;0,0,0,0;0,0,TRUE,0}</definedName>
    <definedName name="_c88" hidden="1">{0,0,0,0;0,0,0,0;0,0,0,0;0,0,TRUE,0}</definedName>
    <definedName name="_c88_1" localSheetId="10" hidden="1">{0,0,0,0;0,0,0,0;0,0,0,0;0,0,TRUE,0}</definedName>
    <definedName name="_c88_1" localSheetId="9" hidden="1">{0,0,0,0;0,0,0,0;0,0,0,0;0,0,TRUE,0}</definedName>
    <definedName name="_c88_1" hidden="1">{0,0,0,0;0,0,0,0;0,0,0,0;0,0,TRUE,0}</definedName>
    <definedName name="_chrisfill" hidden="1">#REF!</definedName>
    <definedName name="_current" hidden="1">#REF!</definedName>
    <definedName name="_Das09" localSheetId="10" hidden="1">{"china1",#N/A,FALSE,"輸format_Asia";"China2",#N/A,FALSE,"輸format_Asia";"Hongkong1",#N/A,FALSE,"輸format_Asia";"indonesia",#N/A,FALSE,"輸format_Asia";"indonesia2",#N/A,FALSE,"輸format_Asia";"Philippines2",#N/A,FALSE,"輸format_Asia";"philippines3",#N/A,FALSE,"輸format_Asia";"Phillipppines",#N/A,FALSE,"輸format_Asia";"taiwan",#N/A,FALSE,"輸format_Asia";"taiwan2",#N/A,FALSE,"輸format_Asia";"thailand",#N/A,FALSE,"輸format_Asia";"thailand2",#N/A,FALSE,"輸format_Asia"}</definedName>
    <definedName name="_Das09" localSheetId="9" hidden="1">{"china1",#N/A,FALSE,"輸format_Asia";"China2",#N/A,FALSE,"輸format_Asia";"Hongkong1",#N/A,FALSE,"輸format_Asia";"indonesia",#N/A,FALSE,"輸format_Asia";"indonesia2",#N/A,FALSE,"輸format_Asia";"Philippines2",#N/A,FALSE,"輸format_Asia";"philippines3",#N/A,FALSE,"輸format_Asia";"Phillipppines",#N/A,FALSE,"輸format_Asia";"taiwan",#N/A,FALSE,"輸format_Asia";"taiwan2",#N/A,FALSE,"輸format_Asia";"thailand",#N/A,FALSE,"輸format_Asia";"thailand2",#N/A,FALSE,"輸format_Asia"}</definedName>
    <definedName name="_Das09" hidden="1">{"china1",#N/A,FALSE,"輸format_Asia";"China2",#N/A,FALSE,"輸format_Asia";"Hongkong1",#N/A,FALSE,"輸format_Asia";"indonesia",#N/A,FALSE,"輸format_Asia";"indonesia2",#N/A,FALSE,"輸format_Asia";"Philippines2",#N/A,FALSE,"輸format_Asia";"philippines3",#N/A,FALSE,"輸format_Asia";"Phillipppines",#N/A,FALSE,"輸format_Asia";"taiwan",#N/A,FALSE,"輸format_Asia";"taiwan2",#N/A,FALSE,"輸format_Asia";"thailand",#N/A,FALSE,"輸format_Asia";"thailand2",#N/A,FALSE,"輸format_Asia"}</definedName>
    <definedName name="_DCF2" localSheetId="10" hidden="1">{#N/A,#N/A,FALSE,"Corporate_Digital";#N/A,#N/A,FALSE,"Corporate_Analog";#N/A,#N/A,FALSE,"RetailDigBuckets";#N/A,#N/A,FALSE,"Retail_19.99";#N/A,#N/A,FALSE,"Companion Plan"}</definedName>
    <definedName name="_DCF2" localSheetId="9" hidden="1">{#N/A,#N/A,FALSE,"Corporate_Digital";#N/A,#N/A,FALSE,"Corporate_Analog";#N/A,#N/A,FALSE,"RetailDigBuckets";#N/A,#N/A,FALSE,"Retail_19.99";#N/A,#N/A,FALSE,"Companion Plan"}</definedName>
    <definedName name="_DCF2" hidden="1">{#N/A,#N/A,FALSE,"Corporate_Digital";#N/A,#N/A,FALSE,"Corporate_Analog";#N/A,#N/A,FALSE,"RetailDigBuckets";#N/A,#N/A,FALSE,"Retail_19.99";#N/A,#N/A,FALSE,"Companion Plan"}</definedName>
    <definedName name="_DCF2_1" localSheetId="10" hidden="1">{#N/A,#N/A,FALSE,"Corporate_Digital";#N/A,#N/A,FALSE,"Corporate_Analog";#N/A,#N/A,FALSE,"RetailDigBuckets";#N/A,#N/A,FALSE,"Retail_19.99";#N/A,#N/A,FALSE,"Companion Plan"}</definedName>
    <definedName name="_DCF2_1" localSheetId="9" hidden="1">{#N/A,#N/A,FALSE,"Corporate_Digital";#N/A,#N/A,FALSE,"Corporate_Analog";#N/A,#N/A,FALSE,"RetailDigBuckets";#N/A,#N/A,FALSE,"Retail_19.99";#N/A,#N/A,FALSE,"Companion Plan"}</definedName>
    <definedName name="_DCF2_1" hidden="1">{#N/A,#N/A,FALSE,"Corporate_Digital";#N/A,#N/A,FALSE,"Corporate_Analog";#N/A,#N/A,FALSE,"RetailDigBuckets";#N/A,#N/A,FALSE,"Retail_19.99";#N/A,#N/A,FALSE,"Companion Plan"}</definedName>
    <definedName name="_Dist_Bin" hidden="1">#REF!</definedName>
    <definedName name="_Dist_Values" hidden="1">#REF!</definedName>
    <definedName name="_f3" localSheetId="1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f3" localSheetId="9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f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f3_1" localSheetId="1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f3_1" localSheetId="9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f3_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Fill" hidden="1">#REF!</definedName>
    <definedName name="_Fill1" hidden="1">#REF!</definedName>
    <definedName name="_xlnm._FilterDatabase" localSheetId="19" hidden="1">'2026 A&amp;P + T&amp;E Consol'!$A$2:$AL$235</definedName>
    <definedName name="_xlnm._FilterDatabase" localSheetId="1" hidden="1">'Sales HC by Dept &amp; T&amp;E Segment'!$A$1:$L$100</definedName>
    <definedName name="_xlnm._FilterDatabase" localSheetId="20" hidden="1">Sheet2!$D$2:$D$86</definedName>
    <definedName name="_xlnm._FilterDatabase" hidden="1">#REF!</definedName>
    <definedName name="_g1" localSheetId="10" hidden="1">{"comp1",#N/A,FALSE,"COMPS";"footnotes",#N/A,FALSE,"COMPS"}</definedName>
    <definedName name="_g1" localSheetId="9" hidden="1">{"comp1",#N/A,FALSE,"COMPS";"footnotes",#N/A,FALSE,"COMPS"}</definedName>
    <definedName name="_g1" hidden="1">{"comp1",#N/A,FALSE,"COMPS";"footnotes",#N/A,FALSE,"COMPS"}</definedName>
    <definedName name="_G300" hidden="1">#REF!</definedName>
    <definedName name="_gr3" localSheetId="10" hidden="1">{"comp1",#N/A,FALSE,"COMPS";"footnotes",#N/A,FALSE,"COMPS"}</definedName>
    <definedName name="_gr3" localSheetId="9" hidden="1">{"comp1",#N/A,FALSE,"COMPS";"footnotes",#N/A,FALSE,"COMPS"}</definedName>
    <definedName name="_gr3" hidden="1">{"comp1",#N/A,FALSE,"COMPS";"footnotes",#N/A,FALSE,"COMPS"}</definedName>
    <definedName name="_GSRATES_1" hidden="1">"CT300001Latest          "</definedName>
    <definedName name="_GSRATES_10" hidden="1">"CT30000120010930        "</definedName>
    <definedName name="_GSRATES_11" hidden="1">"CF3000012001102420001024"</definedName>
    <definedName name="_GSRATES_12" hidden="1">"CT30000120011024        "</definedName>
    <definedName name="_GSRATES_13" hidden="1">"CF3000122000123120000101"</definedName>
    <definedName name="_GSRATES_14" hidden="1">"CF3000012000093020000101"</definedName>
    <definedName name="_GSRATES_15" hidden="1">"CF3000012005072520040901"</definedName>
    <definedName name="_GSRATES_16" hidden="1">"CT30000120050725        "</definedName>
    <definedName name="_GSRATES_17" hidden="1">"CF3000012004083120040726"</definedName>
    <definedName name="_GSRATES_2" hidden="1">"CT300001Latest          "</definedName>
    <definedName name="_GSRATES_3" hidden="1">"CT300001Latest          "</definedName>
    <definedName name="_GSRATES_4" hidden="1">"CF3000012001092920010101"</definedName>
    <definedName name="_GSRATES_5" hidden="1">"CT30000120010929        "</definedName>
    <definedName name="_GSRATES_6" hidden="1">"CF3000012000093020000101"</definedName>
    <definedName name="_GSRATES_7" hidden="1">"CF3000012000093020000101"</definedName>
    <definedName name="_GSRATES_8" hidden="1">"CF3000012001092920010101"</definedName>
    <definedName name="_GSRATES_9" hidden="1">"CF3000012001093020010101"</definedName>
    <definedName name="_GSRATES_COUNT" hidden="1">1</definedName>
    <definedName name="_GSRATESR_1" hidden="1">#REF!</definedName>
    <definedName name="_HGP1010" localSheetId="10" hidden="1">{"'Sheet1'!$A$1:$H$36"}</definedName>
    <definedName name="_HGP1010" localSheetId="9" hidden="1">{"'Sheet1'!$A$1:$H$36"}</definedName>
    <definedName name="_HGP1010" hidden="1">{"'Sheet1'!$A$1:$H$36"}</definedName>
    <definedName name="_hk1" hidden="1">#REF!</definedName>
    <definedName name="_i" hidden="1">#REF!</definedName>
    <definedName name="_j1" hidden="1">#REF!</definedName>
    <definedName name="_j2" hidden="1">#REF!</definedName>
    <definedName name="_k1" hidden="1">#REF!</definedName>
    <definedName name="_k2" hidden="1">#REF!</definedName>
    <definedName name="_Key1" hidden="1">#REF!</definedName>
    <definedName name="_key10" hidden="1">#REF!</definedName>
    <definedName name="_Key2" hidden="1">#REF!</definedName>
    <definedName name="_Key3" hidden="1">#REF!</definedName>
    <definedName name="_Key8" hidden="1">#REF!</definedName>
    <definedName name="_KO2" hidden="1">#REF!</definedName>
    <definedName name="_KTM10" localSheetId="10" hidden="1">{#N/A,#N/A,FALSE,"현장 NCR 분석";#N/A,#N/A,FALSE,"현장품질감사";#N/A,#N/A,FALSE,"현장품질감사"}</definedName>
    <definedName name="_KTM10" localSheetId="9" hidden="1">{#N/A,#N/A,FALSE,"현장 NCR 분석";#N/A,#N/A,FALSE,"현장품질감사";#N/A,#N/A,FALSE,"현장품질감사"}</definedName>
    <definedName name="_KTM10" hidden="1">{#N/A,#N/A,FALSE,"현장 NCR 분석";#N/A,#N/A,FALSE,"현장품질감사";#N/A,#N/A,FALSE,"현장품질감사"}</definedName>
    <definedName name="_KTM10_1" localSheetId="10" hidden="1">{#N/A,#N/A,FALSE,"현장 NCR 분석";#N/A,#N/A,FALSE,"현장품질감사";#N/A,#N/A,FALSE,"현장품질감사"}</definedName>
    <definedName name="_KTM10_1" localSheetId="9" hidden="1">{#N/A,#N/A,FALSE,"현장 NCR 분석";#N/A,#N/A,FALSE,"현장품질감사";#N/A,#N/A,FALSE,"현장품질감사"}</definedName>
    <definedName name="_KTM10_1" hidden="1">{#N/A,#N/A,FALSE,"현장 NCR 분석";#N/A,#N/A,FALSE,"현장품질감사";#N/A,#N/A,FALSE,"현장품질감사"}</definedName>
    <definedName name="_LF12" hidden="1">#REF!</definedName>
    <definedName name="_LG2" localSheetId="10" hidden="1">{#N/A,#N/A,TRUE,"매출진척-1";#N/A,#N/A,TRUE,"매출진척-2";#N/A,#N/A,TRUE,"제품실적";#N/A,#N/A,TRUE,"RAC";#N/A,#N/A,TRUE,"PAC ";#N/A,#N/A,TRUE,"재고현황";#N/A,#N/A,TRUE,"공지사항"}</definedName>
    <definedName name="_LG2" localSheetId="9" hidden="1">{#N/A,#N/A,TRUE,"매출진척-1";#N/A,#N/A,TRUE,"매출진척-2";#N/A,#N/A,TRUE,"제품실적";#N/A,#N/A,TRUE,"RAC";#N/A,#N/A,TRUE,"PAC ";#N/A,#N/A,TRUE,"재고현황";#N/A,#N/A,TRUE,"공지사항"}</definedName>
    <definedName name="_LG2" hidden="1">{#N/A,#N/A,TRUE,"매출진척-1";#N/A,#N/A,TRUE,"매출진척-2";#N/A,#N/A,TRUE,"제품실적";#N/A,#N/A,TRUE,"RAC";#N/A,#N/A,TRUE,"PAC ";#N/A,#N/A,TRUE,"재고현황";#N/A,#N/A,TRUE,"공지사항"}</definedName>
    <definedName name="_LG2_1" localSheetId="10" hidden="1">{#N/A,#N/A,TRUE,"매출진척-1";#N/A,#N/A,TRUE,"매출진척-2";#N/A,#N/A,TRUE,"제품실적";#N/A,#N/A,TRUE,"RAC";#N/A,#N/A,TRUE,"PAC ";#N/A,#N/A,TRUE,"재고현황";#N/A,#N/A,TRUE,"공지사항"}</definedName>
    <definedName name="_LG2_1" localSheetId="9" hidden="1">{#N/A,#N/A,TRUE,"매출진척-1";#N/A,#N/A,TRUE,"매출진척-2";#N/A,#N/A,TRUE,"제품실적";#N/A,#N/A,TRUE,"RAC";#N/A,#N/A,TRUE,"PAC ";#N/A,#N/A,TRUE,"재고현황";#N/A,#N/A,TRUE,"공지사항"}</definedName>
    <definedName name="_LG2_1" hidden="1">{#N/A,#N/A,TRUE,"매출진척-1";#N/A,#N/A,TRUE,"매출진척-2";#N/A,#N/A,TRUE,"제품실적";#N/A,#N/A,TRUE,"RAC";#N/A,#N/A,TRUE,"PAC ";#N/A,#N/A,TRUE,"재고현황";#N/A,#N/A,TRUE,"공지사항"}</definedName>
    <definedName name="_MatInverse_In" hidden="1">#REF!</definedName>
    <definedName name="_MatInverse_Out" hidden="1">#REF!</definedName>
    <definedName name="_MatMult_A" hidden="1">#REF!</definedName>
    <definedName name="_MatMult_B" hidden="1">#REF!</definedName>
    <definedName name="_new1" localSheetId="1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new1" localSheetId="9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o2" hidden="1">#REF!</definedName>
    <definedName name="_o3" hidden="1">#REF!</definedName>
    <definedName name="_oo" hidden="1">#REF!</definedName>
    <definedName name="_oo1" hidden="1">#REF!</definedName>
    <definedName name="_op" hidden="1">#REF!</definedName>
    <definedName name="_op1" hidden="1">#REF!</definedName>
    <definedName name="_Order1" hidden="1">255</definedName>
    <definedName name="_Order2" hidden="1">255</definedName>
    <definedName name="_Order39" hidden="1">255</definedName>
    <definedName name="_ordr2" hidden="1">0</definedName>
    <definedName name="_ordwre2" hidden="1">0</definedName>
    <definedName name="_p" hidden="1">#REF!</definedName>
    <definedName name="_p1" localSheetId="1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_p1" localSheetId="9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_p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_p1_1" localSheetId="1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_p1_1" localSheetId="9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_p1_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_P1000" localSheetId="10" hidden="1">{"cashflow",#N/A,FALSE,"cash flow"}</definedName>
    <definedName name="_P1000" localSheetId="9" hidden="1">{"cashflow",#N/A,FALSE,"cash flow"}</definedName>
    <definedName name="_P1000" hidden="1">{"cashflow",#N/A,FALSE,"cash flow"}</definedName>
    <definedName name="_Parse_In" hidden="1">#REF!</definedName>
    <definedName name="_Parse_Out" hidden="1">#REF!</definedName>
    <definedName name="_r" hidden="1">"Formula removed, name can be deleted."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1" hidden="1">#REF!</definedName>
    <definedName name="_s2" hidden="1">#REF!</definedName>
    <definedName name="_Sort" hidden="1">#REF!</definedName>
    <definedName name="_Sort2" hidden="1">#REF!</definedName>
    <definedName name="_sss22" localSheetId="10" hidden="1">{#N/A,#N/A,TRUE,"Overall";#N/A,#N/A,TRUE,"Region Wise ";#N/A,#N/A,TRUE,"Client Wise"}</definedName>
    <definedName name="_sss22" localSheetId="9" hidden="1">{#N/A,#N/A,TRUE,"Overall";#N/A,#N/A,TRUE,"Region Wise ";#N/A,#N/A,TRUE,"Client Wise"}</definedName>
    <definedName name="_sss22" hidden="1">{#N/A,#N/A,TRUE,"Overall";#N/A,#N/A,TRUE,"Region Wise ";#N/A,#N/A,TRUE,"Client Wise"}</definedName>
    <definedName name="_sss22_1" localSheetId="10" hidden="1">{#N/A,#N/A,TRUE,"Overall";#N/A,#N/A,TRUE,"Region Wise ";#N/A,#N/A,TRUE,"Client Wise"}</definedName>
    <definedName name="_sss22_1" localSheetId="9" hidden="1">{#N/A,#N/A,TRUE,"Overall";#N/A,#N/A,TRUE,"Region Wise ";#N/A,#N/A,TRUE,"Client Wise"}</definedName>
    <definedName name="_sss22_1" hidden="1">{#N/A,#N/A,TRUE,"Overall";#N/A,#N/A,TRUE,"Region Wise ";#N/A,#N/A,TRUE,"Client Wise"}</definedName>
    <definedName name="_t9" localSheetId="10" hidden="1">{#N/A,#N/A,FALSE,"UNIT";#N/A,#N/A,FALSE,"UNIT";#N/A,#N/A,FALSE,"계정"}</definedName>
    <definedName name="_t9" localSheetId="9" hidden="1">{#N/A,#N/A,FALSE,"UNIT";#N/A,#N/A,FALSE,"UNIT";#N/A,#N/A,FALSE,"계정"}</definedName>
    <definedName name="_t9" hidden="1">{#N/A,#N/A,FALSE,"UNIT";#N/A,#N/A,FALSE,"UNIT";#N/A,#N/A,FALSE,"계정"}</definedName>
    <definedName name="_t9_1" localSheetId="10" hidden="1">{#N/A,#N/A,FALSE,"UNIT";#N/A,#N/A,FALSE,"UNIT";#N/A,#N/A,FALSE,"계정"}</definedName>
    <definedName name="_t9_1" localSheetId="9" hidden="1">{#N/A,#N/A,FALSE,"UNIT";#N/A,#N/A,FALSE,"UNIT";#N/A,#N/A,FALSE,"계정"}</definedName>
    <definedName name="_t9_1" hidden="1">{#N/A,#N/A,FALSE,"UNIT";#N/A,#N/A,FALSE,"UNIT";#N/A,#N/A,FALSE,"계정"}</definedName>
    <definedName name="_Table1_In1" hidden="1">#REF!</definedName>
    <definedName name="_Table1_Out" hidden="1">#REF!</definedName>
    <definedName name="_Table2_In1" localSheetId="10" hidden="1">#REF!</definedName>
    <definedName name="_Table2_In1" hidden="1">#REF!</definedName>
    <definedName name="_Table2_In2" localSheetId="10" hidden="1">#REF!</definedName>
    <definedName name="_Table2_In2" hidden="1">#REF!</definedName>
    <definedName name="_Table2_Out" localSheetId="10" hidden="1">#REF!</definedName>
    <definedName name="_Table2_Out" hidden="1">#REF!</definedName>
    <definedName name="_Table2_Out_" hidden="1">#REF!</definedName>
    <definedName name="_Table3_In2" localSheetId="10" hidden="1">#REF!</definedName>
    <definedName name="_Table3_In2" hidden="1">#REF!</definedName>
    <definedName name="_Tir1" localSheetId="10" hidden="1">{#N/A,#N/A,TRUE,"일정"}</definedName>
    <definedName name="_Tir1" localSheetId="9" hidden="1">{#N/A,#N/A,TRUE,"일정"}</definedName>
    <definedName name="_Tir1" hidden="1">{#N/A,#N/A,TRUE,"일정"}</definedName>
    <definedName name="_tm1" localSheetId="10" hidden="1">{#N/A,#N/A,FALSE,"Pharm";#N/A,#N/A,FALSE,"WWCM"}</definedName>
    <definedName name="_tm1" localSheetId="9" hidden="1">{#N/A,#N/A,FALSE,"Pharm";#N/A,#N/A,FALSE,"WWCM"}</definedName>
    <definedName name="_tm1" hidden="1">{#N/A,#N/A,FALSE,"Pharm";#N/A,#N/A,FALSE,"WWCM"}</definedName>
    <definedName name="_top100" localSheetId="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op100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T20" localSheetId="10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TT20" localSheetId="9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TT20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TT20_1" localSheetId="10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TT20_1" localSheetId="9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TT20_1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_ui" hidden="1">#REF!</definedName>
    <definedName name="_ui1" hidden="1">#REF!</definedName>
    <definedName name="_wpl2" localSheetId="10" hidden="1">{#N/A,#N/A,FALSE,"Aging Summary";#N/A,#N/A,FALSE,"Ratio Analysis";#N/A,#N/A,FALSE,"Test 120 Day Accts";#N/A,#N/A,FALSE,"Tickmarks"}</definedName>
    <definedName name="_wpl2" localSheetId="9" hidden="1">{#N/A,#N/A,FALSE,"Aging Summary";#N/A,#N/A,FALSE,"Ratio Analysis";#N/A,#N/A,FALSE,"Test 120 Day Accts";#N/A,#N/A,FALSE,"Tickmarks"}</definedName>
    <definedName name="_wpl2" hidden="1">{#N/A,#N/A,FALSE,"Aging Summary";#N/A,#N/A,FALSE,"Ratio Analysis";#N/A,#N/A,FALSE,"Test 120 Day Accts";#N/A,#N/A,FALSE,"Tickmarks"}</definedName>
    <definedName name="_X2" localSheetId="10" hidden="1">{#N/A,#N/A,FALSE,"Other";#N/A,#N/A,FALSE,"Ace";#N/A,#N/A,FALSE,"Derm"}</definedName>
    <definedName name="_X2" localSheetId="9" hidden="1">{#N/A,#N/A,FALSE,"Other";#N/A,#N/A,FALSE,"Ace";#N/A,#N/A,FALSE,"Derm"}</definedName>
    <definedName name="_X2" hidden="1">{#N/A,#N/A,FALSE,"Other";#N/A,#N/A,FALSE,"Ace";#N/A,#N/A,FALSE,"Derm"}</definedName>
    <definedName name="_y" hidden="1">#REF!</definedName>
    <definedName name="_ZF12" hidden="1">#REF!</definedName>
    <definedName name="Ⅱ" localSheetId="10" hidden="1">{#N/A,#N/A,FALSE,"정공"}</definedName>
    <definedName name="Ⅱ" localSheetId="9" hidden="1">{#N/A,#N/A,FALSE,"정공"}</definedName>
    <definedName name="Ⅱ" hidden="1">{#N/A,#N/A,FALSE,"정공"}</definedName>
    <definedName name="a" localSheetId="9" hidden="1">{#N/A,#N/A,FALSE,"YTD ,99"}</definedName>
    <definedName name="a" hidden="1">{#N/A,#N/A,FALSE,"YTD ,99"}</definedName>
    <definedName name="a_1" localSheetId="10" hidden="1">{#N/A,#N/A,FALSE,"YTD ,99"}</definedName>
    <definedName name="a_1" localSheetId="9" hidden="1">{#N/A,#N/A,FALSE,"YTD ,99"}</definedName>
    <definedName name="a_1" hidden="1">{#N/A,#N/A,FALSE,"YTD ,99"}</definedName>
    <definedName name="AAA_DOCTOPS" hidden="1">"AAA_SET"</definedName>
    <definedName name="AAA_duser" hidden="1">"OFF"</definedName>
    <definedName name="aaaa" localSheetId="10" hidden="1">{#N/A,#N/A,FALSE,"UNIT";#N/A,#N/A,FALSE,"UNIT";#N/A,#N/A,FALSE,"계정"}</definedName>
    <definedName name="aaaa" localSheetId="9" hidden="1">{#N/A,#N/A,FALSE,"UNIT";#N/A,#N/A,FALSE,"UNIT";#N/A,#N/A,FALSE,"계정"}</definedName>
    <definedName name="aaaa" hidden="1">{#N/A,#N/A,FALSE,"UNIT";#N/A,#N/A,FALSE,"UNIT";#N/A,#N/A,FALSE,"계정"}</definedName>
    <definedName name="aaaa_1" localSheetId="10" hidden="1">{#N/A,#N/A,FALSE,"UNIT";#N/A,#N/A,FALSE,"UNIT";#N/A,#N/A,FALSE,"계정"}</definedName>
    <definedName name="aaaa_1" localSheetId="9" hidden="1">{#N/A,#N/A,FALSE,"UNIT";#N/A,#N/A,FALSE,"UNIT";#N/A,#N/A,FALSE,"계정"}</definedName>
    <definedName name="aaaa_1" hidden="1">{#N/A,#N/A,FALSE,"UNIT";#N/A,#N/A,FALSE,"UNIT";#N/A,#N/A,FALSE,"계정"}</definedName>
    <definedName name="aaaaa" localSheetId="10" hidden="1">{"summary",#N/A,FALSE,"2000 vs 1999";"detail",#N/A,FALSE,"2000 vs 1999"}</definedName>
    <definedName name="aaaaa" localSheetId="9" hidden="1">{"summary",#N/A,FALSE,"2000 vs 1999";"detail",#N/A,FALSE,"2000 vs 1999"}</definedName>
    <definedName name="aaaaa" hidden="1">{"summary",#N/A,FALSE,"2000 vs 1999";"detail",#N/A,FALSE,"2000 vs 1999"}</definedName>
    <definedName name="aaaaa_1" localSheetId="10" hidden="1">{"summary",#N/A,FALSE,"2000 vs 1999";"detail",#N/A,FALSE,"2000 vs 1999"}</definedName>
    <definedName name="aaaaa_1" localSheetId="9" hidden="1">{"summary",#N/A,FALSE,"2000 vs 1999";"detail",#N/A,FALSE,"2000 vs 1999"}</definedName>
    <definedName name="aaaaa_1" hidden="1">{"summary",#N/A,FALSE,"2000 vs 1999";"detail",#N/A,FALSE,"2000 vs 1999"}</definedName>
    <definedName name="aaaaaa" localSheetId="10" hidden="1">{"Monthly6Q",#N/A,FALSE,"0614ESL"}</definedName>
    <definedName name="aaaaaa" localSheetId="9" hidden="1">{"Monthly6Q",#N/A,FALSE,"0614ESL"}</definedName>
    <definedName name="aaaaaa" hidden="1">{"Monthly6Q",#N/A,FALSE,"0614ESL"}</definedName>
    <definedName name="aaaaaa_1" localSheetId="10" hidden="1">{"Monthly6Q",#N/A,FALSE,"0614ESL"}</definedName>
    <definedName name="aaaaaa_1" localSheetId="9" hidden="1">{"Monthly6Q",#N/A,FALSE,"0614ESL"}</definedName>
    <definedName name="aaaaaa_1" hidden="1">{"Monthly6Q",#N/A,FALSE,"0614ESL"}</definedName>
    <definedName name="aaaaaaa" localSheetId="10" hidden="1">{"'Demand Units'!$Z$2:$AF$53"}</definedName>
    <definedName name="aaaaaaa" localSheetId="9" hidden="1">{"'Demand Units'!$Z$2:$AF$53"}</definedName>
    <definedName name="aaaaaaa" hidden="1">{"'Demand Units'!$Z$2:$AF$53"}</definedName>
    <definedName name="aaaaaaa_1" localSheetId="10" hidden="1">{"'Demand Units'!$Z$2:$AF$53"}</definedName>
    <definedName name="aaaaaaa_1" localSheetId="9" hidden="1">{"'Demand Units'!$Z$2:$AF$53"}</definedName>
    <definedName name="aaaaaaa_1" hidden="1">{"'Demand Units'!$Z$2:$AF$53"}</definedName>
    <definedName name="aaaaaaaaa" hidden="1">#REF!</definedName>
    <definedName name="aaaaaaaaaaa" localSheetId="10" hidden="1">{#N/A,#N/A,FALSE,"REPORT"}</definedName>
    <definedName name="aaaaaaaaaaa" localSheetId="9" hidden="1">{#N/A,#N/A,FALSE,"REPORT"}</definedName>
    <definedName name="aaaaaaaaaaa" hidden="1">{#N/A,#N/A,FALSE,"REPORT"}</definedName>
    <definedName name="AAAAAAAAAAAAA" hidden="1">#REF!</definedName>
    <definedName name="aaaaaaaaaaaaaa" localSheetId="10" hidden="1">{"Monthly6Q",#N/A,FALSE,"0614ESL"}</definedName>
    <definedName name="aaaaaaaaaaaaaa" localSheetId="9" hidden="1">{"Monthly6Q",#N/A,FALSE,"0614ESL"}</definedName>
    <definedName name="aaaaaaaaaaaaaa" hidden="1">{"Monthly6Q",#N/A,FALSE,"0614ESL"}</definedName>
    <definedName name="aaaaaaaaaaaaaa_1" localSheetId="10" hidden="1">{"Monthly6Q",#N/A,FALSE,"0614ESL"}</definedName>
    <definedName name="aaaaaaaaaaaaaa_1" localSheetId="9" hidden="1">{"Monthly6Q",#N/A,FALSE,"0614ESL"}</definedName>
    <definedName name="aaaaaaaaaaaaaa_1" hidden="1">{"Monthly6Q",#N/A,FALSE,"0614ESL"}</definedName>
    <definedName name="aaaaaaaaaaaaaaa" localSheetId="10" hidden="1">{#N/A,#N/A,FALSE,"Pharm";#N/A,#N/A,FALSE,"WWCM"}</definedName>
    <definedName name="aaaaaaaaaaaaaaa" localSheetId="9" hidden="1">{#N/A,#N/A,FALSE,"Pharm";#N/A,#N/A,FALSE,"WWCM"}</definedName>
    <definedName name="aaaaaaaaaaaaaaa" hidden="1">{#N/A,#N/A,FALSE,"Pharm";#N/A,#N/A,FALSE,"WWCM"}</definedName>
    <definedName name="AAAAS" localSheetId="10" hidden="1">{#N/A,#N/A,FALSE,"정공"}</definedName>
    <definedName name="AAAAS" localSheetId="9" hidden="1">{#N/A,#N/A,FALSE,"정공"}</definedName>
    <definedName name="AAAAS" hidden="1">{#N/A,#N/A,FALSE,"정공"}</definedName>
    <definedName name="aaab" localSheetId="10" hidden="1">{"china1",#N/A,FALSE,"輸format_Asia";"China2",#N/A,FALSE,"輸format_Asia";"Hongkong1",#N/A,FALSE,"輸format_Asia";"indonesia",#N/A,FALSE,"輸format_Asia";"indonesia2",#N/A,FALSE,"輸format_Asia";"Philippines2",#N/A,FALSE,"輸format_Asia";"philippines3",#N/A,FALSE,"輸format_Asia";"Phillipppines",#N/A,FALSE,"輸format_Asia";"taiwan",#N/A,FALSE,"輸format_Asia";"taiwan2",#N/A,FALSE,"輸format_Asia";"thailand",#N/A,FALSE,"輸format_Asia";"thailand2",#N/A,FALSE,"輸format_Asia"}</definedName>
    <definedName name="aaab" localSheetId="9" hidden="1">{"china1",#N/A,FALSE,"輸format_Asia";"China2",#N/A,FALSE,"輸format_Asia";"Hongkong1",#N/A,FALSE,"輸format_Asia";"indonesia",#N/A,FALSE,"輸format_Asia";"indonesia2",#N/A,FALSE,"輸format_Asia";"Philippines2",#N/A,FALSE,"輸format_Asia";"philippines3",#N/A,FALSE,"輸format_Asia";"Phillipppines",#N/A,FALSE,"輸format_Asia";"taiwan",#N/A,FALSE,"輸format_Asia";"taiwan2",#N/A,FALSE,"輸format_Asia";"thailand",#N/A,FALSE,"輸format_Asia";"thailand2",#N/A,FALSE,"輸format_Asia"}</definedName>
    <definedName name="aaab" hidden="1">{"china1",#N/A,FALSE,"輸format_Asia";"China2",#N/A,FALSE,"輸format_Asia";"Hongkong1",#N/A,FALSE,"輸format_Asia";"indonesia",#N/A,FALSE,"輸format_Asia";"indonesia2",#N/A,FALSE,"輸format_Asia";"Philippines2",#N/A,FALSE,"輸format_Asia";"philippines3",#N/A,FALSE,"輸format_Asia";"Phillipppines",#N/A,FALSE,"輸format_Asia";"taiwan",#N/A,FALSE,"輸format_Asia";"taiwan2",#N/A,FALSE,"輸format_Asia";"thailand",#N/A,FALSE,"輸format_Asia";"thailand2",#N/A,FALSE,"輸format_Asia"}</definedName>
    <definedName name="aaasb" localSheetId="10" hidden="1">{#N/A,#N/A,FALSE,"Pharm";#N/A,#N/A,FALSE,"WWCM"}</definedName>
    <definedName name="aaasb" localSheetId="9" hidden="1">{#N/A,#N/A,FALSE,"Pharm";#N/A,#N/A,FALSE,"WWCM"}</definedName>
    <definedName name="aaasb" hidden="1">{#N/A,#N/A,FALSE,"Pharm";#N/A,#N/A,FALSE,"WWCM"}</definedName>
    <definedName name="aab" localSheetId="10" hidden="1">{#N/A,#N/A,FALSE,"Pharm";#N/A,#N/A,FALSE,"WWCM"}</definedName>
    <definedName name="aab" localSheetId="9" hidden="1">{#N/A,#N/A,FALSE,"Pharm";#N/A,#N/A,FALSE,"WWCM"}</definedName>
    <definedName name="aab" hidden="1">{#N/A,#N/A,FALSE,"Pharm";#N/A,#N/A,FALSE,"WWCM"}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ddd" localSheetId="10" hidden="1">{#N/A,#N/A,FALSE,"REPORT"}</definedName>
    <definedName name="aaddd" localSheetId="9" hidden="1">{#N/A,#N/A,FALSE,"REPORT"}</definedName>
    <definedName name="aaddd" hidden="1">{#N/A,#N/A,FALSE,"REPORT"}</definedName>
    <definedName name="aae" localSheetId="10" hidden="1">{"Back Page",#N/A,FALSE,"Front and Back"}</definedName>
    <definedName name="aae" localSheetId="9" hidden="1">{"Back Page",#N/A,FALSE,"Front and Back"}</definedName>
    <definedName name="aae" hidden="1">{"Back Page",#N/A,FALSE,"Front and Back"}</definedName>
    <definedName name="aaf" localSheetId="10" hidden="1">{"P and L Detail Page 1",#N/A,FALSE,"Data";"P and L Detail Page 2",#N/A,FALSE,"Data"}</definedName>
    <definedName name="aaf" localSheetId="9" hidden="1">{"P and L Detail Page 1",#N/A,FALSE,"Data";"P and L Detail Page 2",#N/A,FALSE,"Data"}</definedName>
    <definedName name="aaf" hidden="1">{"P and L Detail Page 1",#N/A,FALSE,"Data";"P and L Detail Page 2",#N/A,FALSE,"Data"}</definedName>
    <definedName name="aag" localSheetId="10" hidden="1">{"P and L",#N/A,FALSE,"Financial Output";"Cashflow",#N/A,FALSE,"Financial Output";"Balance Sheet",#N/A,FALSE,"Financial Output"}</definedName>
    <definedName name="aag" localSheetId="9" hidden="1">{"P and L",#N/A,FALSE,"Financial Output";"Cashflow",#N/A,FALSE,"Financial Output";"Balance Sheet",#N/A,FALSE,"Financial Output"}</definedName>
    <definedName name="aag" hidden="1">{"P and L",#N/A,FALSE,"Financial Output";"Cashflow",#N/A,FALSE,"Financial Output";"Balance Sheet",#N/A,FALSE,"Financial Output"}</definedName>
    <definedName name="aah" localSheetId="10" hidden="1">{"Five Year Record",#N/A,FALSE,"Front and Back"}</definedName>
    <definedName name="aah" localSheetId="9" hidden="1">{"Five Year Record",#N/A,FALSE,"Front and Back"}</definedName>
    <definedName name="aah" hidden="1">{"Five Year Record",#N/A,FALSE,"Front and Back"}</definedName>
    <definedName name="aai" localSheetId="10" hidden="1">{"Front Page",#N/A,FALSE,"Front and Back"}</definedName>
    <definedName name="aai" localSheetId="9" hidden="1">{"Front Page",#N/A,FALSE,"Front and Back"}</definedName>
    <definedName name="aai" hidden="1">{"Front Page",#N/A,FALSE,"Front and Back"}</definedName>
    <definedName name="aaj" localSheetId="10" hidden="1">{"Geographic P1",#N/A,FALSE,"Division &amp; Geog"}</definedName>
    <definedName name="aaj" localSheetId="9" hidden="1">{"Geographic P1",#N/A,FALSE,"Division &amp; Geog"}</definedName>
    <definedName name="aaj" hidden="1">{"Geographic P1",#N/A,FALSE,"Division &amp; Geog"}</definedName>
    <definedName name="aas" localSheetId="10" hidden="1">{#N/A,#N/A,FALSE,"1";#N/A,#N/A,FALSE,"2";#N/A,#N/A,FALSE,"16 - 17";#N/A,#N/A,FALSE,"18 - 19";#N/A,#N/A,FALSE,"26";#N/A,#N/A,FALSE,"27";#N/A,#N/A,FALSE,"28"}</definedName>
    <definedName name="aas" localSheetId="9" hidden="1">{#N/A,#N/A,FALSE,"1";#N/A,#N/A,FALSE,"2";#N/A,#N/A,FALSE,"16 - 17";#N/A,#N/A,FALSE,"18 - 19";#N/A,#N/A,FALSE,"26";#N/A,#N/A,FALSE,"27";#N/A,#N/A,FALSE,"28"}</definedName>
    <definedName name="aas" hidden="1">{#N/A,#N/A,FALSE,"1";#N/A,#N/A,FALSE,"2";#N/A,#N/A,FALSE,"16 - 17";#N/A,#N/A,FALSE,"18 - 19";#N/A,#N/A,FALSE,"26";#N/A,#N/A,FALSE,"27";#N/A,#N/A,FALSE,"28"}</definedName>
    <definedName name="ab" localSheetId="10" hidden="1">{"Print Summary",#N/A,FALSE,"Bal_Graphs";"Print Summary",#N/A,FALSE,"DCF";"Print Summary",#N/A,FALSE,"Graphs";"Print Summary",#N/A,FALSE,"Summary"}</definedName>
    <definedName name="ab" localSheetId="9" hidden="1">{"Print Summary",#N/A,FALSE,"Bal_Graphs";"Print Summary",#N/A,FALSE,"DCF";"Print Summary",#N/A,FALSE,"Graphs";"Print Summary",#N/A,FALSE,"Summary"}</definedName>
    <definedName name="ab" hidden="1">{"Print Summary",#N/A,FALSE,"Bal_Graphs";"Print Summary",#N/A,FALSE,"DCF";"Print Summary",#N/A,FALSE,"Graphs";"Print Summary",#N/A,FALSE,"Summary"}</definedName>
    <definedName name="abc.xls" localSheetId="10" hidden="1">{"toptrial",#N/A,TRUE,"toptrial";"adjustment",#N/A,TRUE,"toptrial";"voucher",#N/A,TRUE,"toptrial"}</definedName>
    <definedName name="abc.xls" localSheetId="9" hidden="1">{"toptrial",#N/A,TRUE,"toptrial";"adjustment",#N/A,TRUE,"toptrial";"voucher",#N/A,TRUE,"toptrial"}</definedName>
    <definedName name="abc.xls" hidden="1">{"toptrial",#N/A,TRUE,"toptrial";"adjustment",#N/A,TRUE,"toptrial";"voucher",#N/A,TRUE,"toptrial"}</definedName>
    <definedName name="abc.xls_1" localSheetId="10" hidden="1">{"toptrial",#N/A,TRUE,"toptrial";"adjustment",#N/A,TRUE,"toptrial";"voucher",#N/A,TRUE,"toptrial"}</definedName>
    <definedName name="abc.xls_1" localSheetId="9" hidden="1">{"toptrial",#N/A,TRUE,"toptrial";"adjustment",#N/A,TRUE,"toptrial";"voucher",#N/A,TRUE,"toptrial"}</definedName>
    <definedName name="abc.xls_1" hidden="1">{"toptrial",#N/A,TRUE,"toptrial";"adjustment",#N/A,TRUE,"toptrial";"voucher",#N/A,TRUE,"toptrial"}</definedName>
    <definedName name="abcd" localSheetId="10" hidden="1">{"Monthly6Q",#N/A,FALSE,"0614ESL"}</definedName>
    <definedName name="abcd" localSheetId="9" hidden="1">{"Monthly6Q",#N/A,FALSE,"0614ESL"}</definedName>
    <definedName name="abcd" hidden="1">{"Monthly6Q",#N/A,FALSE,"0614ESL"}</definedName>
    <definedName name="abcd_1" localSheetId="10" hidden="1">{"Monthly6Q",#N/A,FALSE,"0614ESL"}</definedName>
    <definedName name="abcd_1" localSheetId="9" hidden="1">{"Monthly6Q",#N/A,FALSE,"0614ESL"}</definedName>
    <definedName name="abcd_1" hidden="1">{"Monthly6Q",#N/A,FALSE,"0614ESL"}</definedName>
    <definedName name="ABCD관리" localSheetId="10" hidden="1">{#N/A,#N/A,FALSE,"정공"}</definedName>
    <definedName name="ABCD관리" localSheetId="9" hidden="1">{#N/A,#N/A,FALSE,"정공"}</definedName>
    <definedName name="ABCD관리" hidden="1">{#N/A,#N/A,FALSE,"정공"}</definedName>
    <definedName name="abdefc.xls" localSheetId="10" hidden="1">{"toptrial",#N/A,TRUE,"toptrial";"adjustment",#N/A,TRUE,"toptrial";"voucher",#N/A,TRUE,"toptrial"}</definedName>
    <definedName name="abdefc.xls" localSheetId="9" hidden="1">{"toptrial",#N/A,TRUE,"toptrial";"adjustment",#N/A,TRUE,"toptrial";"voucher",#N/A,TRUE,"toptrial"}</definedName>
    <definedName name="abdefc.xls" hidden="1">{"toptrial",#N/A,TRUE,"toptrial";"adjustment",#N/A,TRUE,"toptrial";"voucher",#N/A,TRUE,"toptrial"}</definedName>
    <definedName name="abdefc.xls_1" localSheetId="10" hidden="1">{"toptrial",#N/A,TRUE,"toptrial";"adjustment",#N/A,TRUE,"toptrial";"voucher",#N/A,TRUE,"toptrial"}</definedName>
    <definedName name="abdefc.xls_1" localSheetId="9" hidden="1">{"toptrial",#N/A,TRUE,"toptrial";"adjustment",#N/A,TRUE,"toptrial";"voucher",#N/A,TRUE,"toptrial"}</definedName>
    <definedName name="abdefc.xls_1" hidden="1">{"toptrial",#N/A,TRUE,"toptrial";"adjustment",#N/A,TRUE,"toptrial";"voucher",#N/A,TRUE,"toptrial"}</definedName>
    <definedName name="acac" localSheetId="10" hidden="1">{0,0,0,0;0,0,0,0;0,0,0,0;0,0,0,0;0,0,0,0}</definedName>
    <definedName name="acac" localSheetId="9" hidden="1">{0,0,0,0;0,0,0,0;0,0,0,0;0,0,0,0;0,0,0,0}</definedName>
    <definedName name="acac" hidden="1">{0,0,0,0;0,0,0,0;0,0,0,0;0,0,0,0;0,0,0,0}</definedName>
    <definedName name="acac_1" localSheetId="10" hidden="1">{0,0,0,0;0,0,0,0;0,0,0,0;0,0,0,0;0,0,0,0}</definedName>
    <definedName name="acac_1" localSheetId="9" hidden="1">{0,0,0,0;0,0,0,0;0,0,0,0;0,0,0,0;0,0,0,0}</definedName>
    <definedName name="acac_1" hidden="1">{0,0,0,0;0,0,0,0;0,0,0,0;0,0,0,0;0,0,0,0}</definedName>
    <definedName name="ACB" localSheetId="10" hidden="1">{#N/A,#N/A,FALSE,"단축1";#N/A,#N/A,FALSE,"단축2";#N/A,#N/A,FALSE,"단축3";#N/A,#N/A,FALSE,"장축";#N/A,#N/A,FALSE,"4WD"}</definedName>
    <definedName name="ACB" localSheetId="9" hidden="1">{#N/A,#N/A,FALSE,"단축1";#N/A,#N/A,FALSE,"단축2";#N/A,#N/A,FALSE,"단축3";#N/A,#N/A,FALSE,"장축";#N/A,#N/A,FALSE,"4WD"}</definedName>
    <definedName name="ACB" hidden="1">{#N/A,#N/A,FALSE,"단축1";#N/A,#N/A,FALSE,"단축2";#N/A,#N/A,FALSE,"단축3";#N/A,#N/A,FALSE,"장축";#N/A,#N/A,FALSE,"4WD"}</definedName>
    <definedName name="Access_Button" hidden="1">"misc_071498_Resporonics_List"</definedName>
    <definedName name="Access_Button1" hidden="1">"기금운용_이자내역_List1"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qname" hidden="1">#REF!</definedName>
    <definedName name="Actual" localSheetId="10" hidden="1">{#N/A,#N/A,TRUE,"Historicals";#N/A,#N/A,TRUE,"Charts";#N/A,#N/A,TRUE,"Forecasts"}</definedName>
    <definedName name="Actual" localSheetId="9" hidden="1">{#N/A,#N/A,TRUE,"Historicals";#N/A,#N/A,TRUE,"Charts";#N/A,#N/A,TRUE,"Forecasts"}</definedName>
    <definedName name="Actual" hidden="1">{#N/A,#N/A,TRUE,"Historicals";#N/A,#N/A,TRUE,"Charts";#N/A,#N/A,TRUE,"Forecasts"}</definedName>
    <definedName name="ACwvu.inputs._.raw._.data." hidden="1">#REF!</definedName>
    <definedName name="ACwvu.steve." hidden="1">#REF!</definedName>
    <definedName name="ACwvu.summary1." hidden="1">#REF!</definedName>
    <definedName name="ACwvu.summary2." hidden="1">#REF!</definedName>
    <definedName name="ACwvu.summary3." hidden="1">#REF!</definedName>
    <definedName name="AD" localSheetId="10" hidden="1">{#N/A,#N/A,FALSE,"0)Sommaire";#N/A,#N/A,FALSE,"1)Hypothèses";#N/A,#N/A,FALSE,"2)Cadences Mach-Besoin Métal";#N/A,#N/A,FALSE,"3)Dimensionnement Baskets";#N/A,#N/A,FALSE,"4)Lingotage";#N/A,#N/A,FALSE,"5)Cycles Wagons";#N/A,#N/A,FALSE,"5) Cycles Wagons(suite)";#N/A,#N/A,FALSE,"6)Cycles Fours";#N/A,#N/A,FALSE,"6)Capacité à 2 ou 3 Fours";#N/A,#N/A,FALSE,"7) Avantages d'un Four à Canal";#N/A,#N/A,FALSE,"8)Cycle Ponts sans Four à Canal";#N/A,#N/A,FALSE,"8) Occupation Ponts sans FAC";#N/A,#N/A,FALSE,"8)Cycle Ponts avec Four à Canal";#N/A,#N/A,FALSE,"8) Occupation Ponts avec FAC";#N/A,#N/A,FALSE,"Annexes";#N/A,#N/A,FALSE,"A)Calcul Cycles Ponts";#N/A,#N/A,FALSE,"A)Cycle Wagon --&gt; Fours";#N/A,#N/A,FALSE,"A)Cycle Ferrailles ---&gt; Fours";#N/A,#N/A,FALSE,"A)Cycle Four --&gt; Machines";#N/A,#N/A,FALSE,"A)Four--&gt;Mach(Rempl.autre pont)";#N/A,#N/A,FALSE,"A)Four--&gt;Basculeur Machine";#N/A,#N/A,FALSE,"A)Cycle Wagon --&gt; Four à Canal";#N/A,#N/A,FALSE,"A)Cycle Four --&gt; Four à Canal ";#N/A,#N/A,FALSE,"A)Cycle Four à Canal --&gt; Mach. ";#N/A,#N/A,FALSE,"A)Four à Canal--&gt;Basculeur Mach";#N/A,#N/A,FALSE,"A)Cycle Remplis. Poche au Four";#N/A,#N/A,FALSE,"A)Cycle Remplis. Poche au FAC ";#N/A,#N/A,FALSE,"A)FAC--&gt;Mach(Rempl.autre pont)"}</definedName>
    <definedName name="AD" localSheetId="9" hidden="1">{#N/A,#N/A,FALSE,"0)Sommaire";#N/A,#N/A,FALSE,"1)Hypothèses";#N/A,#N/A,FALSE,"2)Cadences Mach-Besoin Métal";#N/A,#N/A,FALSE,"3)Dimensionnement Baskets";#N/A,#N/A,FALSE,"4)Lingotage";#N/A,#N/A,FALSE,"5)Cycles Wagons";#N/A,#N/A,FALSE,"5) Cycles Wagons(suite)";#N/A,#N/A,FALSE,"6)Cycles Fours";#N/A,#N/A,FALSE,"6)Capacité à 2 ou 3 Fours";#N/A,#N/A,FALSE,"7) Avantages d'un Four à Canal";#N/A,#N/A,FALSE,"8)Cycle Ponts sans Four à Canal";#N/A,#N/A,FALSE,"8) Occupation Ponts sans FAC";#N/A,#N/A,FALSE,"8)Cycle Ponts avec Four à Canal";#N/A,#N/A,FALSE,"8) Occupation Ponts avec FAC";#N/A,#N/A,FALSE,"Annexes";#N/A,#N/A,FALSE,"A)Calcul Cycles Ponts";#N/A,#N/A,FALSE,"A)Cycle Wagon --&gt; Fours";#N/A,#N/A,FALSE,"A)Cycle Ferrailles ---&gt; Fours";#N/A,#N/A,FALSE,"A)Cycle Four --&gt; Machines";#N/A,#N/A,FALSE,"A)Four--&gt;Mach(Rempl.autre pont)";#N/A,#N/A,FALSE,"A)Four--&gt;Basculeur Machine";#N/A,#N/A,FALSE,"A)Cycle Wagon --&gt; Four à Canal";#N/A,#N/A,FALSE,"A)Cycle Four --&gt; Four à Canal ";#N/A,#N/A,FALSE,"A)Cycle Four à Canal --&gt; Mach. ";#N/A,#N/A,FALSE,"A)Four à Canal--&gt;Basculeur Mach";#N/A,#N/A,FALSE,"A)Cycle Remplis. Poche au Four";#N/A,#N/A,FALSE,"A)Cycle Remplis. Poche au FAC ";#N/A,#N/A,FALSE,"A)FAC--&gt;Mach(Rempl.autre pont)"}</definedName>
    <definedName name="AD" hidden="1">{#N/A,#N/A,FALSE,"0)Sommaire";#N/A,#N/A,FALSE,"1)Hypothèses";#N/A,#N/A,FALSE,"2)Cadences Mach-Besoin Métal";#N/A,#N/A,FALSE,"3)Dimensionnement Baskets";#N/A,#N/A,FALSE,"4)Lingotage";#N/A,#N/A,FALSE,"5)Cycles Wagons";#N/A,#N/A,FALSE,"5) Cycles Wagons(suite)";#N/A,#N/A,FALSE,"6)Cycles Fours";#N/A,#N/A,FALSE,"6)Capacité à 2 ou 3 Fours";#N/A,#N/A,FALSE,"7) Avantages d'un Four à Canal";#N/A,#N/A,FALSE,"8)Cycle Ponts sans Four à Canal";#N/A,#N/A,FALSE,"8) Occupation Ponts sans FAC";#N/A,#N/A,FALSE,"8)Cycle Ponts avec Four à Canal";#N/A,#N/A,FALSE,"8) Occupation Ponts avec FAC";#N/A,#N/A,FALSE,"Annexes";#N/A,#N/A,FALSE,"A)Calcul Cycles Ponts";#N/A,#N/A,FALSE,"A)Cycle Wagon --&gt; Fours";#N/A,#N/A,FALSE,"A)Cycle Ferrailles ---&gt; Fours";#N/A,#N/A,FALSE,"A)Cycle Four --&gt; Machines";#N/A,#N/A,FALSE,"A)Four--&gt;Mach(Rempl.autre pont)";#N/A,#N/A,FALSE,"A)Four--&gt;Basculeur Machine";#N/A,#N/A,FALSE,"A)Cycle Wagon --&gt; Four à Canal";#N/A,#N/A,FALSE,"A)Cycle Four --&gt; Four à Canal ";#N/A,#N/A,FALSE,"A)Cycle Four à Canal --&gt; Mach. ";#N/A,#N/A,FALSE,"A)Four à Canal--&gt;Basculeur Mach";#N/A,#N/A,FALSE,"A)Cycle Remplis. Poche au Four";#N/A,#N/A,FALSE,"A)Cycle Remplis. Poche au FAC ";#N/A,#N/A,FALSE,"A)FAC--&gt;Mach(Rempl.autre pont)"}</definedName>
    <definedName name="AD_1" localSheetId="10" hidden="1">{#N/A,#N/A,FALSE,"0)Sommaire";#N/A,#N/A,FALSE,"1)Hypothèses";#N/A,#N/A,FALSE,"2)Cadences Mach-Besoin Métal";#N/A,#N/A,FALSE,"3)Dimensionnement Baskets";#N/A,#N/A,FALSE,"4)Lingotage";#N/A,#N/A,FALSE,"5)Cycles Wagons";#N/A,#N/A,FALSE,"5) Cycles Wagons(suite)";#N/A,#N/A,FALSE,"6)Cycles Fours";#N/A,#N/A,FALSE,"6)Capacité à 2 ou 3 Fours";#N/A,#N/A,FALSE,"7) Avantages d'un Four à Canal";#N/A,#N/A,FALSE,"8)Cycle Ponts sans Four à Canal";#N/A,#N/A,FALSE,"8) Occupation Ponts sans FAC";#N/A,#N/A,FALSE,"8)Cycle Ponts avec Four à Canal";#N/A,#N/A,FALSE,"8) Occupation Ponts avec FAC";#N/A,#N/A,FALSE,"Annexes";#N/A,#N/A,FALSE,"A)Calcul Cycles Ponts";#N/A,#N/A,FALSE,"A)Cycle Wagon --&gt; Fours";#N/A,#N/A,FALSE,"A)Cycle Ferrailles ---&gt; Fours";#N/A,#N/A,FALSE,"A)Cycle Four --&gt; Machines";#N/A,#N/A,FALSE,"A)Four--&gt;Mach(Rempl.autre pont)";#N/A,#N/A,FALSE,"A)Four--&gt;Basculeur Machine";#N/A,#N/A,FALSE,"A)Cycle Wagon --&gt; Four à Canal";#N/A,#N/A,FALSE,"A)Cycle Four --&gt; Four à Canal ";#N/A,#N/A,FALSE,"A)Cycle Four à Canal --&gt; Mach. ";#N/A,#N/A,FALSE,"A)Four à Canal--&gt;Basculeur Mach";#N/A,#N/A,FALSE,"A)Cycle Remplis. Poche au Four";#N/A,#N/A,FALSE,"A)Cycle Remplis. Poche au FAC ";#N/A,#N/A,FALSE,"A)FAC--&gt;Mach(Rempl.autre pont)"}</definedName>
    <definedName name="AD_1" localSheetId="9" hidden="1">{#N/A,#N/A,FALSE,"0)Sommaire";#N/A,#N/A,FALSE,"1)Hypothèses";#N/A,#N/A,FALSE,"2)Cadences Mach-Besoin Métal";#N/A,#N/A,FALSE,"3)Dimensionnement Baskets";#N/A,#N/A,FALSE,"4)Lingotage";#N/A,#N/A,FALSE,"5)Cycles Wagons";#N/A,#N/A,FALSE,"5) Cycles Wagons(suite)";#N/A,#N/A,FALSE,"6)Cycles Fours";#N/A,#N/A,FALSE,"6)Capacité à 2 ou 3 Fours";#N/A,#N/A,FALSE,"7) Avantages d'un Four à Canal";#N/A,#N/A,FALSE,"8)Cycle Ponts sans Four à Canal";#N/A,#N/A,FALSE,"8) Occupation Ponts sans FAC";#N/A,#N/A,FALSE,"8)Cycle Ponts avec Four à Canal";#N/A,#N/A,FALSE,"8) Occupation Ponts avec FAC";#N/A,#N/A,FALSE,"Annexes";#N/A,#N/A,FALSE,"A)Calcul Cycles Ponts";#N/A,#N/A,FALSE,"A)Cycle Wagon --&gt; Fours";#N/A,#N/A,FALSE,"A)Cycle Ferrailles ---&gt; Fours";#N/A,#N/A,FALSE,"A)Cycle Four --&gt; Machines";#N/A,#N/A,FALSE,"A)Four--&gt;Mach(Rempl.autre pont)";#N/A,#N/A,FALSE,"A)Four--&gt;Basculeur Machine";#N/A,#N/A,FALSE,"A)Cycle Wagon --&gt; Four à Canal";#N/A,#N/A,FALSE,"A)Cycle Four --&gt; Four à Canal ";#N/A,#N/A,FALSE,"A)Cycle Four à Canal --&gt; Mach. ";#N/A,#N/A,FALSE,"A)Four à Canal--&gt;Basculeur Mach";#N/A,#N/A,FALSE,"A)Cycle Remplis. Poche au Four";#N/A,#N/A,FALSE,"A)Cycle Remplis. Poche au FAC ";#N/A,#N/A,FALSE,"A)FAC--&gt;Mach(Rempl.autre pont)"}</definedName>
    <definedName name="AD_1" hidden="1">{#N/A,#N/A,FALSE,"0)Sommaire";#N/A,#N/A,FALSE,"1)Hypothèses";#N/A,#N/A,FALSE,"2)Cadences Mach-Besoin Métal";#N/A,#N/A,FALSE,"3)Dimensionnement Baskets";#N/A,#N/A,FALSE,"4)Lingotage";#N/A,#N/A,FALSE,"5)Cycles Wagons";#N/A,#N/A,FALSE,"5) Cycles Wagons(suite)";#N/A,#N/A,FALSE,"6)Cycles Fours";#N/A,#N/A,FALSE,"6)Capacité à 2 ou 3 Fours";#N/A,#N/A,FALSE,"7) Avantages d'un Four à Canal";#N/A,#N/A,FALSE,"8)Cycle Ponts sans Four à Canal";#N/A,#N/A,FALSE,"8) Occupation Ponts sans FAC";#N/A,#N/A,FALSE,"8)Cycle Ponts avec Four à Canal";#N/A,#N/A,FALSE,"8) Occupation Ponts avec FAC";#N/A,#N/A,FALSE,"Annexes";#N/A,#N/A,FALSE,"A)Calcul Cycles Ponts";#N/A,#N/A,FALSE,"A)Cycle Wagon --&gt; Fours";#N/A,#N/A,FALSE,"A)Cycle Ferrailles ---&gt; Fours";#N/A,#N/A,FALSE,"A)Cycle Four --&gt; Machines";#N/A,#N/A,FALSE,"A)Four--&gt;Mach(Rempl.autre pont)";#N/A,#N/A,FALSE,"A)Four--&gt;Basculeur Machine";#N/A,#N/A,FALSE,"A)Cycle Wagon --&gt; Four à Canal";#N/A,#N/A,FALSE,"A)Cycle Four --&gt; Four à Canal ";#N/A,#N/A,FALSE,"A)Cycle Four à Canal --&gt; Mach. ";#N/A,#N/A,FALSE,"A)Four à Canal--&gt;Basculeur Mach";#N/A,#N/A,FALSE,"A)Cycle Remplis. Poche au Four";#N/A,#N/A,FALSE,"A)Cycle Remplis. Poche au FAC ";#N/A,#N/A,FALSE,"A)FAC--&gt;Mach(Rempl.autre pont)"}</definedName>
    <definedName name="adas" localSheetId="1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adas" localSheetId="9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adas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adf" localSheetId="1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df" localSheetId="9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d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dfgasdysty" localSheetId="10" hidden="1">{#N/A,#N/A,FALSE,"REPORT"}</definedName>
    <definedName name="adfgasdysty" localSheetId="9" hidden="1">{#N/A,#N/A,FALSE,"REPORT"}</definedName>
    <definedName name="adfgasdysty" hidden="1">{#N/A,#N/A,FALSE,"REPORT"}</definedName>
    <definedName name="adfsfjfjky" localSheetId="10" hidden="1">{#N/A,#N/A,FALSE,"REPORT"}</definedName>
    <definedName name="adfsfjfjky" localSheetId="9" hidden="1">{#N/A,#N/A,FALSE,"REPORT"}</definedName>
    <definedName name="adfsfjfjky" hidden="1">{#N/A,#N/A,FALSE,"REPORT"}</definedName>
    <definedName name="adfss" hidden="1">#REF!</definedName>
    <definedName name="adg" localSheetId="10" hidden="1">{"'Sheet1'!$A$1:$O$40"}</definedName>
    <definedName name="adg" localSheetId="9" hidden="1">{"'Sheet1'!$A$1:$O$40"}</definedName>
    <definedName name="adg" hidden="1">{"'Sheet1'!$A$1:$O$40"}</definedName>
    <definedName name="adg_1" localSheetId="10" hidden="1">{"'Sheet1'!$A$1:$O$40"}</definedName>
    <definedName name="adg_1" localSheetId="9" hidden="1">{"'Sheet1'!$A$1:$O$40"}</definedName>
    <definedName name="adg_1" hidden="1">{"'Sheet1'!$A$1:$O$40"}</definedName>
    <definedName name="ads" localSheetId="10" hidden="1">{#N/A,#N/A,FALSE,"供料净化车间"}</definedName>
    <definedName name="ads" localSheetId="9" hidden="1">{#N/A,#N/A,FALSE,"供料净化车间"}</definedName>
    <definedName name="ads" hidden="1">{#N/A,#N/A,FALSE,"供料净化车间"}</definedName>
    <definedName name="ads_1" localSheetId="10" hidden="1">{#N/A,#N/A,FALSE,"供料净化车间"}</definedName>
    <definedName name="ads_1" localSheetId="9" hidden="1">{#N/A,#N/A,FALSE,"供料净化车间"}</definedName>
    <definedName name="ads_1" hidden="1">{#N/A,#N/A,FALSE,"供料净化车间"}</definedName>
    <definedName name="ADSDF" localSheetId="10" hidden="1">{#N/A,#N/A,TRUE,"Y생산";#N/A,#N/A,TRUE,"Y판매";#N/A,#N/A,TRUE,"Y총물량";#N/A,#N/A,TRUE,"Y능력";#N/A,#N/A,TRUE,"YKD"}</definedName>
    <definedName name="ADSDF" localSheetId="9" hidden="1">{#N/A,#N/A,TRUE,"Y생산";#N/A,#N/A,TRUE,"Y판매";#N/A,#N/A,TRUE,"Y총물량";#N/A,#N/A,TRUE,"Y능력";#N/A,#N/A,TRUE,"YKD"}</definedName>
    <definedName name="ADSDF" hidden="1">{#N/A,#N/A,TRUE,"Y생산";#N/A,#N/A,TRUE,"Y판매";#N/A,#N/A,TRUE,"Y총물량";#N/A,#N/A,TRUE,"Y능력";#N/A,#N/A,TRUE,"YKD"}</definedName>
    <definedName name="ADSF" localSheetId="10" hidden="1">{#N/A,#N/A,TRUE,"매출진척-1";#N/A,#N/A,TRUE,"매출진척-2";#N/A,#N/A,TRUE,"제품실적";#N/A,#N/A,TRUE,"RAC";#N/A,#N/A,TRUE,"PAC ";#N/A,#N/A,TRUE,"재고현황";#N/A,#N/A,TRUE,"공지사항"}</definedName>
    <definedName name="ADSF" localSheetId="9" hidden="1">{#N/A,#N/A,TRUE,"매출진척-1";#N/A,#N/A,TRUE,"매출진척-2";#N/A,#N/A,TRUE,"제품실적";#N/A,#N/A,TRUE,"RAC";#N/A,#N/A,TRUE,"PAC ";#N/A,#N/A,TRUE,"재고현황";#N/A,#N/A,TRUE,"공지사항"}</definedName>
    <definedName name="ADSF" hidden="1">{#N/A,#N/A,TRUE,"매출진척-1";#N/A,#N/A,TRUE,"매출진척-2";#N/A,#N/A,TRUE,"제품실적";#N/A,#N/A,TRUE,"RAC";#N/A,#N/A,TRUE,"PAC ";#N/A,#N/A,TRUE,"재고현황";#N/A,#N/A,TRUE,"공지사항"}</definedName>
    <definedName name="ADSF_1" localSheetId="10" hidden="1">{#N/A,#N/A,TRUE,"매출진척-1";#N/A,#N/A,TRUE,"매출진척-2";#N/A,#N/A,TRUE,"제품실적";#N/A,#N/A,TRUE,"RAC";#N/A,#N/A,TRUE,"PAC ";#N/A,#N/A,TRUE,"재고현황";#N/A,#N/A,TRUE,"공지사항"}</definedName>
    <definedName name="ADSF_1" localSheetId="9" hidden="1">{#N/A,#N/A,TRUE,"매출진척-1";#N/A,#N/A,TRUE,"매출진척-2";#N/A,#N/A,TRUE,"제품실적";#N/A,#N/A,TRUE,"RAC";#N/A,#N/A,TRUE,"PAC ";#N/A,#N/A,TRUE,"재고현황";#N/A,#N/A,TRUE,"공지사항"}</definedName>
    <definedName name="ADSF_1" hidden="1">{#N/A,#N/A,TRUE,"매출진척-1";#N/A,#N/A,TRUE,"매출진척-2";#N/A,#N/A,TRUE,"제품실적";#N/A,#N/A,TRUE,"RAC";#N/A,#N/A,TRUE,"PAC ";#N/A,#N/A,TRUE,"재고현황";#N/A,#N/A,TRUE,"공지사항"}</definedName>
    <definedName name="ae" localSheetId="10" hidden="1">{"'Inventory &amp; Anal-Cur Wkbk'!$A$7:$AP$71"}</definedName>
    <definedName name="ae" localSheetId="9" hidden="1">{"'Inventory &amp; Anal-Cur Wkbk'!$A$7:$AP$71"}</definedName>
    <definedName name="ae" hidden="1">{"'Inventory &amp; Anal-Cur Wkbk'!$A$7:$AP$71"}</definedName>
    <definedName name="ae.edm" hidden="1">#REF!</definedName>
    <definedName name="ae_1" localSheetId="10" hidden="1">{"'Inventory &amp; Anal-Cur Wkbk'!$A$7:$AP$71"}</definedName>
    <definedName name="ae_1" localSheetId="9" hidden="1">{"'Inventory &amp; Anal-Cur Wkbk'!$A$7:$AP$71"}</definedName>
    <definedName name="ae_1" hidden="1">{"'Inventory &amp; Anal-Cur Wkbk'!$A$7:$AP$71"}</definedName>
    <definedName name="aewrfda" localSheetId="10" hidden="1">{#N/A,#N/A,FALSE,"Ocean";#N/A,#N/A,FALSE,"NewYork";#N/A,#N/A,FALSE,"Gateway";#N/A,#N/A,FALSE,"GVH";#N/A,#N/A,FALSE,"GVM";#N/A,#N/A,FALSE,"GVT"}</definedName>
    <definedName name="aewrfda" localSheetId="9" hidden="1">{#N/A,#N/A,FALSE,"Ocean";#N/A,#N/A,FALSE,"NewYork";#N/A,#N/A,FALSE,"Gateway";#N/A,#N/A,FALSE,"GVH";#N/A,#N/A,FALSE,"GVM";#N/A,#N/A,FALSE,"GVT"}</definedName>
    <definedName name="aewrfda" hidden="1">{#N/A,#N/A,FALSE,"Ocean";#N/A,#N/A,FALSE,"NewYork";#N/A,#N/A,FALSE,"Gateway";#N/A,#N/A,FALSE,"GVH";#N/A,#N/A,FALSE,"GVM";#N/A,#N/A,FALSE,"GVT"}</definedName>
    <definedName name="aewrfda_1" localSheetId="10" hidden="1">{#N/A,#N/A,FALSE,"Ocean";#N/A,#N/A,FALSE,"NewYork";#N/A,#N/A,FALSE,"Gateway";#N/A,#N/A,FALSE,"GVH";#N/A,#N/A,FALSE,"GVM";#N/A,#N/A,FALSE,"GVT"}</definedName>
    <definedName name="aewrfda_1" localSheetId="9" hidden="1">{#N/A,#N/A,FALSE,"Ocean";#N/A,#N/A,FALSE,"NewYork";#N/A,#N/A,FALSE,"Gateway";#N/A,#N/A,FALSE,"GVH";#N/A,#N/A,FALSE,"GVM";#N/A,#N/A,FALSE,"GVT"}</definedName>
    <definedName name="aewrfda_1" hidden="1">{#N/A,#N/A,FALSE,"Ocean";#N/A,#N/A,FALSE,"NewYork";#N/A,#N/A,FALSE,"Gateway";#N/A,#N/A,FALSE,"GVH";#N/A,#N/A,FALSE,"GVM";#N/A,#N/A,FALSE,"GVT"}</definedName>
    <definedName name="af" localSheetId="10" hidden="1">{#N/A,#N/A,FALSE,"Ocean";#N/A,#N/A,FALSE,"NewYork";#N/A,#N/A,FALSE,"Gateway";#N/A,#N/A,FALSE,"GVH";#N/A,#N/A,FALSE,"GVM";#N/A,#N/A,FALSE,"GVT"}</definedName>
    <definedName name="af" localSheetId="9" hidden="1">{#N/A,#N/A,FALSE,"Ocean";#N/A,#N/A,FALSE,"NewYork";#N/A,#N/A,FALSE,"Gateway";#N/A,#N/A,FALSE,"GVH";#N/A,#N/A,FALSE,"GVM";#N/A,#N/A,FALSE,"GVT"}</definedName>
    <definedName name="af" hidden="1">{#N/A,#N/A,FALSE,"Ocean";#N/A,#N/A,FALSE,"NewYork";#N/A,#N/A,FALSE,"Gateway";#N/A,#N/A,FALSE,"GVH";#N/A,#N/A,FALSE,"GVM";#N/A,#N/A,FALSE,"GVT"}</definedName>
    <definedName name="af_1" localSheetId="10" hidden="1">{#N/A,#N/A,FALSE,"Ocean";#N/A,#N/A,FALSE,"NewYork";#N/A,#N/A,FALSE,"Gateway";#N/A,#N/A,FALSE,"GVH";#N/A,#N/A,FALSE,"GVM";#N/A,#N/A,FALSE,"GVT"}</definedName>
    <definedName name="af_1" localSheetId="9" hidden="1">{#N/A,#N/A,FALSE,"Ocean";#N/A,#N/A,FALSE,"NewYork";#N/A,#N/A,FALSE,"Gateway";#N/A,#N/A,FALSE,"GVH";#N/A,#N/A,FALSE,"GVM";#N/A,#N/A,FALSE,"GVT"}</definedName>
    <definedName name="af_1" hidden="1">{#N/A,#N/A,FALSE,"Ocean";#N/A,#N/A,FALSE,"NewYork";#N/A,#N/A,FALSE,"Gateway";#N/A,#N/A,FALSE,"GVH";#N/A,#N/A,FALSE,"GVM";#N/A,#N/A,FALSE,"GVT"}</definedName>
    <definedName name="afaf" hidden="1">#REF!</definedName>
    <definedName name="afafafag" hidden="1">#REF!</definedName>
    <definedName name="afagag" hidden="1">#REF!</definedName>
    <definedName name="afasf" localSheetId="10" hidden="1">{"summary",#N/A,FALSE,"2000 vs 1999";"detail",#N/A,FALSE,"2000 vs 1999"}</definedName>
    <definedName name="afasf" localSheetId="9" hidden="1">{"summary",#N/A,FALSE,"2000 vs 1999";"detail",#N/A,FALSE,"2000 vs 1999"}</definedName>
    <definedName name="afasf" hidden="1">{"summary",#N/A,FALSE,"2000 vs 1999";"detail",#N/A,FALSE,"2000 vs 1999"}</definedName>
    <definedName name="afasf_1" localSheetId="10" hidden="1">{"summary",#N/A,FALSE,"2000 vs 1999";"detail",#N/A,FALSE,"2000 vs 1999"}</definedName>
    <definedName name="afasf_1" localSheetId="9" hidden="1">{"summary",#N/A,FALSE,"2000 vs 1999";"detail",#N/A,FALSE,"2000 vs 1999"}</definedName>
    <definedName name="afasf_1" hidden="1">{"summary",#N/A,FALSE,"2000 vs 1999";"detail",#N/A,FALSE,"2000 vs 1999"}</definedName>
    <definedName name="AFDADSFDAS" localSheetId="10" hidden="1">{#N/A,#N/A,FALSE,"REPORT"}</definedName>
    <definedName name="AFDADSFDAS" localSheetId="9" hidden="1">{#N/A,#N/A,FALSE,"REPORT"}</definedName>
    <definedName name="AFDADSFDAS" hidden="1">{#N/A,#N/A,FALSE,"REPORT"}</definedName>
    <definedName name="afdasgh" localSheetId="10" hidden="1">{#N/A,#N/A,FALSE,"CCTV"}</definedName>
    <definedName name="afdasgh" localSheetId="9" hidden="1">{#N/A,#N/A,FALSE,"CCTV"}</definedName>
    <definedName name="afdasgh" hidden="1">{#N/A,#N/A,FALSE,"CCTV"}</definedName>
    <definedName name="afdd" hidden="1">#REF!</definedName>
    <definedName name="afds" localSheetId="10" hidden="1">{#N/A,#N/A,FALSE,"Aging Summary";#N/A,#N/A,FALSE,"Ratio Analysis";#N/A,#N/A,FALSE,"Test 120 Day Accts";#N/A,#N/A,FALSE,"Tickmarks"}</definedName>
    <definedName name="afds" localSheetId="9" hidden="1">{#N/A,#N/A,FALSE,"Aging Summary";#N/A,#N/A,FALSE,"Ratio Analysis";#N/A,#N/A,FALSE,"Test 120 Day Accts";#N/A,#N/A,FALSE,"Tickmarks"}</definedName>
    <definedName name="afds" hidden="1">{#N/A,#N/A,FALSE,"Aging Summary";#N/A,#N/A,FALSE,"Ratio Analysis";#N/A,#N/A,FALSE,"Test 120 Day Accts";#N/A,#N/A,FALSE,"Tickmarks"}</definedName>
    <definedName name="afds_1" localSheetId="10" hidden="1">{#N/A,#N/A,FALSE,"Aging Summary";#N/A,#N/A,FALSE,"Ratio Analysis";#N/A,#N/A,FALSE,"Test 120 Day Accts";#N/A,#N/A,FALSE,"Tickmarks"}</definedName>
    <definedName name="afds_1" localSheetId="9" hidden="1">{#N/A,#N/A,FALSE,"Aging Summary";#N/A,#N/A,FALSE,"Ratio Analysis";#N/A,#N/A,FALSE,"Test 120 Day Accts";#N/A,#N/A,FALSE,"Tickmarks"}</definedName>
    <definedName name="afds_1" hidden="1">{#N/A,#N/A,FALSE,"Aging Summary";#N/A,#N/A,FALSE,"Ratio Analysis";#N/A,#N/A,FALSE,"Test 120 Day Accts";#N/A,#N/A,FALSE,"Tickmarks"}</definedName>
    <definedName name="afdsaf" localSheetId="10" hidden="1">{"summary",#N/A,FALSE,"2000 vs 1999";"detail",#N/A,FALSE,"2000 vs 1999"}</definedName>
    <definedName name="afdsaf" localSheetId="9" hidden="1">{"summary",#N/A,FALSE,"2000 vs 1999";"detail",#N/A,FALSE,"2000 vs 1999"}</definedName>
    <definedName name="afdsaf" hidden="1">{"summary",#N/A,FALSE,"2000 vs 1999";"detail",#N/A,FALSE,"2000 vs 1999"}</definedName>
    <definedName name="afdsaf_1" localSheetId="10" hidden="1">{"summary",#N/A,FALSE,"2000 vs 1999";"detail",#N/A,FALSE,"2000 vs 1999"}</definedName>
    <definedName name="afdsaf_1" localSheetId="9" hidden="1">{"summary",#N/A,FALSE,"2000 vs 1999";"detail",#N/A,FALSE,"2000 vs 1999"}</definedName>
    <definedName name="afdsaf_1" hidden="1">{"summary",#N/A,FALSE,"2000 vs 1999";"detail",#N/A,FALSE,"2000 vs 1999"}</definedName>
    <definedName name="afdsfdg" localSheetId="10" hidden="1">{#N/A,#N/A,FALSE,"CCTV"}</definedName>
    <definedName name="afdsfdg" localSheetId="9" hidden="1">{#N/A,#N/A,FALSE,"CCTV"}</definedName>
    <definedName name="afdsfdg" hidden="1">{#N/A,#N/A,FALSE,"CCTV"}</definedName>
    <definedName name="afew" localSheetId="10" hidden="1">{"summary",#N/A,FALSE,"2000 vs 1999";"detail",#N/A,FALSE,"2000 vs 1999"}</definedName>
    <definedName name="afew" localSheetId="9" hidden="1">{"summary",#N/A,FALSE,"2000 vs 1999";"detail",#N/A,FALSE,"2000 vs 1999"}</definedName>
    <definedName name="afew" hidden="1">{"summary",#N/A,FALSE,"2000 vs 1999";"detail",#N/A,FALSE,"2000 vs 1999"}</definedName>
    <definedName name="afew_1" localSheetId="10" hidden="1">{"summary",#N/A,FALSE,"2000 vs 1999";"detail",#N/A,FALSE,"2000 vs 1999"}</definedName>
    <definedName name="afew_1" localSheetId="9" hidden="1">{"summary",#N/A,FALSE,"2000 vs 1999";"detail",#N/A,FALSE,"2000 vs 1999"}</definedName>
    <definedName name="afew_1" hidden="1">{"summary",#N/A,FALSE,"2000 vs 1999";"detail",#N/A,FALSE,"2000 vs 1999"}</definedName>
    <definedName name="afffgff" localSheetId="10" hidden="1">{#N/A,#N/A,FALSE,"CCTV"}</definedName>
    <definedName name="afffgff" localSheetId="9" hidden="1">{#N/A,#N/A,FALSE,"CCTV"}</definedName>
    <definedName name="afffgff" hidden="1">{#N/A,#N/A,FALSE,"CCTV"}</definedName>
    <definedName name="africa" localSheetId="10" hidden="1">{#N/A,#N/A,FALSE,"CNS";#N/A,#N/A,FALSE,"Serz";#N/A,#N/A,FALSE,"Ace"}</definedName>
    <definedName name="africa" localSheetId="9" hidden="1">{#N/A,#N/A,FALSE,"CNS";#N/A,#N/A,FALSE,"Serz";#N/A,#N/A,FALSE,"Ace"}</definedName>
    <definedName name="africa" hidden="1">{#N/A,#N/A,FALSE,"CNS";#N/A,#N/A,FALSE,"Serz";#N/A,#N/A,FALSE,"Ace"}</definedName>
    <definedName name="afsd" localSheetId="10" hidden="1">{"summary",#N/A,FALSE,"2000 vs 1999";"detail",#N/A,FALSE,"2000 vs 1999"}</definedName>
    <definedName name="afsd" localSheetId="9" hidden="1">{"summary",#N/A,FALSE,"2000 vs 1999";"detail",#N/A,FALSE,"2000 vs 1999"}</definedName>
    <definedName name="afsd" hidden="1">{"summary",#N/A,FALSE,"2000 vs 1999";"detail",#N/A,FALSE,"2000 vs 1999"}</definedName>
    <definedName name="afsd_1" localSheetId="10" hidden="1">{"summary",#N/A,FALSE,"2000 vs 1999";"detail",#N/A,FALSE,"2000 vs 1999"}</definedName>
    <definedName name="afsd_1" localSheetId="9" hidden="1">{"summary",#N/A,FALSE,"2000 vs 1999";"detail",#N/A,FALSE,"2000 vs 1999"}</definedName>
    <definedName name="afsd_1" hidden="1">{"summary",#N/A,FALSE,"2000 vs 1999";"detail",#N/A,FALSE,"2000 vs 1999"}</definedName>
    <definedName name="ag" localSheetId="10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g" localSheetId="9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g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gafa" hidden="1">#REF!</definedName>
    <definedName name="agafdhsdh" localSheetId="10" hidden="1">{#N/A,#N/A,FALSE,"REPORT"}</definedName>
    <definedName name="agafdhsdh" localSheetId="9" hidden="1">{#N/A,#N/A,FALSE,"REPORT"}</definedName>
    <definedName name="agafdhsdh" hidden="1">{#N/A,#N/A,FALSE,"REPORT"}</definedName>
    <definedName name="agag" hidden="1">#REF!</definedName>
    <definedName name="agag1" localSheetId="10" hidden="1">{"adj95mult",#N/A,FALSE,"COMPCO";"adj95est",#N/A,FALSE,"COMPCO"}</definedName>
    <definedName name="agag1" localSheetId="9" hidden="1">{"adj95mult",#N/A,FALSE,"COMPCO";"adj95est",#N/A,FALSE,"COMPCO"}</definedName>
    <definedName name="agag1" hidden="1">{"adj95mult",#N/A,FALSE,"COMPCO";"adj95est",#N/A,FALSE,"COMPCO"}</definedName>
    <definedName name="agagagaffa" hidden="1">#REF!</definedName>
    <definedName name="agagg" localSheetId="10" hidden="1">{"adj95mult",#N/A,FALSE,"COMPCO";"adj95est",#N/A,FALSE,"COMPCO"}</definedName>
    <definedName name="agagg" localSheetId="9" hidden="1">{"adj95mult",#N/A,FALSE,"COMPCO";"adj95est",#N/A,FALSE,"COMPCO"}</definedName>
    <definedName name="agagg" hidden="1">{"adj95mult",#N/A,FALSE,"COMPCO";"adj95est",#N/A,FALSE,"COMPCO"}</definedName>
    <definedName name="agaggg" localSheetId="10" hidden="1">{"adj95mult",#N/A,FALSE,"COMPCO";"adj95est",#N/A,FALSE,"COMPCO"}</definedName>
    <definedName name="agaggg" localSheetId="9" hidden="1">{"adj95mult",#N/A,FALSE,"COMPCO";"adj95est",#N/A,FALSE,"COMPCO"}</definedName>
    <definedName name="agaggg" hidden="1">{"adj95mult",#N/A,FALSE,"COMPCO";"adj95est",#N/A,FALSE,"COMPCO"}</definedName>
    <definedName name="agagggg" localSheetId="10" hidden="1">{"adj95mult",#N/A,FALSE,"COMPCO";"adj95est",#N/A,FALSE,"COMPCO"}</definedName>
    <definedName name="agagggg" localSheetId="9" hidden="1">{"adj95mult",#N/A,FALSE,"COMPCO";"adj95est",#N/A,FALSE,"COMPCO"}</definedName>
    <definedName name="agagggg" hidden="1">{"adj95mult",#N/A,FALSE,"COMPCO";"adj95est",#N/A,FALSE,"COMPCO"}</definedName>
    <definedName name="agdsaf" localSheetId="1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agdsaf" localSheetId="9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agdsaf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agdsaf_1" localSheetId="1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agdsaf_1" localSheetId="9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agdsaf_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age" localSheetId="10" hidden="1">{#N/A,#N/A,FALSE,"Aging Summary";#N/A,#N/A,FALSE,"Ratio Analysis";#N/A,#N/A,FALSE,"Test 120 Day Accts";#N/A,#N/A,FALSE,"Tickmarks"}</definedName>
    <definedName name="age" localSheetId="9" hidden="1">{#N/A,#N/A,FALSE,"Aging Summary";#N/A,#N/A,FALSE,"Ratio Analysis";#N/A,#N/A,FALSE,"Test 120 Day Accts";#N/A,#N/A,FALSE,"Tickmarks"}</definedName>
    <definedName name="age" hidden="1">{#N/A,#N/A,FALSE,"Aging Summary";#N/A,#N/A,FALSE,"Ratio Analysis";#N/A,#N/A,FALSE,"Test 120 Day Accts";#N/A,#N/A,FALSE,"Tickmarks"}</definedName>
    <definedName name="AGEDDATABASE" localSheetId="10" hidden="1">{#N/A,#N/A,FALSE,"970301";#N/A,#N/A,FALSE,"970302";#N/A,#N/A,FALSE,"970303";#N/A,#N/A,FALSE,"970304";#N/A,#N/A,FALSE,"COM1";#N/A,#N/A,FALSE,"COM2"}</definedName>
    <definedName name="AGEDDATABASE" localSheetId="9" hidden="1">{#N/A,#N/A,FALSE,"970301";#N/A,#N/A,FALSE,"970302";#N/A,#N/A,FALSE,"970303";#N/A,#N/A,FALSE,"970304";#N/A,#N/A,FALSE,"COM1";#N/A,#N/A,FALSE,"COM2"}</definedName>
    <definedName name="AGEDDATABASE" hidden="1">{#N/A,#N/A,FALSE,"970301";#N/A,#N/A,FALSE,"970302";#N/A,#N/A,FALSE,"970303";#N/A,#N/A,FALSE,"970304";#N/A,#N/A,FALSE,"COM1";#N/A,#N/A,FALSE,"COM2"}</definedName>
    <definedName name="AGEDDATABASE_1" localSheetId="10" hidden="1">{#N/A,#N/A,FALSE,"970301";#N/A,#N/A,FALSE,"970302";#N/A,#N/A,FALSE,"970303";#N/A,#N/A,FALSE,"970304";#N/A,#N/A,FALSE,"COM1";#N/A,#N/A,FALSE,"COM2"}</definedName>
    <definedName name="AGEDDATABASE_1" localSheetId="9" hidden="1">{#N/A,#N/A,FALSE,"970301";#N/A,#N/A,FALSE,"970302";#N/A,#N/A,FALSE,"970303";#N/A,#N/A,FALSE,"970304";#N/A,#N/A,FALSE,"COM1";#N/A,#N/A,FALSE,"COM2"}</definedName>
    <definedName name="AGEDDATABASE_1" hidden="1">{#N/A,#N/A,FALSE,"970301";#N/A,#N/A,FALSE,"970302";#N/A,#N/A,FALSE,"970303";#N/A,#N/A,FALSE,"970304";#N/A,#N/A,FALSE,"COM1";#N/A,#N/A,FALSE,"COM2"}</definedName>
    <definedName name="agsgaghgfj" localSheetId="10" hidden="1">{#N/A,#N/A,FALSE,"Pharm";#N/A,#N/A,FALSE,"WWCM"}</definedName>
    <definedName name="agsgaghgfj" localSheetId="9" hidden="1">{#N/A,#N/A,FALSE,"Pharm";#N/A,#N/A,FALSE,"WWCM"}</definedName>
    <definedName name="agsgaghgfj" hidden="1">{#N/A,#N/A,FALSE,"Pharm";#N/A,#N/A,FALSE,"WWCM"}</definedName>
    <definedName name="aha" localSheetId="10" hidden="1">{#N/A,#N/A,FALSE,"供料净化车间"}</definedName>
    <definedName name="aha" localSheetId="9" hidden="1">{#N/A,#N/A,FALSE,"供料净化车间"}</definedName>
    <definedName name="aha" hidden="1">{#N/A,#N/A,FALSE,"供料净化车间"}</definedName>
    <definedName name="aha_1" localSheetId="10" hidden="1">{#N/A,#N/A,FALSE,"供料净化车间"}</definedName>
    <definedName name="aha_1" localSheetId="9" hidden="1">{#N/A,#N/A,FALSE,"供料净化车间"}</definedName>
    <definedName name="aha_1" hidden="1">{#N/A,#N/A,FALSE,"供料净化车间"}</definedName>
    <definedName name="ajdja" hidden="1">"c269"</definedName>
    <definedName name="al" localSheetId="1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l" localSheetId="9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l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l_1" localSheetId="1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l_1" localSheetId="9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l_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lex" localSheetId="10" hidden="1">{#N/A,#N/A,FALSE,"REPORT"}</definedName>
    <definedName name="alex" localSheetId="9" hidden="1">{#N/A,#N/A,FALSE,"REPORT"}</definedName>
    <definedName name="alex" hidden="1">{#N/A,#N/A,FALSE,"REPORT"}</definedName>
    <definedName name="alexan" localSheetId="10" hidden="1">{#N/A,#N/A,FALSE,"REPORT"}</definedName>
    <definedName name="alexan" localSheetId="9" hidden="1">{#N/A,#N/A,FALSE,"REPORT"}</definedName>
    <definedName name="alexan" hidden="1">{#N/A,#N/A,FALSE,"REPORT"}</definedName>
    <definedName name="an" localSheetId="10" hidden="1">{#N/A,#N/A,TRUE,"Overall";#N/A,#N/A,TRUE,"Region Wise ";#N/A,#N/A,TRUE,"Client Wise"}</definedName>
    <definedName name="an" localSheetId="9" hidden="1">{#N/A,#N/A,TRUE,"Overall";#N/A,#N/A,TRUE,"Region Wise ";#N/A,#N/A,TRUE,"Client Wise"}</definedName>
    <definedName name="an" hidden="1">{#N/A,#N/A,TRUE,"Overall";#N/A,#N/A,TRUE,"Region Wise ";#N/A,#N/A,TRUE,"Client Wise"}</definedName>
    <definedName name="an_1" localSheetId="10" hidden="1">{#N/A,#N/A,TRUE,"Overall";#N/A,#N/A,TRUE,"Region Wise ";#N/A,#N/A,TRUE,"Client Wise"}</definedName>
    <definedName name="an_1" localSheetId="9" hidden="1">{#N/A,#N/A,TRUE,"Overall";#N/A,#N/A,TRUE,"Region Wise ";#N/A,#N/A,TRUE,"Client Wise"}</definedName>
    <definedName name="an_1" hidden="1">{#N/A,#N/A,TRUE,"Overall";#N/A,#N/A,TRUE,"Region Wise ";#N/A,#N/A,TRUE,"Client Wise"}</definedName>
    <definedName name="ando" localSheetId="10" hidden="1">{"'下期集計（10.27迄・速報値）'!$Q$16"}</definedName>
    <definedName name="ando" localSheetId="9" hidden="1">{"'下期集計（10.27迄・速報値）'!$Q$16"}</definedName>
    <definedName name="ando" hidden="1">{"'下期集計（10.27迄・速報値）'!$Q$16"}</definedName>
    <definedName name="ando_1" localSheetId="10" hidden="1">{"'下期集計（10.27迄・速報値）'!$Q$16"}</definedName>
    <definedName name="ando_1" localSheetId="9" hidden="1">{"'下期集計（10.27迄・速報値）'!$Q$16"}</definedName>
    <definedName name="ando_1" hidden="1">{"'下期集計（10.27迄・速報値）'!$Q$16"}</definedName>
    <definedName name="andy" localSheetId="10" hidden="1">{#N/A,#N/A,FALSE,"REPORT"}</definedName>
    <definedName name="andy" localSheetId="9" hidden="1">{#N/A,#N/A,FALSE,"REPORT"}</definedName>
    <definedName name="andy" hidden="1">{#N/A,#N/A,FALSE,"REPORT"}</definedName>
    <definedName name="anscount" hidden="1">1</definedName>
    <definedName name="aolin1" localSheetId="10" hidden="1">{#N/A,"Base Case",FALSE,"Revenue";#N/A,"£6.25 Fee",FALSE,"Revenue"}</definedName>
    <definedName name="aolin1" localSheetId="9" hidden="1">{#N/A,"Base Case",FALSE,"Revenue";#N/A,"£6.25 Fee",FALSE,"Revenue"}</definedName>
    <definedName name="aolin1" hidden="1">{#N/A,"Base Case",FALSE,"Revenue";#N/A,"£6.25 Fee",FALSE,"Revenue"}</definedName>
    <definedName name="aolinc" localSheetId="10" hidden="1">{#N/A,"Base Case",FALSE,"Revenue";#N/A,"£6.25 Fee",FALSE,"Revenue"}</definedName>
    <definedName name="aolinc" localSheetId="9" hidden="1">{#N/A,"Base Case",FALSE,"Revenue";#N/A,"£6.25 Fee",FALSE,"Revenue"}</definedName>
    <definedName name="aolinc" hidden="1">{#N/A,"Base Case",FALSE,"Revenue";#N/A,"£6.25 Fee",FALSE,"Revenue"}</definedName>
    <definedName name="appendix4" localSheetId="1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" localSheetId="9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rgsag" localSheetId="10" hidden="1">{#N/A,#N/A,TRUE,"Cover His PWC";#N/A,#N/A,TRUE,"P&amp;L";#N/A,#N/A,TRUE,"BS";#N/A,#N/A,TRUE,"Depreciation";#N/A,#N/A,TRUE,"GRAPHS";#N/A,#N/A,TRUE,"DCF EBITDA Multiple";#N/A,#N/A,TRUE,"DCF Perpetual Growth"}</definedName>
    <definedName name="argsag" localSheetId="9" hidden="1">{#N/A,#N/A,TRUE,"Cover His PWC";#N/A,#N/A,TRUE,"P&amp;L";#N/A,#N/A,TRUE,"BS";#N/A,#N/A,TRUE,"Depreciation";#N/A,#N/A,TRUE,"GRAPHS";#N/A,#N/A,TRUE,"DCF EBITDA Multiple";#N/A,#N/A,TRUE,"DCF Perpetual Growth"}</definedName>
    <definedName name="argsag" hidden="1">{#N/A,#N/A,TRUE,"Cover His PWC";#N/A,#N/A,TRUE,"P&amp;L";#N/A,#N/A,TRUE,"BS";#N/A,#N/A,TRUE,"Depreciation";#N/A,#N/A,TRUE,"GRAPHS";#N/A,#N/A,TRUE,"DCF EBITDA Multiple";#N/A,#N/A,TRUE,"DCF Perpetual Growth"}</definedName>
    <definedName name="as" localSheetId="10" hidden="1">{#N/A,#N/A,TRUE,"Overall";#N/A,#N/A,TRUE,"Region Wise ";#N/A,#N/A,TRUE,"Client Wise"}</definedName>
    <definedName name="as" localSheetId="9" hidden="1">{#N/A,#N/A,TRUE,"Overall";#N/A,#N/A,TRUE,"Region Wise ";#N/A,#N/A,TRUE,"Client Wise"}</definedName>
    <definedName name="as" hidden="1">{#N/A,#N/A,TRUE,"Overall";#N/A,#N/A,TRUE,"Region Wise ";#N/A,#N/A,TRUE,"Client Wise"}</definedName>
    <definedName name="AS2DocOpenMode" hidden="1">"AS2DocumentEdit"</definedName>
    <definedName name="AS2HasNoAutoHeaderFooter" hidden="1">" "</definedName>
    <definedName name="AS2NamedRange" hidden="1">7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s" localSheetId="10" hidden="1">{"'Demand Units'!$Z$2:$AF$53"}</definedName>
    <definedName name="asas" localSheetId="9" hidden="1">{"'Demand Units'!$Z$2:$AF$53"}</definedName>
    <definedName name="asas" hidden="1">{"'Demand Units'!$Z$2:$AF$53"}</definedName>
    <definedName name="asas_1" localSheetId="10" hidden="1">{"'Demand Units'!$Z$2:$AF$53"}</definedName>
    <definedName name="asas_1" localSheetId="9" hidden="1">{"'Demand Units'!$Z$2:$AF$53"}</definedName>
    <definedName name="asas_1" hidden="1">{"'Demand Units'!$Z$2:$AF$53"}</definedName>
    <definedName name="asda" localSheetId="10" hidden="1">{"fdsup://directions/FAT%20Viewer?VAR:PED=20071231&amp;VAR:PERIOD=FIXED&amp;VAR:V=5.898401&amp;VAR:AUDIT_ID=71692910&amp;VAR:DATE=20100305&amp;action=UPDATE&amp;creator=factset&amp;DOC_NAME=FAT:FMA_audit_DETAIL.fat&amp;DISPLAY_STRING=Display Audit for EPS LTG&amp;DYN_ARGS=TRUE&amp;WINDOW=first_po","pup&amp;START_MAXIMIZED=FALSE&amp;width=910&amp;height=525&amp;TITLEBAR=FactSet Market Aggregates&amp;VAR:MEASURE=LTG_EPS&amp;VAR:CALC_MODE=PORTFOLIO&amp;VAR:CHGPERIOD=NA&amp;VAR:FQLFORMULA=FMA_LTG_EPS&amp;VAR:CURRENCY=USD&amp;VAR:P=NA&amp;VAR:THRESH=||||&amp;VAR:null=.html"}</definedName>
    <definedName name="asda" localSheetId="9" hidden="1">{"fdsup://directions/FAT%20Viewer?VAR:PED=20071231&amp;VAR:PERIOD=FIXED&amp;VAR:V=5.898401&amp;VAR:AUDIT_ID=71692910&amp;VAR:DATE=20100305&amp;action=UPDATE&amp;creator=factset&amp;DOC_NAME=FAT:FMA_audit_DETAIL.fat&amp;DISPLAY_STRING=Display Audit for EPS LTG&amp;DYN_ARGS=TRUE&amp;WINDOW=first_po","pup&amp;START_MAXIMIZED=FALSE&amp;width=910&amp;height=525&amp;TITLEBAR=FactSet Market Aggregates&amp;VAR:MEASURE=LTG_EPS&amp;VAR:CALC_MODE=PORTFOLIO&amp;VAR:CHGPERIOD=NA&amp;VAR:FQLFORMULA=FMA_LTG_EPS&amp;VAR:CURRENCY=USD&amp;VAR:P=NA&amp;VAR:THRESH=||||&amp;VAR:null=.html"}</definedName>
    <definedName name="asda" hidden="1">{"fdsup://directions/FAT%20Viewer?VAR:PED=20071231&amp;VAR:PERIOD=FIXED&amp;VAR:V=5.898401&amp;VAR:AUDIT_ID=71692910&amp;VAR:DATE=20100305&amp;action=UPDATE&amp;creator=factset&amp;DOC_NAME=FAT:FMA_audit_DETAIL.fat&amp;DISPLAY_STRING=Display Audit for EPS LTG&amp;DYN_ARGS=TRUE&amp;WINDOW=first_po","pup&amp;START_MAXIMIZED=FALSE&amp;width=910&amp;height=525&amp;TITLEBAR=FactSet Market Aggregates&amp;VAR:MEASURE=LTG_EPS&amp;VAR:CALC_MODE=PORTFOLIO&amp;VAR:CHGPERIOD=NA&amp;VAR:FQLFORMULA=FMA_LTG_EPS&amp;VAR:CURRENCY=USD&amp;VAR:P=NA&amp;VAR:THRESH=||||&amp;VAR:null=.html"}</definedName>
    <definedName name="asdas" localSheetId="10" hidden="1">{#N/A,#N/A,FALSE,"Performance Flash Report"}</definedName>
    <definedName name="asdas" localSheetId="9" hidden="1">{#N/A,#N/A,FALSE,"Performance Flash Report"}</definedName>
    <definedName name="asdas" hidden="1">{#N/A,#N/A,FALSE,"Performance Flash Report"}</definedName>
    <definedName name="asdas_1" localSheetId="10" hidden="1">{#N/A,#N/A,FALSE,"Performance Flash Report"}</definedName>
    <definedName name="asdas_1" localSheetId="9" hidden="1">{#N/A,#N/A,FALSE,"Performance Flash Report"}</definedName>
    <definedName name="asdas_1" hidden="1">{#N/A,#N/A,FALSE,"Performance Flash Report"}</definedName>
    <definedName name="asdas_1_1" localSheetId="10" hidden="1">{#N/A,#N/A,FALSE,"Performance Flash Report"}</definedName>
    <definedName name="asdas_1_1" localSheetId="9" hidden="1">{#N/A,#N/A,FALSE,"Performance Flash Report"}</definedName>
    <definedName name="asdas_1_1" hidden="1">{#N/A,#N/A,FALSE,"Performance Flash Report"}</definedName>
    <definedName name="asdas_1_2" localSheetId="10" hidden="1">{#N/A,#N/A,FALSE,"Performance Flash Report"}</definedName>
    <definedName name="asdas_1_2" localSheetId="9" hidden="1">{#N/A,#N/A,FALSE,"Performance Flash Report"}</definedName>
    <definedName name="asdas_1_2" hidden="1">{#N/A,#N/A,FALSE,"Performance Flash Report"}</definedName>
    <definedName name="asdas_1_3" localSheetId="10" hidden="1">{#N/A,#N/A,FALSE,"Performance Flash Report"}</definedName>
    <definedName name="asdas_1_3" localSheetId="9" hidden="1">{#N/A,#N/A,FALSE,"Performance Flash Report"}</definedName>
    <definedName name="asdas_1_3" hidden="1">{#N/A,#N/A,FALSE,"Performance Flash Report"}</definedName>
    <definedName name="asdas_1_4" localSheetId="10" hidden="1">{#N/A,#N/A,FALSE,"Performance Flash Report"}</definedName>
    <definedName name="asdas_1_4" localSheetId="9" hidden="1">{#N/A,#N/A,FALSE,"Performance Flash Report"}</definedName>
    <definedName name="asdas_1_4" hidden="1">{#N/A,#N/A,FALSE,"Performance Flash Report"}</definedName>
    <definedName name="asdas_2" localSheetId="10" hidden="1">{#N/A,#N/A,FALSE,"Performance Flash Report"}</definedName>
    <definedName name="asdas_2" localSheetId="9" hidden="1">{#N/A,#N/A,FALSE,"Performance Flash Report"}</definedName>
    <definedName name="asdas_2" hidden="1">{#N/A,#N/A,FALSE,"Performance Flash Report"}</definedName>
    <definedName name="asdas_2_1" localSheetId="10" hidden="1">{#N/A,#N/A,FALSE,"Performance Flash Report"}</definedName>
    <definedName name="asdas_2_1" localSheetId="9" hidden="1">{#N/A,#N/A,FALSE,"Performance Flash Report"}</definedName>
    <definedName name="asdas_2_1" hidden="1">{#N/A,#N/A,FALSE,"Performance Flash Report"}</definedName>
    <definedName name="asdas_2_2" localSheetId="10" hidden="1">{#N/A,#N/A,FALSE,"Performance Flash Report"}</definedName>
    <definedName name="asdas_2_2" localSheetId="9" hidden="1">{#N/A,#N/A,FALSE,"Performance Flash Report"}</definedName>
    <definedName name="asdas_2_2" hidden="1">{#N/A,#N/A,FALSE,"Performance Flash Report"}</definedName>
    <definedName name="asdas_2_3" localSheetId="10" hidden="1">{#N/A,#N/A,FALSE,"Performance Flash Report"}</definedName>
    <definedName name="asdas_2_3" localSheetId="9" hidden="1">{#N/A,#N/A,FALSE,"Performance Flash Report"}</definedName>
    <definedName name="asdas_2_3" hidden="1">{#N/A,#N/A,FALSE,"Performance Flash Report"}</definedName>
    <definedName name="asdas_2_4" localSheetId="10" hidden="1">{#N/A,#N/A,FALSE,"Performance Flash Report"}</definedName>
    <definedName name="asdas_2_4" localSheetId="9" hidden="1">{#N/A,#N/A,FALSE,"Performance Flash Report"}</definedName>
    <definedName name="asdas_2_4" hidden="1">{#N/A,#N/A,FALSE,"Performance Flash Report"}</definedName>
    <definedName name="asdas_3" localSheetId="10" hidden="1">{#N/A,#N/A,FALSE,"Performance Flash Report"}</definedName>
    <definedName name="asdas_3" localSheetId="9" hidden="1">{#N/A,#N/A,FALSE,"Performance Flash Report"}</definedName>
    <definedName name="asdas_3" hidden="1">{#N/A,#N/A,FALSE,"Performance Flash Report"}</definedName>
    <definedName name="asdas_3_1" localSheetId="10" hidden="1">{#N/A,#N/A,FALSE,"Performance Flash Report"}</definedName>
    <definedName name="asdas_3_1" localSheetId="9" hidden="1">{#N/A,#N/A,FALSE,"Performance Flash Report"}</definedName>
    <definedName name="asdas_3_1" hidden="1">{#N/A,#N/A,FALSE,"Performance Flash Report"}</definedName>
    <definedName name="asdas_3_2" localSheetId="10" hidden="1">{#N/A,#N/A,FALSE,"Performance Flash Report"}</definedName>
    <definedName name="asdas_3_2" localSheetId="9" hidden="1">{#N/A,#N/A,FALSE,"Performance Flash Report"}</definedName>
    <definedName name="asdas_3_2" hidden="1">{#N/A,#N/A,FALSE,"Performance Flash Report"}</definedName>
    <definedName name="asdas_3_3" localSheetId="10" hidden="1">{#N/A,#N/A,FALSE,"Performance Flash Report"}</definedName>
    <definedName name="asdas_3_3" localSheetId="9" hidden="1">{#N/A,#N/A,FALSE,"Performance Flash Report"}</definedName>
    <definedName name="asdas_3_3" hidden="1">{#N/A,#N/A,FALSE,"Performance Flash Report"}</definedName>
    <definedName name="asdas_3_4" localSheetId="10" hidden="1">{#N/A,#N/A,FALSE,"Performance Flash Report"}</definedName>
    <definedName name="asdas_3_4" localSheetId="9" hidden="1">{#N/A,#N/A,FALSE,"Performance Flash Report"}</definedName>
    <definedName name="asdas_3_4" hidden="1">{#N/A,#N/A,FALSE,"Performance Flash Report"}</definedName>
    <definedName name="asdas_4" localSheetId="10" hidden="1">{#N/A,#N/A,FALSE,"Performance Flash Report"}</definedName>
    <definedName name="asdas_4" localSheetId="9" hidden="1">{#N/A,#N/A,FALSE,"Performance Flash Report"}</definedName>
    <definedName name="asdas_4" hidden="1">{#N/A,#N/A,FALSE,"Performance Flash Report"}</definedName>
    <definedName name="asdas_4_1" localSheetId="10" hidden="1">{#N/A,#N/A,FALSE,"Performance Flash Report"}</definedName>
    <definedName name="asdas_4_1" localSheetId="9" hidden="1">{#N/A,#N/A,FALSE,"Performance Flash Report"}</definedName>
    <definedName name="asdas_4_1" hidden="1">{#N/A,#N/A,FALSE,"Performance Flash Report"}</definedName>
    <definedName name="asdas_4_2" localSheetId="10" hidden="1">{#N/A,#N/A,FALSE,"Performance Flash Report"}</definedName>
    <definedName name="asdas_4_2" localSheetId="9" hidden="1">{#N/A,#N/A,FALSE,"Performance Flash Report"}</definedName>
    <definedName name="asdas_4_2" hidden="1">{#N/A,#N/A,FALSE,"Performance Flash Report"}</definedName>
    <definedName name="asdas_4_3" localSheetId="10" hidden="1">{#N/A,#N/A,FALSE,"Performance Flash Report"}</definedName>
    <definedName name="asdas_4_3" localSheetId="9" hidden="1">{#N/A,#N/A,FALSE,"Performance Flash Report"}</definedName>
    <definedName name="asdas_4_3" hidden="1">{#N/A,#N/A,FALSE,"Performance Flash Report"}</definedName>
    <definedName name="asdas_4_4" localSheetId="10" hidden="1">{#N/A,#N/A,FALSE,"Performance Flash Report"}</definedName>
    <definedName name="asdas_4_4" localSheetId="9" hidden="1">{#N/A,#N/A,FALSE,"Performance Flash Report"}</definedName>
    <definedName name="asdas_4_4" hidden="1">{#N/A,#N/A,FALSE,"Performance Flash Report"}</definedName>
    <definedName name="asdas_5" localSheetId="10" hidden="1">{#N/A,#N/A,FALSE,"Performance Flash Report"}</definedName>
    <definedName name="asdas_5" localSheetId="9" hidden="1">{#N/A,#N/A,FALSE,"Performance Flash Report"}</definedName>
    <definedName name="asdas_5" hidden="1">{#N/A,#N/A,FALSE,"Performance Flash Report"}</definedName>
    <definedName name="asdas_5_1" localSheetId="10" hidden="1">{#N/A,#N/A,FALSE,"Performance Flash Report"}</definedName>
    <definedName name="asdas_5_1" localSheetId="9" hidden="1">{#N/A,#N/A,FALSE,"Performance Flash Report"}</definedName>
    <definedName name="asdas_5_1" hidden="1">{#N/A,#N/A,FALSE,"Performance Flash Report"}</definedName>
    <definedName name="asdas_5_2" localSheetId="10" hidden="1">{#N/A,#N/A,FALSE,"Performance Flash Report"}</definedName>
    <definedName name="asdas_5_2" localSheetId="9" hidden="1">{#N/A,#N/A,FALSE,"Performance Flash Report"}</definedName>
    <definedName name="asdas_5_2" hidden="1">{#N/A,#N/A,FALSE,"Performance Flash Report"}</definedName>
    <definedName name="asdas_5_3" localSheetId="10" hidden="1">{#N/A,#N/A,FALSE,"Performance Flash Report"}</definedName>
    <definedName name="asdas_5_3" localSheetId="9" hidden="1">{#N/A,#N/A,FALSE,"Performance Flash Report"}</definedName>
    <definedName name="asdas_5_3" hidden="1">{#N/A,#N/A,FALSE,"Performance Flash Report"}</definedName>
    <definedName name="asdas_5_4" localSheetId="10" hidden="1">{#N/A,#N/A,FALSE,"Performance Flash Report"}</definedName>
    <definedName name="asdas_5_4" localSheetId="9" hidden="1">{#N/A,#N/A,FALSE,"Performance Flash Report"}</definedName>
    <definedName name="asdas_5_4" hidden="1">{#N/A,#N/A,FALSE,"Performance Flash Report"}</definedName>
    <definedName name="asdfas" localSheetId="1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fas" localSheetId="9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fa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fasd" hidden="1">#REF!</definedName>
    <definedName name="asdfasdf" localSheetId="1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fasdf" localSheetId="9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fas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fdasfe" localSheetId="10" hidden="1">{#N/A,#N/A,FALSE,"Corporate_Digital";#N/A,#N/A,FALSE,"Corporate_Analog";#N/A,#N/A,FALSE,"RetailDigBuckets";#N/A,#N/A,FALSE,"Retail_19.99";#N/A,#N/A,FALSE,"Companion Plan"}</definedName>
    <definedName name="asdfdasfe" localSheetId="9" hidden="1">{#N/A,#N/A,FALSE,"Corporate_Digital";#N/A,#N/A,FALSE,"Corporate_Analog";#N/A,#N/A,FALSE,"RetailDigBuckets";#N/A,#N/A,FALSE,"Retail_19.99";#N/A,#N/A,FALSE,"Companion Plan"}</definedName>
    <definedName name="asdfdasfe" hidden="1">{#N/A,#N/A,FALSE,"Corporate_Digital";#N/A,#N/A,FALSE,"Corporate_Analog";#N/A,#N/A,FALSE,"RetailDigBuckets";#N/A,#N/A,FALSE,"Retail_19.99";#N/A,#N/A,FALSE,"Companion Plan"}</definedName>
    <definedName name="asdfdasfe_1" localSheetId="10" hidden="1">{#N/A,#N/A,FALSE,"Corporate_Digital";#N/A,#N/A,FALSE,"Corporate_Analog";#N/A,#N/A,FALSE,"RetailDigBuckets";#N/A,#N/A,FALSE,"Retail_19.99";#N/A,#N/A,FALSE,"Companion Plan"}</definedName>
    <definedName name="asdfdasfe_1" localSheetId="9" hidden="1">{#N/A,#N/A,FALSE,"Corporate_Digital";#N/A,#N/A,FALSE,"Corporate_Analog";#N/A,#N/A,FALSE,"RetailDigBuckets";#N/A,#N/A,FALSE,"Retail_19.99";#N/A,#N/A,FALSE,"Companion Plan"}</definedName>
    <definedName name="asdfdasfe_1" hidden="1">{#N/A,#N/A,FALSE,"Corporate_Digital";#N/A,#N/A,FALSE,"Corporate_Analog";#N/A,#N/A,FALSE,"RetailDigBuckets";#N/A,#N/A,FALSE,"Retail_19.99";#N/A,#N/A,FALSE,"Companion Plan"}</definedName>
    <definedName name="asdfg" localSheetId="10" hidden="1">{"Eilbericht_UBA",#N/A,FALSE,"EB"}</definedName>
    <definedName name="asdfg" localSheetId="9" hidden="1">{"Eilbericht_UBA",#N/A,FALSE,"EB"}</definedName>
    <definedName name="asdfg" hidden="1">{"Eilbericht_UBA",#N/A,FALSE,"EB"}</definedName>
    <definedName name="asdfg_1" localSheetId="10" hidden="1">{"Eilbericht_UBA",#N/A,FALSE,"EB"}</definedName>
    <definedName name="asdfg_1" localSheetId="9" hidden="1">{"Eilbericht_UBA",#N/A,FALSE,"EB"}</definedName>
    <definedName name="asdfg_1" hidden="1">{"Eilbericht_UBA",#N/A,FALSE,"EB"}</definedName>
    <definedName name="asdfgdfg" localSheetId="10" hidden="1">{#N/A,#N/A,TRUE,"Lines";#N/A,#N/A,TRUE,"Stations";#N/A,#N/A,TRUE,"Cap. Expenses";#N/A,#N/A,TRUE,"Land";#N/A,#N/A,TRUE,"Cen Proces Sys";#N/A,#N/A,TRUE,"telecom";#N/A,#N/A,TRUE,"Other"}</definedName>
    <definedName name="asdfgdfg" localSheetId="9" hidden="1">{#N/A,#N/A,TRUE,"Lines";#N/A,#N/A,TRUE,"Stations";#N/A,#N/A,TRUE,"Cap. Expenses";#N/A,#N/A,TRUE,"Land";#N/A,#N/A,TRUE,"Cen Proces Sys";#N/A,#N/A,TRUE,"telecom";#N/A,#N/A,TRUE,"Other"}</definedName>
    <definedName name="asdfgdfg" hidden="1">{#N/A,#N/A,TRUE,"Lines";#N/A,#N/A,TRUE,"Stations";#N/A,#N/A,TRUE,"Cap. Expenses";#N/A,#N/A,TRUE,"Land";#N/A,#N/A,TRUE,"Cen Proces Sys";#N/A,#N/A,TRUE,"telecom";#N/A,#N/A,TRUE,"Other"}</definedName>
    <definedName name="asdfsdf" localSheetId="10" hidden="1">{"summary",#N/A,FALSE,"2000 vs 1999";"detail",#N/A,FALSE,"2000 vs 1999"}</definedName>
    <definedName name="asdfsdf" localSheetId="9" hidden="1">{"summary",#N/A,FALSE,"2000 vs 1999";"detail",#N/A,FALSE,"2000 vs 1999"}</definedName>
    <definedName name="asdfsdf" hidden="1">{"summary",#N/A,FALSE,"2000 vs 1999";"detail",#N/A,FALSE,"2000 vs 1999"}</definedName>
    <definedName name="asdfsdf_1" localSheetId="10" hidden="1">{"summary",#N/A,FALSE,"2000 vs 1999";"detail",#N/A,FALSE,"2000 vs 1999"}</definedName>
    <definedName name="asdfsdf_1" localSheetId="9" hidden="1">{"summary",#N/A,FALSE,"2000 vs 1999";"detail",#N/A,FALSE,"2000 vs 1999"}</definedName>
    <definedName name="asdfsdf_1" hidden="1">{"summary",#N/A,FALSE,"2000 vs 1999";"detail",#N/A,FALSE,"2000 vs 1999"}</definedName>
    <definedName name="asdgahdfhth" localSheetId="10" hidden="1">{#N/A,#N/A,FALSE,"REPORT"}</definedName>
    <definedName name="asdgahdfhth" localSheetId="9" hidden="1">{#N/A,#N/A,FALSE,"REPORT"}</definedName>
    <definedName name="asdgahdfhth" hidden="1">{#N/A,#N/A,FALSE,"REPORT"}</definedName>
    <definedName name="asdgayery" localSheetId="10" hidden="1">{#N/A,#N/A,FALSE,"Pharm";#N/A,#N/A,FALSE,"WWCM"}</definedName>
    <definedName name="asdgayery" localSheetId="9" hidden="1">{#N/A,#N/A,FALSE,"Pharm";#N/A,#N/A,FALSE,"WWCM"}</definedName>
    <definedName name="asdgayery" hidden="1">{#N/A,#N/A,FALSE,"Pharm";#N/A,#N/A,FALSE,"WWCM"}</definedName>
    <definedName name="asdgfdytyet" localSheetId="10" hidden="1">{#N/A,#N/A,FALSE,"REPORT"}</definedName>
    <definedName name="asdgfdytyet" localSheetId="9" hidden="1">{#N/A,#N/A,FALSE,"REPORT"}</definedName>
    <definedName name="asdgfdytyet" hidden="1">{#N/A,#N/A,FALSE,"REPORT"}</definedName>
    <definedName name="asdgtryukuio" localSheetId="10" hidden="1">{#N/A,#N/A,FALSE,"REPORT"}</definedName>
    <definedName name="asdgtryukuio" localSheetId="9" hidden="1">{#N/A,#N/A,FALSE,"REPORT"}</definedName>
    <definedName name="asdgtryukuio" hidden="1">{#N/A,#N/A,FALSE,"REPORT"}</definedName>
    <definedName name="asdj" hidden="1">#REF!</definedName>
    <definedName name="asdjgkl" localSheetId="10" hidden="1">{#N/A,#N/A,FALSE,"Pharm";#N/A,#N/A,FALSE,"WWCM"}</definedName>
    <definedName name="asdjgkl" localSheetId="9" hidden="1">{#N/A,#N/A,FALSE,"Pharm";#N/A,#N/A,FALSE,"WWCM"}</definedName>
    <definedName name="asdjgkl" hidden="1">{#N/A,#N/A,FALSE,"Pharm";#N/A,#N/A,FALSE,"WWCM"}</definedName>
    <definedName name="asf" localSheetId="10" hidden="1">{"summary",#N/A,FALSE,"2000 vs 1999";"detail",#N/A,FALSE,"2000 vs 1999"}</definedName>
    <definedName name="asf" localSheetId="9" hidden="1">{"summary",#N/A,FALSE,"2000 vs 1999";"detail",#N/A,FALSE,"2000 vs 1999"}</definedName>
    <definedName name="asf" hidden="1">{"summary",#N/A,FALSE,"2000 vs 1999";"detail",#N/A,FALSE,"2000 vs 1999"}</definedName>
    <definedName name="asf_1" localSheetId="10" hidden="1">{"summary",#N/A,FALSE,"2000 vs 1999";"detail",#N/A,FALSE,"2000 vs 1999"}</definedName>
    <definedName name="asf_1" localSheetId="9" hidden="1">{"summary",#N/A,FALSE,"2000 vs 1999";"detail",#N/A,FALSE,"2000 vs 1999"}</definedName>
    <definedName name="asf_1" hidden="1">{"summary",#N/A,FALSE,"2000 vs 1999";"detail",#N/A,FALSE,"2000 vs 1999"}</definedName>
    <definedName name="asfd" hidden="1">#REF!</definedName>
    <definedName name="asfdsdf" localSheetId="10" hidden="1">{"summary",#N/A,FALSE,"2000 vs 1999";"detail",#N/A,FALSE,"2000 vs 1999"}</definedName>
    <definedName name="asfdsdf" localSheetId="9" hidden="1">{"summary",#N/A,FALSE,"2000 vs 1999";"detail",#N/A,FALSE,"2000 vs 1999"}</definedName>
    <definedName name="asfdsdf" hidden="1">{"summary",#N/A,FALSE,"2000 vs 1999";"detail",#N/A,FALSE,"2000 vs 1999"}</definedName>
    <definedName name="asfdsdf_1" localSheetId="10" hidden="1">{"summary",#N/A,FALSE,"2000 vs 1999";"detail",#N/A,FALSE,"2000 vs 1999"}</definedName>
    <definedName name="asfdsdf_1" localSheetId="9" hidden="1">{"summary",#N/A,FALSE,"2000 vs 1999";"detail",#N/A,FALSE,"2000 vs 1999"}</definedName>
    <definedName name="asfdsdf_1" hidden="1">{"summary",#N/A,FALSE,"2000 vs 1999";"detail",#N/A,FALSE,"2000 vs 1999"}</definedName>
    <definedName name="asffghujyki" localSheetId="10" hidden="1">{#N/A,#N/A,FALSE,"Pharm";#N/A,#N/A,FALSE,"WWCM"}</definedName>
    <definedName name="asffghujyki" localSheetId="9" hidden="1">{#N/A,#N/A,FALSE,"Pharm";#N/A,#N/A,FALSE,"WWCM"}</definedName>
    <definedName name="asffghujyki" hidden="1">{#N/A,#N/A,FALSE,"Pharm";#N/A,#N/A,FALSE,"WWCM"}</definedName>
    <definedName name="asfsagd" localSheetId="10" hidden="1">{#N/A,#N/A,FALSE,"Summary";#N/A,#N/A,FALSE,"Instructions";#N/A,#N/A,FALSE,"Aero97 (Malaysia)";#N/A,#N/A,FALSE,"Caledonian";#N/A,#N/A,FALSE,"Celma";#N/A,#N/A,FALSE,"Dallas";#N/A,#N/A,FALSE,"Ontario";#N/A,#N/A,FALSE,"Strother";#N/A,#N/A,FALSE,"Varig";#N/A,#N/A,FALSE,"Wales";#N/A,#N/A,FALSE,"Xiamen";#N/A,#N/A,FALSE,"Delivery and Quality";#N/A,#N/A,FALSE,"Issue Resolution Process"}</definedName>
    <definedName name="asfsagd" localSheetId="9" hidden="1">{#N/A,#N/A,FALSE,"Summary";#N/A,#N/A,FALSE,"Instructions";#N/A,#N/A,FALSE,"Aero97 (Malaysia)";#N/A,#N/A,FALSE,"Caledonian";#N/A,#N/A,FALSE,"Celma";#N/A,#N/A,FALSE,"Dallas";#N/A,#N/A,FALSE,"Ontario";#N/A,#N/A,FALSE,"Strother";#N/A,#N/A,FALSE,"Varig";#N/A,#N/A,FALSE,"Wales";#N/A,#N/A,FALSE,"Xiamen";#N/A,#N/A,FALSE,"Delivery and Quality";#N/A,#N/A,FALSE,"Issue Resolution Process"}</definedName>
    <definedName name="asfsagd" hidden="1">{#N/A,#N/A,FALSE,"Summary";#N/A,#N/A,FALSE,"Instructions";#N/A,#N/A,FALSE,"Aero97 (Malaysia)";#N/A,#N/A,FALSE,"Caledonian";#N/A,#N/A,FALSE,"Celma";#N/A,#N/A,FALSE,"Dallas";#N/A,#N/A,FALSE,"Ontario";#N/A,#N/A,FALSE,"Strother";#N/A,#N/A,FALSE,"Varig";#N/A,#N/A,FALSE,"Wales";#N/A,#N/A,FALSE,"Xiamen";#N/A,#N/A,FALSE,"Delivery and Quality";#N/A,#N/A,FALSE,"Issue Resolution Process"}</definedName>
    <definedName name="asfsagd_1" localSheetId="10" hidden="1">{#N/A,#N/A,FALSE,"Summary";#N/A,#N/A,FALSE,"Instructions";#N/A,#N/A,FALSE,"Aero97 (Malaysia)";#N/A,#N/A,FALSE,"Caledonian";#N/A,#N/A,FALSE,"Celma";#N/A,#N/A,FALSE,"Dallas";#N/A,#N/A,FALSE,"Ontario";#N/A,#N/A,FALSE,"Strother";#N/A,#N/A,FALSE,"Varig";#N/A,#N/A,FALSE,"Wales";#N/A,#N/A,FALSE,"Xiamen";#N/A,#N/A,FALSE,"Delivery and Quality";#N/A,#N/A,FALSE,"Issue Resolution Process"}</definedName>
    <definedName name="asfsagd_1" localSheetId="9" hidden="1">{#N/A,#N/A,FALSE,"Summary";#N/A,#N/A,FALSE,"Instructions";#N/A,#N/A,FALSE,"Aero97 (Malaysia)";#N/A,#N/A,FALSE,"Caledonian";#N/A,#N/A,FALSE,"Celma";#N/A,#N/A,FALSE,"Dallas";#N/A,#N/A,FALSE,"Ontario";#N/A,#N/A,FALSE,"Strother";#N/A,#N/A,FALSE,"Varig";#N/A,#N/A,FALSE,"Wales";#N/A,#N/A,FALSE,"Xiamen";#N/A,#N/A,FALSE,"Delivery and Quality";#N/A,#N/A,FALSE,"Issue Resolution Process"}</definedName>
    <definedName name="asfsagd_1" hidden="1">{#N/A,#N/A,FALSE,"Summary";#N/A,#N/A,FALSE,"Instructions";#N/A,#N/A,FALSE,"Aero97 (Malaysia)";#N/A,#N/A,FALSE,"Caledonian";#N/A,#N/A,FALSE,"Celma";#N/A,#N/A,FALSE,"Dallas";#N/A,#N/A,FALSE,"Ontario";#N/A,#N/A,FALSE,"Strother";#N/A,#N/A,FALSE,"Varig";#N/A,#N/A,FALSE,"Wales";#N/A,#N/A,FALSE,"Xiamen";#N/A,#N/A,FALSE,"Delivery and Quality";#N/A,#N/A,FALSE,"Issue Resolution Process"}</definedName>
    <definedName name="asfsd" localSheetId="10" hidden="1">{"summary",#N/A,FALSE,"2000 vs 1999";"detail",#N/A,FALSE,"2000 vs 1999"}</definedName>
    <definedName name="asfsd" localSheetId="9" hidden="1">{"summary",#N/A,FALSE,"2000 vs 1999";"detail",#N/A,FALSE,"2000 vs 1999"}</definedName>
    <definedName name="asfsd" hidden="1">{"summary",#N/A,FALSE,"2000 vs 1999";"detail",#N/A,FALSE,"2000 vs 1999"}</definedName>
    <definedName name="asfsd_1" localSheetId="10" hidden="1">{"summary",#N/A,FALSE,"2000 vs 1999";"detail",#N/A,FALSE,"2000 vs 1999"}</definedName>
    <definedName name="asfsd_1" localSheetId="9" hidden="1">{"summary",#N/A,FALSE,"2000 vs 1999";"detail",#N/A,FALSE,"2000 vs 1999"}</definedName>
    <definedName name="asfsd_1" hidden="1">{"summary",#N/A,FALSE,"2000 vs 1999";"detail",#N/A,FALSE,"2000 vs 1999"}</definedName>
    <definedName name="asfsdsdf" localSheetId="10" hidden="1">{"summary",#N/A,FALSE,"2000 vs 1999";"detail",#N/A,FALSE,"2000 vs 1999"}</definedName>
    <definedName name="asfsdsdf" localSheetId="9" hidden="1">{"summary",#N/A,FALSE,"2000 vs 1999";"detail",#N/A,FALSE,"2000 vs 1999"}</definedName>
    <definedName name="asfsdsdf" hidden="1">{"summary",#N/A,FALSE,"2000 vs 1999";"detail",#N/A,FALSE,"2000 vs 1999"}</definedName>
    <definedName name="asfsdsdf_1" localSheetId="10" hidden="1">{"summary",#N/A,FALSE,"2000 vs 1999";"detail",#N/A,FALSE,"2000 vs 1999"}</definedName>
    <definedName name="asfsdsdf_1" localSheetId="9" hidden="1">{"summary",#N/A,FALSE,"2000 vs 1999";"detail",#N/A,FALSE,"2000 vs 1999"}</definedName>
    <definedName name="asfsdsdf_1" hidden="1">{"summary",#N/A,FALSE,"2000 vs 1999";"detail",#N/A,FALSE,"2000 vs 1999"}</definedName>
    <definedName name="asgdagdsgfd" localSheetId="10" hidden="1">{"summary",#N/A,FALSE,"2000 vs 1999";"detail",#N/A,FALSE,"2000 vs 1999"}</definedName>
    <definedName name="asgdagdsgfd" localSheetId="9" hidden="1">{"summary",#N/A,FALSE,"2000 vs 1999";"detail",#N/A,FALSE,"2000 vs 1999"}</definedName>
    <definedName name="asgdagdsgfd" hidden="1">{"summary",#N/A,FALSE,"2000 vs 1999";"detail",#N/A,FALSE,"2000 vs 1999"}</definedName>
    <definedName name="asgdagdsgfd_1" localSheetId="10" hidden="1">{"summary",#N/A,FALSE,"2000 vs 1999";"detail",#N/A,FALSE,"2000 vs 1999"}</definedName>
    <definedName name="asgdagdsgfd_1" localSheetId="9" hidden="1">{"summary",#N/A,FALSE,"2000 vs 1999";"detail",#N/A,FALSE,"2000 vs 1999"}</definedName>
    <definedName name="asgdagdsgfd_1" hidden="1">{"summary",#N/A,FALSE,"2000 vs 1999";"detail",#N/A,FALSE,"2000 vs 1999"}</definedName>
    <definedName name="asgsddgsa" localSheetId="10" hidden="1">{"summary",#N/A,FALSE,"2000 vs 1999";"detail",#N/A,FALSE,"2000 vs 1999"}</definedName>
    <definedName name="asgsddgsa" localSheetId="9" hidden="1">{"summary",#N/A,FALSE,"2000 vs 1999";"detail",#N/A,FALSE,"2000 vs 1999"}</definedName>
    <definedName name="asgsddgsa" hidden="1">{"summary",#N/A,FALSE,"2000 vs 1999";"detail",#N/A,FALSE,"2000 vs 1999"}</definedName>
    <definedName name="asgsddgsa_1" localSheetId="10" hidden="1">{"summary",#N/A,FALSE,"2000 vs 1999";"detail",#N/A,FALSE,"2000 vs 1999"}</definedName>
    <definedName name="asgsddgsa_1" localSheetId="9" hidden="1">{"summary",#N/A,FALSE,"2000 vs 1999";"detail",#N/A,FALSE,"2000 vs 1999"}</definedName>
    <definedName name="asgsddgsa_1" hidden="1">{"summary",#N/A,FALSE,"2000 vs 1999";"detail",#N/A,FALSE,"2000 vs 1999"}</definedName>
    <definedName name="ash" localSheetId="1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h" localSheetId="9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h_1" localSheetId="1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h_1" localSheetId="9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h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h_2" localSheetId="1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h_2" localSheetId="9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h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SA" localSheetId="10" hidden="1">{#N/A,#N/A,FALSE,"1";#N/A,#N/A,FALSE,"2";#N/A,#N/A,FALSE,"16 - 17";#N/A,#N/A,FALSE,"18 - 19";#N/A,#N/A,FALSE,"26";#N/A,#N/A,FALSE,"27";#N/A,#N/A,FALSE,"28"}</definedName>
    <definedName name="ASSA" localSheetId="9" hidden="1">{#N/A,#N/A,FALSE,"1";#N/A,#N/A,FALSE,"2";#N/A,#N/A,FALSE,"16 - 17";#N/A,#N/A,FALSE,"18 - 19";#N/A,#N/A,FALSE,"26";#N/A,#N/A,FALSE,"27";#N/A,#N/A,FALSE,"28"}</definedName>
    <definedName name="ASSA" hidden="1">{#N/A,#N/A,FALSE,"1";#N/A,#N/A,FALSE,"2";#N/A,#N/A,FALSE,"16 - 17";#N/A,#N/A,FALSE,"18 - 19";#N/A,#N/A,FALSE,"26";#N/A,#N/A,FALSE,"27";#N/A,#N/A,FALSE,"28"}</definedName>
    <definedName name="AS생산량" localSheetId="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생산량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생산량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T_Label" hidden="1">#REF!</definedName>
    <definedName name="AuraStyleDefaultsReset" hidden="1">#N/A</definedName>
    <definedName name="awefrqwr" localSheetId="10" hidden="1">{#N/A,#N/A,FALSE,"Pharm";#N/A,#N/A,FALSE,"WWCM"}</definedName>
    <definedName name="awefrqwr" localSheetId="9" hidden="1">{#N/A,#N/A,FALSE,"Pharm";#N/A,#N/A,FALSE,"WWCM"}</definedName>
    <definedName name="awefrqwr" hidden="1">{#N/A,#N/A,FALSE,"Pharm";#N/A,#N/A,FALSE,"WWCM"}</definedName>
    <definedName name="awserasdf" hidden="1">#REF!</definedName>
    <definedName name="AX" localSheetId="10" hidden="1">{#N/A,#N/A,FALSE,"Pharm";#N/A,#N/A,FALSE,"WWCM"}</definedName>
    <definedName name="AX" localSheetId="9" hidden="1">{#N/A,#N/A,FALSE,"Pharm";#N/A,#N/A,FALSE,"WWCM"}</definedName>
    <definedName name="AX" hidden="1">{#N/A,#N/A,FALSE,"Pharm";#N/A,#N/A,FALSE,"WWCM"}</definedName>
    <definedName name="axcdf" localSheetId="10" hidden="1">{#N/A,#N/A,FALSE,"정공"}</definedName>
    <definedName name="axcdf" localSheetId="9" hidden="1">{#N/A,#N/A,FALSE,"정공"}</definedName>
    <definedName name="axcdf" hidden="1">{#N/A,#N/A,FALSE,"정공"}</definedName>
    <definedName name="ayman" localSheetId="10" hidden="1">{#N/A,#N/A,FALSE,"1";#N/A,#N/A,FALSE,"2";#N/A,#N/A,FALSE,"16 - 17";#N/A,#N/A,FALSE,"18 - 19";#N/A,#N/A,FALSE,"26";#N/A,#N/A,FALSE,"27";#N/A,#N/A,FALSE,"28"}</definedName>
    <definedName name="ayman" localSheetId="9" hidden="1">{#N/A,#N/A,FALSE,"1";#N/A,#N/A,FALSE,"2";#N/A,#N/A,FALSE,"16 - 17";#N/A,#N/A,FALSE,"18 - 19";#N/A,#N/A,FALSE,"26";#N/A,#N/A,FALSE,"27";#N/A,#N/A,FALSE,"28"}</definedName>
    <definedName name="ayman" hidden="1">{#N/A,#N/A,FALSE,"1";#N/A,#N/A,FALSE,"2";#N/A,#N/A,FALSE,"16 - 17";#N/A,#N/A,FALSE,"18 - 19";#N/A,#N/A,FALSE,"26";#N/A,#N/A,FALSE,"27";#N/A,#N/A,FALSE,"28"}</definedName>
    <definedName name="ayman1" localSheetId="10" hidden="1">{#N/A,#N/A,FALSE,"Pharm";#N/A,#N/A,FALSE,"WWCM"}</definedName>
    <definedName name="ayman1" localSheetId="9" hidden="1">{#N/A,#N/A,FALSE,"Pharm";#N/A,#N/A,FALSE,"WWCM"}</definedName>
    <definedName name="ayman1" hidden="1">{#N/A,#N/A,FALSE,"Pharm";#N/A,#N/A,FALSE,"WWCM"}</definedName>
    <definedName name="ayman2" localSheetId="10" hidden="1">{#N/A,#N/A,FALSE,"Pharm";#N/A,#N/A,FALSE,"WWCM"}</definedName>
    <definedName name="ayman2" localSheetId="9" hidden="1">{#N/A,#N/A,FALSE,"Pharm";#N/A,#N/A,FALSE,"WWCM"}</definedName>
    <definedName name="ayman2" hidden="1">{#N/A,#N/A,FALSE,"Pharm";#N/A,#N/A,FALSE,"WWCM"}</definedName>
    <definedName name="ayman7" localSheetId="10" hidden="1">{#N/A,#N/A,FALSE,"REPORT"}</definedName>
    <definedName name="ayman7" localSheetId="9" hidden="1">{#N/A,#N/A,FALSE,"REPORT"}</definedName>
    <definedName name="ayman7" hidden="1">{#N/A,#N/A,FALSE,"REPORT"}</definedName>
    <definedName name="ayman8" localSheetId="10" hidden="1">{#N/A,#N/A,FALSE,"REPORT"}</definedName>
    <definedName name="ayman8" localSheetId="9" hidden="1">{#N/A,#N/A,FALSE,"REPORT"}</definedName>
    <definedName name="ayman8" hidden="1">{#N/A,#N/A,FALSE,"REPORT"}</definedName>
    <definedName name="azeazr" localSheetId="10" hidden="1">{#N/A,#N/A,FALSE,"Sales Graph";#N/A,#N/A,FALSE,"BUC Graph";#N/A,#N/A,FALSE,"P&amp;L - YTD"}</definedName>
    <definedName name="azeazr" localSheetId="9" hidden="1">{#N/A,#N/A,FALSE,"Sales Graph";#N/A,#N/A,FALSE,"BUC Graph";#N/A,#N/A,FALSE,"P&amp;L - YTD"}</definedName>
    <definedName name="azeazr" hidden="1">{#N/A,#N/A,FALSE,"Sales Graph";#N/A,#N/A,FALSE,"BUC Graph";#N/A,#N/A,FALSE,"P&amp;L - YTD"}</definedName>
    <definedName name="azerety" localSheetId="10" hidden="1">{#N/A,#N/A,FALSE,"Pharm";#N/A,#N/A,FALSE,"WWCM"}</definedName>
    <definedName name="azerety" localSheetId="9" hidden="1">{#N/A,#N/A,FALSE,"Pharm";#N/A,#N/A,FALSE,"WWCM"}</definedName>
    <definedName name="azerety" hidden="1">{#N/A,#N/A,FALSE,"Pharm";#N/A,#N/A,FALSE,"WWCM"}</definedName>
    <definedName name="A유동자산" localSheetId="1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A유동자산" localSheetId="9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A유동자산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A유동자산_1" localSheetId="1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A유동자산_1" localSheetId="9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A유동자산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ban" localSheetId="10" hidden="1">{#N/A,#N/A,FALSE,"P.C.B"}</definedName>
    <definedName name="ban" localSheetId="9" hidden="1">{#N/A,#N/A,FALSE,"P.C.B"}</definedName>
    <definedName name="ban" hidden="1">{#N/A,#N/A,FALSE,"P.C.B"}</definedName>
    <definedName name="BBB" localSheetId="1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localSheetId="9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_1" localSheetId="1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_1" localSheetId="9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_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b" localSheetId="10" hidden="1">{"summary",#N/A,FALSE,"2000 vs 1999";"detail",#N/A,FALSE,"2000 vs 1999"}</definedName>
    <definedName name="bbbb" localSheetId="9" hidden="1">{"summary",#N/A,FALSE,"2000 vs 1999";"detail",#N/A,FALSE,"2000 vs 1999"}</definedName>
    <definedName name="bbbb" hidden="1">{"summary",#N/A,FALSE,"2000 vs 1999";"detail",#N/A,FALSE,"2000 vs 1999"}</definedName>
    <definedName name="bbbb_1" localSheetId="10" hidden="1">{"summary",#N/A,FALSE,"2000 vs 1999";"detail",#N/A,FALSE,"2000 vs 1999"}</definedName>
    <definedName name="bbbb_1" localSheetId="9" hidden="1">{"summary",#N/A,FALSE,"2000 vs 1999";"detail",#N/A,FALSE,"2000 vs 1999"}</definedName>
    <definedName name="bbbb_1" hidden="1">{"summary",#N/A,FALSE,"2000 vs 1999";"detail",#N/A,FALSE,"2000 vs 1999"}</definedName>
    <definedName name="bbbbb" localSheetId="10" hidden="1">{#N/A,#N/A,FALSE,"Pharm";#N/A,#N/A,FALSE,"WWCM"}</definedName>
    <definedName name="bbbbb" localSheetId="9" hidden="1">{#N/A,#N/A,FALSE,"Pharm";#N/A,#N/A,FALSE,"WWCM"}</definedName>
    <definedName name="bbbbb" hidden="1">{#N/A,#N/A,FALSE,"Pharm";#N/A,#N/A,FALSE,"WWCM"}</definedName>
    <definedName name="BBBBBB" localSheetId="10" hidden="1">{#N/A,#N/A,FALSE,"REPORT"}</definedName>
    <definedName name="BBBBBB" localSheetId="9" hidden="1">{#N/A,#N/A,FALSE,"REPORT"}</definedName>
    <definedName name="BBBBBB" hidden="1">{#N/A,#N/A,FALSE,"REPORT"}</definedName>
    <definedName name="BBBBBBBBB" localSheetId="10" hidden="1">{#N/A,#N/A,FALSE,"REPORT"}</definedName>
    <definedName name="BBBBBBBBB" localSheetId="9" hidden="1">{#N/A,#N/A,FALSE,"REPORT"}</definedName>
    <definedName name="BBBBBBBBB" hidden="1">{#N/A,#N/A,FALSE,"REPORT"}</definedName>
    <definedName name="bbbbbbbbbbbbb" localSheetId="10" hidden="1">{#N/A,#N/A,FALSE,"Pharm";#N/A,#N/A,FALSE,"WWCM"}</definedName>
    <definedName name="bbbbbbbbbbbbb" localSheetId="9" hidden="1">{#N/A,#N/A,FALSE,"Pharm";#N/A,#N/A,FALSE,"WWCM"}</definedName>
    <definedName name="bbbbbbbbbbbbb" hidden="1">{#N/A,#N/A,FALSE,"Pharm";#N/A,#N/A,FALSE,"WWCM"}</definedName>
    <definedName name="BE" localSheetId="10" hidden="1">{#N/A,#N/A,FALSE,"기안지";#N/A,#N/A,FALSE,"통신지"}</definedName>
    <definedName name="BE" localSheetId="9" hidden="1">{#N/A,#N/A,FALSE,"기안지";#N/A,#N/A,FALSE,"통신지"}</definedName>
    <definedName name="BE" hidden="1">{#N/A,#N/A,FALSE,"기안지";#N/A,#N/A,FALSE,"통신지"}</definedName>
    <definedName name="bethany" localSheetId="10" hidden="1">{"income statement",#N/A,FALSE,"ATLAS-A"}</definedName>
    <definedName name="bethany" localSheetId="9" hidden="1">{"income statement",#N/A,FALSE,"ATLAS-A"}</definedName>
    <definedName name="bethany" hidden="1">{"income statement",#N/A,FALSE,"ATLAS-A"}</definedName>
    <definedName name="BEx0017DGUEDPCFJUPUZOOLJCS2B" hidden="1">#REF!</definedName>
    <definedName name="BEx001CNWHJ5RULCSFM36ZCGJ1UH" hidden="1">#REF!</definedName>
    <definedName name="BEx001Y8YX18278T6F1Y876HWCLG" hidden="1">#REF!</definedName>
    <definedName name="BEx004791UAJIJSN57OT7YBLNP82" hidden="1">#REF!</definedName>
    <definedName name="BEx0088V78IUP98TGA1WZG5L5ECG" hidden="1">#REF!</definedName>
    <definedName name="BEx008P2NVFDLBHL7IZ5WTMVOQ1F" hidden="1">#REF!</definedName>
    <definedName name="BEx009G00IN0JUIAQ4WE9NHTMQE2" hidden="1">#REF!</definedName>
    <definedName name="BEx00CQOT9ODJDOLA8HR40LWBU1X" hidden="1">#REF!</definedName>
    <definedName name="BEx00DXTY2JDVGWQKV8H7FG4SV30" hidden="1">#REF!</definedName>
    <definedName name="BEx00GHLTYRH5N2S6P78YW1CD30N" hidden="1">#REF!</definedName>
    <definedName name="BEx00JC31DY11L45SEU4B10BIN6W" hidden="1">#REF!</definedName>
    <definedName name="BEx00KZHZBHP3TDV1YMX4B19B95O" hidden="1">#REF!</definedName>
    <definedName name="BEx00MBY8XXUOHIZ4LHXHPD7WYD5" hidden="1">#REF!</definedName>
    <definedName name="BEx00W807EJXR2DNZTQYHVJ2VFV3" hidden="1">#REF!</definedName>
    <definedName name="BEx01HY6E3GJ66ABU5ABN26V6Q13" hidden="1">#REF!</definedName>
    <definedName name="BEx01PW5YQKEGAR8JDDI5OARYXDF" hidden="1">#REF!</definedName>
    <definedName name="BEx01X35DZBL50I19K4ZSW4F1ESH" hidden="1">#REF!</definedName>
    <definedName name="BEx01XJ94SHJ1YQ7ORPW0RQGKI2H" hidden="1">#REF!</definedName>
    <definedName name="BEx02PPGUVM09XYPPYE3Y82N7DQI" hidden="1">#REF!</definedName>
    <definedName name="BEx02Q08R9G839Q4RFGG9026C7PX" hidden="1">#REF!</definedName>
    <definedName name="BEx02SEL3Z1QWGAHXDPUA9WLTTPS" hidden="1">#REF!</definedName>
    <definedName name="BEx02Y3KJZH5BGDM9QEZ1PVVI114" hidden="1">#REF!</definedName>
    <definedName name="BEx0313GRLLASDTVPW5DHTXHE74M" hidden="1">#REF!</definedName>
    <definedName name="BEx1F0SOZ3H5XUHXD7O01TCR8T6J" hidden="1">#REF!</definedName>
    <definedName name="BEx1F9HL824UCNCVZ2U62J4KZCX8" hidden="1">#REF!</definedName>
    <definedName name="BEx1FEVSJKTI1Q1Z874QZVFSJSVA" hidden="1">#REF!</definedName>
    <definedName name="BEx1FGDRUHHLI1GBHELT4PK0LY4V" hidden="1">#REF!</definedName>
    <definedName name="BEx1FJZ7GKO99IYTP6GGGF7EUL3Z" hidden="1">#REF!</definedName>
    <definedName name="BEx1FZV2CM77TBH1R6YYV9P06KA2" hidden="1">#REF!</definedName>
    <definedName name="BEx1G59AY8195JTUM6P18VXUFJ3E" hidden="1">#REF!</definedName>
    <definedName name="BEx1GB92OWY6P3B3Z6EYFUUWMITG" hidden="1">#REF!</definedName>
    <definedName name="BEx1GGCI3U25LAIZOYN6GOMUBZU6" hidden="1">#REF!</definedName>
    <definedName name="BEx1GVMRHFXUP6XYYY9NR12PV5TF" hidden="1">#REF!</definedName>
    <definedName name="BEx1GZTUQ4YXAY56BLCSTKT90DDT" hidden="1">#REF!</definedName>
    <definedName name="BEx1H16BQFKO2CYBI1DM19N3X3VE" hidden="1">#REF!</definedName>
    <definedName name="BEx1H6KIT7BHUH6MDDWC935V9N47" hidden="1">#REF!</definedName>
    <definedName name="BEx1HDGOOJ3SKHYMWUZJ1P0RQZ9N" hidden="1">#REF!</definedName>
    <definedName name="BEx1HDM5ZXSJG6JQEMSFV52PZ10V" hidden="1">#REF!</definedName>
    <definedName name="BEx1HETBBZVN5F43LKOFMC4QB0CR" hidden="1">#REF!</definedName>
    <definedName name="BEx1HGWNWPLNXICOTP90TKQVVE4E" hidden="1">#REF!</definedName>
    <definedName name="BEx1HIPLJZABY0EMUOTZN0EQMDPU" hidden="1">#REF!</definedName>
    <definedName name="BEx1HO94JIRX219MPWMB5E5XZ04X" hidden="1">#REF!</definedName>
    <definedName name="BEx1HQNF6KHM21E3XLW0NMSSEI9S" hidden="1">#REF!</definedName>
    <definedName name="BEx1HSLNWIW4S97ZBYY7I7M5YVH4" hidden="1">#REF!</definedName>
    <definedName name="BEx1I4QKTILCKZUSOJCVZN7SNHL5" hidden="1">#REF!</definedName>
    <definedName name="BEx1IE0ZP7RIFM9FI24S9I6AAJ14" hidden="1">#REF!</definedName>
    <definedName name="BEx1IGQ5B697MNDOE06MVSR0H58E" hidden="1">#REF!</definedName>
    <definedName name="BEx1IIYYV4UNPT0DZGWKPIQJNWOB" hidden="1">#REF!</definedName>
    <definedName name="BEx1IKRPW8MLB9Y485M1TL2IT9SH" hidden="1">#REF!</definedName>
    <definedName name="BEx1ISPPOZMPS0OXMJR50X9G1K6L" hidden="1">#REF!</definedName>
    <definedName name="BEx1IWRAA9O9NWGJJ9XC392J0N5S" hidden="1">#REF!</definedName>
    <definedName name="BEx1J0CSSHDJGBJUHVOEMCF2P4DL" hidden="1">#REF!</definedName>
    <definedName name="BEx1J1UPQ1J8LTC31BW0YF3A4PK2" hidden="1">#REF!</definedName>
    <definedName name="BEx1J61RRF9LJ3V3R5OY3WJ6VBWR" hidden="1">#REF!</definedName>
    <definedName name="BEx1J7E8VCGLPYU82QXVUG5N3ZAI" hidden="1">#REF!</definedName>
    <definedName name="BEx1JBQSZVG7P2X2X6X74NANXA5U" hidden="1">#REF!</definedName>
    <definedName name="BEx1JCCCS03YHRP0NUOPTZV3RU6N" hidden="1">#REF!</definedName>
    <definedName name="BEx1JGE2YQWH8S25USOY08XVGO0D" hidden="1">#REF!</definedName>
    <definedName name="BEx1JJJC9T1W7HY4V7HP1S1W4JO1" hidden="1">#REF!</definedName>
    <definedName name="BEx1JKKZSJ7DI4PTFVI9VVFMB1X2" hidden="1">#REF!</definedName>
    <definedName name="BEx1JUBQFRVMASSFK4B3V0AD7YP9" hidden="1">#REF!</definedName>
    <definedName name="BEx1JXBM5W4YRWNQ0P95QQS6JWD6" hidden="1">#REF!</definedName>
    <definedName name="BEx1K8PM2M54KU8TWTEHVBZUVAEK" hidden="1">#REF!</definedName>
    <definedName name="BEx1KGY9QEHZ9QSARMQUTQKRK4UX" hidden="1">#REF!</definedName>
    <definedName name="BEx1KKP1ELIF2UII2FWVGL7M1X7J" hidden="1">#REF!</definedName>
    <definedName name="BEx1KUVWMB0QCWA3RBE4CADFVRIS" hidden="1">#REF!</definedName>
    <definedName name="BEx1KVC79IRKF8B5SRMLWWUVFUUC" hidden="1">#REF!</definedName>
    <definedName name="BEx1L2OG1SDFK2TPXELJ77YP4NI2" hidden="1">#REF!</definedName>
    <definedName name="BEx1L6Q60MWRDJB4L20LK0XPA0Z2" hidden="1">#REF!</definedName>
    <definedName name="BEx1LBDBCECHLGWMYKU0E255WCHT" hidden="1">#REF!</definedName>
    <definedName name="BEx1LD63FP2Z4BR9TKSHOZW9KKZ5" hidden="1">#REF!</definedName>
    <definedName name="BEx1LDMB9RW982DUILM2WPT5VWQ3" hidden="1">#REF!</definedName>
    <definedName name="BEx1LIEZICA87A8A0X1TGS63X1GV" hidden="1">#REF!</definedName>
    <definedName name="BEx1LRPGDQCOEMW8YT80J1XCDCIV" hidden="1">#REF!</definedName>
    <definedName name="BEx1LRUSJW4JG54X07QWD9R27WV9" hidden="1">#REF!</definedName>
    <definedName name="BEx1M0JOUK8PVMG5WWQLXAX6MRUE" hidden="1">#REF!</definedName>
    <definedName name="BEx1M1WBK5T0LP1AK2JYV6W87ID6" hidden="1">#REF!</definedName>
    <definedName name="BEx1M51HHDYGIT8PON7U8ICL2S95" hidden="1">#REF!</definedName>
    <definedName name="BEx1MBXOKO3OFWBWZL531VFHN754" hidden="1">#REF!</definedName>
    <definedName name="BEx1MGFJ2PGAHUE8ONYFEKL4K2AQ" hidden="1">#REF!</definedName>
    <definedName name="BEx1MTRKKVCHOZ0YGID6HZ49LJTO" hidden="1">#REF!</definedName>
    <definedName name="BEx1N3CUJ3UX61X38ZAJVPEN4KMC" hidden="1">#REF!</definedName>
    <definedName name="BEx1NA908GM66YT2YLZZHLNFZHUB" hidden="1">#REF!</definedName>
    <definedName name="BEx1NM34KQTO1LDNSAFD1L82UZFG" hidden="1">#REF!</definedName>
    <definedName name="BEx1NO6TXZVOGCUWCCRTXRXWW0XL" hidden="1">#REF!</definedName>
    <definedName name="BEx1NS8EU5P9FQV3S0WRTXI5L361" hidden="1">#REF!</definedName>
    <definedName name="BEx1NUBX5VUYZFKQH69FN6BTLWCR" hidden="1">#REF!</definedName>
    <definedName name="BEx1NVDM53L935NRF7YJE4U307BW" hidden="1">#REF!</definedName>
    <definedName name="BEx1NZ4K1L8UON80Y2A4RASKWGNP" hidden="1">#REF!</definedName>
    <definedName name="BEx1O4O2RYFTJ0OLYW5NFA18B66T" hidden="1">#REF!</definedName>
    <definedName name="BEx1OLAZ915OGYWP0QP1QQWDLCRX" hidden="1">#REF!</definedName>
    <definedName name="BEx1OO5ER042IS6IC4TLDI75JNVH" hidden="1">#REF!</definedName>
    <definedName name="BEx1OTE54CBSUT8FWKRALEDCUWN4" hidden="1">#REF!</definedName>
    <definedName name="BEx1OVSMPADTX95QUOX34KZQ8EDY" hidden="1">#REF!</definedName>
    <definedName name="BEx1OX544IO9FQJI7YYQGZCEHB3O" hidden="1">#REF!</definedName>
    <definedName name="BEx1OY6SVEUT2EQ26P7EKEND342G" hidden="1">#REF!</definedName>
    <definedName name="BEx1OYN1LPIPI12O9G6F7QAOS9T4" hidden="1">#REF!</definedName>
    <definedName name="BEx1P1HHKJA799O3YZXQAX6KFH58" hidden="1">#REF!</definedName>
    <definedName name="BEx1P34W467WGPOXPK292QFJIPHJ" hidden="1">#REF!</definedName>
    <definedName name="BEx1P6A96C6J157SB4QEDG6CZMJA" hidden="1">#REF!</definedName>
    <definedName name="BEx1P7S1J4TKGVJ43C2Q2R3M9WRB" hidden="1">#REF!</definedName>
    <definedName name="BEx1P8J3XTSFYOBKCH5351DCW1RG" hidden="1">#REF!</definedName>
    <definedName name="BEx1PA11BLPVZM8RC5BL46WX8YB5" hidden="1">#REF!</definedName>
    <definedName name="BEx1PBZ4BEFIPGMQXT9T8S4PZ2IM" hidden="1">#REF!</definedName>
    <definedName name="BEx1PLF2CFSXBZPVI6CJ534EIJDN" hidden="1">#REF!</definedName>
    <definedName name="BEx1PMWZB2DO6EM9BKLUICZJ65HD" hidden="1">#REF!</definedName>
    <definedName name="BEx1QA54J2A4I7IBQR19BTY28ZMR" hidden="1">#REF!</definedName>
    <definedName name="BEx1QCJFKTZZLM6RB0YHK67IGLS9" hidden="1">#REF!</definedName>
    <definedName name="BEx1QMQAHG3KQUK59DVM68SWKZIZ" hidden="1">#REF!</definedName>
    <definedName name="BEx1R9YFKJCMSEST8OVCAO5E47FO" hidden="1">#REF!</definedName>
    <definedName name="BEx1RBGC06B3T52OIC0EQ1KGVP1I" hidden="1">#REF!</definedName>
    <definedName name="BEx1RRC7X4NI1CU4EO5XYE2GVARJ" hidden="1">#REF!</definedName>
    <definedName name="BEx1RZA1NCGT832L7EMR7GMF588W" hidden="1">#REF!</definedName>
    <definedName name="BEx1S0XGIPUSZQUCSGWSK10GKW7Y" hidden="1">#REF!</definedName>
    <definedName name="BEx1S5VFNKIXHTTCWSV60UC50EZ8" hidden="1">#REF!</definedName>
    <definedName name="BEx1SEKB2G3K4H4K1ZMKB3YZH8IH" hidden="1">#REF!</definedName>
    <definedName name="BEx1SHK75SLM62744T3IXS5NR5Q1" hidden="1">#REF!</definedName>
    <definedName name="BEx1SK3U02H0RGKEYXW7ZMCEOF3V" hidden="1">#REF!</definedName>
    <definedName name="BEx1SSNEZINBJT29QVS62VS1THT4" hidden="1">#REF!</definedName>
    <definedName name="BEx1SVNCHNANBJIDIQVB8AFK4HAN" hidden="1">#REF!</definedName>
    <definedName name="BEx1TJ0WLS9O7KNSGIPWTYHDYI1D" hidden="1">#REF!</definedName>
    <definedName name="BEx1TOF5PYBL5BRCYLL8O1T7FE5L" hidden="1">#REF!</definedName>
    <definedName name="BEx1TT2ANF46W4KLWP7GDPTWVL63" hidden="1">#REF!</definedName>
    <definedName name="BEx1U15M7LVVFZENH830B2BGWC04" hidden="1">#REF!</definedName>
    <definedName name="BEx1U7WFO8OZKB1EBF4H386JW91L" hidden="1">#REF!</definedName>
    <definedName name="BEx1U87938YR9N6HYI24KVBKLOS3" hidden="1">#REF!</definedName>
    <definedName name="BEx1UDW3LHA1N0DKV715WC85Z39V" hidden="1">#REF!</definedName>
    <definedName name="BEx1UESH4KDWHYESQU2IE55RS3LI" hidden="1">#REF!</definedName>
    <definedName name="BEx1UI8N9KTCPSOJ7RDW0T8UEBNP" hidden="1">#REF!</definedName>
    <definedName name="BEx1UML0HHJFHA5TBOYQ24I3RV1W" hidden="1">#REF!</definedName>
    <definedName name="BEx1UUDIQPZ23XQ79GUL0RAWRSCK" hidden="1">#REF!</definedName>
    <definedName name="BEx1V67SEV778NVW68J8W5SND1J7" hidden="1">#REF!</definedName>
    <definedName name="BEx1VIY9SQLRESD11CC4PHYT0XSG" hidden="1">#REF!</definedName>
    <definedName name="BEx1VJPC3SYUN1YME39GFPNADKQB" hidden="1">#REF!</definedName>
    <definedName name="BEx1W7TT3QBGWQ8LPS9QS1J8YQUH" hidden="1">#REF!</definedName>
    <definedName name="BEx1W8FDLOFGE28JXY6J54MICRMP" hidden="1">#REF!</definedName>
    <definedName name="BEx1W8VH0R2E82A0C2HWFSPU9ASN" hidden="1">#REF!</definedName>
    <definedName name="BEx1WC67EH10SC38QWX3WEA5KH3A" hidden="1">#REF!</definedName>
    <definedName name="BEx1WGYTKZZIPM1577W5FEYKFH3V" hidden="1">#REF!</definedName>
    <definedName name="BEx1WHPURIV3D3PTJJ359H1OP7ZV" hidden="1">#REF!</definedName>
    <definedName name="BEx1WLWY2CR1WRD694JJSWSDFAIR" hidden="1">#REF!</definedName>
    <definedName name="BEx1WMD1LWPWRIK6GGAJRJAHJM8I" hidden="1">#REF!</definedName>
    <definedName name="BEx1WR0D41MR174LBF3P9E3K0J51" hidden="1">#REF!</definedName>
    <definedName name="BEx1WUB1FAS5PHU33TJ60SUHR618" hidden="1">#REF!</definedName>
    <definedName name="BEx1WX04G0INSPPG9NTNR3DYR6PZ" hidden="1">#REF!</definedName>
    <definedName name="BEx1WXWJEB4JZ5XT6E2XMAKD9OAP" hidden="1">#REF!</definedName>
    <definedName name="BEx1X3LHU9DPG01VWX2IF65TRATF" hidden="1">#REF!</definedName>
    <definedName name="BEx1X6LETM3OXMG5N7EDKERYWXLQ" hidden="1">#REF!</definedName>
    <definedName name="BEx1X7XWCWB3SQN6EL0F5DTNI45Q" hidden="1">#REF!</definedName>
    <definedName name="BEx1XAC85JVIU7I4J5FJSPPZLNF3" hidden="1">#REF!</definedName>
    <definedName name="BEx1XK8AAMO0AH0Z1OUKW30CA7EQ" hidden="1">#REF!</definedName>
    <definedName name="BEx1XL4MZ7C80495GHQRWOBS16PQ" hidden="1">#REF!</definedName>
    <definedName name="BEx1Y0EX8TE1JKPNEHJOAQE1LGQ9" hidden="1">#REF!</definedName>
    <definedName name="BEx1Y2IGS2K95E1M51PEF9KJZ0KB" hidden="1">#REF!</definedName>
    <definedName name="BEx1Y3PKK83X2FN9SAALFHOWKMRQ" hidden="1">#REF!</definedName>
    <definedName name="BEx1Y40CI3QAGZ725OGL0E22ZXV6" hidden="1">#REF!</definedName>
    <definedName name="BEx1YL3DJ7Y4AZ01ERCOGW0FJ26T" hidden="1">#REF!</definedName>
    <definedName name="BEx1YVA885J3WS8HS3JIG28U89O3" hidden="1">#REF!</definedName>
    <definedName name="BEx1Z0Z80JGXO6488RE1T723IGQ1" hidden="1">#REF!</definedName>
    <definedName name="BEx1Z2RYHSVD1H37817SN93VMURZ" hidden="1">#REF!</definedName>
    <definedName name="BEx3A8T0ZGIDXWHTKUPEN210OKCD" hidden="1">#REF!</definedName>
    <definedName name="BEx3AMAKWI6458B67VKZO56MCNJW" hidden="1">#REF!</definedName>
    <definedName name="BEx3AOOVM42G82TNF53W0EKXLUSI" hidden="1">#REF!</definedName>
    <definedName name="BEx3AZH9W4SUFCAHNDOQ728R9V4L" hidden="1">#REF!</definedName>
    <definedName name="BEx3B1KTEYLOVAAJK6RTP1QKBVN6" hidden="1">#REF!</definedName>
    <definedName name="BEx3BNR9ES4KY7Q1DK83KC5NDGL8" hidden="1">#REF!</definedName>
    <definedName name="BEx3BQR5L47NDZLE4U5J7LNRJZBZ" hidden="1">#REF!</definedName>
    <definedName name="BEx3BQR5VZXNQ4H949ORM8ESU3B3" hidden="1">#REF!</definedName>
    <definedName name="BEx3BTLL3ASJN134DLEQTQM70VZM" hidden="1">#REF!</definedName>
    <definedName name="BEx3BW5CTV0DJU5AQS3ZQFK2VLF3" hidden="1">#REF!</definedName>
    <definedName name="BEx3BYP0FG369M7G3JEFLMMXAKTS" hidden="1">#REF!</definedName>
    <definedName name="BEx3C2QR0WUD19QSVO8EMIPNQJKH" hidden="1">#REF!</definedName>
    <definedName name="BEx3CBKXPIN2XM7QJNI7O0MB70AR" hidden="1">#REF!</definedName>
    <definedName name="BEx3CCS3VNR1KW2R7DKSQFZ17QW0" hidden="1">#REF!</definedName>
    <definedName name="BEx3CKFCCPZZ6ROLAT5C1DZNIC1U" hidden="1">#REF!</definedName>
    <definedName name="BEx3CO0SVO4WLH0DO43DCHYDTH1P" hidden="1">#REF!</definedName>
    <definedName name="BEx3CW400URCIULZKCV1O0A9P6ZL" hidden="1">#REF!</definedName>
    <definedName name="BEx3D3LV6SFFPD92UY3L33R2LS7A" hidden="1">#REF!</definedName>
    <definedName name="BEx3D9G6QTSPF9UYI4X0XY0VE896" hidden="1">#REF!</definedName>
    <definedName name="BEx3DCQU9PBRXIMLO62KS5RLH447" hidden="1">#REF!</definedName>
    <definedName name="BEx3DGSFR794IYV0M6UUHZSQ0DUL" hidden="1">#REF!</definedName>
    <definedName name="BEx3EF99FD6QNNCNOKDEE67JHTUJ" hidden="1">#REF!</definedName>
    <definedName name="BEx3EHCSERZ2O2OAG8Y95UPG2IY9" hidden="1">#REF!</definedName>
    <definedName name="BEx3EJR3TCJDYS7ZXNDS5N9KTGIK" hidden="1">#REF!</definedName>
    <definedName name="BEx3ELJTTBS6P05CNISMGOJOA60V" hidden="1">#REF!</definedName>
    <definedName name="BEx3EQSLJBDDJRHNX19PBFCKNY2I" hidden="1">#REF!</definedName>
    <definedName name="BEx3EU8R66V6XBF8AFPFVQD3AEVS" hidden="1">#REF!</definedName>
    <definedName name="BEx3EUUAX947Q5N6MY6W0KSNY78Y" hidden="1">#REF!</definedName>
    <definedName name="BEx3FF2J59A88L8NHPWDO2R4MKDE" hidden="1">#REF!</definedName>
    <definedName name="BEx3FHMD1P5XBCH23ZKIFO6ZTCNB" hidden="1">#REF!</definedName>
    <definedName name="BEx3FI2G3YYIACQHXNXEA15M8ZK5" hidden="1">#REF!</definedName>
    <definedName name="BEx3FJ9MHSLDK8W91GO85FX1GX57" hidden="1">#REF!</definedName>
    <definedName name="BEx3FNBBNMIOOMJMKEGRRTB63OG5" hidden="1">#REF!</definedName>
    <definedName name="BEx3FR251HFU7A33PU01SJUENL2B" hidden="1">#REF!</definedName>
    <definedName name="BEx3FX7EJL47JSLSWP3EOC265WAE" hidden="1">#REF!</definedName>
    <definedName name="BEx3FXI7T1O225LQE6NSA5WZYNTK" hidden="1">#REF!</definedName>
    <definedName name="BEx3G201R8NLJ6FIHO2QS0SW9QVV" hidden="1">#REF!</definedName>
    <definedName name="BEx3G2LL2II66XY5YCDPG4JE13A3" hidden="1">#REF!</definedName>
    <definedName name="BEx3G2WA0DTYY9D8AGHHOBTPE2B2" hidden="1">#REF!</definedName>
    <definedName name="BEx3GCXR6IAS0B6WJ03GJVH7CO52" hidden="1">#REF!</definedName>
    <definedName name="BEx3GEVV18SEQDI1JGY7EN6D1GT1" hidden="1">#REF!</definedName>
    <definedName name="BEx3GKFH64MKQX61S7DYTZ15JCPY" hidden="1">#REF!</definedName>
    <definedName name="BEx3GMJ1Y6UU02DLRL0QXCEKDA6C" hidden="1">#REF!</definedName>
    <definedName name="BEx3GN4LY0135CBDIN1TU2UEODGF" hidden="1">#REF!</definedName>
    <definedName name="BEx3GPDH2AH4QKT4OOSN563XUHBD" hidden="1">#REF!</definedName>
    <definedName name="BEx3GPZ123OG5W83WZUO6TWCX7ID" hidden="1">#REF!</definedName>
    <definedName name="BEx3GUBKYB4HAAJOWVRVHLHDU0TJ" hidden="1">#REF!</definedName>
    <definedName name="BEx3H5UX2GZFZZT657YR76RHW5I6" hidden="1">#REF!</definedName>
    <definedName name="BEx3H7IB6QU9TMNWR6CJHLYOC12I" hidden="1">#REF!</definedName>
    <definedName name="BEx3HMSEFOP6DBM4R97XA6B7NFG6" hidden="1">#REF!</definedName>
    <definedName name="BEx3HQ8KN1MFGQBCYQ3UZAWQ5AW4" hidden="1">#REF!</definedName>
    <definedName name="BEx3HWJ5SQSD2CVCQNR183X44FR8" hidden="1">#REF!</definedName>
    <definedName name="BEx3I09YVXO0G4X7KGSA4WGORM35" hidden="1">#REF!</definedName>
    <definedName name="BEx3ICF1GY8HQEBIU9S43PDJ90BX" hidden="1">#REF!</definedName>
    <definedName name="BEx3IHNR49CN99W17X16LQ9OBM3V" hidden="1">#REF!</definedName>
    <definedName name="BEx3IWN8YPN2XHSCISQB9608ZLOD" hidden="1">#REF!</definedName>
    <definedName name="BEx3IYAH2DEBFWO8F94H4MXE3RLY" hidden="1">#REF!</definedName>
    <definedName name="BEx3IZXXSYEW50379N2EAFWO8DZV" hidden="1">#REF!</definedName>
    <definedName name="BEx3J1VZVGTKT4ATPO9O5JCSFTTR" hidden="1">#REF!</definedName>
    <definedName name="BEx3J5SFWDSUN2KTMU2YDQ7MP0GD" hidden="1">#REF!</definedName>
    <definedName name="BEx3JC2TY7JNAAC3L7QHVPQXLGQ8" hidden="1">#REF!</definedName>
    <definedName name="BEx3JVPO70M8GVUDXQF1U9006XUP" hidden="1">#REF!</definedName>
    <definedName name="BEx3JX23SYDIGOGM4Y0CQFBW8ZBV" hidden="1">#REF!</definedName>
    <definedName name="BEx3JXCXCVBZJGV5VEG9MJEI01AL" hidden="1">#REF!</definedName>
    <definedName name="BEx3JYK2N7X59TPJSKYZ77ENY8SS" hidden="1">#REF!</definedName>
    <definedName name="BEx3K4EII7GU1CG0BN7UL15M6J8Z" hidden="1">#REF!</definedName>
    <definedName name="BEx3K4ZXQUQ2KYZF74B84SO48XMW" hidden="1">#REF!</definedName>
    <definedName name="BEx3KEFXUCVNVPH7KSEGAZYX13B5" hidden="1">#REF!</definedName>
    <definedName name="BEx3KFXUAF6YXAA47B7Q6X9B3VGB" hidden="1">#REF!</definedName>
    <definedName name="BEx3KIC58CMP68EV278O1XQD5F1K" hidden="1">#REF!</definedName>
    <definedName name="BEx3KIXQYOGMPK4WJJAVBRX4NR28" hidden="1">#REF!</definedName>
    <definedName name="BEx3KJOMVOSFZVJUL3GKCNP6DQDS" hidden="1">#REF!</definedName>
    <definedName name="BEx3KP2VRBMORK0QEAZUYCXL3DHJ" hidden="1">#REF!</definedName>
    <definedName name="BEx3KUBRP9U6XG6CS5L05VW7QKBZ" hidden="1">#REF!</definedName>
    <definedName name="BEx3L4IN3LI4C26SITKTGAH27CDU" hidden="1">#REF!</definedName>
    <definedName name="BEx3L4YQ0J7ZU0M5QM6YIPCEYC9K" hidden="1">#REF!</definedName>
    <definedName name="BEx3L60DJOR7NQN42G7YSAODP1EX" hidden="1">#REF!</definedName>
    <definedName name="BEx3L7D0PI38HWZ7VADU16C9E33D" hidden="1">#REF!</definedName>
    <definedName name="BEx3LM1PR4Y7KINKMTMKR984GX8Q" hidden="1">#REF!</definedName>
    <definedName name="BEx3LOW9ZUHNY17RUG8CD0Y9R4H9" hidden="1">#REF!</definedName>
    <definedName name="BEx3LPCEZ1C0XEKNCM3YT09JWCUO" hidden="1">#REF!</definedName>
    <definedName name="BEx3LPCFM2X02U5QCCCEXATTIP3C" hidden="1">#REF!</definedName>
    <definedName name="BEx3M1MR1K1NQD03H74BFWOK4MWQ" hidden="1">#REF!</definedName>
    <definedName name="BEx3M4H77MYUKOOD31H9F80NMVK8" hidden="1">#REF!</definedName>
    <definedName name="BEx3M9VFX329PZWYC4DMZ6P3W9R2" hidden="1">#REF!</definedName>
    <definedName name="BEx3MA0URXZCO1D1AZ4MBXCVQP0B" hidden="1">#REF!</definedName>
    <definedName name="BEx3MCQ0VEBV0CZXDS505L38EQ8N" hidden="1">#REF!</definedName>
    <definedName name="BEx3MEYV5LQY0BAL7V3CFAFVOM3T" hidden="1">#REF!</definedName>
    <definedName name="BEx3MI9JA8RCFI2J7YSVEEGY9TP3" hidden="1">#REF!</definedName>
    <definedName name="BEx3MQ7I64ULDLZBT9FOFO479J5Q" hidden="1">#REF!</definedName>
    <definedName name="BEx3MREOFWJQEYMCMBL7ZE06NBN6" hidden="1">#REF!</definedName>
    <definedName name="BEx3N98LOP6QCS27D8HZFLQIS1H2" hidden="1">#REF!</definedName>
    <definedName name="BEx3NIZCH9VN98S07ESYV4GMTDN3" hidden="1">#REF!</definedName>
    <definedName name="BEx3NKXF7GYXHBK75UI6MDRUSU0J" hidden="1">#REF!</definedName>
    <definedName name="BEx3NLIZ7PHF2XE59ECZ3MD04ZG1" hidden="1">#REF!</definedName>
    <definedName name="BEx3NMQ4BVC94728AUM7CCX7UHTU" hidden="1">#REF!</definedName>
    <definedName name="BEx3NR2I4OUFP3Z2QZEDU2PIFIDI" hidden="1">#REF!</definedName>
    <definedName name="BEx3O19B8FTTAPVT5DZXQGQXWFR8" hidden="1">#REF!</definedName>
    <definedName name="BEx3O1K4YJJI9WMD1LKIV5OJVRPB" hidden="1">#REF!</definedName>
    <definedName name="BEx3O85IKWARA6NCJOLRBRJFMEWW" hidden="1">#REF!</definedName>
    <definedName name="BEx3OJZSCGFRW7SVGBFI0X9DNVMM" hidden="1">#REF!</definedName>
    <definedName name="BEx3ORSBUXAF21MKEY90YJV9AY9A" hidden="1">#REF!</definedName>
    <definedName name="BEx3OV8BH6PYNZT7C246LOAU9SVX" hidden="1">#REF!</definedName>
    <definedName name="BEx3OXRYJZUEY6E72UJU0PHLMYAR" hidden="1">#REF!</definedName>
    <definedName name="BEx3P3GXZKWAFI5VYHMF1X2KYVO2" hidden="1">#REF!</definedName>
    <definedName name="BEx3P59TTRSGQY888P5C1O7M2PQT" hidden="1">#REF!</definedName>
    <definedName name="BEx3P89K63VSNQFDKG6KNQJR7OTR" hidden="1">#REF!</definedName>
    <definedName name="BEx3PDNRRNKD5GOUBUQFXAHIXLD9" hidden="1">#REF!</definedName>
    <definedName name="BEx3PDT8GNPWLLN02IH1XPV90XYK" hidden="1">#REF!</definedName>
    <definedName name="BEx3PKEMDW8KZEP11IL927C5O7I2" hidden="1">#REF!</definedName>
    <definedName name="BEx3PKJZ1Z7L9S6KV8KXVS6B2FX4" hidden="1">#REF!</definedName>
    <definedName name="BEx3PMNG53Z5HY138H99QOMTX8W3" hidden="1">#REF!</definedName>
    <definedName name="BEx3PP1RRSFZ8UC0JC9R91W6LNKW" hidden="1">#REF!</definedName>
    <definedName name="BEx3PQ8YWHY1UXNUMWMJNXQQPJCK" hidden="1">#REF!</definedName>
    <definedName name="BEx3PQZZ6L9TOCDKNGIDPO8Y2G54" hidden="1">#REF!</definedName>
    <definedName name="BEx3PVXYZC8WB9ZJE7OCKUXZ46EA" hidden="1">#REF!</definedName>
    <definedName name="BEx3Q0VWPU5EQECK7MQ47TYJ3SWW" hidden="1">#REF!</definedName>
    <definedName name="BEx3Q7BZ9PUXK2RLIOFSIS9AHU1B" hidden="1">#REF!</definedName>
    <definedName name="BEx3Q8J42S9VU6EAN2Y28MR6DF88" hidden="1">#REF!</definedName>
    <definedName name="BEx3QD0XYUEL1G6J200V2STCORG5" hidden="1">#REF!</definedName>
    <definedName name="BEx3QEDFOYFY5NBTININ5W4RLD4Q" hidden="1">#REF!</definedName>
    <definedName name="BEx3QIKJ3U962US1Q564NZDLU8LD" hidden="1">#REF!</definedName>
    <definedName name="BEx3QLPV4VPHPBEPWIX9VZZI7H6X" hidden="1">#REF!</definedName>
    <definedName name="BEx3QMGRK8MNMKRTZNDU27F75OUS" hidden="1">#REF!</definedName>
    <definedName name="BEx3QR9D45DHW50VQ7Y3Q1AXPOB9" hidden="1">#REF!</definedName>
    <definedName name="BEx3QSWT2S5KWG6U2V9711IYDQBM" hidden="1">#REF!</definedName>
    <definedName name="BEx3QVGG7Q2X4HZHJAM35A8T3VR7" hidden="1">#REF!</definedName>
    <definedName name="BEx3QZNIFPXYAW6A4DKDB6LAQVMA" hidden="1">#REF!</definedName>
    <definedName name="BEx3R0JUB9YN8PHPPQTAMIT1IHWK" hidden="1">#REF!</definedName>
    <definedName name="BEx3R0UP358CR6RIH8LTMVS522ZL" hidden="1">#REF!</definedName>
    <definedName name="BEx3R45D3INMU8MKA1AS9FLX299C" hidden="1">#REF!</definedName>
    <definedName name="BEx3R81NFRO7M81VHVKOBFT0QBIL" hidden="1">#REF!</definedName>
    <definedName name="BEx3RAW200YYWUQY64EOCMYVEJEI" hidden="1">#REF!</definedName>
    <definedName name="BEx3RHC2ZD5UFS6QD4OPFCNNMWH1" hidden="1">#REF!</definedName>
    <definedName name="BEx3RQ10QIWBAPHALAA91BUUCM2X" hidden="1">#REF!</definedName>
    <definedName name="BEx3RS4K7FJU4L0HLANSUHJ6HJVP" hidden="1">#REF!</definedName>
    <definedName name="BEx3RV4E1WT43SZBUN09RTB8EK1O" hidden="1">#REF!</definedName>
    <definedName name="BEx3RXYU0QLFXSFTM5EB20GD03W5" hidden="1">#REF!</definedName>
    <definedName name="BEx3RYKLC3QQO3XTUN7BEW2AQL98" hidden="1">#REF!</definedName>
    <definedName name="BEx3S1F06TFBD84TD6IVV3YPSVNL" hidden="1">#REF!</definedName>
    <definedName name="BEx3SB5KCL7DTUREM6A60UW5OK1G" hidden="1">#REF!</definedName>
    <definedName name="BEx3SICJ45BYT6FHBER86PJT25FC" hidden="1">#REF!</definedName>
    <definedName name="BEx3SJJP9825C22PI25NAOUM8COT" hidden="1">#REF!</definedName>
    <definedName name="BEx3SMUCMJVGQ2H4EHQI5ZFHEF0P" hidden="1">#REF!</definedName>
    <definedName name="BEx3SN56F03CPDRDA7LZ763V0N4I" hidden="1">#REF!</definedName>
    <definedName name="BEx3SPE6N1ORXPRCDL3JPZD73Z9F" hidden="1">#REF!</definedName>
    <definedName name="BEx3SWFNX8381AY9ERHCA2U9SSHZ" hidden="1">#REF!</definedName>
    <definedName name="BEx3SWQG9ED1M1Q5D63K0HZ15GQG" hidden="1">#REF!</definedName>
    <definedName name="BEx3SYJ6713LD1OKB0Y11S0UFN3P" hidden="1">#REF!</definedName>
    <definedName name="BEx3T29ZTULQE0OMSMWUMZDU9ZZ0" hidden="1">#REF!</definedName>
    <definedName name="BEx3T6MJ1QDJ929WMUDVZ0O3UW0Y" hidden="1">#REF!</definedName>
    <definedName name="BEx3TPCSI16OAB2L9M9IULQMQ9J9" hidden="1">#REF!</definedName>
    <definedName name="BEx3TQEMF8OGOQEKOMY564WIG20U" hidden="1">#REF!</definedName>
    <definedName name="BEx3TRWLFHAAIE7KMZZDJF5FNFE0" hidden="1">#REF!</definedName>
    <definedName name="BEx3TWJQ8W4P06V7NP6I74Y6IW00" hidden="1">#REF!</definedName>
    <definedName name="BEx3U64YUOZ419BAJS2W78UMATAW" hidden="1">#REF!</definedName>
    <definedName name="BEx3U94WCEA5DKMWBEX1GU0LKYG2" hidden="1">#REF!</definedName>
    <definedName name="BEx3U9VZ8SQVYS6ZA038J7AP7ZGW" hidden="1">#REF!</definedName>
    <definedName name="BEx3UIQ5WRJBGNTFCCLOR4N7B1OQ" hidden="1">#REF!</definedName>
    <definedName name="BEx3UJMIX2NUSSWGMSI25A5DM4CH" hidden="1">#REF!</definedName>
    <definedName name="BEx3UKOCOQG7S1YQ436S997K1KWV" hidden="1">#REF!</definedName>
    <definedName name="BEx3UWT9PZSMCGUN6EAE4RBN85D0" hidden="1">#REF!</definedName>
    <definedName name="BEx3UYM19VIXLA0EU7LB9NHA77PB" hidden="1">#REF!</definedName>
    <definedName name="BEx3VML7CG70HPISMVYIUEN3711Q" hidden="1">#REF!</definedName>
    <definedName name="BEx56ZID5H04P9AIYLP1OASFGV56" hidden="1">#REF!</definedName>
    <definedName name="BEx587EYSS57E3PI8DT973HLJM9E" hidden="1">#REF!</definedName>
    <definedName name="BEx587KFQ3VKCOCY1SA5F24PQGUI" hidden="1">#REF!</definedName>
    <definedName name="BEx5892F4FGNDXXZ6A5L23RUZBUO" hidden="1">#REF!</definedName>
    <definedName name="BEx58O780PQ05NF0Z1SKKRB3N099" hidden="1">#REF!</definedName>
    <definedName name="BEx58XHO7ZULLF2EUD7YIS0MGQJ5" hidden="1">#REF!</definedName>
    <definedName name="BEx58ZW0HAIGIPEX9CVA1PQQTR6X" hidden="1">#REF!</definedName>
    <definedName name="BEx599BYG73RWWBHGIWEKU5PLCSC" hidden="1">#REF!</definedName>
    <definedName name="BEx59BA1KH3RG6K1LHL7YS2VB79N" hidden="1">#REF!</definedName>
    <definedName name="BEx59E9WABJP2TN71QAIKK79HPK9" hidden="1">#REF!</definedName>
    <definedName name="BEx59P7MAPNU129ZTC5H3EH892G1" hidden="1">#REF!</definedName>
    <definedName name="BEx5A11WZRQSIE089QE119AOX9ZG" hidden="1">#REF!</definedName>
    <definedName name="BEx5A7CIGCOTHJKHGUBDZG91JGPZ" hidden="1">#REF!</definedName>
    <definedName name="BEx5A8UFLT2SWVSG5COFA9B8P376" hidden="1">#REF!</definedName>
    <definedName name="BEx5ACAHJPLAS35SPSXQ88PJYGPI" hidden="1">#REF!</definedName>
    <definedName name="BEx5ADCB2U4LB7YPU1CWLW5Y5UP8" hidden="1">#REF!</definedName>
    <definedName name="BEx5AFFTN3IXIBHDKM0FYC4OFL1S" hidden="1">#REF!</definedName>
    <definedName name="BEx5AN2VR65OZPV8T8AAYFHPTFJA" hidden="1">#REF!</definedName>
    <definedName name="BEx5AOFIO8KVRHIZ1RII337AA8ML" hidden="1">#REF!</definedName>
    <definedName name="BEx5APRZ66L5BWHFE8E4YYNEDTI4" hidden="1">#REF!</definedName>
    <definedName name="BEx5AUPY6C8ZXD1MJG4BCYUC1K83" hidden="1">#REF!</definedName>
    <definedName name="BEx5AUVDSQ35VO4BD9AKKGBM5S7D" hidden="1">#REF!</definedName>
    <definedName name="BEx5AUVFP7QXC0YZ3H9QSRHJRCP9" hidden="1">#REF!</definedName>
    <definedName name="BEx5B4RHHX0J1BF2FZKEA0SPP29O" hidden="1">#REF!</definedName>
    <definedName name="BEx5B5YMSWP0OVI5CIQRP5V18D0C" hidden="1">#REF!</definedName>
    <definedName name="BEx5B825RW35M5H0UB2IZGGRS4ER" hidden="1">#REF!</definedName>
    <definedName name="BEx5BAWPMY0TL684WDXX6KKJLRCN" hidden="1">#REF!</definedName>
    <definedName name="BEx5BBI61U4Y65GD0ARMTALPP7SJ" hidden="1">#REF!</definedName>
    <definedName name="BEx5BDR56MEV4IHY6CIH2SVNG1UB" hidden="1">#REF!</definedName>
    <definedName name="BEx5BESZC5H329SKHGJOHZFILYJJ" hidden="1">#REF!</definedName>
    <definedName name="BEx5BHSQ42B50IU1TEQFUXFX9XQD" hidden="1">#REF!</definedName>
    <definedName name="BEx5BKSM4UN4C1DM3EYKM79MRC5K" hidden="1">#REF!</definedName>
    <definedName name="BEx5BNN8NPH9KVOBARB9CDD9WLB6" hidden="1">#REF!</definedName>
    <definedName name="BEx5BWHFFATDUHF0CO2I3L9NNGX9" hidden="1">#REF!</definedName>
    <definedName name="BEx5BYFMZ80TDDN2EZO8CF39AIAC" hidden="1">#REF!</definedName>
    <definedName name="BEx5C2BWFW6SHZBFDEISKGXHZCQW" hidden="1">#REF!</definedName>
    <definedName name="BEx5C49ZFH8TO9ZU55729C3F7XG7" hidden="1">#REF!</definedName>
    <definedName name="BEx5C8GZQK13G60ZM70P63I5OS0L" hidden="1">#REF!</definedName>
    <definedName name="BEx5CAPTVN2NBT3UOMA1UFAL1C2R" hidden="1">#REF!</definedName>
    <definedName name="BEx5CEM3SYF9XP0ZZVE0GEPCLV3F" hidden="1">#REF!</definedName>
    <definedName name="BEx5CFYQ0F1Z6P8SCVJ0I3UPVFE4" hidden="1">#REF!</definedName>
    <definedName name="BEx5CINUDCSDCAJSNNV7XVNU8Q79" hidden="1">#REF!</definedName>
    <definedName name="BEx5CMES6FILOO6I70PF333HOIEZ" hidden="1">#REF!</definedName>
    <definedName name="BEx5CNLUIOYU8EODGA03Z3547I9T" hidden="1">#REF!</definedName>
    <definedName name="BEx5CPEKNSJORIPFQC2E1LTRYY8L" hidden="1">#REF!</definedName>
    <definedName name="BEx5CRNJEX69F0CSAR7GM4TWN8XI" hidden="1">#REF!</definedName>
    <definedName name="BEx5CSUOL05D8PAM2TRDA9VRJT1O" hidden="1">#REF!</definedName>
    <definedName name="BEx5CUNFOO4YDFJ22HCMI2QKIGKM" hidden="1">#REF!</definedName>
    <definedName name="BEx5D8L47OF0WHBPFWXGZINZWUBZ" hidden="1">#REF!</definedName>
    <definedName name="BEx5DAJAHQ2SKUPCKSCR3PYML67L" hidden="1">#REF!</definedName>
    <definedName name="BEx5DC18JM1KJCV44PF18E0LNRKA" hidden="1">#REF!</definedName>
    <definedName name="BEx5DJIZBTNS011R9IIG2OQ2L6ZX" hidden="1">#REF!</definedName>
    <definedName name="BEx5E123OLO9WQUOIRIDJ967KAGK" hidden="1">#REF!</definedName>
    <definedName name="BEx5E2UU5NES6W779W2OZTZOB4O7" hidden="1">#REF!</definedName>
    <definedName name="BEx5E4CSE5G83J5K32WENF7BXL82" hidden="1">#REF!</definedName>
    <definedName name="BEx5E4YCAZ40R0HVGWPFQZ7AKFB9" hidden="1">#REF!</definedName>
    <definedName name="BEx5EIFWLW20SRD48IVN2FWMJZFM" hidden="1">#REF!</definedName>
    <definedName name="BEx5ELQL9B0VR6UT18KP11DHOTFX" hidden="1">#REF!</definedName>
    <definedName name="BEx5ER4TJTFPN7IB1MNEB1ZFR5M6" hidden="1">#REF!</definedName>
    <definedName name="BEx5EUVLPXPH8CSGGD6D22SZHGE1" hidden="1">#REF!</definedName>
    <definedName name="BEx5F1RQVNR9DD8O5PZ3KUUW5BA1" hidden="1">#REF!</definedName>
    <definedName name="BEx5F6V72QTCK7O39Y59R0EVM6CW" hidden="1">#REF!</definedName>
    <definedName name="BEx5FGLQVACD5F5YZG4DGSCHCGO2" hidden="1">#REF!</definedName>
    <definedName name="BEx5FLJWHLW3BTZILDPN5NMA449V" hidden="1">#REF!</definedName>
    <definedName name="BEx5FNI2O10YN2SI1NO4X5GP3GTF" hidden="1">#REF!</definedName>
    <definedName name="BEx5FO8YRFSZCG3L608EHIHIHFY4" hidden="1">#REF!</definedName>
    <definedName name="BEx5FQNA6V4CNYSH013K45RI4BCV" hidden="1">#REF!</definedName>
    <definedName name="BEx5FVQPPEU32CPNV9RRQ9MNLLVE" hidden="1">#REF!</definedName>
    <definedName name="BEx5G08KGMG5X2AQKDGPFYG5GH94" hidden="1">#REF!</definedName>
    <definedName name="BEx5G1A8TFN4C4QII35U9DKYNIS8" hidden="1">#REF!</definedName>
    <definedName name="BEx5G1L0QO91KEPDMV1D8OT4BT73" hidden="1">#REF!</definedName>
    <definedName name="BEx5G86DZL1VYUX6KWODAP3WFAWP" hidden="1">#REF!</definedName>
    <definedName name="BEx5G8BV2GIOCM3C7IUFK8L04A6M" hidden="1">#REF!</definedName>
    <definedName name="BEx5GE66YNPSS5MSPTBXLYLNUHSJ" hidden="1">#REF!</definedName>
    <definedName name="BEx5GID9MVBUPFFT9M8K8B5MO9NV" hidden="1">#REF!</definedName>
    <definedName name="BEx5GN0EWA9SCQDPQ7NTUQH82QVK" hidden="1">#REF!</definedName>
    <definedName name="BEx5GNBCU4WZ74I0UXFL9ZG2XSGJ" hidden="1">#REF!</definedName>
    <definedName name="BEx5GUCTYC7QCWGWU5BTO7Y7HDZX" hidden="1">#REF!</definedName>
    <definedName name="BEx5GYUPJULJQ624TEESYFG1NFOH" hidden="1">#REF!</definedName>
    <definedName name="BEx5H0NEE0AIN5E2UHJ9J9ISU9N1" hidden="1">#REF!</definedName>
    <definedName name="BEx5H1UJSEUQM2K8QHQXO5THVHSO" hidden="1">#REF!</definedName>
    <definedName name="BEx5HAOT9XWUF7XIFRZZS8B9F5TZ" hidden="1">#REF!</definedName>
    <definedName name="BEx5HE4XRF9BUY04MENWY9CHHN5H" hidden="1">#REF!</definedName>
    <definedName name="BEx5HFHMABAT0H9KKS754X4T304E" hidden="1">#REF!</definedName>
    <definedName name="BEx5HGDZ7MX1S3KNXLRL9WU565V4" hidden="1">#REF!</definedName>
    <definedName name="BEx5HJZ9FAVNZSSBTAYRPZDYM9NU" hidden="1">#REF!</definedName>
    <definedName name="BEx5HZ9JMKHNLFWLVUB1WP5B39BL" hidden="1">#REF!</definedName>
    <definedName name="BEx5I244LQHZTF3XI66J8705R9XX" hidden="1">#REF!</definedName>
    <definedName name="BEx5I4CZWURJPJZH95QO8E7MXFWV" hidden="1">#REF!</definedName>
    <definedName name="BEx5I8PBP4LIXDGID5BP0THLO0AQ" hidden="1">#REF!</definedName>
    <definedName name="BEx5I8USVUB3JP4S9OXGMZVMOQXR" hidden="1">#REF!</definedName>
    <definedName name="BEx5I9GDQSYIAL65UQNDMNFQCS9Y" hidden="1">#REF!</definedName>
    <definedName name="BEx5IBUPG9AWNW5PK7JGRGEJ4OLM" hidden="1">#REF!</definedName>
    <definedName name="BEx5IC06RVN8BSAEPREVKHKLCJ2L" hidden="1">#REF!</definedName>
    <definedName name="BEx5IZODQZT6529T2DNXQUQYANN9" hidden="1">#REF!</definedName>
    <definedName name="BEx5J0FFP1KS4NGY20AEJI8VREEA" hidden="1">#REF!</definedName>
    <definedName name="BEx5JF3ZXLDIS8VNKDCY7ZI7H1CI" hidden="1">#REF!</definedName>
    <definedName name="BEx5JHCZJ8G6OOOW6EF3GABXKH6F" hidden="1">#REF!</definedName>
    <definedName name="BEx5JJB6W446THXQCRUKD3I7RKLP" hidden="1">#REF!</definedName>
    <definedName name="BEx5JJWTMI37U3RDEJOYLO93RJ6Z" hidden="1">#REF!</definedName>
    <definedName name="BEx5JNCT8Z7XSSPD5EMNAJELCU2V" hidden="1">#REF!</definedName>
    <definedName name="BEx5JQCNT9Y4RM306CHC8IPY3HBZ" hidden="1">#REF!</definedName>
    <definedName name="BEx5JXJMUNEOE5SZCVICVCA4NAE5" hidden="1">#REF!</definedName>
    <definedName name="BEx5K08PYKE6JOKBYIB006TX619P" hidden="1">#REF!</definedName>
    <definedName name="BEx5K21HQCDNYPG2QWFOVS99PE4A" hidden="1">#REF!</definedName>
    <definedName name="BEx5K51DSERT1TR7B4A29R41W4NX" hidden="1">#REF!</definedName>
    <definedName name="BEx5KM9PJMIQFJSBANJO5FVW3Z28" hidden="1">#REF!</definedName>
    <definedName name="BEx5KOO1FHA4BJJBZGOZKTK8PRRN" hidden="1">#REF!</definedName>
    <definedName name="BEx5KP4AYKXTVSPNNXQO249J0R2I" hidden="1">#REF!</definedName>
    <definedName name="BEx5KRIL3PFC9PIM7NQWA09TEQWG" hidden="1">#REF!</definedName>
    <definedName name="BEx5KXNQAFKNZPEY672LG4Y11VVY" hidden="1">#REF!</definedName>
    <definedName name="BEx5KYER580I4T7WTLMUN7NLNP5K" hidden="1">#REF!</definedName>
    <definedName name="BEx5LHLB3M6K4ZKY2F42QBZT30ZH" hidden="1">#REF!</definedName>
    <definedName name="BEx5LHVXYLEDKHB7VZ50CQEW1SXJ" hidden="1">#REF!</definedName>
    <definedName name="BEx5LRMNU3HXIE1BUMDHRU31F7JJ" hidden="1">#REF!</definedName>
    <definedName name="BEx5LSJ1LPUAX3ENSPECWPG4J7D1" hidden="1">#REF!</definedName>
    <definedName name="BEx5LTKQ8RQWJE4BC88OP928893U" hidden="1">#REF!</definedName>
    <definedName name="BEx5M29LX90S0ME1DHTPYLNGSNA3" hidden="1">#REF!</definedName>
    <definedName name="BEx5M7T5JER9G2MLDH3G50GCW8PO" hidden="1">#REF!</definedName>
    <definedName name="BEx5MB9BR71LZDG7XXQ2EO58JC5F" hidden="1">#REF!</definedName>
    <definedName name="BEx5MHPDH7DOVEZE2C8EZELYON3M" hidden="1">#REF!</definedName>
    <definedName name="BEx5MLQZM68YQSKARVWTTPINFQ2C" hidden="1">#REF!</definedName>
    <definedName name="BEx5MVSC1K4DS2KXS1BDR850N8X3" hidden="1">#REF!</definedName>
    <definedName name="BEx5MVXTKNBXHNWTL43C670E4KXC" hidden="1">#REF!</definedName>
    <definedName name="BEx5N4XI4PWB1W9PMZ4O5R0HWTYD" hidden="1">#REF!</definedName>
    <definedName name="BEx5NA68N6FJFX9UJXK4M14U487F" hidden="1">#REF!</definedName>
    <definedName name="BEx5NIKBG2GDJOYGE3WCXKU7YY51" hidden="1">#REF!</definedName>
    <definedName name="BEx5NP0DMPXUCHZ4Z9P1IF1QEUOV" hidden="1">#REF!</definedName>
    <definedName name="BEx5NV06L5J5IMKGOMGKGJ4PBZCD" hidden="1">#REF!</definedName>
    <definedName name="BEx5NW7CHOZCS7ITQCD71D0E4EHS" hidden="1">#REF!</definedName>
    <definedName name="BEx5NZSSQ6PY99ZX2D7Q9IGOR34W" hidden="1">#REF!</definedName>
    <definedName name="BEx5O3ZUQ2OARA1CDOZ3NC4UE5AA" hidden="1">#REF!</definedName>
    <definedName name="BEx5OAFS0NJ2CB86A02E1JYHMLQ1" hidden="1">#REF!</definedName>
    <definedName name="BEx5OG4RPU8W1ETWDWM234NYYYEN" hidden="1">#REF!</definedName>
    <definedName name="BEx5OP9Y43F99O2IT69MKCCXGL61" hidden="1">#REF!</definedName>
    <definedName name="BEx5OSF5PHPBQLZBEWKO2GVHMENY" hidden="1">#REF!</definedName>
    <definedName name="BEx5P1EV84MHVIBYLBSLCCYDZJ6J" hidden="1">#REF!</definedName>
    <definedName name="BEx5P9Y9RDXNUAJ6CZ2LHMM8IM7T" hidden="1">#REF!</definedName>
    <definedName name="BEx5PHWB2C0D5QLP3BZIP3UO7DIZ" hidden="1">#REF!</definedName>
    <definedName name="BEx5PJP02W68K2E46L5C5YBSNU6T" hidden="1">#REF!</definedName>
    <definedName name="BEx5PLCA8DOMAU315YCS5275L2HS" hidden="1">#REF!</definedName>
    <definedName name="BEx5PO1EN8IVTCT7NBBI4D5VSS56" hidden="1">#REF!</definedName>
    <definedName name="BEx5PRXMZ5M65Z732WNNGV564C2J" hidden="1">#REF!</definedName>
    <definedName name="BEx5QPI36D8TTZJQZJUFF70H2Z9H" hidden="1">#REF!</definedName>
    <definedName name="BEx5QPSW4IPLH50WSR87HRER05RF" hidden="1">#REF!</definedName>
    <definedName name="BEx73V0EP8EMNRC3EZJJKKVKWQVB" hidden="1">#REF!</definedName>
    <definedName name="BEx741WJHIJVXUX131SBXTVW8D71" hidden="1">#REF!</definedName>
    <definedName name="BEx74ESIB9Y8KGETIERMKU5PLCQR" hidden="1">#REF!</definedName>
    <definedName name="BEx74IZJLRUQ03RCK06W91H2260J" hidden="1">#REF!</definedName>
    <definedName name="BEx74Q6H3O7133AWQXWC21MI2UFT" hidden="1">#REF!</definedName>
    <definedName name="BEx74W6BJ8ENO3J25WNM5H5APKA3" hidden="1">#REF!</definedName>
    <definedName name="BEx755GRRD9BL27YHLH5QWIYLWB7" hidden="1">#REF!</definedName>
    <definedName name="BEx759D1D5SXS5ELLZVBI0SXYUNF" hidden="1">#REF!</definedName>
    <definedName name="BEx75GJZSZHUDN6OOAGQYFUDA2LP" hidden="1">#REF!</definedName>
    <definedName name="BEx75HGCCV5K4UCJWYV8EV9AG5YT" hidden="1">#REF!</definedName>
    <definedName name="BEx75PZT8TY5P13U978NVBUXKHT4" hidden="1">#REF!</definedName>
    <definedName name="BEx75QG2GMHQKFNMTCYVUDSVTUUM" hidden="1">#REF!</definedName>
    <definedName name="BEx75T55F7GML8V1DMWL26WRT006" hidden="1">#REF!</definedName>
    <definedName name="BEx75VJGR07JY6UUWURQ4PJ29UKC" hidden="1">#REF!</definedName>
    <definedName name="BEx761TWVQ2DWBKFUE9N9UK0XSVF" hidden="1">#REF!</definedName>
    <definedName name="BEx7741OUGLA0WJQLQRUJSL4DE00" hidden="1">#REF!</definedName>
    <definedName name="BEx774N83DXLJZ54Q42PWIJZ2DN1" hidden="1">#REF!</definedName>
    <definedName name="BEx774Y1LLFRLMRB1DAZ5763UBI9" hidden="1">#REF!</definedName>
    <definedName name="BEx779QNIY3061ZV9BR462WKEGRW" hidden="1">#REF!</definedName>
    <definedName name="BEx77G19QU9A95CNHE6QMVSQR2T3" hidden="1">#REF!</definedName>
    <definedName name="BEx77IVOUIIUB446IYGEKXU0QAQ6" hidden="1">#REF!</definedName>
    <definedName name="BEx77P0S3GVMS7BJUL9OWUGJ1B02" hidden="1">#REF!</definedName>
    <definedName name="BEx77QDESURI6WW5582YXSK3A972" hidden="1">#REF!</definedName>
    <definedName name="BEx77VBI9XOPFHKEWU5EHQ9J675Y" hidden="1">#REF!</definedName>
    <definedName name="BEx7809GQOCLHSNH95VOYIX7P1TV" hidden="1">#REF!</definedName>
    <definedName name="BEx780K8XAXUHGVZGZWQ74DK4CI3" hidden="1">#REF!</definedName>
    <definedName name="BEx78226TN58UE0CTY98YEDU0LSL" hidden="1">#REF!</definedName>
    <definedName name="BEx78699BO0ZZDPBA0JBAD6ETJZ2" hidden="1">#REF!</definedName>
    <definedName name="BEx7881ZZBWHRAX6W2GY19J8MGEQ" hidden="1">#REF!</definedName>
    <definedName name="BEx78HHRIWDLHQX2LG0HWFRYEL1T" hidden="1">#REF!</definedName>
    <definedName name="BEx78NSKC3OQCQ4WQAIZ6JURE7GW" hidden="1">#REF!</definedName>
    <definedName name="BEx78OOPYID4QYC9KQ8TPDG220E4" hidden="1">#REF!</definedName>
    <definedName name="BEx78QMXZ2P1ZB3HJ9O50DWHCMXR" hidden="1">#REF!</definedName>
    <definedName name="BEx78SFO5VR28677DWZEMDN7G86X" hidden="1">#REF!</definedName>
    <definedName name="BEx78SFOYH1Z0ZDTO47W2M60TW6K" hidden="1">#REF!</definedName>
    <definedName name="BEx79JK3E6JO8MX4O35A5G8NZCC8" hidden="1">#REF!</definedName>
    <definedName name="BEx79OCP4HQ6XP8EWNGEUDLOZBBS" hidden="1">#REF!</definedName>
    <definedName name="BEx79SEAYKUZB0H4LYBCD6WWJBG2" hidden="1">#REF!</definedName>
    <definedName name="BEx79SJRHTLS9PYM69O9BWW1FMJK" hidden="1">#REF!</definedName>
    <definedName name="BEx79WQU5LWTN1BP2FY6DBK4KP4Z" hidden="1">#REF!</definedName>
    <definedName name="BEx79YJJLBELICW9F9FRYSCQ101L" hidden="1">#REF!</definedName>
    <definedName name="BEx79YUC7B0V77FSBGIRCY1BR4VK" hidden="1">#REF!</definedName>
    <definedName name="BEx7A06T3RC2891FUX05G3QPRAUE" hidden="1">#REF!</definedName>
    <definedName name="BEx7A9S3JA1X7FH4CFSQLTZC4691" hidden="1">#REF!</definedName>
    <definedName name="BEx7ABA2C9IWH5VSLVLLLCY62161" hidden="1">#REF!</definedName>
    <definedName name="BEx7AE4LPLX8N85BYB0WCO5S7ZPV" hidden="1">#REF!</definedName>
    <definedName name="BEx7APTEO3XQRE4VVMDTCLU0WYUN" hidden="1">#REF!</definedName>
    <definedName name="BEx7ASD1I654MEDCO6GGWA95PXSC" hidden="1">#REF!</definedName>
    <definedName name="BEx7ASD1N2RV23FEX8JFUB931MTN" hidden="1">#REF!</definedName>
    <definedName name="BEx7AVCX9S5RJP3NSZ4QM4E6ERDT" hidden="1">#REF!</definedName>
    <definedName name="BEx7AVYIGP0930MV5JEBWRYCJN68" hidden="1">#REF!</definedName>
    <definedName name="BEx7AZPBAA6EI3WTSQPV3Q8BANJN" hidden="1">#REF!</definedName>
    <definedName name="BEx7B1NIHM5JKIYMN6RHZN1LL0V6" hidden="1">#REF!</definedName>
    <definedName name="BEx7B41TCRS2EUOFWVA9ZBVDX1T7" hidden="1">#REF!</definedName>
    <definedName name="BEx7B6LH6917TXOSAAQ6U7HVF018" hidden="1">#REF!</definedName>
    <definedName name="BEx7BBOVANMQEF89GINVCJJH9RJK" hidden="1">#REF!</definedName>
    <definedName name="BEx7BCFYOZCAZV9HJ9FDSL9TRNJP" hidden="1">#REF!</definedName>
    <definedName name="BEx7BFFTIO16BXXIVJ2ZU4QRQ5BY" hidden="1">#REF!</definedName>
    <definedName name="BEx7BPXFZXJ79FQ0E8AQE21PGVHA" hidden="1">#REF!</definedName>
    <definedName name="BEx7C04AM39DQMC1TIX7CFZ2ADHX" hidden="1">#REF!</definedName>
    <definedName name="BEx7C2NXL9TKAFMKAFDFFDT2RJE2" hidden="1">#REF!</definedName>
    <definedName name="BEx7C39JJA5885OQ7789WSWBNN8B" hidden="1">#REF!</definedName>
    <definedName name="BEx7C40F0PQURHPI6YQ39NFIR86Z" hidden="1">#REF!</definedName>
    <definedName name="BEx7C93VR7SYRIJS1JO8YZKSFAW9" hidden="1">#REF!</definedName>
    <definedName name="BEx7CCPC6R1KQQZ2JQU6EFI1G0RM" hidden="1">#REF!</definedName>
    <definedName name="BEx7CIJST9GLS2QD383UK7VUDTGL" hidden="1">#REF!</definedName>
    <definedName name="BEx7CO8T2XKC7GHDSYNAWTZ9L7YR" hidden="1">#REF!</definedName>
    <definedName name="BEx7CW1CF00DO8A36UNC2X7K65C2" hidden="1">#REF!</definedName>
    <definedName name="BEx7CW6NFRL2P4XWP0MWHIYA97KF" hidden="1">#REF!</definedName>
    <definedName name="BEx7CXJAGO8LRA944JL4V9LMD7CR" hidden="1">#REF!</definedName>
    <definedName name="BEx7D5RWKRS4W71J4NZ6ZSFHPKFT" hidden="1">#REF!</definedName>
    <definedName name="BEx7D8H1TPOX1UN17QZYEV7Q58GA" hidden="1">#REF!</definedName>
    <definedName name="BEx7DGF13H2074LRWFZQ45PZ6JPX" hidden="1">#REF!</definedName>
    <definedName name="BEx7DKWUXEDIISSX4GDD4YYT887F" hidden="1">#REF!</definedName>
    <definedName name="BEx7DMUYR2HC26WW7AOB1TULERMB" hidden="1">#REF!</definedName>
    <definedName name="BEx7DVJTRV44IMJIBFXELE67SZ7S" hidden="1">#REF!</definedName>
    <definedName name="BEx7DVUMFCI5INHMVFIJ44RTTSTT" hidden="1">#REF!</definedName>
    <definedName name="BEx7E2QT2U8THYOKBPXONB1B47WH" hidden="1">#REF!</definedName>
    <definedName name="BEx7E5QP7W6UKO74F5Y0VJ741HS5" hidden="1">#REF!</definedName>
    <definedName name="BEx7E6N29HGH3I47AFB2DCS6MVS6" hidden="1">#REF!</definedName>
    <definedName name="BEx7E7OX22351O3OGGHZU9NBVAZN" hidden="1">#REF!</definedName>
    <definedName name="BEx7EBA8IYHQKT7IQAOAML660SYA" hidden="1">#REF!</definedName>
    <definedName name="BEx7EI6C8MCRZFEQYUBE5FSUTIHK" hidden="1">#REF!</definedName>
    <definedName name="BEx7EI6DL1Z6UWLFBXAKVGZTKHWJ" hidden="1">#REF!</definedName>
    <definedName name="BEx7EQKHX7GZYOLXRDU534TT4H64" hidden="1">#REF!</definedName>
    <definedName name="BEx7ETV6L1TM7JSXJIGK3FC6RVZW" hidden="1">#REF!</definedName>
    <definedName name="BEx7EWK9GUVV6FXWYIGH0TAI4V2O" hidden="1">#REF!</definedName>
    <definedName name="BEx7EY28DOM76ZAY5BN0KJEAYHOP" hidden="1">#REF!</definedName>
    <definedName name="BEx7EYYLHMBYQTH6I377FCQS7CSX" hidden="1">#REF!</definedName>
    <definedName name="BEx7FBJRLJUZKK1FVSCNP0F4GBYT" hidden="1">#REF!</definedName>
    <definedName name="BEx7FCLG1RYI2SNOU1Y2GQZNZSWA" hidden="1">#REF!</definedName>
    <definedName name="BEx7FN32ZGWOAA4TTH79KINTDWR9" hidden="1">#REF!</definedName>
    <definedName name="BEx7FVMORQ1N6SIECWJVJWT23E6Y" hidden="1">#REF!</definedName>
    <definedName name="BEx7FZ2NBD60FXGNYS120WYBTXA3" hidden="1">#REF!</definedName>
    <definedName name="BEx7G82CKM3NIY1PHNFK28M09PCH" hidden="1">#REF!</definedName>
    <definedName name="BEx7GQCIM1W1OR8EP7JKRMYGFHW2" hidden="1">#REF!</definedName>
    <definedName name="BEx7GR3ENYWRXXS5IT0UMEGOLGUH" hidden="1">#REF!</definedName>
    <definedName name="BEx7GSAL6P7TASL8MB63RFST1LJL" hidden="1">#REF!</definedName>
    <definedName name="BEx7H0JD6I5I8WQLLWOYWY5YWPQE" hidden="1">#REF!</definedName>
    <definedName name="BEx7H14XCXH7WEXEY1HVO53A6AGH" hidden="1">#REF!</definedName>
    <definedName name="BEx7H7A3IND3XX895B1NI519TC8J" hidden="1">#REF!</definedName>
    <definedName name="BEx7H7QBL9EWLF57MYMWWMYQAJ13" hidden="1">#REF!</definedName>
    <definedName name="BEx7HFTIA8AC8BR8HKIN81VE1SGW" hidden="1">#REF!</definedName>
    <definedName name="BEx7HGVBEF4LEIF6RC14N3PSU461" hidden="1">#REF!</definedName>
    <definedName name="BEx7HQ5T9FZ42QWS09UO4DT42Y0R" hidden="1">#REF!</definedName>
    <definedName name="BEx7HRCZE3CVGON1HV07MT5MNDZ3" hidden="1">#REF!</definedName>
    <definedName name="BEx7HWGE2CANG5M17X4C8YNC3N8F" hidden="1">#REF!</definedName>
    <definedName name="BEx7I4P1PPA5W02YWU5BESACP00M" hidden="1">#REF!</definedName>
    <definedName name="BEx7I8FZ96C5JAHXS18ZV0912LZP" hidden="1">#REF!</definedName>
    <definedName name="BEx7IBVYN47SFZIA0K4MDKQZNN9V" hidden="1">#REF!</definedName>
    <definedName name="BEx7ITQ1JAO5QUQKUOKI8BGOMFOL" hidden="1">#REF!</definedName>
    <definedName name="BEx7IV2IJ5WT7UC0UG7WP0WF2JZI" hidden="1">#REF!</definedName>
    <definedName name="BEx7IWV99LM4FB1AXIXRNLT7DZJM" hidden="1">#REF!</definedName>
    <definedName name="BEx7IXBIY8ZW6ZP58PTJIYCV5W4J" hidden="1">#REF!</definedName>
    <definedName name="BEx7IXGU74GE5E4S6W4Z13AR092Y" hidden="1">#REF!</definedName>
    <definedName name="BEx7J4YL8Q3BI1MLH16YYQ18IJRD" hidden="1">#REF!</definedName>
    <definedName name="BEx7JH3HGBPI07OHZ5LFYK0UFZQR" hidden="1">#REF!</definedName>
    <definedName name="BEx7JKZXLXOLSLLSONR8SQOGME3S" hidden="1">#REF!</definedName>
    <definedName name="BEx7JSSFZV32DO6BJQ0DTILUEH73" hidden="1">#REF!</definedName>
    <definedName name="BEx7JV194190CNM6WWGQ3UBJ3CHH" hidden="1">#REF!</definedName>
    <definedName name="BEx7K7GZ607XQOGB81A1HINBTGOZ" hidden="1">#REF!</definedName>
    <definedName name="BEx7K9PZ2YF2XULMHYQA18PT8F8Q" hidden="1">#REF!</definedName>
    <definedName name="BEx7KEYPBDXSNROH8M6CDCBN6B50" hidden="1">#REF!</definedName>
    <definedName name="BEx7KQSYTZFZ2U8PVOL8XJKW7WL2" hidden="1">#REF!</definedName>
    <definedName name="BEx7KSAS8BZT6H8OQCZ5DNSTMO07" hidden="1">#REF!</definedName>
    <definedName name="BEx7KWHTBD21COXVI4HNEQH0Z3L8" hidden="1">#REF!</definedName>
    <definedName name="BEx7KXUGRMRSUXCM97Z7VRZQ9JH2" hidden="1">#REF!</definedName>
    <definedName name="BEx7L21IQVP1N1TTQLRMANSSLSLE" hidden="1">#REF!</definedName>
    <definedName name="BEx7L5C6U8MP6IZ67BD649WQYJEK" hidden="1">#REF!</definedName>
    <definedName name="BEx7L8HEYEVTATR0OG5JJO647KNI" hidden="1">#REF!</definedName>
    <definedName name="BEx7L8XOV64OMS15ZFURFEUXLMWF" hidden="1">#REF!</definedName>
    <definedName name="BEx7LJVFQACL9F4DRS9YZQ9R2N30" hidden="1">#REF!</definedName>
    <definedName name="BEx7LTWXZVV33O1HXJY9XHBEXHHB" hidden="1">#REF!</definedName>
    <definedName name="BEx7MAUI1JJFDIJGDW4RWY5384LY" hidden="1">#REF!</definedName>
    <definedName name="BEx7MJZO3UKAMJ53UWOJ5ZD4GGMQ" hidden="1">#REF!</definedName>
    <definedName name="BEx7MT4MFNXIVQGAT6D971GZW7CA" hidden="1">#REF!</definedName>
    <definedName name="BEx7NI062THZAM6I8AJWTFJL91CS" hidden="1">#REF!</definedName>
    <definedName name="BEx8Z3X2UR50I0KZQ2SMJE1Y0HYC" hidden="1">#REF!</definedName>
    <definedName name="BEx904S75BPRYMHF0083JF7ES4NG" hidden="1">#REF!</definedName>
    <definedName name="BEx90HDD4RWF7JZGA8GCGG7D63MG" hidden="1">#REF!</definedName>
    <definedName name="BEx90MM3LYEQHP212TVNSOIVDB13" hidden="1">#REF!</definedName>
    <definedName name="BEx90VGH5H09ON2QXYC9WIIEU98T" hidden="1">#REF!</definedName>
    <definedName name="BEx90ZYCE6IMULEXTMTRPLKOG79X" hidden="1">#REF!</definedName>
    <definedName name="BEx9175B70QXYAU5A8DJPGZQ46L9" hidden="1">#REF!</definedName>
    <definedName name="BEx91AQQRTV87AO27VWHSFZAD4ZR" hidden="1">#REF!</definedName>
    <definedName name="BEx91K6KICF1T25BKWLDR7P95TDQ" hidden="1">#REF!</definedName>
    <definedName name="BEx91L8FLL5CWLA2CDHKCOMGVDZN" hidden="1">#REF!</definedName>
    <definedName name="BEx91OIXG83P393YHOCOBLP65TY3" hidden="1">#REF!</definedName>
    <definedName name="BEx91OTVH9ZDBC3QTORU8RZX4EOC" hidden="1">#REF!</definedName>
    <definedName name="BEx91QH5JRZKQP1GPN2SQMR3CKAG" hidden="1">#REF!</definedName>
    <definedName name="BEx91ROALDNHO7FI4X8L61RH4UJE" hidden="1">#REF!</definedName>
    <definedName name="BEx91TMID71GVYH0U16QM1RV3PX0" hidden="1">#REF!</definedName>
    <definedName name="BEx91VF2D78PAF337E3L2L81K9W2" hidden="1">#REF!</definedName>
    <definedName name="BEx91ZGT8HCCH3R5FOGGR3GGOXQH" hidden="1">#REF!</definedName>
    <definedName name="BEx921PNZ46VORG2VRMWREWIC0SE" hidden="1">#REF!</definedName>
    <definedName name="BEx926NRVRV7P8KHOQ5CLQOG9ECO" hidden="1">#REF!</definedName>
    <definedName name="BEx927UXKF536BQKTS53JPU2MRSK" hidden="1">#REF!</definedName>
    <definedName name="BEx928RAMNEWGDZ45PYSUDQPMWRV" hidden="1">#REF!</definedName>
    <definedName name="BEx92BR5YWDHB9Z83PRXVKLK9SFY" hidden="1">#REF!</definedName>
    <definedName name="BEx92DPEKL5WM5A3CN8674JI0PR3" hidden="1">#REF!</definedName>
    <definedName name="BEx92ER2RMY93TZK0D9L9T3H0GI5" hidden="1">#REF!</definedName>
    <definedName name="BEx92FI04PJT4LI23KKIHRXWJDTT" hidden="1">#REF!</definedName>
    <definedName name="BEx92HR14HQ9D5JXCSPA4SS4RT62" hidden="1">#REF!</definedName>
    <definedName name="BEx92HWA2D6A5EX9MFG68G0NOMSN" hidden="1">#REF!</definedName>
    <definedName name="BEx92PUBDIXAU1FW5ZAXECMAU0LN" hidden="1">#REF!</definedName>
    <definedName name="BEx92S8MHFFIVRQ2YSHZNQGOFUHD" hidden="1">#REF!</definedName>
    <definedName name="BEx930XCAMNKYAYDYLK56GXJ908F" hidden="1">#REF!</definedName>
    <definedName name="BEx939RRSZHJBAU4WI1KCDY0PUTA" hidden="1">#REF!</definedName>
    <definedName name="BEx939X7HAGBYUVO8GNKEAQZA4GS" hidden="1">#REF!</definedName>
    <definedName name="BEx93B9OULL2YGC896XXYAAJSTRK" hidden="1">#REF!</definedName>
    <definedName name="BEx93FRKF99NRT3LH99UTIH7AAYF" hidden="1">#REF!</definedName>
    <definedName name="BEx93M7FSHP50OG34A4W8W8DF12U" hidden="1">#REF!</definedName>
    <definedName name="BEx93OLWY2O3PRA74U41VG5RXT4Q" hidden="1">#REF!</definedName>
    <definedName name="BEx93RWFAF6YJGYUTITVM445C02U" hidden="1">#REF!</definedName>
    <definedName name="BEx93SY9RWG3HUV4YXQKXJH9FH14" hidden="1">#REF!</definedName>
    <definedName name="BEx93TJUX3U0FJDBG6DDSNQ91R5J" hidden="1">#REF!</definedName>
    <definedName name="BEx942UCRHMI4B0US31HO95GSC2X" hidden="1">#REF!</definedName>
    <definedName name="BEx948ZFFQWVIDNG4AZAUGGGEB5U" hidden="1">#REF!</definedName>
    <definedName name="BEx94CKXG92OMURH41SNU6IOHK4J" hidden="1">#REF!</definedName>
    <definedName name="BEx94GXG30CIVB6ZQN3X3IK6BZXQ" hidden="1">#REF!</definedName>
    <definedName name="BEx94HZ5LURYM9ST744ALV6ZCKYP" hidden="1">#REF!</definedName>
    <definedName name="BEx94IFEPDO7PJQEC7LM78LYFBYR" hidden="1">#REF!</definedName>
    <definedName name="BEx94IQ75E90YUMWJ9N591LR7DQQ" hidden="1">#REF!</definedName>
    <definedName name="BEx94L9TBK45AUQSX1IUZ86U1GPQ" hidden="1">#REF!</definedName>
    <definedName name="BEx94N7W5T3U7UOE97D6OVIBUCXS" hidden="1">#REF!</definedName>
    <definedName name="BEx953PB6S6ECMD8N0JSW0CBG0DA" hidden="1">#REF!</definedName>
    <definedName name="BEx954WHGJURFSAG02SDZYJ1AAH3" hidden="1">#REF!</definedName>
    <definedName name="BEx955NIAWX5OLAHMTV6QFUZPR30" hidden="1">#REF!</definedName>
    <definedName name="BEx9581TYVI2M5TT4ISDAJV4W7Z6" hidden="1">#REF!</definedName>
    <definedName name="BEx95NHF4RVUE0YDOAFZEIVBYJXD" hidden="1">#REF!</definedName>
    <definedName name="BEx95QBZMG0E2KQ9BERJ861QLYN3" hidden="1">#REF!</definedName>
    <definedName name="BEx95QHBVDN795UNQJLRXG3RDU49" hidden="1">#REF!</definedName>
    <definedName name="BEx95TBVUWV7L7OMFMZDQEXGVHU6" hidden="1">#REF!</definedName>
    <definedName name="BEx95U89DZZSVO39TGS62CX8G9N4" hidden="1">#REF!</definedName>
    <definedName name="BEx9602K2GHNBUEUVT9ONRQU1GMD" hidden="1">#REF!</definedName>
    <definedName name="BEx962BL3Y4LA53EBYI64ZYMZE8U" hidden="1">#REF!</definedName>
    <definedName name="BEx968M0DAUWAEDXY4J06VIHIQQK" hidden="1">#REF!</definedName>
    <definedName name="BEx96KR21O7H9R29TN0S45Y3QPUK" hidden="1">#REF!</definedName>
    <definedName name="BEx96SUFKHHFE8XQ6UUO6ILDOXHO" hidden="1">#REF!</definedName>
    <definedName name="BEx96UN4YWXBDEZ1U1ZUIPP41Z7I" hidden="1">#REF!</definedName>
    <definedName name="BEx970MYCPJ6DQ44TKLOIGZO5LHH" hidden="1">#REF!</definedName>
    <definedName name="BEx978KSD61YJH3S9DGO050R2EHA" hidden="1">#REF!</definedName>
    <definedName name="BEx97FX1C9GA5LBQB3NAWMY09M6H" hidden="1">#REF!</definedName>
    <definedName name="BEx97H9O1NAKAPK4MX4PKO34ICL5" hidden="1">#REF!</definedName>
    <definedName name="BEx97HVA5F2I0D6ID81KCUDEQOIH" hidden="1">#REF!</definedName>
    <definedName name="BEx97MNUZQ1Z0AO2FL7XQYVNCPR7" hidden="1">#REF!</definedName>
    <definedName name="BEx97NPQBACJVD9K1YXI08RTW9E2" hidden="1">#REF!</definedName>
    <definedName name="BEx97RWQLXS0OORDCN69IGA58CWU" hidden="1">#REF!</definedName>
    <definedName name="BEx97YNGGDFIXHTMGFL2IHAQX9MI" hidden="1">#REF!</definedName>
    <definedName name="BEx981HW73BUZWT14TBTZHC0ZTJ4" hidden="1">#REF!</definedName>
    <definedName name="BEx9871KU0N99P0900EAK69VFYT2" hidden="1">#REF!</definedName>
    <definedName name="BEx989L7JLJH5BX0GAGOSNJCB0SF" hidden="1">#REF!</definedName>
    <definedName name="BEx98IFKNJFGZFLID1YTRFEG1SXY" hidden="1">#REF!</definedName>
    <definedName name="BEx98TO4JSN70LJAJAPCF4YG8NEQ" hidden="1">#REF!</definedName>
    <definedName name="BEx9915UVD4G7RA3IMLFZ0LG3UA2" hidden="1">#REF!</definedName>
    <definedName name="BEx991LZD237N8WB3AIO9ROOOPQG" hidden="1">#REF!</definedName>
    <definedName name="BEx992CZON8AO7U7V88VN1JBO0MG" hidden="1">#REF!</definedName>
    <definedName name="BEx9952469XMFGSPXL7CMXHPJF90" hidden="1">#REF!</definedName>
    <definedName name="BEx99524ABVP9W0VVX93WC03K6ID" hidden="1">#REF!</definedName>
    <definedName name="BEx999PB8ZCIGEKM9NXR622FRM8G" hidden="1">#REF!</definedName>
    <definedName name="BEx99B77I7TUSHRR4HIZ9FU2EIUT" hidden="1">#REF!</definedName>
    <definedName name="BEx99LZNH1SJBBV79FNMH369GXUU" hidden="1">#REF!</definedName>
    <definedName name="BEx99Q6PH5F3OQKCCAAO75PYDEFN" hidden="1">#REF!</definedName>
    <definedName name="BEx99WBYT2D6UUC1PT7A40ENYID4" hidden="1">#REF!</definedName>
    <definedName name="BEx99WS34CWU7LCUYCX2VA7G8JFP" hidden="1">#REF!</definedName>
    <definedName name="BEx99XOGHOM28CNCYKQWYGL56W2S" hidden="1">#REF!</definedName>
    <definedName name="BEx99ZRZ4I7FHDPGRAT5VW7NVBPU" hidden="1">#REF!</definedName>
    <definedName name="BEx9AKWPNM58M88D1ZL7PKKW6ES3" hidden="1">#REF!</definedName>
    <definedName name="BEx9AT5E3ZSHKSOL35O38L8HF9TH" hidden="1">#REF!</definedName>
    <definedName name="BEx9AV8W1FAWF5BHATYEN47X12JN" hidden="1">#REF!</definedName>
    <definedName name="BEx9B8A5186FNTQQNLIO5LK02ABI" hidden="1">#REF!</definedName>
    <definedName name="BEx9B8VR20E2CILU4CDQUQQ9ONXK" hidden="1">#REF!</definedName>
    <definedName name="BEx9B917EUP13X6FQ3NPQL76XM5V" hidden="1">#REF!</definedName>
    <definedName name="BEx9BAJ5WYEQ623HUT9NNCMP3RUG" hidden="1">#REF!</definedName>
    <definedName name="BEx9BD83BZRZJOMJ3SYG8HUAG21X" hidden="1">#REF!</definedName>
    <definedName name="BEx9BYSYW7QCPXS2NAVLFAU5Y2Z2" hidden="1">#REF!</definedName>
    <definedName name="BEx9C590HJ2O31IWJB73C1HR74AI" hidden="1">#REF!</definedName>
    <definedName name="BEx9C7NBPP8MHV42YGVSAR38XIPC" hidden="1">#REF!</definedName>
    <definedName name="BEx9CCQRMYYOGIOYTOM73VKDIPS1" hidden="1">#REF!</definedName>
    <definedName name="BEx9CG6S21DEEUADQIY46JZR437A" hidden="1">#REF!</definedName>
    <definedName name="BEx9CH8LY6HGNYCUAV8LOJ5KTJOP" hidden="1">#REF!</definedName>
    <definedName name="BEx9CHOQ4KC52QTLX2JQ92QH7EZ7" hidden="1">#REF!</definedName>
    <definedName name="BEx9CMMSQA4LXHX5RGGTAJ9WVHTY" hidden="1">#REF!</definedName>
    <definedName name="BEx9CSH58O6FFUNN3C4VF1OC5ZWF" hidden="1">#REF!</definedName>
    <definedName name="BEx9CTDJ6OYUCCHJVREB4QE71EVB" hidden="1">#REF!</definedName>
    <definedName name="BEx9CW8499VLSI6M73BY8PBR909R" hidden="1">#REF!</definedName>
    <definedName name="BEx9D1BC9FT19KY0INAABNDBAMR1" hidden="1">#REF!</definedName>
    <definedName name="BEx9DGLRBAA81DUUOT35XR05XLKG" hidden="1">#REF!</definedName>
    <definedName name="BEx9DIUMQ146ZA44XLQ4VEXAMEEN" hidden="1">#REF!</definedName>
    <definedName name="BEx9DIZXF9X0GE90ROFYKV6K3PM9" hidden="1">#REF!</definedName>
    <definedName name="BEx9DN6ZMF18Q39MPMXSDJTZQNJ3" hidden="1">#REF!</definedName>
    <definedName name="BEx9DUU8DALPSCW66GTMQRPXZ6GL" hidden="1">#REF!</definedName>
    <definedName name="BEx9E08EK253W8SNA7NOGR32IG6U" hidden="1">#REF!</definedName>
    <definedName name="BEx9E14TDNSEMI784W0OTIEQMWN6" hidden="1">#REF!</definedName>
    <definedName name="BEx9E2BZ2B1R41FMGJCJ7JLGLUAJ" hidden="1">#REF!</definedName>
    <definedName name="BEx9EG9KBJ77M8LEOR9ITOKN5KXY" hidden="1">#REF!</definedName>
    <definedName name="BEx9EMK6HAJJMVYZTN5AUIV7O1E6" hidden="1">#REF!</definedName>
    <definedName name="BEx9EOCXDPC2GRC0YQPCGE9LPI2Q" hidden="1">#REF!</definedName>
    <definedName name="BEx9EQLVZHYQ1TPX7WH3SOWXCZLE" hidden="1">#REF!</definedName>
    <definedName name="BEx9ETLU0EK5LGEM1QCNYN2S8O5F" hidden="1">#REF!</definedName>
    <definedName name="BEx9F0Y2ESUNE3U7TQDLMPE9BO67" hidden="1">#REF!</definedName>
    <definedName name="BEx9F5W18ZGFOKGRE8PR6T1MO6GT" hidden="1">#REF!</definedName>
    <definedName name="BEx9F6N3JERVALBTMT82ILHQMEE5" hidden="1">#REF!</definedName>
    <definedName name="BEx9F78N4HY0XFGBQ4UJRD52L1EI" hidden="1">#REF!</definedName>
    <definedName name="BEx9FC6LEU6Q6KGC7G189CUJ1674" hidden="1">#REF!</definedName>
    <definedName name="BEx9FF16LOQP5QIR4UHW5EIFGQB8" hidden="1">#REF!</definedName>
    <definedName name="BEx9FHQBQKPJSD7OANXATKBQE6ZF" hidden="1">#REF!</definedName>
    <definedName name="BEx9FJTSRCZ3ZXT3QVBJT5NF8T7V" hidden="1">#REF!</definedName>
    <definedName name="BEx9FNKMZAYUW5M3FPM6F1OIBXGZ" hidden="1">#REF!</definedName>
    <definedName name="BEx9FRBEEYPS5HLS3XT34AKZN94G" hidden="1">#REF!</definedName>
    <definedName name="BEx9G892CF6SM99J007LDYZPPYNL" hidden="1">#REF!</definedName>
    <definedName name="BEx9GDY4D8ZPQJCYFIMYM0V0C51Y" hidden="1">#REF!</definedName>
    <definedName name="BEx9GGY04V0ZWI6O9KZH4KSBB389" hidden="1">#REF!</definedName>
    <definedName name="BEx9GIL85J9RGPSYDEPBOQ7T54TH" hidden="1">#REF!</definedName>
    <definedName name="BEx9GNOPB6OZ2RH3FCDNJR38RJOS" hidden="1">#REF!</definedName>
    <definedName name="BEx9GUQALUWCD30UKUQGSWW8KBQ7" hidden="1">#REF!</definedName>
    <definedName name="BEx9GY6BVFQGCLMOWVT6PIC9WP5X" hidden="1">#REF!</definedName>
    <definedName name="BEx9GZ2P3FDHKXEBXX2VS0BG2NP2" hidden="1">#REF!</definedName>
    <definedName name="BEx9H04IB14E1437FF2OIRRWBSD7" hidden="1">#REF!</definedName>
    <definedName name="BEx9H5O1KDZJCW91Q29VRPY5YS6P" hidden="1">#REF!</definedName>
    <definedName name="BEx9H8YR0E906F1JXZMBX3LNT004" hidden="1">#REF!</definedName>
    <definedName name="BEx9HMGBFKSUDXK7UR9W2D47RPEE" hidden="1">#REF!</definedName>
    <definedName name="BEx9HW1KP9ZY4UFD28YNDYMA7D4L" hidden="1">#REF!</definedName>
    <definedName name="BEx9I8XIG7E5NB48QQHXP23FIN60" hidden="1">#REF!</definedName>
    <definedName name="BEx9IBXE0CLJ5PZU6WXVD7SH0YMI" hidden="1">#REF!</definedName>
    <definedName name="BEx9IHRQUH4D1XBSD677MO2SMMR7" hidden="1">#REF!</definedName>
    <definedName name="BEx9IOTD1SJQLBX37W32R3OCV3Q5" hidden="1">#REF!</definedName>
    <definedName name="BEx9IQRF01ATLVK0YE60ARKQJ68L" hidden="1">#REF!</definedName>
    <definedName name="BEx9IT5QNZWKM6YQ5WER0DC2PMMU" hidden="1">#REF!</definedName>
    <definedName name="BEx9IW5MFLXTVCJHVUZTUH93AXOS" hidden="1">#REF!</definedName>
    <definedName name="BEx9IXCSPSZC80YZUPRCYTG326KV" hidden="1">#REF!</definedName>
    <definedName name="BEx9IZR39NHDGOM97H4E6F81RTQW" hidden="1">#REF!</definedName>
    <definedName name="BEx9J6CH5E7YZPER7HXEIOIKGPCA" hidden="1">#REF!</definedName>
    <definedName name="BEx9JJTZKVUJAVPTRE0RAVTEH41G" hidden="1">#REF!</definedName>
    <definedName name="BEx9JLBYK239B3F841C7YG1GT7ST" hidden="1">#REF!</definedName>
    <definedName name="BEx9KJHZBRZYQ3PPN9BK4ATXIBMS" hidden="1">#REF!</definedName>
    <definedName name="BExAW4IIW5D0MDY6TJ3G4FOLPYIR" hidden="1">#REF!</definedName>
    <definedName name="BExAWIWDS3R1OS7UZY9KRDZJ2WOA" hidden="1">#REF!</definedName>
    <definedName name="BExAX410NB4F2XOB84OR2197H8M5" hidden="1">#REF!</definedName>
    <definedName name="BExAX7RXMIG2S57QUSLXLZ4NLTOB" hidden="1">#REF!</definedName>
    <definedName name="BExAX8TNG8LQ5Q4904SAYQIPGBSV" hidden="1">#REF!</definedName>
    <definedName name="BExAXL3ZT02BUZOGSRNS6WGCOV7K" hidden="1">#REF!</definedName>
    <definedName name="BExAXL40LDNIK611AYB1QPTYW9XW" hidden="1">#REF!</definedName>
    <definedName name="BExAXMLYL4S29U8DDVDUMMM518WO" hidden="1">#REF!</definedName>
    <definedName name="BExAXVWFS9BSFJT23AT5MRLOIMU8" hidden="1">#REF!</definedName>
    <definedName name="BExAY0EAT2LXR5MFGM0DLIB45PLO" hidden="1">#REF!</definedName>
    <definedName name="BExAYE6LNIEBR9DSNI5JGNITGKIT" hidden="1">#REF!</definedName>
    <definedName name="BExAYHMLXGGO25P8HYB2S75DEB4F" hidden="1">#REF!</definedName>
    <definedName name="BExAYKXAUWGDOPG952TEJ2UKZKWN" hidden="1">#REF!</definedName>
    <definedName name="BExAYOTJYK38SETCZPOW5OKWPQ2L" hidden="1">#REF!</definedName>
    <definedName name="BExAYP9TDTI2MBP6EYE0H39CPMXN" hidden="1">#REF!</definedName>
    <definedName name="BExAYPPWJPWDKU59O051WMGB7O0J" hidden="1">#REF!</definedName>
    <definedName name="BExAYR2JZCJBUH6F1LZC2A7JIVRJ" hidden="1">#REF!</definedName>
    <definedName name="BExAYTGVRD3DLKO75RFPMBKCIWB8" hidden="1">#REF!</definedName>
    <definedName name="BExAYY9H9COOT46HJLPVDLTO12UL" hidden="1">#REF!</definedName>
    <definedName name="BExAZCNEGB4JYHC8CZ51KTN890US" hidden="1">#REF!</definedName>
    <definedName name="BExAZEQXMC1YSZE1OFGWGCLBRXA8" hidden="1">#REF!</definedName>
    <definedName name="BExAZFCI302YFYRDJYQDWQQL0Q0O" hidden="1">#REF!</definedName>
    <definedName name="BExAZLHLST9OP89R1HJMC1POQG8H" hidden="1">#REF!</definedName>
    <definedName name="BExAZMDYMIAA7RX1BMCKU1VLBRGY" hidden="1">#REF!</definedName>
    <definedName name="BExAZNL6BHI8DCQWXOX4I2P839UX" hidden="1">#REF!</definedName>
    <definedName name="BExAZRMWSONMCG9KDUM4KAQ7BONM" hidden="1">#REF!</definedName>
    <definedName name="BExAZTFG4SJRG4TW6JXRF7N08JFI" hidden="1">#REF!</definedName>
    <definedName name="BExAZUS4A8OHDZK0MWAOCCCKTH73" hidden="1">#REF!</definedName>
    <definedName name="BExAZX6FECVK3E07KXM2XPYKGM6U" hidden="1">#REF!</definedName>
    <definedName name="BExB012NJ8GASTNNPBRRFTLHIOC9" hidden="1">#REF!</definedName>
    <definedName name="BExB072HHXVMUC0VYNGG48GRSH5Q" hidden="1">#REF!</definedName>
    <definedName name="BExB0FRDEYDEUEAB1W8KD6D965XA" hidden="1">#REF!</definedName>
    <definedName name="BExB0HK3ZMQ56SL1459GLN0RSK9R" hidden="1">#REF!</definedName>
    <definedName name="BExB0KPCN7YJORQAYUCF4YKIKPMC" hidden="1">#REF!</definedName>
    <definedName name="BExB0WE4PI3NOBXXVO9CTEN4DIU2" hidden="1">#REF!</definedName>
    <definedName name="BExB10QNIVITUYS55OAEKK3VLJFE" hidden="1">#REF!</definedName>
    <definedName name="BExB12ZHTPYICL0A8RA5MRDZPYAX" hidden="1">#REF!</definedName>
    <definedName name="BExB15ZDRY4CIJ911DONP0KCY9KU" hidden="1">#REF!</definedName>
    <definedName name="BExB16VQY0O0RLZYJFU3OFEONVTE" hidden="1">#REF!</definedName>
    <definedName name="BExB1BDLEK7SXDZ4KUZZIUMVQQKG" hidden="1">#REF!</definedName>
    <definedName name="BExB1FKN9YUYJ7B8ZJSMRSJ6ONT6" hidden="1">#REF!</definedName>
    <definedName name="BExB1FKNY2UO4W5FUGFHJOA2WFGG" hidden="1">#REF!</definedName>
    <definedName name="BExB1GH1C1LVMFMSITZ5R4A5SQ9C" hidden="1">#REF!</definedName>
    <definedName name="BExB1GMD0PIDGTFBGQOPRWQSP9I4" hidden="1">#REF!</definedName>
    <definedName name="BExB1Q29OO6LNFNT1EQLA3KYE7MX" hidden="1">#REF!</definedName>
    <definedName name="BExB1TNRV5EBWZEHYLHI76T0FVA7" hidden="1">#REF!</definedName>
    <definedName name="BExB1WI6M8I0EEP1ANUQZCFY24EV" hidden="1">#REF!</definedName>
    <definedName name="BExB1Z7BPMNZ5S6L340VB9TB09UL" hidden="1">#REF!</definedName>
    <definedName name="BExB203OWC9QZA3BYOKQ18L4FUJE" hidden="1">#REF!</definedName>
    <definedName name="BExB2CJHTU7C591BR4WRL5L2F2K6" hidden="1">#REF!</definedName>
    <definedName name="BExB2K1AV4PGNS1O6C7D7AO411AX" hidden="1">#REF!</definedName>
    <definedName name="BExB2O2UYHKI324YE324E1N7FVIB" hidden="1">#REF!</definedName>
    <definedName name="BExB2Q0VJ0MU2URO3JOVUAVHEI3V" hidden="1">#REF!</definedName>
    <definedName name="BExB2WBNE2WPASXTSK9N25DFOHDG" hidden="1">#REF!</definedName>
    <definedName name="BExB2YKHHVV1W52BW2UE52SJVXUL" hidden="1">#REF!</definedName>
    <definedName name="BExB2Z0R8VQ33FLNVINI202TB7PE" hidden="1">#REF!</definedName>
    <definedName name="BExB30IP1DNKNQ6PZ5ERUGR5MK4Z" hidden="1">#REF!</definedName>
    <definedName name="BExB349GZLP17OMQEZQ03SF5GI5T" hidden="1">#REF!</definedName>
    <definedName name="BExB37K6P7NHB9MAOHNM7QNFEOWE" hidden="1">#REF!</definedName>
    <definedName name="BExB406HXCZGNSDPPO8VOG1110ZG" hidden="1">#REF!</definedName>
    <definedName name="BExB442RX0T3L6HUL6X5T21CENW6" hidden="1">#REF!</definedName>
    <definedName name="BExB4ADD0L7417CII901XTFKXD1J" hidden="1">#REF!</definedName>
    <definedName name="BExB4DO1V1NL2AVK5YE1RSL5RYHL" hidden="1">#REF!</definedName>
    <definedName name="BExB4DYU06HCGRIPBSWRCXK804UM" hidden="1">#REF!</definedName>
    <definedName name="BExB4V1UC4AWH0M3QGFJ62LYLTSU" hidden="1">#REF!</definedName>
    <definedName name="BExB4Z3EZBGYYI33U0KQ8NEIH8PY" hidden="1">#REF!</definedName>
    <definedName name="BExB51CFYGL8L9ILBS8MY79PAN0J" hidden="1">#REF!</definedName>
    <definedName name="BExB55368XW7UX657ZSPC6BFE92S" hidden="1">#REF!</definedName>
    <definedName name="BExB5651I5OBOXUX0S3WXSWT4L3L" hidden="1">#REF!</definedName>
    <definedName name="BExB57MZEPL2SA2ONPK66YFLZWJU" hidden="1">#REF!</definedName>
    <definedName name="BExB5833OAOJ22VK1YK47FHUSVK2" hidden="1">#REF!</definedName>
    <definedName name="BExB58JDIHS42JZT9DJJMKA8QFCO" hidden="1">#REF!</definedName>
    <definedName name="BExB58U5FQC5JWV9CGC83HLLZUZI" hidden="1">#REF!</definedName>
    <definedName name="BExB5EDO9XUKHF74X3HAU2WPPHZH" hidden="1">#REF!</definedName>
    <definedName name="BExB5G6EH68AYEP1UT0GHUEL3SLN" hidden="1">#REF!</definedName>
    <definedName name="BExB5QYVEZWFE5DQVHAM760EV05X" hidden="1">#REF!</definedName>
    <definedName name="BExB5U9IRH14EMOE0YGIE3WIVLFS" hidden="1">#REF!</definedName>
    <definedName name="BExB5VWYMOV6BAIH7XUBBVPU7MMD" hidden="1">#REF!</definedName>
    <definedName name="BExB610DZWIJP1B72U9QM42COH2B" hidden="1">#REF!</definedName>
    <definedName name="BExB65I2QPQX9FPEXF5T1FIROAZW" hidden="1">#REF!</definedName>
    <definedName name="BExB6C3FUAKK9ML5T767NMWGA9YB" hidden="1">#REF!</definedName>
    <definedName name="BExB6C8X6JYRLKZKK17VE3QUNL3D" hidden="1">#REF!</definedName>
    <definedName name="BExB6FOXZPDLLLQ5VV6EY2X8CXFE" hidden="1">#REF!</definedName>
    <definedName name="BExB6HN3QRFPXM71MDUK21BKM7PF" hidden="1">#REF!</definedName>
    <definedName name="BExB6IZMHCZ3LB7N73KD90YB1HBZ" hidden="1">#REF!</definedName>
    <definedName name="BExB6Q190U6R6MOSSXYDJLD7ZERQ" hidden="1">#REF!</definedName>
    <definedName name="BExB6UJ1IR92HB0UDOBD3AN3FGGC" hidden="1">#REF!</definedName>
    <definedName name="BExB719SGNX4Y8NE6JEXC555K596" hidden="1">#REF!</definedName>
    <definedName name="BExB7265DCHKS7V2OWRBXCZTEIW9" hidden="1">#REF!</definedName>
    <definedName name="BExB74PS5P9G0P09Y6DZSCX0FLTJ" hidden="1">#REF!</definedName>
    <definedName name="BExB78RH79J0MIF7H8CAZ0CFE88Q" hidden="1">#REF!</definedName>
    <definedName name="BExB7ELT09HGDVO5BJC1ZY9D09GZ" hidden="1">#REF!</definedName>
    <definedName name="BExB7Y8MI6PRY9STNH3HPYDFF9EM" hidden="1">#REF!</definedName>
    <definedName name="BExB7Y8MV795P57SZZ6NAR6JE2R7" hidden="1">#REF!</definedName>
    <definedName name="BExB806PAXX70XUTA3ZI7OORD78R" hidden="1">#REF!</definedName>
    <definedName name="BExB80C5G3PLM4R17ENTY9JYN0M4" hidden="1">#REF!</definedName>
    <definedName name="BExB86BXN83LP98MAMU6AFQVSO6B" hidden="1">#REF!</definedName>
    <definedName name="BExB8HF4UBVZKQCSRFRUQL2EE6VL" hidden="1">#REF!</definedName>
    <definedName name="BExB8HKHKZ1ORJZUYGG2M4VSCC39" hidden="1">#REF!</definedName>
    <definedName name="BExB8LRJCR53S134XCN0SDOKZG2R" hidden="1">#REF!</definedName>
    <definedName name="BExB8MYPR05JYOQ1PU2U25R31EVJ" hidden="1">#REF!</definedName>
    <definedName name="BExB8QPH8DC5BESEVPSMBCWVN6PO" hidden="1">#REF!</definedName>
    <definedName name="BExB8U5N0D85YR8APKN3PPKG0FWP" hidden="1">#REF!</definedName>
    <definedName name="BExB9DHI5I2TJ2LXYPM98EE81L27" hidden="1">#REF!</definedName>
    <definedName name="BExB9Q2MZZHBGW8QQKVEYIMJBPIE" hidden="1">#REF!</definedName>
    <definedName name="BExB9SGZARY86P9DME9SZ8X1WA2W" hidden="1">#REF!</definedName>
    <definedName name="BExBA1GON0EZRJ20UYPILAPLNQWM" hidden="1">#REF!</definedName>
    <definedName name="BExBA69ASGYRZW1G1DYIS9QRRTBN" hidden="1">#REF!</definedName>
    <definedName name="BExBA6K42582A14WFFWQ3Q8QQWB6" hidden="1">#REF!</definedName>
    <definedName name="BExBA8I5D4R8R2PYQ1K16TWGTOEP" hidden="1">#REF!</definedName>
    <definedName name="BExBA93PE0DGUUTA7LLSIGBIXWE5" hidden="1">#REF!</definedName>
    <definedName name="BExBAI8X0FKDQJ6YZJQDTTG4ZCWY" hidden="1">#REF!</definedName>
    <definedName name="BExBAKN7XIBAXCF9PCNVS038PCQO" hidden="1">#REF!</definedName>
    <definedName name="BExBAKXZ7PBW3DDKKA5MWC1ZUC7O" hidden="1">#REF!</definedName>
    <definedName name="BExBAO8NLXZXHO6KCIECSFCH3RR0" hidden="1">#REF!</definedName>
    <definedName name="BExBAOOT1KBSIEISN1ADL4RMY879" hidden="1">#REF!</definedName>
    <definedName name="BExBAVKX8Q09370X1GCZWJ4E91YJ" hidden="1">#REF!</definedName>
    <definedName name="BExBAX2X2ENJYO4QTR5VAIQ86L7B" hidden="1">#REF!</definedName>
    <definedName name="BExBAZ13D3F1DVJQ6YJ8JGUYEYJE" hidden="1">#REF!</definedName>
    <definedName name="BExBBTG649R9I0CT042JLL8LXV18" hidden="1">#REF!</definedName>
    <definedName name="BExBBUCJQRR74Q7GPWDEZXYK2KJL" hidden="1">#REF!</definedName>
    <definedName name="BExBBV8XVMD9CKZY711T0BN7H3PM" hidden="1">#REF!</definedName>
    <definedName name="BExBC78HXWXHO3XAB6E8NVTBGLJS" hidden="1">#REF!</definedName>
    <definedName name="BExBCKKJTIRKC1RZJRTK65HHLX4W" hidden="1">#REF!</definedName>
    <definedName name="BExBCLMEPAN3XXX174TU8SS0627Q" hidden="1">#REF!</definedName>
    <definedName name="BExBCRBEYR2KZ8FAQFZ2NHY13WIY" hidden="1">#REF!</definedName>
    <definedName name="BExBD4I559NXSV6J07Q343TKYMVJ" hidden="1">#REF!</definedName>
    <definedName name="BExBDBZQLTX3OGFYGULQFK5WEZU5" hidden="1">#REF!</definedName>
    <definedName name="BExBDJS9TUEU8Z84IV59E5V4T8K6" hidden="1">#REF!</definedName>
    <definedName name="BExBDKOMSVH4XMH52CFJ3F028I9R" hidden="1">#REF!</definedName>
    <definedName name="BExBDSRXVZQ0W5WXQMP5XD00GRRL" hidden="1">#REF!</definedName>
    <definedName name="BExBDUVGK3E1J4JY9ZYTS7V14BLY" hidden="1">#REF!</definedName>
    <definedName name="BExBDZITI2UCDSH0V24NITQG9SFA" hidden="1">#REF!</definedName>
    <definedName name="BExBE162OSBKD30I7T1DKKPT3I9I" hidden="1">#REF!</definedName>
    <definedName name="BExBE5YPUY1T7N7DHMMIGGXK8TMP" hidden="1">#REF!</definedName>
    <definedName name="BExBEC9ATLQZF86W1M3APSM4HEOH" hidden="1">#REF!</definedName>
    <definedName name="BExBEDB5TFKTRW6SR7NAE5YKCELR" hidden="1">#REF!</definedName>
    <definedName name="BExBEGR4WX2PENZRIVP41F72Z7VW" hidden="1">#REF!</definedName>
    <definedName name="BExBEYFQJE9YK12A6JBMRFKEC7RN" hidden="1">#REF!</definedName>
    <definedName name="BExBF3TXJTJ52WTH5JS1IEEUKRWA" hidden="1">#REF!</definedName>
    <definedName name="BExBF6TSPVR54LOAHZ3VJQ6HMLRV" hidden="1">#REF!</definedName>
    <definedName name="BExBG1ED81J2O4A2S5F5Y3BPHMCR" hidden="1">#REF!</definedName>
    <definedName name="BExCRI7THDC3RNXNFNQJ6XJDPEXT" hidden="1">#REF!</definedName>
    <definedName name="BExCRLIHS7466WFJ3RPIUGGXYESZ" hidden="1">#REF!</definedName>
    <definedName name="BExCRTB183T19GCJ45P6KFOBXE65" hidden="1">#REF!</definedName>
    <definedName name="BExCS078RE3CUATM8A8NCC0WWHGC" hidden="1">#REF!</definedName>
    <definedName name="BExCS1EDDUEAEWHVYXHIP9I1WCJH" hidden="1">#REF!</definedName>
    <definedName name="BExCS6SLRCBH006GNRE27HFRHP40" hidden="1">#REF!</definedName>
    <definedName name="BExCS7ZPMHFJ4UJDAL8CQOLSZ13B" hidden="1">#REF!</definedName>
    <definedName name="BExCS8W4NJUZH9S1CYB6XSDLEPBW" hidden="1">#REF!</definedName>
    <definedName name="BExCSAE1M6G20R41J0Y24YNN0YC1" hidden="1">#REF!</definedName>
    <definedName name="BExCSAOUZOYKHN7HV511TO8VDJ02" hidden="1">#REF!</definedName>
    <definedName name="BExCSMOFTXSUEC1T46LR1UPYRCX5" hidden="1">#REF!</definedName>
    <definedName name="BExCSNVMZI085B3HFJWW1KCCTVHB" hidden="1">#REF!</definedName>
    <definedName name="BExCSSDG3TM6TPKS19E9QYJEELZ6" hidden="1">#REF!</definedName>
    <definedName name="BExCSZV7U67UWXL2HKJNM5W1E4OO" hidden="1">#REF!</definedName>
    <definedName name="BExCT4NSDT61OCH04Y2QIFIOP75H" hidden="1">#REF!</definedName>
    <definedName name="BExCTW8G3VCZ55S09HTUGXKB1P2M" hidden="1">#REF!</definedName>
    <definedName name="BExCTYS2KX0QANOLT8LGZ9WV3S3T" hidden="1">#REF!</definedName>
    <definedName name="BExCTZZ9JNES4EDHW97NP0EGQALX" hidden="1">#REF!</definedName>
    <definedName name="BExCU0A1V6NMZQ9ASYJ8QIVQ5UR2" hidden="1">#REF!</definedName>
    <definedName name="BExCU2834920JBHSPCRC4UF80OLL" hidden="1">#REF!</definedName>
    <definedName name="BExCU39XPKJKIIP1T8H8GX1JLK78" hidden="1">#REF!</definedName>
    <definedName name="BExCU8O54I3P3WRYWY1CRP3S78QY" hidden="1">#REF!</definedName>
    <definedName name="BExCUDRJO23YOKT8GPWOVQ4XEHF5" hidden="1">#REF!</definedName>
    <definedName name="BExCUFEUM4W4IM7UEBS96CL5FO0N" hidden="1">#REF!</definedName>
    <definedName name="BExCUPAXFR16YMWL30ME3F3BSRDZ" hidden="1">#REF!</definedName>
    <definedName name="BExCUR94DHCE47PUUWEMT5QZOYR2" hidden="1">#REF!</definedName>
    <definedName name="BExCUW1RF5RHW7OK9J4GFUGR30IK" hidden="1">#REF!</definedName>
    <definedName name="BExCV634L7SVHGB0UDDTRRQ2Q72H" hidden="1">#REF!</definedName>
    <definedName name="BExCV86NKML9MFVGODZDAHEL0DEX" hidden="1">#REF!</definedName>
    <definedName name="BExCVBXGSXT9FWJRG62PX9S1RK83" hidden="1">#REF!</definedName>
    <definedName name="BExCVHBNLOHNFS0JAV3I1XGPNH9W" hidden="1">#REF!</definedName>
    <definedName name="BExCVI86R31A2IOZIEBY1FJLVILD" hidden="1">#REF!</definedName>
    <definedName name="BExCVKGZXE0I9EIXKBZVSGSEY2RR" hidden="1">#REF!</definedName>
    <definedName name="BExCVM4A3IKP8QULN50Z2QU98FCZ" hidden="1">#REF!</definedName>
    <definedName name="BExCVV44WY5807WGMTGKPW0GT256" hidden="1">#REF!</definedName>
    <definedName name="BExCVZ5PN4V6MRBZ04PZJW3GEF8S" hidden="1">#REF!</definedName>
    <definedName name="BExCW13R0GWJYGXZBNCPAHQN4NR2" hidden="1">#REF!</definedName>
    <definedName name="BExCW9Y5HWU4RJTNX74O6L24VGCK" hidden="1">#REF!</definedName>
    <definedName name="BExCWBW6V16OCEDUYFRDXMK9NQT0" hidden="1">#REF!</definedName>
    <definedName name="BExCWL6OEYMY1R54YLJE10D8665D" hidden="1">#REF!</definedName>
    <definedName name="BExCWPDPESGZS07QGBLSBWDNVJLZ" hidden="1">#REF!</definedName>
    <definedName name="BExCWTVKHIVCRHF8GC39KI58YM5K" hidden="1">#REF!</definedName>
    <definedName name="BExCWZ4BK957KWTH8H6VT0DP6LPZ" hidden="1">#REF!</definedName>
    <definedName name="BExCX2KGRZBRVLZNM8SUSIE6A0RL" hidden="1">#REF!</definedName>
    <definedName name="BExCX3X451T70LZ1VF95L7W4Y4TM" hidden="1">#REF!</definedName>
    <definedName name="BExCX4NZ2N1OUGXM7EV0U7VULJMM" hidden="1">#REF!</definedName>
    <definedName name="BExCXC0EIRZGKHGFWVH6BZGZKSL5" hidden="1">#REF!</definedName>
    <definedName name="BExCXILMURGYMAH6N5LF5DV6K3GM" hidden="1">#REF!</definedName>
    <definedName name="BExCXQUFBMXQ1650735H48B1AZT3" hidden="1">#REF!</definedName>
    <definedName name="BExCY2DQO9VLA77Q7EG3T0XNXX4F" hidden="1">#REF!</definedName>
    <definedName name="BExCY6VMJ68MX3C981R5Q0BX5791" hidden="1">#REF!</definedName>
    <definedName name="BExCYAH2SAZCPW6XCB7V7PMMCAWO" hidden="1">#REF!</definedName>
    <definedName name="BExCYJBB52X8B3AREHCC1L5QNPX7" hidden="1">#REF!</definedName>
    <definedName name="BExCYPRC5HJE6N2XQTHCT6NXGP8N" hidden="1">#REF!</definedName>
    <definedName name="BExCYUK0I3UEXZNFDW71G6Z6D8XR" hidden="1">#REF!</definedName>
    <definedName name="BExCZ98NN1BXIVH5DUMEU89XZSMM" hidden="1">#REF!</definedName>
    <definedName name="BExCZCOPO51ZCPSB4A332N24VA1O" hidden="1">#REF!</definedName>
    <definedName name="BExCZFZCXMLY5DWESYJ9NGTJYQ8M" hidden="1">#REF!</definedName>
    <definedName name="BExCZJ4P8WS0BDT31WDXI0ROE7D6" hidden="1">#REF!</definedName>
    <definedName name="BExCZJVM9E5UJD9AN61IF1RW6P2X" hidden="1">#REF!</definedName>
    <definedName name="BExCZKH6NI0EE02L995IFVBD1J59" hidden="1">#REF!</definedName>
    <definedName name="BExCZUD9FEOJBKDJ51Z3JON9LKJ8" hidden="1">#REF!</definedName>
    <definedName name="BExCZXNYZ1K6ONC68D46WZKNJ0G1" hidden="1">#REF!</definedName>
    <definedName name="BExD04ESMPU2NEZZ6H8ZQV56Q3XV" hidden="1">#REF!</definedName>
    <definedName name="BExD0508DAALLU00PHFPBC8SRRKT" hidden="1">#REF!</definedName>
    <definedName name="BExD0ELGL7W7NI4F4CLVD98J2YXB" hidden="1">#REF!</definedName>
    <definedName name="BExD0HALIN0JR4JTPGDEVAEE5EX5" hidden="1">#REF!</definedName>
    <definedName name="BExD0LCCDPG16YLY5WQSZF1XI5DA" hidden="1">#REF!</definedName>
    <definedName name="BExD0MJI6MCBXXKVFOQJB6CDUX7F" hidden="1">#REF!</definedName>
    <definedName name="BExD0RMWSB4TRECEHTH6NN4K9DFZ" hidden="1">#REF!</definedName>
    <definedName name="BExD0U6KG10QGVDI1XSHK0J10A2V" hidden="1">#REF!</definedName>
    <definedName name="BExD13RUIBGRXDL4QDZ305UKUR12" hidden="1">#REF!</definedName>
    <definedName name="BExD14DETV5R4OOTMAXD5NAKWRO3" hidden="1">#REF!</definedName>
    <definedName name="BExD1OAU9OXQAZA4D70HP72CU6GB" hidden="1">#REF!</definedName>
    <definedName name="BExD1Y1JV61416YA1XRQHKWPZIE7" hidden="1">#REF!</definedName>
    <definedName name="BExD2CFHIRMBKN5KXE5QP4XXEWFS" hidden="1">#REF!</definedName>
    <definedName name="BExD2DMHH1HWXQ9W0YYMDP8AAX8Q" hidden="1">#REF!</definedName>
    <definedName name="BExD2HTPC7IWBAU6OSQ67MQA8BYZ" hidden="1">#REF!</definedName>
    <definedName name="BExD2JGY6440ULWOOWKHGM7GZ8BW" hidden="1">#REF!</definedName>
    <definedName name="BExD363H2VGFIQUCE6LS4AC5J0ZT" hidden="1">#REF!</definedName>
    <definedName name="BExD38HSUVX8M3F59ZR7B5QXESH5" hidden="1">#REF!</definedName>
    <definedName name="BExD3A588E939V61P1XEW0FI5Q0S" hidden="1">#REF!</definedName>
    <definedName name="BExD3CJJDKVR9M18XI3WDZH80WL6" hidden="1">#REF!</definedName>
    <definedName name="BExD3ESD9WYJIB3TRDPJ1CKXRAVL" hidden="1">#REF!</definedName>
    <definedName name="BExD3F368X5S25MWSUNIV57RDB57" hidden="1">#REF!</definedName>
    <definedName name="BExD3IJ5IT335SOSNV9L85WKAOSI" hidden="1">#REF!</definedName>
    <definedName name="BExD3KBVUY57GMMQTOFEU6S6G1AY" hidden="1">#REF!</definedName>
    <definedName name="BExD3L8FSAY7TZUXY751LHYQZWB1" hidden="1">#REF!</definedName>
    <definedName name="BExD3NMR7AW2Z6V8SC79VQR37NA6" hidden="1">#REF!</definedName>
    <definedName name="BExD3QXA2UQ2W4N7NYLUEOG40BZB" hidden="1">#REF!</definedName>
    <definedName name="BExD3SFEIKZ03YYXG43V1NJX8Z0X" hidden="1">#REF!</definedName>
    <definedName name="BExD3U2N041TEJ7GCN005UTPHNXY" hidden="1">#REF!</definedName>
    <definedName name="BExD40O0CFTNJFOFMMM1KH0P7BUI" hidden="1">#REF!</definedName>
    <definedName name="BExD47EPM6E92W4K89AA1Q971CG6" hidden="1">#REF!</definedName>
    <definedName name="BExD4BR9HJ3MWWZ5KLVZWX9FJAUS" hidden="1">#REF!</definedName>
    <definedName name="BExD4F1WTKT3H0N9MF4H1LX7MBSY" hidden="1">#REF!</definedName>
    <definedName name="BExD4H5GQWXBS6LUL3TSP36DVO38" hidden="1">#REF!</definedName>
    <definedName name="BExD4JJSS3QDBLABCJCHD45SRNPI" hidden="1">#REF!</definedName>
    <definedName name="BExD4LCILW7U1RJQ163P2MF024SM" hidden="1">#REF!</definedName>
    <definedName name="BExD4R1I0MKF033I5LPUYIMTZ6E8" hidden="1">#REF!</definedName>
    <definedName name="BExD4SU8YQT7ST9QYH519BY3BSJC" hidden="1">#REF!</definedName>
    <definedName name="BExD4YJ8YDWQNA9M1WO4CCZ6JQQO" hidden="1">#REF!</definedName>
    <definedName name="BExD50MT3M6XZLNUP9JL93EG6D9R" hidden="1">#REF!</definedName>
    <definedName name="BExD5EV7KDSVF1CJT38M4IBPFLPY" hidden="1">#REF!</definedName>
    <definedName name="BExD5FRK547OESJRYAW574DZEZ7J" hidden="1">#REF!</definedName>
    <definedName name="BExD5I5X2YA2YNCTCDSMEL4CWF4N" hidden="1">#REF!</definedName>
    <definedName name="BExD5LLWLL4COR0GQLKKL80HETYO" hidden="1">#REF!</definedName>
    <definedName name="BExD5QUSRFJWRQ1ZM50WYLCF74DF" hidden="1">#REF!</definedName>
    <definedName name="BExD5SSUIF6AJQHBHK8PNMFBPRYB" hidden="1">#REF!</definedName>
    <definedName name="BExD623C9LRX18BE0W2V6SZLQUXX" hidden="1">#REF!</definedName>
    <definedName name="BExD6A6MWXMLCXFT6H4Q1U13EJD4" hidden="1">#REF!</definedName>
    <definedName name="BExD6CQA7UMJBXV7AIFAIHUF2ICX" hidden="1">#REF!</definedName>
    <definedName name="BExD6FKVK8WJWNYPVENR7Q8Q30PK" hidden="1">#REF!</definedName>
    <definedName name="BExD6GMP0LK8WKVWMIT1NNH8CHLF" hidden="1">#REF!</definedName>
    <definedName name="BExD6H2TE0WWAUIWVSSCLPZ6B88N" hidden="1">#REF!</definedName>
    <definedName name="BExD6YWUQAVYZHBNS8QHNYIRGBD4" hidden="1">#REF!</definedName>
    <definedName name="BExD71LTOE015TV5RSAHM8NT8GVW" hidden="1">#REF!</definedName>
    <definedName name="BExD73USXVADC7EHGHVTQNCT06ZA" hidden="1">#REF!</definedName>
    <definedName name="BExD7GAIGULTB3YHM1OS9RBQOTEC" hidden="1">#REF!</definedName>
    <definedName name="BExD7IE1DHIS52UFDCTSKPJQNRD5" hidden="1">#REF!</definedName>
    <definedName name="BExD7IUBGUWHYC9UNZ1IY5XFYKQN" hidden="1">#REF!</definedName>
    <definedName name="BExD7JQOJ35HGL8U2OCEI2P2JT7I" hidden="1">#REF!</definedName>
    <definedName name="BExD7KSDKNDNH95NDT3S7GM3MUU2" hidden="1">#REF!</definedName>
    <definedName name="BExD8CYKX2WGEDSW6KFP6MND1PM0" hidden="1">#REF!</definedName>
    <definedName name="BExD8H5O087KQVWIVPUUID5VMGMS" hidden="1">#REF!</definedName>
    <definedName name="BExD8M3LLE1NPVDSH1HUK3YY3PXM" hidden="1">#REF!</definedName>
    <definedName name="BExD8OCLZMFN5K3VZYI4Q4ITVKUA" hidden="1">#REF!</definedName>
    <definedName name="BExD93C1R6LC0631ECHVFYH0R0PD" hidden="1">#REF!</definedName>
    <definedName name="BExD97TXIO0COVNN4OH3DEJ33YLM" hidden="1">#REF!</definedName>
    <definedName name="BExD99RZ1RFIMK6O1ZHSPJ68X9Y5" hidden="1">#REF!</definedName>
    <definedName name="BExD9L0ID3VSOU609GKWYTA5BFMA" hidden="1">#REF!</definedName>
    <definedName name="BExD9M7SEMG0JK2FUTTZXWIEBTKB" hidden="1">#REF!</definedName>
    <definedName name="BExD9MNYBYB1AICQL5165G472IE2" hidden="1">#REF!</definedName>
    <definedName name="BExD9PNSYT7GASEGUVL48MUQ02WO" hidden="1">#REF!</definedName>
    <definedName name="BExD9TK2MIWFH5SKUYU9ZKF4NPHQ" hidden="1">#REF!</definedName>
    <definedName name="BExD9X03P9YHPUTFVYDNVQA668Y8" hidden="1">#REF!</definedName>
    <definedName name="BExD9YYAX8Z58KY8L5P29E5267AI" hidden="1">#REF!</definedName>
    <definedName name="BExDA6LD9061UULVKUUI4QP8SK13" hidden="1">#REF!</definedName>
    <definedName name="BExDAGMVMNLQ6QXASB9R6D8DIT12" hidden="1">#REF!</definedName>
    <definedName name="BExDAS68BIJ5YJTLUDAHF8TO8JH2" hidden="1">#REF!</definedName>
    <definedName name="BExDAYBHU9ADLXI8VRC7F608RVGM" hidden="1">#REF!</definedName>
    <definedName name="BExDBCJWNTS2HCOYPH8VC59M9YH2" hidden="1">#REF!</definedName>
    <definedName name="BExDBDR1XR0FV0CYUCB2OJ7CJCZU" hidden="1">#REF!</definedName>
    <definedName name="BExDBI8WRY61SHXKAT4UFXLB15E8" hidden="1">#REF!</definedName>
    <definedName name="BExDBL8SQE0QB6V8PFTDP576328Y" hidden="1">#REF!</definedName>
    <definedName name="BExDBZBW3EHQF6J0XXIT3ZMXPL8C" hidden="1">#REF!</definedName>
    <definedName name="BExDC7F818VN0S18ID7XRCRVYPJ4" hidden="1">#REF!</definedName>
    <definedName name="BExDCL7K96PC9VZYB70ZW3QPVIJE" hidden="1">#REF!</definedName>
    <definedName name="BExDCP3UZ3C2O4C1F7KMU0Z9U32N" hidden="1">#REF!</definedName>
    <definedName name="BExENWMV3P7EDDCEORFYBULDAVTI" hidden="1">#REF!</definedName>
    <definedName name="BExEO387QUKZ4XTSPHYWMAKYRNAE" hidden="1">#REF!</definedName>
    <definedName name="BExEOBX3WECDMYCV9RLN49APTXMM" hidden="1">#REF!</definedName>
    <definedName name="BExEP4E4F36662JDI0TOD85OP7X9" hidden="1">#REF!</definedName>
    <definedName name="BExEPN9VIYI0FVL0HLZQXJFO6TT0" hidden="1">#REF!</definedName>
    <definedName name="BExEPYT6VDSMR8MU2341Q5GM2Y9V" hidden="1">#REF!</definedName>
    <definedName name="BExEPZK8JTX5Z0MD3TH7PRS4AOWM" hidden="1">#REF!</definedName>
    <definedName name="BExEQ2ENYLMY8K1796XBB31CJHNN" hidden="1">#REF!</definedName>
    <definedName name="BExEQ2PFE4N40LEPGDPS90WDL6BN" hidden="1">#REF!</definedName>
    <definedName name="BExEQ2PFURT24NQYGYVE8NKX1EGA" hidden="1">#REF!</definedName>
    <definedName name="BExEQ9AU8NH1U9KKGFA1AIE1JCV3" hidden="1">#REF!</definedName>
    <definedName name="BExEQB8ZWXO6IIGOEPWTLOJGE2NR" hidden="1">#REF!</definedName>
    <definedName name="BExEQBZX0EL6LIKPY01197ACK65H" hidden="1">#REF!</definedName>
    <definedName name="BExEQDXZALJLD4OBF74IKZBR13SR" hidden="1">#REF!</definedName>
    <definedName name="BExEQFLE2RPWGMWQAI4JMKUEFRPT" hidden="1">#REF!</definedName>
    <definedName name="BExEQI51QWZNCG0Q96JPNN9P1V48" hidden="1">#REF!</definedName>
    <definedName name="BExEQJ6VN223Q37JVAZV0OX7CKYB" hidden="1">#REF!</definedName>
    <definedName name="BExEQJN4LVZ75VOEPC2U5LFFSNHN" hidden="1">#REF!</definedName>
    <definedName name="BExEQN35581DWS8T1EPOU8A6M81J" hidden="1">#REF!</definedName>
    <definedName name="BExEQT2XBHP0KZHTXIATCWQ00HEB" hidden="1">#REF!</definedName>
    <definedName name="BExEQTZAP8R69U31W4LKGTKKGKQE" hidden="1">#REF!</definedName>
    <definedName name="BExER2O72H1F9WV6S1J04C15PXX7" hidden="1">#REF!</definedName>
    <definedName name="BExERCETL5ZVXSS6EENB85QCSRYG" hidden="1">#REF!</definedName>
    <definedName name="BExERIUTB21WQ9WVQXUCDCGSH23E" hidden="1">#REF!</definedName>
    <definedName name="BExERRUIKIOATPZ9U4HQ0V52RJAU" hidden="1">#REF!</definedName>
    <definedName name="BExERSANFNM1O7T65PC5MJ301YET" hidden="1">#REF!</definedName>
    <definedName name="BExERWCEBKQRYWRQLYJ4UCMMKTHG" hidden="1">#REF!</definedName>
    <definedName name="BExES44RHHDL3V7FLV6M20834WF1" hidden="1">#REF!</definedName>
    <definedName name="BExES4A7VE2X3RYYTVRLKZD4I7WU" hidden="1">#REF!</definedName>
    <definedName name="BExES6ZC8R7PHJ21OVJFLIR7DY30" hidden="1">#REF!</definedName>
    <definedName name="BExESMKD95A649M0WRSG6CXXP326" hidden="1">#REF!</definedName>
    <definedName name="BExESR27ZXJG5VMY4PR9D940VS7T" hidden="1">#REF!</definedName>
    <definedName name="BExESX7C2JLTGJDW8A88IUUD7CNH" hidden="1">#REF!</definedName>
    <definedName name="BExESZ03KXL8DQ2591HLR56ZML94" hidden="1">#REF!</definedName>
    <definedName name="BExESZAW5N443NRTKIP59OEI1CR6" hidden="1">#REF!</definedName>
    <definedName name="BExET3HXQ60A4O2OLKX8QNXRI6LQ" hidden="1">#REF!</definedName>
    <definedName name="BExETA3B1FCIOA80H94K90FWXQKE" hidden="1">#REF!</definedName>
    <definedName name="BExETAZOYT4CJIT8RRKC9F2HJG1D" hidden="1">#REF!</definedName>
    <definedName name="BExETF6QD5A9GEINE1KZRRC2LXWM" hidden="1">#REF!</definedName>
    <definedName name="BExETQ9XRXLUACN82805SPSPNKHI" hidden="1">#REF!</definedName>
    <definedName name="BExETR0YRMOR63E6DHLEHV9QVVON" hidden="1">#REF!</definedName>
    <definedName name="BExETVTGY38YXYYF7N73OYN6FYY3" hidden="1">#REF!</definedName>
    <definedName name="BExEU30FO5LEXY5W5GSHZXUS3BHD" hidden="1">#REF!</definedName>
    <definedName name="BExEU8EN161DJM5XLCDICXBPXY7D" hidden="1">#REF!</definedName>
    <definedName name="BExEUNE4T242Y59C6MS28MXEUGCP" hidden="1">#REF!</definedName>
    <definedName name="BExEV2TP7NA3ZR6RJGH5ER370OUM" hidden="1">#REF!</definedName>
    <definedName name="BExEV4H4H3MPQCRSZENXEYH5FXJ4" hidden="1">#REF!</definedName>
    <definedName name="BExEV69USLNYO2QRJRC0J92XUF00" hidden="1">#REF!</definedName>
    <definedName name="BExEV6KNTQOCFD7GV726XQEVQ7R6" hidden="1">#REF!</definedName>
    <definedName name="BExEV6VGM4POO9QT9KH3QA3VYCWM" hidden="1">#REF!</definedName>
    <definedName name="BExEVET98G3FU6QBF9LHYWSAMV0O" hidden="1">#REF!</definedName>
    <definedName name="BExEVGB7JXPB6DFS5UUD9KK8YMU7" hidden="1">#REF!</definedName>
    <definedName name="BExEVGWTHY1RO5T9G4NXNEFBP2P2" hidden="1">#REF!</definedName>
    <definedName name="BExEVK7H537FZFEH9LZ76TZ2FGO5" hidden="1">#REF!</definedName>
    <definedName name="BExEVN7EA7CDJWGK7WZXWJUNO26H" hidden="1">#REF!</definedName>
    <definedName name="BExEVNCUT0PDUYNJH7G6BSEWZOT2" hidden="1">#REF!</definedName>
    <definedName name="BExEVPGF4V5J0WQRZKUM8F9TTKZJ" hidden="1">#REF!</definedName>
    <definedName name="BExEVPWH8S9GER9M14SPIT6XZ8SG" hidden="1">#REF!</definedName>
    <definedName name="BExEVVLIEVWYRF2UUC1H0H5QU1CP" hidden="1">#REF!</definedName>
    <definedName name="BExEVWCKO8T84GW9Z3X47915XKSH" hidden="1">#REF!</definedName>
    <definedName name="BExEVZSJWMZ5L2ZE7AZC57CXKW6T" hidden="1">#REF!</definedName>
    <definedName name="BExEW0JL1GFFCXMDGW54CI7Y8FZN" hidden="1">#REF!</definedName>
    <definedName name="BExEW68M9WL8214QH9C7VCK7BN08" hidden="1">#REF!</definedName>
    <definedName name="BExEW8HFKH6F47KIHYBDRUEFZ2ZZ" hidden="1">#REF!</definedName>
    <definedName name="BExEWLO75K95C6IRKHXSP7VP81T4" hidden="1">#REF!</definedName>
    <definedName name="BExEWNBGQS1U2LW3W84T4LSJ9K00" hidden="1">#REF!</definedName>
    <definedName name="BExEWO7STL7HNZSTY8VQBPTX1WK6" hidden="1">#REF!</definedName>
    <definedName name="BExEWQ0M1N3KMKTDJ73H10QSG4W1" hidden="1">#REF!</definedName>
    <definedName name="BExEX1EM2MQTPEJUD3M9NB8HUJOG" hidden="1">#REF!</definedName>
    <definedName name="BExEX85F3OSW8NSCYGYPS9372Z1Q" hidden="1">#REF!</definedName>
    <definedName name="BExEX9HWY2G6928ZVVVQF77QCM2C" hidden="1">#REF!</definedName>
    <definedName name="BExEXBQWAYKMVBRJRHB8PFCSYFVN" hidden="1">#REF!</definedName>
    <definedName name="BExEXRBZ0DI9E2UFLLKYWGN66B61" hidden="1">#REF!</definedName>
    <definedName name="BExEXU6DHFLXW068Y1ALGIBPS8SK" hidden="1">#REF!</definedName>
    <definedName name="BExEY067KMBNYP9WMRGOH8ITDBLD" hidden="1">#REF!</definedName>
    <definedName name="BExEYLG9FL9V1JPPNZ3FUDNSEJ4V" hidden="1">#REF!</definedName>
    <definedName name="BExEYOW8C1B3OUUCIGEC7L8OOW1Z" hidden="1">#REF!</definedName>
    <definedName name="BExEYUQJXZT6N5HJH8ACJF6SRWEE" hidden="1">#REF!</definedName>
    <definedName name="BExEYW8O56SE67A8CIT413PPQFWN" hidden="1">#REF!</definedName>
    <definedName name="BExEYWDZZTQYMISQA67GTQPUR11G" hidden="1">#REF!</definedName>
    <definedName name="BExEYXQGOT90CC2QXVUDAMIS2SD6" hidden="1">#REF!</definedName>
    <definedName name="BExEYY17N22FDMK6IA4HQRCTNPYL" hidden="1">#REF!</definedName>
    <definedName name="BExEYYHI8CPDMMAS0EQFL8AGAXN7" hidden="1">#REF!</definedName>
    <definedName name="BExEZ1S6VZCG01ZPLBSS9Z1SBOJ2" hidden="1">#REF!</definedName>
    <definedName name="BExEZ8J0MUWCC2ZYB731VFQXQJWB" hidden="1">#REF!</definedName>
    <definedName name="BExEZGBFNJR8DLPN0V11AU22L6WY" hidden="1">#REF!</definedName>
    <definedName name="BExEZIV7XIY1FF899RNR1EKD6V5Q" hidden="1">#REF!</definedName>
    <definedName name="BExEZSWLMZZ2RK34GSJ9Q3NPCFT2" hidden="1">#REF!</definedName>
    <definedName name="BExEZTNNFAEAVMKLEKPU03M2DAFQ" hidden="1">#REF!</definedName>
    <definedName name="BExF00P4A3PAS86X4FZMY6QNPAJS" hidden="1">#REF!</definedName>
    <definedName name="BExF02Y3V3QEPO2XLDSK47APK9XJ" hidden="1">#REF!</definedName>
    <definedName name="BExF09OS91RT7N7IW8JLMZ121ZP3" hidden="1">#REF!</definedName>
    <definedName name="BExF0LOEHV42P2DV7QL8O7HOQ3N9" hidden="1">#REF!</definedName>
    <definedName name="BExF0WRM9VO25RLSO03ZOCE8H7K5" hidden="1">#REF!</definedName>
    <definedName name="BExF0ZRI7W4RSLIDLHTSM0AWXO3S" hidden="1">#REF!</definedName>
    <definedName name="BExF19CT3MMZZ2T5EWMDNG3UOJ01" hidden="1">#REF!</definedName>
    <definedName name="BExF1M38U6NX17YJA8YU359B5Z4M" hidden="1">#REF!</definedName>
    <definedName name="BExF1MU4W3NPEY0OHRDWP5IANCBB" hidden="1">#REF!</definedName>
    <definedName name="BExF1MZN8MWMOKOARHJ1QAF9HPGT" hidden="1">#REF!</definedName>
    <definedName name="BExF1US4ZIQYSU5LBFYNRA9N0K2O" hidden="1">#REF!</definedName>
    <definedName name="BExF21OBXGVA9D1CPMHVJHL599BC" hidden="1">#REF!</definedName>
    <definedName name="BExF26RQQU6540YHKTMZWWR8T1EK" hidden="1">#REF!</definedName>
    <definedName name="BExF2CWZN6E87RGTBMD4YQI2QT7R" hidden="1">#REF!</definedName>
    <definedName name="BExF2DYO1WQ7GMXSTAQRDBW1NSFG" hidden="1">#REF!</definedName>
    <definedName name="BExF2MSWNUY9Z6BZJQZ538PPTION" hidden="1">#REF!</definedName>
    <definedName name="BExF2QZYWHTYGUTTXR15CKCV3LS7" hidden="1">#REF!</definedName>
    <definedName name="BExF2T8Y6TSJ74RMSZOA9CEH4OZ6" hidden="1">#REF!</definedName>
    <definedName name="BExF31N3YM4F37EOOY8M8VI1KXN8" hidden="1">#REF!</definedName>
    <definedName name="BExF37C1YKBT79Z9SOJAG5MXQGTU" hidden="1">#REF!</definedName>
    <definedName name="BExF3A6HPA6DGYALZNHHJPMCUYZR" hidden="1">#REF!</definedName>
    <definedName name="BExF3I9T44X7DV9HHV51DVDDPPZG" hidden="1">#REF!</definedName>
    <definedName name="BExF3JMFX5DILOIFUDIO1HZUK875" hidden="1">#REF!</definedName>
    <definedName name="BExF3KIOLFXCP2MF2VEHM2SIS9CZ" hidden="1">#REF!</definedName>
    <definedName name="BExF3NTC4BGZEM6B87TCFX277QCS" hidden="1">#REF!</definedName>
    <definedName name="BExF3Q7NI90WT31QHYSJDIG0LLLJ" hidden="1">#REF!</definedName>
    <definedName name="BExF3QD55TIY1MSBSRK9TUJKBEWO" hidden="1">#REF!</definedName>
    <definedName name="BExF3QT8J6RIF1L3R700MBSKIOKW" hidden="1">#REF!</definedName>
    <definedName name="BExF3TYLQOS5UMYDSG0ZET7MWTSU" hidden="1">#REF!</definedName>
    <definedName name="BExF42SSBVPMLK2UB3B7FPEIY9TU" hidden="1">#REF!</definedName>
    <definedName name="BExF4HXSWB50BKYPWA0HTT8W56H6" hidden="1">#REF!</definedName>
    <definedName name="BExF4KHF04IWW4LQ95FHQPFE4Y9K" hidden="1">#REF!</definedName>
    <definedName name="BExF4LU2NV3A47BCWPM3EZXUEH37" hidden="1">#REF!</definedName>
    <definedName name="BExF4MVQM5Y0QRDLDFSKWWTF709C" hidden="1">#REF!</definedName>
    <definedName name="BExF4ODO17ZQMZDWWCKD406K27VP" hidden="1">#REF!</definedName>
    <definedName name="BExF4PVMZYV36E8HOYY06J81AMBI" hidden="1">#REF!</definedName>
    <definedName name="BExF4SF9NEX1FZE9N8EXT89PM54D" hidden="1">#REF!</definedName>
    <definedName name="BExF52GTGP8MHGII4KJ8TJGR8W8U" hidden="1">#REF!</definedName>
    <definedName name="BExF57K7L3UC1I2FSAWURR4SN0UN" hidden="1">#REF!</definedName>
    <definedName name="BExF5D96JEPDW6LV89G2REZJ1ES7" hidden="1">#REF!</definedName>
    <definedName name="BExF5DEIYJ34SSAXNL30QBNDW68N" hidden="1">#REF!</definedName>
    <definedName name="BExF5HR2GFV7O8LKG9SJ4BY78LYA" hidden="1">#REF!</definedName>
    <definedName name="BExF5NQVJ533FN46BS8P4Y5BAW3R" hidden="1">#REF!</definedName>
    <definedName name="BExF5OHR4EXSOV4ZVT6SAQFTQQ76" hidden="1">#REF!</definedName>
    <definedName name="BExF5RXWUHOPXFM66QGKCEN2SA6E" hidden="1">#REF!</definedName>
    <definedName name="BExF5ZFO2A29GHWR5ES64Z9OS16J" hidden="1">#REF!</definedName>
    <definedName name="BExF63S045JO7H2ZJCBTBVH3SUIF" hidden="1">#REF!</definedName>
    <definedName name="BExF642TEGTXCI9A61ZOONJCB0U1" hidden="1">#REF!</definedName>
    <definedName name="BExF67O951CF8UJF3KBDNR0E83C1" hidden="1">#REF!</definedName>
    <definedName name="BExF6BF93S2Q82MYWE6810T0LBC1" hidden="1">#REF!</definedName>
    <definedName name="BExF6EV7I35NVMIJGYTB6E24YVPA" hidden="1">#REF!</definedName>
    <definedName name="BExF6FGUF393KTMBT40S5BYAFG00" hidden="1">#REF!</definedName>
    <definedName name="BExF6GNYXWY8A0SY4PW1B6KJMMTM" hidden="1">#REF!</definedName>
    <definedName name="BExF6IB8K74Z0AFT05GPOKKZW7C9" hidden="1">#REF!</definedName>
    <definedName name="BExF6NUXJI11W2IAZNAM1QWC0459" hidden="1">#REF!</definedName>
    <definedName name="BExF6RR76KNVIXGJOVFO8GDILKGZ" hidden="1">#REF!</definedName>
    <definedName name="BExF6ZE8D5CMPJPRWT6S4HM56LPF" hidden="1">#REF!</definedName>
    <definedName name="BExF76FV8SF7AJK7B35AL7VTZF6D" hidden="1">#REF!</definedName>
    <definedName name="BExF7EOIMC1OYL1N7835KGOI0FIZ" hidden="1">#REF!</definedName>
    <definedName name="BExF7K88K7ASGV6RAOAGH52G04VR" hidden="1">#REF!</definedName>
    <definedName name="BExF7OVDRP3LHNAF2CX4V84CKKIR" hidden="1">#REF!</definedName>
    <definedName name="BExF7Q2JPXZXEOKW8GK00XCO8NDS" hidden="1">#REF!</definedName>
    <definedName name="BExF7QO41X2A2SL8UXDNP99GY7U9" hidden="1">#REF!</definedName>
    <definedName name="BExF81GI8B8WBHXFTET68A9358BR" hidden="1">#REF!</definedName>
    <definedName name="BExF88SYE1XQTTML2SIU7EE6Q6BU" hidden="1">#REF!</definedName>
    <definedName name="BExGKNC6UCNO0YTOPVJZMQ34IVMH" hidden="1">#REF!</definedName>
    <definedName name="BExGKT17Q7NLLXEVPD5JH5USNBZN" hidden="1">#REF!</definedName>
    <definedName name="BExGL97US0Y3KXXASUTVR26XLT70" hidden="1">#REF!</definedName>
    <definedName name="BExGLC7R4C33RO0PID97ZPPVCW4M" hidden="1">#REF!</definedName>
    <definedName name="BExGLCIHSRLBNIIG494PFTVXF7J4" hidden="1">#REF!</definedName>
    <definedName name="BExGLFIF7HCFSHNQHKEV6RY0WCO3" hidden="1">#REF!</definedName>
    <definedName name="BExGLTARRL0J772UD2TXEYAVPY6E" hidden="1">#REF!</definedName>
    <definedName name="BExGLVP1IU8K5A8J1340XFMYPR88" hidden="1">#REF!</definedName>
    <definedName name="BExGLYE6RZTAAWHJBG2QFJPTDS2Q" hidden="1">#REF!</definedName>
    <definedName name="BExGM4DZ65OAQP7MA4LN6QMYZOFF" hidden="1">#REF!</definedName>
    <definedName name="BExGMCXCWEC9XNUOEMZ61TMI6CUO" hidden="1">#REF!</definedName>
    <definedName name="BExGMJDGIH0MEPC2TUSFUCY2ROTB" hidden="1">#REF!</definedName>
    <definedName name="BExGMKPW2HPKN0M0XKF3AZ8YP0D6" hidden="1">#REF!</definedName>
    <definedName name="BExGMP2F175LGL6QVSJGP6GKYHHA" hidden="1">#REF!</definedName>
    <definedName name="BExGMPIIP8GKML2VVA8OEFL43NCS" hidden="1">#REF!</definedName>
    <definedName name="BExGMW3Y53DNVX7ENYEE6S3FWV7G" hidden="1">#REF!</definedName>
    <definedName name="BExGMZ3SRIXLXMWBVOXXV3M4U4YL" hidden="1">#REF!</definedName>
    <definedName name="BExGMZ3UBN48IXU1ZEFYECEMZ1IM" hidden="1">#REF!</definedName>
    <definedName name="BExGN4I0QATXNZCLZJM1KH1OIJQH" hidden="1">#REF!</definedName>
    <definedName name="BExGN83HNBXAYVPMEESB8XHY0XQC" hidden="1">#REF!</definedName>
    <definedName name="BExGN9FZ2RWCMSY1YOBJKZMNIM9R" hidden="1">#REF!</definedName>
    <definedName name="BExGNDSIMTHOCXXG6QOGR6DA8SGG" hidden="1">#REF!</definedName>
    <definedName name="BExGNEUC7FSM3LX8Y8GOUCEFHCKA" hidden="1">#REF!</definedName>
    <definedName name="BExGNN2YQ9BDAZXT2GLCSAPXKIM7" hidden="1">#REF!</definedName>
    <definedName name="BExGNSS0CKRPKHO25R3TDBEL2NHX" hidden="1">#REF!</definedName>
    <definedName name="BExGNYH0MO8NOVS85L15G0RWX4GW" hidden="1">#REF!</definedName>
    <definedName name="BExGNZO44DEG8CGIDYSEGDUQ531R" hidden="1">#REF!</definedName>
    <definedName name="BExGO2O0V6UYDY26AX8OSN72F77N" hidden="1">#REF!</definedName>
    <definedName name="BExGO2YUBOVLYHY1QSIHRE1KLAFV" hidden="1">#REF!</definedName>
    <definedName name="BExGO70E2O70LF46V8T26YFPL4V8" hidden="1">#REF!</definedName>
    <definedName name="BExGOB25QJMQCQE76MRW9X58OIOO" hidden="1">#REF!</definedName>
    <definedName name="BExGODAZKJ9EXMQZNQR5YDBSS525" hidden="1">#REF!</definedName>
    <definedName name="BExGODR8ZSMUC11I56QHSZ686XV5" hidden="1">#REF!</definedName>
    <definedName name="BExGOE21NHOO0MHI0KI1X77GOYF3" hidden="1">#REF!</definedName>
    <definedName name="BExGONHTLCU0XQSEMREHHIWFXA5K" hidden="1">#REF!</definedName>
    <definedName name="BExGOT6UXUX5FVTAYL9SOBZ1D0II" hidden="1">#REF!</definedName>
    <definedName name="BExGOXJDHUDPDT8I8IVGVW9J0R5Q" hidden="1">#REF!</definedName>
    <definedName name="BExGP7VJ0XEOUMB70ZLEOMA10U08" hidden="1">#REF!</definedName>
    <definedName name="BExGPHGT5KDOCMV2EFS4OVKTWBRD" hidden="1">#REF!</definedName>
    <definedName name="BExGPID72Y4Y619LWASUQZKZHJNC" hidden="1">#REF!</definedName>
    <definedName name="BExGPPENQIANVGLVQJ77DK5JPRTB" hidden="1">#REF!</definedName>
    <definedName name="BExGQ1ZU4967P72AHF4V1D0FOL5C" hidden="1">#REF!</definedName>
    <definedName name="BExGQ36ZOMR9GV8T05M605MMOY3Y" hidden="1">#REF!</definedName>
    <definedName name="BExGQ61DTJ0SBFMDFBAK3XZ9O0ZO" hidden="1">#REF!</definedName>
    <definedName name="BExGQ6SG9XEOD0VMBAR22YPZWSTA" hidden="1">#REF!</definedName>
    <definedName name="BExGQGJ1A7LNZUS8QSMOG8UNGLMK" hidden="1">#REF!</definedName>
    <definedName name="BExGQGU11CQYU8BC7Z6MKHKQM5OI" hidden="1">#REF!</definedName>
    <definedName name="BExGQMOC7Y5PP6SH5VO2WZEU46L2" hidden="1">#REF!</definedName>
    <definedName name="BExGQPO7ENFEQC0NC6MC9OZR2LHY" hidden="1">#REF!</definedName>
    <definedName name="BExGQVTA5WA3WPQG9Y2DFDCROYOB" hidden="1">#REF!</definedName>
    <definedName name="BExGQX0H4EZMXBJTKJJE4ICJWN5O" hidden="1">#REF!</definedName>
    <definedName name="BExGR4CW3WRIID17GGX4MI9ZDHFE" hidden="1">#REF!</definedName>
    <definedName name="BExGR5EKN4ER8DWCC1MHPT3Y3P5N" hidden="1">#REF!</definedName>
    <definedName name="BExGR65GJX27MU2OL6NI5PB8XVB4" hidden="1">#REF!</definedName>
    <definedName name="BExGR6LQ97HETGS3CT96L4IK0JSH" hidden="1">#REF!</definedName>
    <definedName name="BExGR9ATP2LVT7B9OCPSLJ11H9SX" hidden="1">#REF!</definedName>
    <definedName name="BExGRUKVVKDL8483WI70VN2QZDGD" hidden="1">#REF!</definedName>
    <definedName name="BExGRXKTMVB8S6O9PB41GZDLZICG" hidden="1">#REF!</definedName>
    <definedName name="BExGRZTS0CE8S3MFBC2YNFFIN0JT" hidden="1">#REF!</definedName>
    <definedName name="BExGS2DG1I6YTT8IHAJMVE143499" hidden="1">#REF!</definedName>
    <definedName name="BExGS2IWR5DUNJ1U9PAKIV8CMBNI" hidden="1">#REF!</definedName>
    <definedName name="BExGS69P9FFTEOPDS0MWFKF45G47" hidden="1">#REF!</definedName>
    <definedName name="BExGS6F1JFHM5MUJ1RFO50WP6D05" hidden="1">#REF!</definedName>
    <definedName name="BExGSA5YB5ZGE4NHDVCZ55TQAJTL" hidden="1">#REF!</definedName>
    <definedName name="BExGSCEUCQQVDEEKWJ677QTGUVTE" hidden="1">#REF!</definedName>
    <definedName name="BExGSQY65LH1PCKKM5WHDW83F35O" hidden="1">#REF!</definedName>
    <definedName name="BExGSYW1GKISF0PMUAK3XJK9PEW9" hidden="1">#REF!</definedName>
    <definedName name="BExGT0DZJB6LSF6L693UUB9EY1VQ" hidden="1">#REF!</definedName>
    <definedName name="BExGT0OSW6N0OW0VG46242CNF2AT" hidden="1">#REF!</definedName>
    <definedName name="BExGTGVFIF8HOQXR54SK065A8M4K" hidden="1">#REF!</definedName>
    <definedName name="BExGTIYX3OWPIINOGY1E4QQYSKHP" hidden="1">#REF!</definedName>
    <definedName name="BExGTJKIV358N3ZXOXZTDE57K1PV" hidden="1">#REF!</definedName>
    <definedName name="BExGTKGUN0KUU3C0RL2LK98D8MEK" hidden="1">#REF!</definedName>
    <definedName name="BExGTZ046J7VMUG4YPKFN2K8TWB7" hidden="1">#REF!</definedName>
    <definedName name="BExGU2G9OPRZRIU9YGF6NX9FUW0J" hidden="1">#REF!</definedName>
    <definedName name="BExGU6HTKLRZO8UOI3DTAM5RFDBA" hidden="1">#REF!</definedName>
    <definedName name="BExGUDDZXFFQHAF4UZF8ZB1HO7H6" hidden="1">#REF!</definedName>
    <definedName name="BExGUFC2EG6OWZZJFOE01JMYFKQC" hidden="1">#REF!</definedName>
    <definedName name="BExGUIBXBRHGM97ZX6GBA4ZDQ79C" hidden="1">#REF!</definedName>
    <definedName name="BExGUM8D91UNPCOO4TKP9FGX85TF" hidden="1">#REF!</definedName>
    <definedName name="BExGUPZ6VG0RVF0GLQEI53JYNW40" hidden="1">#REF!</definedName>
    <definedName name="BExGUQF9N9FKI7S0H30WUAEB5LPD" hidden="1">#REF!</definedName>
    <definedName name="BExGUR6BA03XPBK60SQUW197GJ5X" hidden="1">#REF!</definedName>
    <definedName name="BExGUS2PCI7ONXHM6RM78IRG24SN" hidden="1">#REF!</definedName>
    <definedName name="BExGUVIP60TA4B7X2PFGMBFUSKGX" hidden="1">#REF!</definedName>
    <definedName name="BExGUZKF06F209XL1IZWVJEQ82EE" hidden="1">#REF!</definedName>
    <definedName name="BExGV0BD86S9VS5OJR61FPT4Q4DE" hidden="1">#REF!</definedName>
    <definedName name="BExGV2EVT380QHD4AP2RL9MR8L5L" hidden="1">#REF!</definedName>
    <definedName name="BExGV9RAHWYAOVIZCGH7NP8DBS7V" hidden="1">#REF!</definedName>
    <definedName name="BExGVSC2GTZJCL2JIJ48ZLYYCBO4" hidden="1">#REF!</definedName>
    <definedName name="BExGVV6OOLDQ3TXZK51TTF3YX0WN" hidden="1">#REF!</definedName>
    <definedName name="BExGW0KVS7U0C87XFZ78QW991IEV" hidden="1">#REF!</definedName>
    <definedName name="BExGW2Z7AMPG6H9EXA9ML6EZVGGA" hidden="1">#REF!</definedName>
    <definedName name="BExGW4MMXYBIAM5HHDNWI957K4XP" hidden="1">#REF!</definedName>
    <definedName name="BExGWABG5VT5XO1A196RK61AXA8C" hidden="1">#REF!</definedName>
    <definedName name="BExGWEIHSJJQ4RZFLVF6FBUQ2SX1" hidden="1">#REF!</definedName>
    <definedName name="BExGWEO0JDG84NYLEAV5NSOAGMJZ" hidden="1">#REF!</definedName>
    <definedName name="BExGWLEOC70Z8QAJTPT2PDHTNM4L" hidden="1">#REF!</definedName>
    <definedName name="BExGWNCXLCRTLBVMTXYJ5PHQI6SS" hidden="1">#REF!</definedName>
    <definedName name="BExGWW743CFWR9CBLA6MOUQRG50B" hidden="1">#REF!</definedName>
    <definedName name="BExGWWCL67WJD7OOWYATNX238GI4" hidden="1">#REF!</definedName>
    <definedName name="BExGX6U988MCFIGDA1282F92U9AA" hidden="1">#REF!</definedName>
    <definedName name="BExGX7FTB1CKAT5HUW6H531FIY6I" hidden="1">#REF!</definedName>
    <definedName name="BExGX8XLFQ378J786JLV4J4SGCOH" hidden="1">#REF!</definedName>
    <definedName name="BExGX9DVACJQIZ4GH6YAD2A7F70O" hidden="1">#REF!</definedName>
    <definedName name="BExGXAA85YPKGR7NX5ZZ5DZMF025" hidden="1">#REF!</definedName>
    <definedName name="BExGXDVP2S2Y8Z8Q43I78RCIK3DD" hidden="1">#REF!</definedName>
    <definedName name="BExGXJ9W5JU7TT9S0BKL5Y6VVB39" hidden="1">#REF!</definedName>
    <definedName name="BExGXWB73RJ4BASBQTQ8EY0EC1EB" hidden="1">#REF!</definedName>
    <definedName name="BExGXZ0ABB43C7SMRKZHWOSU9EQX" hidden="1">#REF!</definedName>
    <definedName name="BExGY6SU3SYVCJ3AG2ITY59SAZ5A" hidden="1">#REF!</definedName>
    <definedName name="BExGY6YA4P5KMY2VHT0DYK3YTFAX" hidden="1">#REF!</definedName>
    <definedName name="BExGY7JWF30V239BNJ81PAQXVWRA" hidden="1">#REF!</definedName>
    <definedName name="BExGY8G88PVVRYHPHRPJZFSX6HSC" hidden="1">#REF!</definedName>
    <definedName name="BExGYC718HTZ80PNKYPVIYGRJVF6" hidden="1">#REF!</definedName>
    <definedName name="BExGYCNATXZY2FID93B17YWIPPRD" hidden="1">#REF!</definedName>
    <definedName name="BExGYGJJJ3BBCQAOA51WHP01HN73" hidden="1">#REF!</definedName>
    <definedName name="BExGYJ8J1VILBMLO2AF84U69YL5D" hidden="1">#REF!</definedName>
    <definedName name="BExGYOS6TV2C72PLRFU8RP1I58GY" hidden="1">#REF!</definedName>
    <definedName name="BExGYUBW2C92V712JPKJIZOGFA3H" hidden="1">#REF!</definedName>
    <definedName name="BExGZ7NXZ0IBS44C2NZ9VMD6T6K2" hidden="1">#REF!</definedName>
    <definedName name="BExGZIGCPGPGTW2F3X3JU6BOUVUC" hidden="1">#REF!</definedName>
    <definedName name="BExGZJ78ZWZCVHZ3BKEKFJZ6MAEO" hidden="1">#REF!</definedName>
    <definedName name="BExGZMCN96LZH7J86V60K9WUL64I" hidden="1">#REF!</definedName>
    <definedName name="BExGZOLH2QV73J3M9IWDDPA62TP4" hidden="1">#REF!</definedName>
    <definedName name="BExGZP1PWGFKVVVN4YDIS22DZPCR" hidden="1">#REF!</definedName>
    <definedName name="BExGZYXS0GTA29TRAW6KAUBGG6D4" hidden="1">#REF!</definedName>
    <definedName name="BExH00L21GZX5YJJGVMOAWBERLP5" hidden="1">#REF!</definedName>
    <definedName name="BExH02ZD6VAY1KQLAQYBBI6WWIZB" hidden="1">#REF!</definedName>
    <definedName name="BExH08Z6LQCGGSGSAILMHX4X7JMD" hidden="1">#REF!</definedName>
    <definedName name="BExH0KT9Z8HEVRRQRGQ8YHXRLIJA" hidden="1">#REF!</definedName>
    <definedName name="BExH0M0FDN12YBOCKL3XL2Z7T7Y8" hidden="1">#REF!</definedName>
    <definedName name="BExH0O9G06YPZ5TN9RYT326I1CP2" hidden="1">#REF!</definedName>
    <definedName name="BExH0WNJAKTJRCKMTX8O4KNMIIJM" hidden="1">#REF!</definedName>
    <definedName name="BExH12Y4WX542WI3ZEM15AK4UM9J" hidden="1">#REF!</definedName>
    <definedName name="BExH1FDTQXR9QQ31WDB7OPXU7MPT" hidden="1">#REF!</definedName>
    <definedName name="BExH1FOMEUIJNIDJAUY0ZQFBJSY9" hidden="1">#REF!</definedName>
    <definedName name="BExH1JFFHEBFX9BWJMNIA3N66R3Z" hidden="1">#REF!</definedName>
    <definedName name="BExH1JQ7LOEF0W9PLVK5TQV6OKKN" hidden="1">#REF!</definedName>
    <definedName name="BExH1QMD1UU8X5NZERDZ7OIP3IBI" hidden="1">#REF!</definedName>
    <definedName name="BExH1QRUAHNS38YF9NUDP3HQVCQX" hidden="1">#REF!</definedName>
    <definedName name="BExH1Z0GIUSVTF2H1G1I3PDGBNK2" hidden="1">#REF!</definedName>
    <definedName name="BExH20NWA8ENESAPBG6NAC2YPEO4" hidden="1">#REF!</definedName>
    <definedName name="BExH225UTM6S9FW4MUDZS7F1PQSH" hidden="1">#REF!</definedName>
    <definedName name="BExH23271RF7AYZ542KHQTH68GQ7" hidden="1">#REF!</definedName>
    <definedName name="BExH2F74OKJVDRI5YI3ZID3FK4TV" hidden="1">#REF!</definedName>
    <definedName name="BExH2GJQR4JALNB314RY0LDI49VH" hidden="1">#REF!</definedName>
    <definedName name="BExH2JZR49T7644JFVE7B3N7RZM9" hidden="1">#REF!</definedName>
    <definedName name="BExH2UHF0QTJG107MULYB16WBJM9" hidden="1">#REF!</definedName>
    <definedName name="BExH2WKXV8X5S2GSBBTWGI0NLNAH" hidden="1">#REF!</definedName>
    <definedName name="BExH2XS1UFYFGU0S0EBXX90W2WE8" hidden="1">#REF!</definedName>
    <definedName name="BExH2XS2TND9SB0GC295R4FP6K5Y" hidden="1">#REF!</definedName>
    <definedName name="BExH2YTXUR9T72F0GDY6SOWXILZW" hidden="1">#REF!</definedName>
    <definedName name="BExH2ZA0SZ4SSITL50NA8LZ3OEX6" hidden="1">#REF!</definedName>
    <definedName name="BExH31Z3JNVJPESWKXHILGXZHP2M" hidden="1">#REF!</definedName>
    <definedName name="BExH354HGZBZVGYHAFTW94X2H02V" hidden="1">#REF!</definedName>
    <definedName name="BExH3AIPEWJTSC6FIOT91LAJ4BVK" hidden="1">#REF!</definedName>
    <definedName name="BExH3E9HZ3QJCDZW7WI7YACFQCHE" hidden="1">#REF!</definedName>
    <definedName name="BExH3IRB6764RQ5HBYRLH6XCT29X" hidden="1">#REF!</definedName>
    <definedName name="BExH3S1U4P2X6SRJWRFW0SLYOGPN" hidden="1">#REF!</definedName>
    <definedName name="BExIG2U8V6RSB47SXLCQG3Q68YRO" hidden="1">#REF!</definedName>
    <definedName name="BExIGJBO8R13LV7CZ7C1YCP974NN" hidden="1">#REF!</definedName>
    <definedName name="BExIGVWUQRJ9JK457DKS9QABDRP8" hidden="1">#REF!</definedName>
    <definedName name="BExIGWT86FPOEYTI8GXCGU5Y3KGK" hidden="1">#REF!</definedName>
    <definedName name="BExIGZ7JS9HDENRE0JW5XJAOPDEZ" hidden="1">#REF!</definedName>
    <definedName name="BExIHALJDGOF5K10J16YCMQ5GM3C" hidden="1">#REF!</definedName>
    <definedName name="BExIHBHXA7E7VUTBVHXXXCH3A5CL" hidden="1">#REF!</definedName>
    <definedName name="BExIHNMT9P59WY619GEWB1XONTAE" hidden="1">#REF!</definedName>
    <definedName name="BExIHNMTY8HBM7KQDSTMXEM6MHL4" hidden="1">#REF!</definedName>
    <definedName name="BExIHPQCQTGEW8QOJVIQ4VX0P6DX" hidden="1">#REF!</definedName>
    <definedName name="BExII1KN91Q7DLW0UB7W2TJ5ACT9" hidden="1">#REF!</definedName>
    <definedName name="BExII50LI8I0CDOOZEMIVHVA2V95" hidden="1">#REF!</definedName>
    <definedName name="BExIIG9B1NUCF87YMTZD00ZQV7YM" hidden="1">#REF!</definedName>
    <definedName name="BExIIJ92IYQELRFHSR40Z95GRA7B" hidden="1">#REF!</definedName>
    <definedName name="BExIIOCM870FEO7PB1AVBXPJV7VU" hidden="1">#REF!</definedName>
    <definedName name="BExIIXMY38TQD12CVV4S57L3I809" hidden="1">#REF!</definedName>
    <definedName name="BExIIY37NEVU2LGS1JE4VR9AN6W4" hidden="1">#REF!</definedName>
    <definedName name="BExIIYJAGXR8TPZ1KCYM7EGJ79UW" hidden="1">#REF!</definedName>
    <definedName name="BExIJ3160YCWGAVEU0208ZGXXG3P" hidden="1">#REF!</definedName>
    <definedName name="BExIJ9MI8QNCVF6L1SK4ZWC4CPJ7" hidden="1">#REF!</definedName>
    <definedName name="BExIJDDG5VBHOJN985RQY9L7V0T4" hidden="1">#REF!</definedName>
    <definedName name="BExIJFGZJ5ED9D6KAY4PGQYLELAX" hidden="1">#REF!</definedName>
    <definedName name="BExIJQK80ZEKSTV62E59AYJYUNLI" hidden="1">#REF!</definedName>
    <definedName name="BExIJRLX3M0YQLU1D5Y9V7HM5QNM" hidden="1">#REF!</definedName>
    <definedName name="BExIJV22J0QA7286KNPMHO1ZUCB3" hidden="1">#REF!</definedName>
    <definedName name="BExIJVI6OC7B6ZE9V4PAOYZXKNER" hidden="1">#REF!</definedName>
    <definedName name="BExIJWK0NGTGQ4X7D5VIVXD14JHI" hidden="1">#REF!</definedName>
    <definedName name="BExIJWPCIYINEJUTXU74VK7WG031" hidden="1">#REF!</definedName>
    <definedName name="BExIJZP8AKK000EFDGK7KZ1YKRXT" hidden="1">#REF!</definedName>
    <definedName name="BExIK41RG3TI7ODQ4FLUACE2BZ0N" hidden="1">#REF!</definedName>
    <definedName name="BExIK7XUQEJJZ5VODZGOTJ8AMON1" hidden="1">#REF!</definedName>
    <definedName name="BExIKA1K9MQ0D47FRHH7PK9L4YF4" hidden="1">#REF!</definedName>
    <definedName name="BExIKG16ZROPHR8N1X4HKUP1WZGL" hidden="1">#REF!</definedName>
    <definedName name="BExIKHTXPZR5A8OHB6HDP6QWDHAD" hidden="1">#REF!</definedName>
    <definedName name="BExIKMMJOETSAXJYY1SIKM58LMA2" hidden="1">#REF!</definedName>
    <definedName name="BExIKRF6AQ6VOO9KCIWSM6FY8M7D" hidden="1">#REF!</definedName>
    <definedName name="BExIKTYZESFT3LC0ASFMFKSE0D1X" hidden="1">#REF!</definedName>
    <definedName name="BExIKXVA6M8K0PTRYAGXS666L335" hidden="1">#REF!</definedName>
    <definedName name="BExIL0PMZ2SXK9R6MLP43KBU1J2P" hidden="1">#REF!</definedName>
    <definedName name="BExIL8YHWAAQ5FSJPJKLV2AEFBZJ" hidden="1">#REF!</definedName>
    <definedName name="BExILAAXRTRAD18K74M6MGUEEPUM" hidden="1">#REF!</definedName>
    <definedName name="BExILG5F338C0FFLMVOKMKF8X5ZP" hidden="1">#REF!</definedName>
    <definedName name="BExILGQTQM0HOD0BJI90YO7GOIN3" hidden="1">#REF!</definedName>
    <definedName name="BExIM9DBUB7ZGF4B20FVUO9QGOX2" hidden="1">#REF!</definedName>
    <definedName name="BExIMGK9Z94TFPWWZFMD10HV0IF6" hidden="1">#REF!</definedName>
    <definedName name="BExIMPEGKG18TELVC33T4OQTNBWC" hidden="1">#REF!</definedName>
    <definedName name="BExIMTR1Y7GUPU5JDCRVA2B0BP5M" hidden="1">#REF!</definedName>
    <definedName name="BExIN4OR435DL1US13JQPOQK8GD5" hidden="1">#REF!</definedName>
    <definedName name="BExINFRZSQY0UG3ZDLK9X0HMXQVC" hidden="1">#REF!</definedName>
    <definedName name="BExINI6A7H3KSFRFA6UBBDPKW37F" hidden="1">#REF!</definedName>
    <definedName name="BExINIMK8XC3JOBT2EXYFHHH52H0" hidden="1">#REF!</definedName>
    <definedName name="BExINLX401ZKEGWU168DS4JUM2J6" hidden="1">#REF!</definedName>
    <definedName name="BExINMYYJO1FTV1CZF6O5XCFAMQX" hidden="1">#REF!</definedName>
    <definedName name="BExINP2H4KI05FRFV5PKZFE00HKO" hidden="1">#REF!</definedName>
    <definedName name="BExINZELVWYGU876QUUZCIMXPBQC" hidden="1">#REF!</definedName>
    <definedName name="BExIOA1PQIA776R2L8NWYXNM9ND6" hidden="1">#REF!</definedName>
    <definedName name="BExIOB8PPUKJBGWP2NUHRLUX2RIG" hidden="1">#REF!</definedName>
    <definedName name="BExIOCQUQHKUU1KONGSDOLQTQEIC" hidden="1">#REF!</definedName>
    <definedName name="BExIOEOWP5Q4XQMV71GLZQAAI5XU" hidden="1">#REF!</definedName>
    <definedName name="BExIOFL8Y5O61VLKTB4H20IJNWS1" hidden="1">#REF!</definedName>
    <definedName name="BExIOMBXRW5NS4ZPYX9G5QREZ5J6" hidden="1">#REF!</definedName>
    <definedName name="BExIORA3GK78T7C7SNBJJUONJ0LS" hidden="1">#REF!</definedName>
    <definedName name="BExIORFDXP4AVIEBLSTZ8ETSXMNM" hidden="1">#REF!</definedName>
    <definedName name="BExIOSMJ8H2QFFJ77ORHGDQ83IFO" hidden="1">#REF!</definedName>
    <definedName name="BExIOTZ5EFZ2NASVQ05RH15HRSW6" hidden="1">#REF!</definedName>
    <definedName name="BExIP8YNN6UUE1GZ223SWH7DLGKO" hidden="1">#REF!</definedName>
    <definedName name="BExIPAB4AOL592OJCC1CFAXTLF1A" hidden="1">#REF!</definedName>
    <definedName name="BExIPB25DKX4S2ZCKQN7KWSC3JBF" hidden="1">#REF!</definedName>
    <definedName name="BExIPDLT8JYAMGE5HTN4D1YHZF3V" hidden="1">#REF!</definedName>
    <definedName name="BExIPG040Q08EWIWL6CAVR3GRI43" hidden="1">#REF!</definedName>
    <definedName name="BExIPGLQDO1YMEB86R68Y0DJ5XO8" hidden="1">#REF!</definedName>
    <definedName name="BExIPKNFUDPDKOSH5GHDVNA8D66S" hidden="1">#REF!</definedName>
    <definedName name="BExIPWN0XDHVDFBQ7PRCMHJCYPZS" hidden="1">#REF!</definedName>
    <definedName name="BExIPWSCO67OYEGCDVUA2NVM3BTO" hidden="1">#REF!</definedName>
    <definedName name="BExIPYFR9Q89IRAL0HPOES7623H9" hidden="1">#REF!</definedName>
    <definedName name="BExIQ1VS9A2FHVD9TUHKG9K8EVVP" hidden="1">#REF!</definedName>
    <definedName name="BExIQ3J19L30PSQ2CXNT6IHW0I7V" hidden="1">#REF!</definedName>
    <definedName name="BExIQ3OJ7M04XCY276IO0LJA5XUK" hidden="1">#REF!</definedName>
    <definedName name="BExIQ5S19ITB0NDRUN4XV7B905ED" hidden="1">#REF!</definedName>
    <definedName name="BExIQ9TMQT2EIXSVQW7GVSOAW2VJ" hidden="1">#REF!</definedName>
    <definedName name="BExIQBMDE1L6J4H27K1FMSHQKDSE" hidden="1">#REF!</definedName>
    <definedName name="BExIQCTILU1D6OD8XR0K44Z9OTI8" hidden="1">#REF!</definedName>
    <definedName name="BExIQE65LVXUOF3UZFO7SDHFJH22" hidden="1">#REF!</definedName>
    <definedName name="BExIQG9OO2KKBOWTMD1OXY36TEGA" hidden="1">#REF!</definedName>
    <definedName name="BExIQX1XBB31HZTYEEVOBSE3C5A6" hidden="1">#REF!</definedName>
    <definedName name="BExIQYP5T1TPAQYW7QU1Q98BKX7W" hidden="1">#REF!</definedName>
    <definedName name="BExIR2ALYRP9FW99DK2084J7IIDC" hidden="1">#REF!</definedName>
    <definedName name="BExIR8AEZJSMARN4TIP4IAH633VY" hidden="1">#REF!</definedName>
    <definedName name="BExIR8FQETPTQYW37DBVDWG3J4JW" hidden="1">#REF!</definedName>
    <definedName name="BExIRFC347MN34RQMSV7I8OMW0IF" hidden="1">#REF!</definedName>
    <definedName name="BExIRRBGTY01OQOI3U5SW59RFDFI" hidden="1">#REF!</definedName>
    <definedName name="BExIRZK9FAQUDGEKAVDAD2U7PAJX" hidden="1">#REF!</definedName>
    <definedName name="BExIS1T4I3FP09WTOX5KUGQ2UBKZ" hidden="1">#REF!</definedName>
    <definedName name="BExIS4T0DRF57HYO7OGG72KBOFOI" hidden="1">#REF!</definedName>
    <definedName name="BExIS4T1H0QZ6JBPGSXFHRJT9CKL" hidden="1">#REF!</definedName>
    <definedName name="BExIS77BJDDK18PGI9DSEYZPIL7P" hidden="1">#REF!</definedName>
    <definedName name="BExIS8USL1T3Z97CZ30HJ98E2GXQ" hidden="1">#REF!</definedName>
    <definedName name="BExISC5B700MZUBFTQ9K4IKTF7HR" hidden="1">#REF!</definedName>
    <definedName name="BExISDHXS49S1H56ENBPRF1NLD5C" hidden="1">#REF!</definedName>
    <definedName name="BExISKJELFT3O9DCTLFYCZP11N96" hidden="1">#REF!</definedName>
    <definedName name="BExISLQKVUIUNOKHSQUUBIQATR1W" hidden="1">#REF!</definedName>
    <definedName name="BExISM1JLV54A21A164IURMPGUMU" hidden="1">#REF!</definedName>
    <definedName name="BExISRFKJYUZ4AKW44IJF7RF9Y90" hidden="1">#REF!</definedName>
    <definedName name="BExIT1MK8TBAK3SNP36A8FKDQSOK" hidden="1">#REF!</definedName>
    <definedName name="BExITBNYANV2S8KD56GOGCKW393R" hidden="1">#REF!</definedName>
    <definedName name="BExITTCJH4ZHOX4KWHF73042RAK7" hidden="1">#REF!</definedName>
    <definedName name="BExIU3DVINKWLRHRFLLWPK315JVV" hidden="1">#REF!</definedName>
    <definedName name="BExIUB6GMB0SK1G4X7OS9A0AYW30" hidden="1">#REF!</definedName>
    <definedName name="BExIUD4OJGH65NFNQ4VMCE3R4J1X" hidden="1">#REF!</definedName>
    <definedName name="BExIUTB5OAAXYW0OFMP0PS40SPOB" hidden="1">#REF!</definedName>
    <definedName name="BExIUUT2MHIOV6R3WHA0DPM1KBKY" hidden="1">#REF!</definedName>
    <definedName name="BExIUXCU015PU9J8JWXYAZVLY22W" hidden="1">#REF!</definedName>
    <definedName name="BExIUYPDT1AM6MWGWQS646PIZIWC" hidden="1">#REF!</definedName>
    <definedName name="BExIV0I2O9F8D1UK1SI8AEYR6U0A" hidden="1">#REF!</definedName>
    <definedName name="BExIV2LM38XPLRTWT0R44TMQ59E5" hidden="1">#REF!</definedName>
    <definedName name="BExIV3HY4S0YRV1F7XEMF2YHAR2I" hidden="1">#REF!</definedName>
    <definedName name="BExIV6HUZFRIFLXW2SICKGTAH1PV" hidden="1">#REF!</definedName>
    <definedName name="BExIVC6WZMHRBRGIBUVX0CO2RK05" hidden="1">#REF!</definedName>
    <definedName name="BExIVCXWL6H5LD9DHDIA4F5U9TQL" hidden="1">#REF!</definedName>
    <definedName name="BExIVEQMZ8OXNQTSHONF3PVMWAS4" hidden="1">#REF!</definedName>
    <definedName name="BExIVMOIPSEWSIHIDDLOXESQ28A0" hidden="1">#REF!</definedName>
    <definedName name="BExIVNVNJX9BYDLC88NG09YF5XQ6" hidden="1">#REF!</definedName>
    <definedName name="BExIVQVKLMGSRYT1LFZH0KUIA4OR" hidden="1">#REF!</definedName>
    <definedName name="BExIVYTFI35KNR2XSA6N8OJYUTUR" hidden="1">#REF!</definedName>
    <definedName name="BExIWB3SY3WRIVIOF988DNNODBOA" hidden="1">#REF!</definedName>
    <definedName name="BExIWB99CG0H52LRD6QWPN4L6DV2" hidden="1">#REF!</definedName>
    <definedName name="BExIWG1W7XP9DFYYSZAIOSHM0QLQ" hidden="1">#REF!</definedName>
    <definedName name="BExIWH3KUK94B7833DD4TB0Y6KP9" hidden="1">#REF!</definedName>
    <definedName name="BExIWKE9MGIDWORBI43AWTUNYFAN" hidden="1">#REF!</definedName>
    <definedName name="BExIWLFX8687QZ24ZTW1DTN5CQ56" hidden="1">#REF!</definedName>
    <definedName name="BExIX2DMJCFY68X9XPKX7A9YBWQV" hidden="1">#REF!</definedName>
    <definedName name="BExIX34PM5DBTRHRQWP6PL6WIX88" hidden="1">#REF!</definedName>
    <definedName name="BExIX3Q8X7JFYF6QADDGVQXO0JRX" hidden="1">#REF!</definedName>
    <definedName name="BExIX5OAP9KSUE5SIZCW9P39Q4WE" hidden="1">#REF!</definedName>
    <definedName name="BExIXGRJPVJMUDGSG7IHPXPNO69B" hidden="1">#REF!</definedName>
    <definedName name="BExIXH7OJAZCU3CMM9G0J8EMGS82" hidden="1">#REF!</definedName>
    <definedName name="BExIXM5R87ZL3FHALWZXYCPHGX3E" hidden="1">#REF!</definedName>
    <definedName name="BExIXS036ZCKT2Z8XZKLZ8PFWQGL" hidden="1">#REF!</definedName>
    <definedName name="BExIXUUIBIDPF0C74DWL5SE9OEKP" hidden="1">#REF!</definedName>
    <definedName name="BExIXY5CF9PFM0P40AZ4U51TMWV0" hidden="1">#REF!</definedName>
    <definedName name="BExIY5MX7IAHBWMVHEEU1G158DNG" hidden="1">#REF!</definedName>
    <definedName name="BExIYCOK822HPURMV2EU4800BXUV" hidden="1">#REF!</definedName>
    <definedName name="BExIYEXJBK8JDWIRSVV4RJSKZVV1" hidden="1">#REF!</definedName>
    <definedName name="BExIYI2RH0K4225XO970K2IQ1E79" hidden="1">#REF!</definedName>
    <definedName name="BExIYMPZ0KS2KOJFQAUQJ77L7701" hidden="1">#REF!</definedName>
    <definedName name="BExIYP9Q6FV9T0R9G3UDKLS4TTYX" hidden="1">#REF!</definedName>
    <definedName name="BExIYZGLDQ1TN7BIIN4RLDP31GIM" hidden="1">#REF!</definedName>
    <definedName name="BExIZ4EJQER5UMH1QXQ7QEY1ZF79" hidden="1">#REF!</definedName>
    <definedName name="BExIZ4K0EZJK6PW3L8SVKTJFSWW9" hidden="1">#REF!</definedName>
    <definedName name="BExIZAECOEZGBAO29QMV14E6XDIV" hidden="1">#REF!</definedName>
    <definedName name="BExIZJU9W0C96IDJPFKGOG2ZUHV3" hidden="1">#REF!</definedName>
    <definedName name="BExIZKVXYD5O2JBU81F2UFJZLLSI" hidden="1">#REF!</definedName>
    <definedName name="BExIZPZDHC8HGER83WHCZAHOX7LK" hidden="1">#REF!</definedName>
    <definedName name="BExIZY2PUZ0OF9YKK1B13IW0VS6G" hidden="1">#REF!</definedName>
    <definedName name="BExJ08KBRR2XMWW3VZMPSQKXHZUH" hidden="1">#REF!</definedName>
    <definedName name="BExJ09RIOKDC030YIVEL6VWSHHV7" hidden="1">#REF!</definedName>
    <definedName name="BExJ0DYJWXGE7DA39PYL3WM05U9O" hidden="1">#REF!</definedName>
    <definedName name="BExJ0MY8SY5J5V50H3UKE78ODTVB" hidden="1">#REF!</definedName>
    <definedName name="BExJ0YC98G37ML4N8FLP8D95EFRF" hidden="1">#REF!</definedName>
    <definedName name="BExKCCREBIWYDT3KYY47J6PKFUJC" hidden="1">#REF!</definedName>
    <definedName name="BExKCDYKAEV45AFXHVHZZ62E5BM3" hidden="1">#REF!</definedName>
    <definedName name="BExKDKO0W4AGQO1V7K6Q4VM750FT" hidden="1">#REF!</definedName>
    <definedName name="BExKDLF10G7W77J87QWH3ZGLUCLW" hidden="1">#REF!</definedName>
    <definedName name="BExKDYWMRURJA994W8K3YT8UGFKI" hidden="1">#REF!</definedName>
    <definedName name="BExKE0PBX3W8SH88BK1DRO4AKXJW" hidden="1">#REF!</definedName>
    <definedName name="BExKEC3CUBF5KESCGZYMCQAGURT1" hidden="1">#REF!</definedName>
    <definedName name="BExKEEMYEAG636MGZ920MIKVGY93" hidden="1">#REF!</definedName>
    <definedName name="BExKEFE0I3MT6ZLC4T1L9465HKTN" hidden="1">#REF!</definedName>
    <definedName name="BExKEK6O5BVJP4VY02FY7JNAZ6BT" hidden="1">#REF!</definedName>
    <definedName name="BExKEKXK6E6QX339ELPXDIRZSJE0" hidden="1">#REF!</definedName>
    <definedName name="BExKEOOIBMP7N8033EY2CJYCBX6H" hidden="1">#REF!</definedName>
    <definedName name="BExKEW0RR5LA3VC46A2BEOOMQE56" hidden="1">#REF!</definedName>
    <definedName name="BExKF4V4SBLEZPOLNZA7GSKJAIU5" hidden="1">#REF!</definedName>
    <definedName name="BExKFA3VI1CZK21SM0N3LZWT9LA1" hidden="1">#REF!</definedName>
    <definedName name="BExKFD99H2969050D31TEDR2O2EQ" hidden="1">#REF!</definedName>
    <definedName name="BExKFINBFV5J2NFRCL4YUO3YF0ZE" hidden="1">#REF!</definedName>
    <definedName name="BExKFISRBFACTAMJSALEYMY66F6X" hidden="1">#REF!</definedName>
    <definedName name="BExKFOSK5DJ151C4E8544UWMYTOC" hidden="1">#REF!</definedName>
    <definedName name="BExKFR1ERYGD3PDUJBEP0N8QFKN7" hidden="1">#REF!</definedName>
    <definedName name="BExKFYJC4EVEV54F82K6VKP7Q3OU" hidden="1">#REF!</definedName>
    <definedName name="BExKG4IYHBKQQ8J8FN10GB2IKO33" hidden="1">#REF!</definedName>
    <definedName name="BExKGF0L44S78D33WMQ1A75TRKB9" hidden="1">#REF!</definedName>
    <definedName name="BExKGFRN31B3G20LMQ4LRF879J68" hidden="1">#REF!</definedName>
    <definedName name="BExKGJD3U3ADZILP20U3EURP0UQP" hidden="1">#REF!</definedName>
    <definedName name="BExKGNK5YGKP0YHHTAAOV17Z9EIM" hidden="1">#REF!</definedName>
    <definedName name="BExKGV77YH9YXIQTRKK2331QGYKF" hidden="1">#REF!</definedName>
    <definedName name="BExKH0ANKNJUT5MEASVBDV24PB47" hidden="1">#REF!</definedName>
    <definedName name="BExKH3FTZ5VGTB86W9M4AB39R0G8" hidden="1">#REF!</definedName>
    <definedName name="BExKH3FV5U5O6XZM7STS3NZKQFGJ" hidden="1">#REF!</definedName>
    <definedName name="BExKH64XYVDKL9OHFYSWKKTIUOZZ" hidden="1">#REF!</definedName>
    <definedName name="BExKHAMUH8NR3HRV0V6FHJE3ROLN" hidden="1">#REF!</definedName>
    <definedName name="BExKHCA9FTAGAO53IUP1E1ZH0GJ3" hidden="1">#REF!</definedName>
    <definedName name="BExKHCFKOWFHO2WW0N7Y5XDXEWAO" hidden="1">#REF!</definedName>
    <definedName name="BExKHIVLONZ46HLMR50DEXKEUNEP" hidden="1">#REF!</definedName>
    <definedName name="BExKHKDK2PRBCUJS8TEDP8K3VODQ" hidden="1">#REF!</definedName>
    <definedName name="BExKHPM9XA0ADDK7TUR0N38EXWEP" hidden="1">#REF!</definedName>
    <definedName name="BExKHWNXFYNVBJWK5PWEC8QY3GN0" hidden="1">#REF!</definedName>
    <definedName name="BExKI10AN0OCRRRKW184LSMF4VSR" hidden="1">#REF!</definedName>
    <definedName name="BExKI4076KXCDE5KXL79KT36OKLO" hidden="1">#REF!</definedName>
    <definedName name="BExKI7LO70WYISR7Q0Y1ZDWO9M3B" hidden="1">#REF!</definedName>
    <definedName name="BExKIGQV6TXIZG039HBOJU62WP2U" hidden="1">#REF!</definedName>
    <definedName name="BExKILE008SF3KTAN8WML3XKI1NZ" hidden="1">#REF!</definedName>
    <definedName name="BExKINSBB6RS7I489QHMCOMU4Z2X" hidden="1">#REF!</definedName>
    <definedName name="BExKINXS3TIW0TAZ9ESZBBTJMJ1V" hidden="1">#REF!</definedName>
    <definedName name="BExKIU87ZKSOC2DYZWFK6SAK9I8E" hidden="1">#REF!</definedName>
    <definedName name="BExKJ449HLYX2DJ9UF0H9GTPSQ73" hidden="1">#REF!</definedName>
    <definedName name="BExKJELX2RUC8UEC56IZPYYZXHA7" hidden="1">#REF!</definedName>
    <definedName name="BExKJINMXS61G2TZEXCJAWVV4F57" hidden="1">#REF!</definedName>
    <definedName name="BExKJK5ME8KB7HA0180L7OUZDDGV" hidden="1">#REF!</definedName>
    <definedName name="BExKJN5IF0VMDILJ5K8ZENF2QYV1" hidden="1">#REF!</definedName>
    <definedName name="BExKJUSJPFUIK20FTVAFJWR2OUYX" hidden="1">#REF!</definedName>
    <definedName name="BExKK8VP5RS3D0UXZVKA37C4SYBP" hidden="1">#REF!</definedName>
    <definedName name="BExKKEPZ3RTU2E8YA2WEQPWR4V0B" hidden="1">#REF!</definedName>
    <definedName name="BExKKIM9NPF6B3SPMPIQB27HQME4" hidden="1">#REF!</definedName>
    <definedName name="BExKKIX1BCBQ4R3K41QD8NTV0OV0" hidden="1">#REF!</definedName>
    <definedName name="BExKKQ3ZWADYV03YHMXDOAMU90EB" hidden="1">#REF!</definedName>
    <definedName name="BExKKUGD2HMJWQEYZ8H3X1BMXFS9" hidden="1">#REF!</definedName>
    <definedName name="BExKKX05KCZZZPKOR1NE5A8RGVT4" hidden="1">#REF!</definedName>
    <definedName name="BExKKZPA1ZQQ10B1E0ID7BSAOCU3" hidden="1">#REF!</definedName>
    <definedName name="BExKL3LJ1DS3QALVV4I34ZU9W7TR" hidden="1">#REF!</definedName>
    <definedName name="BExKL4ND6WU16QBROFEF2BF2NSWX" hidden="1">#REF!</definedName>
    <definedName name="BExKL5JJMC6J0HRAOFV7O2IF9PHX" hidden="1">#REF!</definedName>
    <definedName name="BExKLD6S9L66QYREYHBE5J44OK7X" hidden="1">#REF!</definedName>
    <definedName name="BExKLEZK32L28GYJWVO63BZ5E1JD" hidden="1">#REF!</definedName>
    <definedName name="BExKLLKVVHT06LA55JB2FC871DC5" hidden="1">#REF!</definedName>
    <definedName name="BExKLX9OMIZRVELEESUGRFHXM0CU" hidden="1">#REF!</definedName>
    <definedName name="BExKMCP9CF97BTSQGX6AGCQ2D4AH" hidden="1">#REF!</definedName>
    <definedName name="BExKMOUBU0Y6CK6A9MAFQAGAVDI8" hidden="1">#REF!</definedName>
    <definedName name="BExKMWBX4EH3EYJ07UFEM08NB40Z" hidden="1">#REF!</definedName>
    <definedName name="BExKN6O99NE5G9C53DJANF71H52N" hidden="1">#REF!</definedName>
    <definedName name="BExKNBGV2IR3S7M0BX4810KZB4V3" hidden="1">#REF!</definedName>
    <definedName name="BExKNCTBZTSY3MO42VU5PLV6YUHZ" hidden="1">#REF!</definedName>
    <definedName name="BExKNGV2YY749C42AQ2T9QNIE5C3" hidden="1">#REF!</definedName>
    <definedName name="BExKNJ9FVXHVTQTWYBJ5543QH6AB" hidden="1">#REF!</definedName>
    <definedName name="BExKNKB4GF8V4KCNSHP9DY9GQELZ" hidden="1">#REF!</definedName>
    <definedName name="BExKNLCXPY46DN518YBR4LBFY05B" hidden="1">#REF!</definedName>
    <definedName name="BExKNMEMI4DOMX3V5TWSVMH4AHS2" hidden="1">#REF!</definedName>
    <definedName name="BExKNN06TVR047ZF81KQDYP4QTPG" hidden="1">#REF!</definedName>
    <definedName name="BExKNUY1YVNNB3B7I3OBJ9L3D4TE" hidden="1">#REF!</definedName>
    <definedName name="BExKNV8UOHVWEHDJWI2WMJ9X6QHZ" hidden="1">#REF!</definedName>
    <definedName name="BExKNZLD7UATC1MYRNJD8H2NH4KU" hidden="1">#REF!</definedName>
    <definedName name="BExKNZQUKQQG2Y97R74G4O4BJP1L" hidden="1">#REF!</definedName>
    <definedName name="BExKO06X0EAD3ABEG1E8PWLDWHBA" hidden="1">#REF!</definedName>
    <definedName name="BExKO2AHHSGNI1AZOIOW21KPXKPE" hidden="1">#REF!</definedName>
    <definedName name="BExKO2FXWJWC5IZLDN8JHYILQJ2N" hidden="1">#REF!</definedName>
    <definedName name="BExKO438WZ8FKOU00NURGFMOYXWN" hidden="1">#REF!</definedName>
    <definedName name="BExKO54WYOZPZHDYKITHL2D2E3R6" hidden="1">#REF!</definedName>
    <definedName name="BExKO5ACXVOX97DG4LHXA1OH4QN4" hidden="1">#REF!</definedName>
    <definedName name="BExKO8L26F5PXEVMCUCJEBXHFFC1" hidden="1">#REF!</definedName>
    <definedName name="BExKODIZGWW2EQD0FEYW6WK6XLCM" hidden="1">#REF!</definedName>
    <definedName name="BExKOOX15NANWVZCHBG727YIB6NZ" hidden="1">#REF!</definedName>
    <definedName name="BExKOPO2HPWVQGAKW8LOZMPIDEFG" hidden="1">#REF!</definedName>
    <definedName name="BExKP8EC59VQGNPFIUR37N3FLPQW" hidden="1">#REF!</definedName>
    <definedName name="BExKPEZP0QTKOTLIMMIFSVTHQEEK" hidden="1">#REF!</definedName>
    <definedName name="BExKPH37GYA47VU5VDTAU9QPONZA" hidden="1">#REF!</definedName>
    <definedName name="BExKPLQJX0HJ8OTXBXH9IC9J2V0W" hidden="1">#REF!</definedName>
    <definedName name="BExKPN8C7GN36ZJZHLOB74LU6KT0" hidden="1">#REF!</definedName>
    <definedName name="BExKPX9VZ1J5021Q98K60HMPJU58" hidden="1">#REF!</definedName>
    <definedName name="BExKQJGAAWNM3NT19E9I0CQDBTU0" hidden="1">#REF!</definedName>
    <definedName name="BExKQM5GJ1ZN5REKFE7YVBQ0KXWF" hidden="1">#REF!</definedName>
    <definedName name="BExKQOEA7HV9U5DH9C8JXFD62EKH" hidden="1">#REF!</definedName>
    <definedName name="BExKQQ71278061G7ZFYGPWOMOMY2" hidden="1">#REF!</definedName>
    <definedName name="BExKQTXRG3ECU8NT47UR7643LO5G" hidden="1">#REF!</definedName>
    <definedName name="BExKQVL7HPOIZ4FHANDFMVOJLEPR" hidden="1">#REF!</definedName>
    <definedName name="BExKQWHM0N9DUIUS627YVRD6AHAD" hidden="1">#REF!</definedName>
    <definedName name="BExKR32XG1WY77WDT8KW9FJPGQTU" hidden="1">#REF!</definedName>
    <definedName name="BExKR8RZSEHW184G0Z56B4EGNU72" hidden="1">#REF!</definedName>
    <definedName name="BExKRMKAA92CHNW26SY9E4WH9X1X" hidden="1">#REF!</definedName>
    <definedName name="BExKRPK6CJ6COVJBBJ3R39TDDYIE" hidden="1">#REF!</definedName>
    <definedName name="BExKRVUSQ6PA7ZYQSTEQL3X7PB9P" hidden="1">#REF!</definedName>
    <definedName name="BExKRY3KZ7F7RB2KH8HXSQ85IEQO" hidden="1">#REF!</definedName>
    <definedName name="BExKS4E6QVSEIITUI3YTPHZNHZGP" hidden="1">#REF!</definedName>
    <definedName name="BExKS6HPODFFTOVU8EPZTWDHOWMA" hidden="1">#REF!</definedName>
    <definedName name="BExKS6SHQ3BEH9SCGYVB829ZBDND" hidden="1">#REF!</definedName>
    <definedName name="BExKSA37DZTCK6H13HPIKR0ZFVL8" hidden="1">#REF!</definedName>
    <definedName name="BExKSFHEJYQU3MJ64AXH349TS3AS" hidden="1">#REF!</definedName>
    <definedName name="BExKSFMOMSZYDE0WNC94F40S6636" hidden="1">#REF!</definedName>
    <definedName name="BExKSFMQ15S4790E9AGW1UIH54UR" hidden="1">#REF!</definedName>
    <definedName name="BExKSHQ9K79S8KYUWIV5M5LAHHF1" hidden="1">#REF!</definedName>
    <definedName name="BExKSIS3VA1NCEFCZZSIK8B3YIBZ" hidden="1">#REF!</definedName>
    <definedName name="BExKSJTWG9L3FCX8FLK4EMUJMF27" hidden="1">#REF!</definedName>
    <definedName name="BExKSR66M8VX6DOVY5XKESJ3UH2N" hidden="1">#REF!</definedName>
    <definedName name="BExKSU0MKNAVZYYPKCYTZDWQX4R8" hidden="1">#REF!</definedName>
    <definedName name="BExKSX60G1MUS689FXIGYP2F7C62" hidden="1">#REF!</definedName>
    <definedName name="BExKSZPLVBOMGM6G0C2K3TIFWZ02" hidden="1">#REF!</definedName>
    <definedName name="BExKT2UZ7Y2VWF5NQE18SJRLD2RN" hidden="1">#REF!</definedName>
    <definedName name="BExKT3GJFNGAM09H5F615E36A38C" hidden="1">#REF!</definedName>
    <definedName name="BExKTQZGN8GI3XGSEXMPCCA3S19H" hidden="1">#REF!</definedName>
    <definedName name="BExKTUKYYU0F6TUW1RXV24LRAZFE" hidden="1">#REF!</definedName>
    <definedName name="BExKU3FBLHQBIUTN6XEZW5GC9OG1" hidden="1">#REF!</definedName>
    <definedName name="BExKU82H0VQN0RAAAQIYDUGNIHLY" hidden="1">#REF!</definedName>
    <definedName name="BExKU82I99FEUIZLODXJDOJC96CQ" hidden="1">#REF!</definedName>
    <definedName name="BExKUDM0DFSCM3D91SH0XLXJSL18" hidden="1">#REF!</definedName>
    <definedName name="BExKUGLWWSE2IPFEDZTGVMPHPIRD" hidden="1">#REF!</definedName>
    <definedName name="BExKULEKJLA77AUQPDUHSM94Y76Z" hidden="1">#REF!</definedName>
    <definedName name="BExKUPR3PJWU2LUMDZPBKE0NQ7RJ" hidden="1">#REF!</definedName>
    <definedName name="BExKUR3KBJUGYQOR8144B9AJK4VB" hidden="1">#REF!</definedName>
    <definedName name="BExKV08R85MKI3MAX9E2HERNQUNL" hidden="1">#REF!</definedName>
    <definedName name="BExKV4A9QJJCCMH7OPVJK1BARJAA" hidden="1">#REF!</definedName>
    <definedName name="BExKV4AAUNNJL5JWD7PX6BFKVS6O" hidden="1">#REF!</definedName>
    <definedName name="BExKVB6GMKJUKRZWL0MSBPSDRHV5" hidden="1">#REF!</definedName>
    <definedName name="BExKVDVK6HN74GQPTXICP9BFC8CF" hidden="1">#REF!</definedName>
    <definedName name="BExKVFDIWWX56ST13HB2KUBJJUJK" hidden="1">#REF!</definedName>
    <definedName name="BExKVFZ3ZZGIC1QI8XN6BYFWN0ZY" hidden="1">#REF!</definedName>
    <definedName name="BExKVG4KGO28KPGTAFL1R8TTZ10N" hidden="1">#REF!</definedName>
    <definedName name="BExKVITNQRSMXK5UFXGDS91LJ38V" hidden="1">#REF!</definedName>
    <definedName name="BExKW0CSH7DA02YSNV64PSEIXB2P" hidden="1">#REF!</definedName>
    <definedName name="BExM9D1ZZRTDVBCJ45G2BT4T9BO7" hidden="1">#REF!</definedName>
    <definedName name="BExM9NUG3Q31X01AI9ZJCZIX25CS" hidden="1">#REF!</definedName>
    <definedName name="BExM9OG182RP30MY23PG49LVPZ1C" hidden="1">#REF!</definedName>
    <definedName name="BExMA64MW1S18NH8DCKPCCEI5KCB" hidden="1">#REF!</definedName>
    <definedName name="BExMALEWFUEM8Y686IT03ECURUBR" hidden="1">#REF!</definedName>
    <definedName name="BExMAR3XSK6RSFLHP7ZX1EWGHASI" hidden="1">#REF!</definedName>
    <definedName name="BExMAWI3PXQV1QDLIS0L1DC8H5WL" hidden="1">#REF!</definedName>
    <definedName name="BExMAXJS82ZJ8RS22VLE0V0LDUII" hidden="1">#REF!</definedName>
    <definedName name="BExMB4QRS0R3MTB4CMUHFZ84LNZQ" hidden="1">#REF!</definedName>
    <definedName name="BExMBC35WKQY5CWQJLV4D05O6971" hidden="1">#REF!</definedName>
    <definedName name="BExMBFTZV4Q1A5KG25C1N9PHQNSW" hidden="1">#REF!</definedName>
    <definedName name="BExMBK6ISK3U7KHZKUJXIDKGF6VW" hidden="1">#REF!</definedName>
    <definedName name="BExMBYPQDG9AYDQ5E8IECVFREPO6" hidden="1">#REF!</definedName>
    <definedName name="BExMC8AZUTX8LG89K2JJR7ZG62XX" hidden="1">#REF!</definedName>
    <definedName name="BExMCA96YR10V72G2R0SCIKPZLIZ" hidden="1">#REF!</definedName>
    <definedName name="BExMCB5JU5I2VQDUBS4O42BTEVKI" hidden="1">#REF!</definedName>
    <definedName name="BExMCFSQFSEMPY5IXDIRKZDASDBR" hidden="1">#REF!</definedName>
    <definedName name="BExMCMZOEYWVOOJ98TBHTTCS7XB8" hidden="1">#REF!</definedName>
    <definedName name="BExMCP36T1LUTHJEOP2VEGST62QL" hidden="1">#REF!</definedName>
    <definedName name="BExMCS8EF2W3FS9QADNKREYSI8P0" hidden="1">#REF!</definedName>
    <definedName name="BExMCUS7GSOM96J0HJ7EH0FFM2AC" hidden="1">#REF!</definedName>
    <definedName name="BExMCYOI2FOPS3YH3LFRZMO1F9TR" hidden="1">#REF!</definedName>
    <definedName name="BExMCYTT6TVDWMJXO1NZANRTVNAN" hidden="1">#REF!</definedName>
    <definedName name="BExMD5F6IAV108XYJLXUO9HD0IT6" hidden="1">#REF!</definedName>
    <definedName name="BExMDANV66W9T3XAXID40XFJ0J93" hidden="1">#REF!</definedName>
    <definedName name="BExMDCBC65TZA0PIBGMBH4VD69U7" hidden="1">#REF!</definedName>
    <definedName name="BExMDGD1KQP7NNR78X2ZX4FCBQ1S" hidden="1">#REF!</definedName>
    <definedName name="BExMDIRDK0DI8P86HB7WPH8QWLSQ" hidden="1">#REF!</definedName>
    <definedName name="BExMDPI2FVMORSWDDCVAJ85WYAYO" hidden="1">#REF!</definedName>
    <definedName name="BExMDUWB7VWHFFR266QXO46BNV2S" hidden="1">#REF!</definedName>
    <definedName name="BExME2U47N8LZG0BPJ49ANY5QVV2" hidden="1">#REF!</definedName>
    <definedName name="BExME88DH5DUKMUFI9FNVECXFD2E" hidden="1">#REF!</definedName>
    <definedName name="BExME94PPPYK71YUXJAP780MFC3A" hidden="1">#REF!</definedName>
    <definedName name="BExME9A7MOGAK7YTTQYXP5DL6VYA" hidden="1">#REF!</definedName>
    <definedName name="BExMEAS4SCHR4IWNLLCOYUZ6U3SA" hidden="1">#REF!</definedName>
    <definedName name="BExMEOV9YFRY5C3GDLU60GIX10BY" hidden="1">#REF!</definedName>
    <definedName name="BExMEY09ESM4H2YGKEQQRYUD114R" hidden="1">#REF!</definedName>
    <definedName name="BExMF4G4IUPQY1Y5GEY5N3E04CL6" hidden="1">#REF!</definedName>
    <definedName name="BExMF9UIGYMOAQK0ELUWP0S0HZZY" hidden="1">#REF!</definedName>
    <definedName name="BExMFDLBSWFMRDYJ2DZETI3EXKN2" hidden="1">#REF!</definedName>
    <definedName name="BExMFLDTMRTCHKA37LQW67BG8D5C" hidden="1">#REF!</definedName>
    <definedName name="BExMG9NSK30KD01QX0UBN2VNRTG4" hidden="1">#REF!</definedName>
    <definedName name="BExMGFSWSVUC8O4EM6ZP6T82VC1A" hidden="1">#REF!</definedName>
    <definedName name="BExMGG3PFIHPHX7NXB7HDFI3N12L" hidden="1">#REF!</definedName>
    <definedName name="BExMH3H9TW5TJCNU5Z1EWXP3BAEP" hidden="1">#REF!</definedName>
    <definedName name="BExMHOWPB34KPZ76M2KIX2C9R2VB" hidden="1">#REF!</definedName>
    <definedName name="BExMHSSYC6KVHA3QDTSYPN92TWMI" hidden="1">#REF!</definedName>
    <definedName name="BExMHYHYMX3NWIRZ1LCBNIP1N5KO" hidden="1">#REF!</definedName>
    <definedName name="BExMI0WA793SF41LQ40A28U8OXQY" hidden="1">#REF!</definedName>
    <definedName name="BExMI3AJ9477KDL4T9DHET4LJJTW" hidden="1">#REF!</definedName>
    <definedName name="BExMI6L9KX05GAK523JFKICJMTA5" hidden="1">#REF!</definedName>
    <definedName name="BExMI6QQ20XHD0NWJUN741B37182" hidden="1">#REF!</definedName>
    <definedName name="BExMI8JB94SBD9EMNJEK7Y2T6GYU" hidden="1">#REF!</definedName>
    <definedName name="BExMI8OS85YTW3KYVE4YD0R7Z6UV" hidden="1">#REF!</definedName>
    <definedName name="BExMIAXNGQ14ZES5D9Z5S3C3CZ6O" hidden="1">#REF!</definedName>
    <definedName name="BExMIBOOZU40JS3F89OMPSRCE9MM" hidden="1">#REF!</definedName>
    <definedName name="BExMICQIGTUH9LJBP52AK10KMZF5" hidden="1">#REF!</definedName>
    <definedName name="BExMIIQ5MBWSIHTFWAQADXMZC22Q" hidden="1">#REF!</definedName>
    <definedName name="BExMIL4I2GE866I25CR5JBLJWJ6A" hidden="1">#REF!</definedName>
    <definedName name="BExMIRKIPF27SNO82SPFSB3T5U17" hidden="1">#REF!</definedName>
    <definedName name="BExMIV0KC8555D5E42ZGWG15Y0MO" hidden="1">#REF!</definedName>
    <definedName name="BExMIZT6AN7E6YMW2S87CTCN2UXH" hidden="1">#REF!</definedName>
    <definedName name="BExMJ15T9F3475M0896SG60TN0SR" hidden="1">#REF!</definedName>
    <definedName name="BExMJA01LCAWUR1OX7H4E7JGNN3W" hidden="1">#REF!</definedName>
    <definedName name="BExMJF3EZAF3BNMZGXKZ05OUWXOL" hidden="1">#REF!</definedName>
    <definedName name="BExMJNC8ZFB9DRFOJ961ZAJ8U3A8" hidden="1">#REF!</definedName>
    <definedName name="BExMJR8C3BL8W463PIFBYJQAACO2" hidden="1">#REF!</definedName>
    <definedName name="BExMJTBV8A3D31W2IQHP9RDFPPHQ" hidden="1">#REF!</definedName>
    <definedName name="BExMJXOEJKQBGA2CPJPX85ELOLLU" hidden="1">#REF!</definedName>
    <definedName name="BExMK0Z3BOP778AZQI5Y9BFBN8BF" hidden="1">#REF!</definedName>
    <definedName name="BExMK2RTXN4QJWEUNX002XK8VQP8" hidden="1">#REF!</definedName>
    <definedName name="BExMKBGQDUZ8AWXYHA3QVMSDVZ3D" hidden="1">#REF!</definedName>
    <definedName name="BExMKBM1467553LDFZRRKVSHN374" hidden="1">#REF!</definedName>
    <definedName name="BExMKGK5FJUC0AU8MABRGDC5ZM70" hidden="1">#REF!</definedName>
    <definedName name="BExMKM3NJAUHKN6J4QRPN881XPIZ" hidden="1">#REF!</definedName>
    <definedName name="BExMKTW7R5SOV4PHAFGHU3W73DYE" hidden="1">#REF!</definedName>
    <definedName name="BExMKU7051J2W1RQXGZGE62NBRUZ" hidden="1">#REF!</definedName>
    <definedName name="BExMKUN3WPECJR2XRID2R7GZRGNX" hidden="1">#REF!</definedName>
    <definedName name="BExMKZ535P011X4TNV16GCOH4H21" hidden="1">#REF!</definedName>
    <definedName name="BExML3XQNDIMX55ZCHHXKUV3D6E6" hidden="1">#REF!</definedName>
    <definedName name="BExML5QGSWHLI18BGY4CGOTD3UWH" hidden="1">#REF!</definedName>
    <definedName name="BExMLO5Z61RE85X8HHX2G4IU3AZW" hidden="1">#REF!</definedName>
    <definedName name="BExMLVI7UORSHM9FMO8S2EI0TMTS" hidden="1">#REF!</definedName>
    <definedName name="BExMM5UCOT2HSSN0ZIPZW55GSOVO" hidden="1">#REF!</definedName>
    <definedName name="BExMM8ZRS5RQ8H1H55RVPVTDL5NL" hidden="1">#REF!</definedName>
    <definedName name="BExMMA1GCFTNW2FLJIH8V6Q05XCJ" hidden="1">#REF!</definedName>
    <definedName name="BExMMH8EAZB09XXQ5X4LR0P4NHG9" hidden="1">#REF!</definedName>
    <definedName name="BExMMIQH5BABNZVCIQ7TBCQ10AY5" hidden="1">#REF!</definedName>
    <definedName name="BExMMLKY0S9YU98132K0W87CIX6V" hidden="1">#REF!</definedName>
    <definedName name="BExMMNIZ2T7M22WECMUQXEF4NJ71" hidden="1">#REF!</definedName>
    <definedName name="BExMMPMIOU7BURTV0L1K6ACW9X73" hidden="1">#REF!</definedName>
    <definedName name="BExMMQ835AJDHS4B419SS645P67Q" hidden="1">#REF!</definedName>
    <definedName name="BExMMQIUVPCOBISTEJJYNCCLUCPY" hidden="1">#REF!</definedName>
    <definedName name="BExMMTIXETA5VAKBSOFDD5SRU887" hidden="1">#REF!</definedName>
    <definedName name="BExMMV0P6P5YS3C35G0JYYHI7992" hidden="1">#REF!</definedName>
    <definedName name="BExMNDR4V2VG5RFZDGTAGD3Q9PPG" hidden="1">#REF!</definedName>
    <definedName name="BExMNGWCG9HDHQCZIK30C01P6IMJ" hidden="1">#REF!</definedName>
    <definedName name="BExMNHHWS8HYO1IK2SNJVP580N3X" hidden="1">#REF!</definedName>
    <definedName name="BExMNJLFWZBRN9PZF1IO9CYWV1B2" hidden="1">#REF!</definedName>
    <definedName name="BExMNKCJ0FA57YEUUAJE43U1QN5P" hidden="1">#REF!</definedName>
    <definedName name="BExMNKN5D1WEF2OOJVP6LZ6DLU3Y" hidden="1">#REF!</definedName>
    <definedName name="BExMNQHMLBTCSE7Y9JJ60WT7B9O5" hidden="1">#REF!</definedName>
    <definedName name="BExMNQMY2IUP61KESI720VOMTAJ1" hidden="1">#REF!</definedName>
    <definedName name="BExMNR38HMPLWAJRQ9MMS3ZAZ9IU" hidden="1">#REF!</definedName>
    <definedName name="BExMNRDZULKJMVY2VKIIRM2M5A1M" hidden="1">#REF!</definedName>
    <definedName name="BExMNW6NIOK4PW2K16RX2DT8BCKP" hidden="1">#REF!</definedName>
    <definedName name="BExMNWS79YHAT660YQ2BFQI991D1" hidden="1">#REF!</definedName>
    <definedName name="BExMO9IOWKTWHO8LQJJQI5P3INWY" hidden="1">#REF!</definedName>
    <definedName name="BExMOHWTDF9RR5HR7JINI7HG1K75" hidden="1">#REF!</definedName>
    <definedName name="BExMOI29DOEK5R1A5QZPUDKF7N6T" hidden="1">#REF!</definedName>
    <definedName name="BExMP13CYDJN7CQCV1P03W83PMDY" hidden="1">#REF!</definedName>
    <definedName name="BExMPA31ZIKJSCS4VJIDNVB788NG" hidden="1">#REF!</definedName>
    <definedName name="BExMPAJ5AJAXGKGK3F6H3ODS6RF4" hidden="1">#REF!</definedName>
    <definedName name="BExMPD2X55FFBVJ6CBUKNPROIOEU" hidden="1">#REF!</definedName>
    <definedName name="BExMPGZ848E38FUH1JBQN97DGWAT" hidden="1">#REF!</definedName>
    <definedName name="BExMPLX4SBM5JSQV9Z6F9SVPOGWL" hidden="1">#REF!</definedName>
    <definedName name="BExMPMTICOSMQENOFKQ18K0ZT4S8" hidden="1">#REF!</definedName>
    <definedName name="BExMPMZ07II0R4KGWQQ7PGS3RZS4" hidden="1">#REF!</definedName>
    <definedName name="BExMPOBH04JMDO6Z8DMSEJZM4ANN" hidden="1">#REF!</definedName>
    <definedName name="BExMPSD77XQ3HA6A4FZOJK8G2JP3" hidden="1">#REF!</definedName>
    <definedName name="BExMPX5U54V0262J1RT85X6FAEU5" hidden="1">#REF!</definedName>
    <definedName name="BExMQ4I3Q7F0BMPHSFMFW9TZ87UD" hidden="1">#REF!</definedName>
    <definedName name="BExMQ4SWDWI4N16AZ0T5CJ6HH8WC" hidden="1">#REF!</definedName>
    <definedName name="BExMQ4YE5YB4PXW3JL2NI36D3804" hidden="1">#REF!</definedName>
    <definedName name="BExMQ71WHW50GVX45JU951AGPLFQ" hidden="1">#REF!</definedName>
    <definedName name="BExMQGXSLPT4A6N47LE6FBVHWBOF" hidden="1">#REF!</definedName>
    <definedName name="BExMQSBR7PL4KLB1Q4961QO45Y4G" hidden="1">#REF!</definedName>
    <definedName name="BExMR1MA4I1X77714ZEPUVC8W398" hidden="1">#REF!</definedName>
    <definedName name="BExMR8YQHA7N77HGHY4Y6R30I3XT" hidden="1">#REF!</definedName>
    <definedName name="BExMRENOIARWRYOIVPDIEBVNRDO7" hidden="1">#REF!</definedName>
    <definedName name="BExMRQHUEHGF2FS4LCB0THFELGDI" hidden="1">#REF!</definedName>
    <definedName name="BExMRRJNUMGRSDD5GGKKGEIZ6FTS" hidden="1">#REF!</definedName>
    <definedName name="BExMRU3ACIU0RD2BNWO55LH5U2BR" hidden="1">#REF!</definedName>
    <definedName name="BExMSDKL6LP7BWJIZM6RR8Z00GOW" hidden="1">#REF!</definedName>
    <definedName name="BExMSQRCC40AP8BDUPL2I2DNC210" hidden="1">#REF!</definedName>
    <definedName name="BExO4J9LR712G00TVA82VNTG8O7H" hidden="1">#REF!</definedName>
    <definedName name="BExO4Q5T1IO39TUFXG41PZPWD8H5" hidden="1">#REF!</definedName>
    <definedName name="BExO55G2KVZ7MIJ30N827CLH0I2A" hidden="1">#REF!</definedName>
    <definedName name="BExO5A8PZD9EUHC5CMPU6N3SQ15L" hidden="1">#REF!</definedName>
    <definedName name="BExO5NQ7POIV972F6SG0TJRTNX3L" hidden="1">#REF!</definedName>
    <definedName name="BExO5XMAHL7CY3X0B1OPKZ28DCJ5" hidden="1">#REF!</definedName>
    <definedName name="BExO5ZF1BV5JA1BAQ2BRBRX5SHID" hidden="1">#REF!</definedName>
    <definedName name="BExO66LZJKY4PTQVREELI6POS4AY" hidden="1">#REF!</definedName>
    <definedName name="BExO6909BH766YG65RSEFVYFQTU2" hidden="1">#REF!</definedName>
    <definedName name="BExO6LLHCYTF7CIVHKAO0NMET14Q" hidden="1">#REF!</definedName>
    <definedName name="BExO6QZNN5A2B83AIPUXF3XZFBSZ" hidden="1">#REF!</definedName>
    <definedName name="BExO6VSBO13S1XHIYA2T9N97O35C" hidden="1">#REF!</definedName>
    <definedName name="BExO73Q6J7Q4LLQRTJNT66ZDJ04Z" hidden="1">#REF!</definedName>
    <definedName name="BExO7OUQS3XTUQ2LDKGQ8AAQ3OJJ" hidden="1">#REF!</definedName>
    <definedName name="BExO7RUSODZC2NQZMT2AFSMV2ONF" hidden="1">#REF!</definedName>
    <definedName name="BExO85HMYXZJ7SONWBKKIAXMCI3C" hidden="1">#REF!</definedName>
    <definedName name="BExO863922O4PBGQMUNEQKGN3K96" hidden="1">#REF!</definedName>
    <definedName name="BExO89ZIOXN0HOKHY24F7HDZ87UT" hidden="1">#REF!</definedName>
    <definedName name="BExO8CDTBCABLEUD6PE2UM2EZ6C4" hidden="1">#REF!</definedName>
    <definedName name="BExO8IZ05ZG0XVOL3W41KBQE176A" hidden="1">#REF!</definedName>
    <definedName name="BExO8TM5V5CFSV5A13AYOWY4NGRS" hidden="1">#REF!</definedName>
    <definedName name="BExO8UTAGQWDBQZEEF4HUNMLQCVU" hidden="1">#REF!</definedName>
    <definedName name="BExO8WRI9UE220K2KHQUGXI5FTI2" hidden="1">#REF!</definedName>
    <definedName name="BExO937E20IHMGQOZMECL3VZC7OX" hidden="1">#REF!</definedName>
    <definedName name="BExO94UTJKQQ7TJTTJRTSR70YVJC" hidden="1">#REF!</definedName>
    <definedName name="BExO96NJXFA2CYT0UL7M6KRHY2VA" hidden="1">#REF!</definedName>
    <definedName name="BExO98GB1QAVRMFM0B5Z1LM8IPCD" hidden="1">#REF!</definedName>
    <definedName name="BExO9C1LW0H5XZ5QQ8W8TST95A9F" hidden="1">#REF!</definedName>
    <definedName name="BExO9J3A438976RXIUX5U9SU5T55" hidden="1">#REF!</definedName>
    <definedName name="BExO9RS5RXFJ1911HL3CCK6M74EP" hidden="1">#REF!</definedName>
    <definedName name="BExO9SDRI1M6KMHXSG3AE5L0F2U3" hidden="1">#REF!</definedName>
    <definedName name="BExO9V2U2YXAY904GYYGU6TD8Y7M" hidden="1">#REF!</definedName>
    <definedName name="BExO9X6CX9C8JVWYN81C7SMM0T12" hidden="1">#REF!</definedName>
    <definedName name="BExOA5KGZ64G4LBHXA3W8XIK9LDO" hidden="1">#REF!</definedName>
    <definedName name="BExOAGCX9ISY83KMXO02KFMKR8OW" hidden="1">#REF!</definedName>
    <definedName name="BExOAGT0FMW20NU4SMAL8DNLLF4K" hidden="1">#REF!</definedName>
    <definedName name="BExOAHEKVVJUF1MGV2CNI3MAP6PS" hidden="1">#REF!</definedName>
    <definedName name="BExOAP74APUDMB3KSTFXMASHV905" hidden="1">#REF!</definedName>
    <definedName name="BExOAQ3GKCT7YZW1EMVU3EILSZL2" hidden="1">#REF!</definedName>
    <definedName name="BExOB9KT2THGV4SPLDVFTFXS4B14" hidden="1">#REF!</definedName>
    <definedName name="BExOBEZ0IE2WBEYY3D3CMRI72N1K" hidden="1">#REF!</definedName>
    <definedName name="BExOBIPU8760ITY0C8N27XZ3KWEF" hidden="1">#REF!</definedName>
    <definedName name="BExOBM0I5L0MZ1G4H9MGMD87SBMZ" hidden="1">#REF!</definedName>
    <definedName name="BExOBMM3BUT9G5TPEK750CBN9GSN" hidden="1">#REF!</definedName>
    <definedName name="BExOBOUXMP88KJY2BX2JLUJH5N0K" hidden="1">#REF!</definedName>
    <definedName name="BExOBP0FKQ4SVR59FB48UNLKCOR6" hidden="1">#REF!</definedName>
    <definedName name="BExOBYAVUCQ0IGM0Y6A75QHP0Q1A" hidden="1">#REF!</definedName>
    <definedName name="BExOBYLO8NTLBKV3569Y2UNNIV1K" hidden="1">#REF!</definedName>
    <definedName name="BExOBYLODCTFQF7MAPR1BGYG900Y" hidden="1">#REF!</definedName>
    <definedName name="BExOC08Y6OIMB5N7XH5Q1IR1M20Q" hidden="1">#REF!</definedName>
    <definedName name="BExOC3UEHB1CZNINSQHZANWJYKR8" hidden="1">#REF!</definedName>
    <definedName name="BExOCBSF3XGO9YJ23LX2H78VOUR7" hidden="1">#REF!</definedName>
    <definedName name="BExOCKXFMOW6WPFEVX1I7R7FNDSS" hidden="1">#REF!</definedName>
    <definedName name="BExOCNRZBRRRNWYUAER07D9W3KUR" hidden="1">#REF!</definedName>
    <definedName name="BExOCPF9BHVQX9DU0C0AUNREJM4R" hidden="1">#REF!</definedName>
    <definedName name="BExOCPQ1RIEKSECJ7TPZPM9OZUBL" hidden="1">#REF!</definedName>
    <definedName name="BExOCVPU9Q7O2MBJEA4295LWUPHD" hidden="1">#REF!</definedName>
    <definedName name="BExOCYEXOB95DH5NOB0M5NOYX398" hidden="1">#REF!</definedName>
    <definedName name="BExOD3CXBIIJBO41YJAU5GYAHT8Y" hidden="1">#REF!</definedName>
    <definedName name="BExOD4ERMDMFD8X1016N4EXOUR0S" hidden="1">#REF!</definedName>
    <definedName name="BExOD55RS7BQUHRQ6H3USVGKR0P7" hidden="1">#REF!</definedName>
    <definedName name="BExODEWDDEABM4ZY3XREJIBZ8IVP" hidden="1">#REF!</definedName>
    <definedName name="BExODFHZ8MS3JCXX0USC49XN6SH1" hidden="1">#REF!</definedName>
    <definedName name="BExODNLAA1L7WQ9ZQX6A1ZOXK9VR" hidden="1">#REF!</definedName>
    <definedName name="BExODZFEIWV26E8RFU7XQYX1J458" hidden="1">#REF!</definedName>
    <definedName name="BExOEBKG55EROA2VL360A06LKASE" hidden="1">#REF!</definedName>
    <definedName name="BExOEMSZTAPBPNG3GNASCO44K9B2" hidden="1">#REF!</definedName>
    <definedName name="BExOERG5LWXYYEN1DY1H2FWRJS9T" hidden="1">#REF!</definedName>
    <definedName name="BExOEV1S6JJVO5PP4BZ20SNGZR7D" hidden="1">#REF!</definedName>
    <definedName name="BExOFEDNCYI2TPTMQ8SJN3AW4YMF" hidden="1">#REF!</definedName>
    <definedName name="BExOFIKOWF0SQC3G88QFHNN5LOKB" hidden="1">#REF!</definedName>
    <definedName name="BExOFVLXVD6RVHSQO8KZOOACSV24" hidden="1">#REF!</definedName>
    <definedName name="BExOG2SW3XOGP9VAPQ3THV3VWV12" hidden="1">#REF!</definedName>
    <definedName name="BExOG45J81K4OPA40KW5VQU54KY3" hidden="1">#REF!</definedName>
    <definedName name="BExOGFE2SCL8HHT4DFAXKLUTJZOG" hidden="1">#REF!</definedName>
    <definedName name="BExOGT6D0LJ3C22RDW8COECKB1J5" hidden="1">#REF!</definedName>
    <definedName name="BExOGTMI1HT31M1RGWVRAVHAK7DE" hidden="1">#REF!</definedName>
    <definedName name="BExOGUDJH70YKNQWGCKC27DFHA1D" hidden="1">#REF!</definedName>
    <definedName name="BExOGXO9JE5XSE9GC3I6O21UEKAO" hidden="1">#REF!</definedName>
    <definedName name="BExOH2GVFOFXDG3YQK89NSKG7WJG" hidden="1">#REF!</definedName>
    <definedName name="BExOH7KB5HAPBB5K1Z3DIW5LCRSI" hidden="1">#REF!</definedName>
    <definedName name="BExOH9ICZ13C1LAW8OTYTR9S7ZP3" hidden="1">#REF!</definedName>
    <definedName name="BExOHL75H3OT4WAKKPUXIVXWFVDS" hidden="1">#REF!</definedName>
    <definedName name="BExOHLHXXJL6363CC082M9M5VVXQ" hidden="1">#REF!</definedName>
    <definedName name="BExOHNAO5UDXSO73BK2ARHWKS90Y" hidden="1">#REF!</definedName>
    <definedName name="BExOHR1G1I9A9CI1HG94EWBLWNM2" hidden="1">#REF!</definedName>
    <definedName name="BExOHTLA4RWYHYQSQ0Y7GJ74DSAA" hidden="1">#REF!</definedName>
    <definedName name="BExOHTQPP8LQ98L6PYUI6QW08YID" hidden="1">#REF!</definedName>
    <definedName name="BExOHX6Q6NJI793PGX59O5EKTP4G" hidden="1">#REF!</definedName>
    <definedName name="BExOI5VMTHH7Y8MQQ1N635CHYI0P" hidden="1">#REF!</definedName>
    <definedName name="BExOIEVCP4Y6VDS23AK84MCYYHRT" hidden="1">#REF!</definedName>
    <definedName name="BExOIHPQIXR0NDR5WD01BZKPKEO3" hidden="1">#REF!</definedName>
    <definedName name="BExOILB735ZB46PD74S7PITI9GAU" hidden="1">#REF!</definedName>
    <definedName name="BExOIM7L0Z3LSII9P7ZTV4KJ8RMA" hidden="1">#REF!</definedName>
    <definedName name="BExOIWJVMJ6MG6JC4SPD1L00OHU1" hidden="1">#REF!</definedName>
    <definedName name="BExOIYCN8Z4JK3OOG86KYUCV0ME8" hidden="1">#REF!</definedName>
    <definedName name="BExOJ3AKZ9BCBZT3KD8WMSLK6MN2" hidden="1">#REF!</definedName>
    <definedName name="BExOJ7XQK71I4YZDD29AKOOWZ47E" hidden="1">#REF!</definedName>
    <definedName name="BExOJIA2WWTOQ71OG355G2JFMUU7" hidden="1">#REF!</definedName>
    <definedName name="BExOJM0W6XGSW5MXPTTX0GNF6SFT" hidden="1">#REF!</definedName>
    <definedName name="BExOJXEUJJ9SYRJXKYYV2NCCDT2R" hidden="1">#REF!</definedName>
    <definedName name="BExOJY5XRO8FU71OGQAACRSP2BLW" hidden="1">#REF!</definedName>
    <definedName name="BExOK0EQYM9JUMAGWOUN7QDH7VMZ" hidden="1">#REF!</definedName>
    <definedName name="BExOK4WM9O7QNG6O57FOASI5QSN1" hidden="1">#REF!</definedName>
    <definedName name="BExOKDAQ31PVS0Q7NXOF66C24GYL" hidden="1">#REF!</definedName>
    <definedName name="BExOKKHOPWUVRJGQJ5ONR2U40JX8" hidden="1">#REF!</definedName>
    <definedName name="BExOKTXMJP351VXKH8VT6SXUNIMF" hidden="1">#REF!</definedName>
    <definedName name="BExOKU8GMLOCNVORDE329819XN67" hidden="1">#REF!</definedName>
    <definedName name="BExOL0Z3Z7IAMHPB91EO2MF49U57" hidden="1">#REF!</definedName>
    <definedName name="BExOL7KH12VAR0LG741SIOJTLWFD" hidden="1">#REF!</definedName>
    <definedName name="BExOLICXFHJLILCJVFMJE5MGGWKR" hidden="1">#REF!</definedName>
    <definedName name="BExOLK05V3GRYF8QVGO5GL0JM40J" hidden="1">#REF!</definedName>
    <definedName name="BExOLMP98M3FGPU2FJ4LUCCLYWYT" hidden="1">#REF!</definedName>
    <definedName name="BExOLOI0WJS3QC12I3ISL0D9AWOF" hidden="1">#REF!</definedName>
    <definedName name="BExOLYZNG5RBD0BTS1OEZJNU92Q5" hidden="1">#REF!</definedName>
    <definedName name="BExOM3HIJ3UZPOKJI68KPBJAHPDC" hidden="1">#REF!</definedName>
    <definedName name="BExOMI672TH8VPB5MGW4I7CD339Q" hidden="1">#REF!</definedName>
    <definedName name="BExOMKPURE33YQ3K1JG9NVQD4W49" hidden="1">#REF!</definedName>
    <definedName name="BExOMP7NGCLUNFK50QD2LPKRG078" hidden="1">#REF!</definedName>
    <definedName name="BExOMU0A6XMY48SZRYL4WQZD13BI" hidden="1">#REF!</definedName>
    <definedName name="BExOMVT0HSNC59DJP4CLISASGHKL" hidden="1">#REF!</definedName>
    <definedName name="BExON0AX35F2SI0UCVMGWGVIUNI3" hidden="1">#REF!</definedName>
    <definedName name="BExON1I1PE22IM1C2GI89OPXKCDJ" hidden="1">#REF!</definedName>
    <definedName name="BExON41U4296DV3DPG6I5EF3OEYF" hidden="1">#REF!</definedName>
    <definedName name="BExONB3A7CO4YD8RB41PHC93BQ9M" hidden="1">#REF!</definedName>
    <definedName name="BExONFQH6UUXF8V0GI4BRIST9RFO" hidden="1">#REF!</definedName>
    <definedName name="BExONIL31DZWU7IFVN3VV0XTXJA1" hidden="1">#REF!</definedName>
    <definedName name="BExONJ1BU17R0F5A2UP1UGJBOGKS" hidden="1">#REF!</definedName>
    <definedName name="BExONNZ9VMHVX3J6NLNJY7KZA61O" hidden="1">#REF!</definedName>
    <definedName name="BExONRQ1BAA4F3TXP2MYQ4YCZ09S" hidden="1">#REF!</definedName>
    <definedName name="BExOO045KNUR10CKFI7AG1QFP2LL" hidden="1">#REF!</definedName>
    <definedName name="BExOO1WWIZSGB0YTGKESB45TSVMZ" hidden="1">#REF!</definedName>
    <definedName name="BExOO4B8FPAFYPHCTYTX37P1TQM5" hidden="1">#REF!</definedName>
    <definedName name="BExOOIULUDOJRMYABWV5CCL906X6" hidden="1">#REF!</definedName>
    <definedName name="BExOOOE473BPWM1UIV23U0OA16GE" hidden="1">#REF!</definedName>
    <definedName name="BExOORE1DP6UVW28XJX2VS05649B" hidden="1">#REF!</definedName>
    <definedName name="BExOOTN0KTXJCL7E476XBN1CJ553" hidden="1">#REF!</definedName>
    <definedName name="BExOP9DEBV5W5P4Q25J3XCJBP5S9" hidden="1">#REF!</definedName>
    <definedName name="BExOPFNYRBL0BFM23LZBJTADNOE4" hidden="1">#REF!</definedName>
    <definedName name="BExOPINVFSIZMCVT9YGT2AODVCX3" hidden="1">#REF!</definedName>
    <definedName name="BExOQ1JN4SAC44RTMZIGHSW023WA" hidden="1">#REF!</definedName>
    <definedName name="BExOQ256YMF115DJL3KBPNKABJ90" hidden="1">#REF!</definedName>
    <definedName name="BExOQ8FRANXK1FXCVGQLEYWAHOMC" hidden="1">#REF!</definedName>
    <definedName name="BExQ19DEUOLC11IW32E2AMVZLFF1" hidden="1">#REF!</definedName>
    <definedName name="BExQ1FD6KISGYU1JWEQ4G243ZPVD" hidden="1">#REF!</definedName>
    <definedName name="BExQ1YUI76YYM7S7ZRVVKACYSIT9" hidden="1">#REF!</definedName>
    <definedName name="BExQ29C73XR33S3668YYSYZAIHTG" hidden="1">#REF!</definedName>
    <definedName name="BExQ2FS228IUDUP2023RA1D4AO4C" hidden="1">#REF!</definedName>
    <definedName name="BExQ2L0XYWLY9VPZWXYYFRIRQRJ1" hidden="1">#REF!</definedName>
    <definedName name="BExQ2M841F5Z1BQYR8DG5FKK0LIU" hidden="1">#REF!</definedName>
    <definedName name="BExQ300G8I8TK45A0MVHV15422EU" hidden="1">#REF!</definedName>
    <definedName name="BExQ39R28MXSG2SEV956F0KZ20AN" hidden="1">#REF!</definedName>
    <definedName name="BExQ3D1P3M5Z3HLMEZ17E0BLEE4U" hidden="1">#REF!</definedName>
    <definedName name="BExQ3O4W7QF8BOXTUT4IOGF6YKUD" hidden="1">#REF!</definedName>
    <definedName name="BExQ3PXOWSN8561ZR8IEY8ZASI3B" hidden="1">#REF!</definedName>
    <definedName name="BExQ3TZF04IPY0B0UG9CQQ5736UA" hidden="1">#REF!</definedName>
    <definedName name="BExQ42IU9MNDYLODP41DL6YTZMAR" hidden="1">#REF!</definedName>
    <definedName name="BExQ452HF7N1HYPXJXQ8WD6SOWUV" hidden="1">#REF!</definedName>
    <definedName name="BExQ499KBJ5W7A1G293A0K14EVQB" hidden="1">#REF!</definedName>
    <definedName name="BExQ4BTBSHPHVEDRCXC2ROW8PLFC" hidden="1">#REF!</definedName>
    <definedName name="BExQ4DGKF54SRKQUTUT4B1CZSS62" hidden="1">#REF!</definedName>
    <definedName name="BExQ4NSVK48EA9BUF87H7GPVDOK8" hidden="1">#REF!</definedName>
    <definedName name="BExQ4T74LQ5PYTV1MUQUW75A4BDY" hidden="1">#REF!</definedName>
    <definedName name="BExQ4XJHD7EJCNH7S1MJDZJ2MNWG" hidden="1">#REF!</definedName>
    <definedName name="BExQ5039ZCEWBUJHU682G4S89J03" hidden="1">#REF!</definedName>
    <definedName name="BExQ56Z9W6YHZHRXOFFI8EFA7CDI" hidden="1">#REF!</definedName>
    <definedName name="BExQ5GVHFWN1PXVNG6BO14X6G9WN" hidden="1">#REF!</definedName>
    <definedName name="BExQ5KX3Z668H1KUCKZ9J24HUQ1F" hidden="1">#REF!</definedName>
    <definedName name="BExQ5NBD1W1QEGZRR99KIYKF77EZ" hidden="1">#REF!</definedName>
    <definedName name="BExQ5SPMSOCJYLAY20NB5A6O32RE" hidden="1">#REF!</definedName>
    <definedName name="BExQ5UICMGTMK790KTLK49MAGXRC" hidden="1">#REF!</definedName>
    <definedName name="BExQ5VEQEIJO7YY80OJTA3XRQYJ9" hidden="1">#REF!</definedName>
    <definedName name="BExQ5Y9449E0VIHZP3O7C8NCV7QD" hidden="1">#REF!</definedName>
    <definedName name="BExQ5YUUK9FD0QGTY4WD0W90O7OL" hidden="1">#REF!</definedName>
    <definedName name="BExQ63793YQ9BH7JLCNRIATIGTRG" hidden="1">#REF!</definedName>
    <definedName name="BExQ64ZXXHELJ1KYL61A4HQ9KJD0" hidden="1">#REF!</definedName>
    <definedName name="BExQ6CN1EF2UPZ57ZYMGK8TUJQSS" hidden="1">#REF!</definedName>
    <definedName name="BExQ6M2YXJ8AMRJF3QGHC40ADAHZ" hidden="1">#REF!</definedName>
    <definedName name="BExQ6M8B0X44N9TV56ATUVHGDI00" hidden="1">#REF!</definedName>
    <definedName name="BExQ6PIZEB3532T46HXOTSDMM8XR" hidden="1">#REF!</definedName>
    <definedName name="BExQ6POH065GV0I74XXVD0VUPBJW" hidden="1">#REF!</definedName>
    <definedName name="BExQ6RBR9PMTI1BITBVTYT7OL841" hidden="1">#REF!</definedName>
    <definedName name="BExQ6VTJY141KYR06GQE1NC8SXJE" hidden="1">#REF!</definedName>
    <definedName name="BExQ6WV9KPSMXPPLGZ3KK4WNYTHU" hidden="1">#REF!</definedName>
    <definedName name="BExQ6YTHQ6S0QBZ8HHGZDN4DNA4G" hidden="1">#REF!</definedName>
    <definedName name="BExQ783XTMM2A9I3UKCFWJH1PP2N" hidden="1">#REF!</definedName>
    <definedName name="BExQ79LX01ZPQB8EGD1ZHR2VK2H3" hidden="1">#REF!</definedName>
    <definedName name="BExQ7B3V9MGDK2OIJ61XXFBFLJFZ" hidden="1">#REF!</definedName>
    <definedName name="BExQ7CB046NVPF9ZXDGA7OXOLSLX" hidden="1">#REF!</definedName>
    <definedName name="BExQ7IWDCGGOO1HTJ97YGO1CK3R9" hidden="1">#REF!</definedName>
    <definedName name="BExQ7JNFIEGS2HKNBALH3Q2N5G7Z" hidden="1">#REF!</definedName>
    <definedName name="BExQ7MY3U2Z1IZ71U5LJUD00VVB4" hidden="1">#REF!</definedName>
    <definedName name="BExQ7XL2Q1GVUFL1F9KK0K0EXMWG" hidden="1">#REF!</definedName>
    <definedName name="BExQ8469L3ZRZ3KYZPYMSJIDL7Y5" hidden="1">#REF!</definedName>
    <definedName name="BExQ84MJB94HL3BWRN50M4NCB6Z0" hidden="1">#REF!</definedName>
    <definedName name="BExQ8583ZE00NW7T9OF11OT9IA14" hidden="1">#REF!</definedName>
    <definedName name="BExQ8A0RPE3IMIFIZLUE7KD2N21W" hidden="1">#REF!</definedName>
    <definedName name="BExQ8ABK6H1ADV2R2OYT8NFFYG2N" hidden="1">#REF!</definedName>
    <definedName name="BExQ8DM90XJ6GCJIK9LC5O82I2TJ" hidden="1">#REF!</definedName>
    <definedName name="BExQ8G0K46ZORA0QVQTDI7Z8LXGF" hidden="1">#REF!</definedName>
    <definedName name="BExQ8O3WEU8HNTTGKTW5T0QSKCLP" hidden="1">#REF!</definedName>
    <definedName name="BExQ8ZCEDBOBJA3D9LDP5TU2WYGR" hidden="1">#REF!</definedName>
    <definedName name="BExQ94LAW6MAQBWY25WTBFV5PPZJ" hidden="1">#REF!</definedName>
    <definedName name="BExQ97QIPOSSRK978N8P234Y1XA4" hidden="1">#REF!</definedName>
    <definedName name="BExQ9DVR0WJQK432BJFWT5WHPMRB" hidden="1">#REF!</definedName>
    <definedName name="BExQ9E6FBAXTHGF3RXANFIA77GXP" hidden="1">#REF!</definedName>
    <definedName name="BExQ9F2YH4UUCCMQITJ475B3S3NP" hidden="1">#REF!</definedName>
    <definedName name="BExQ9JFB4RTFJENST4REUXJMBUE5" hidden="1">#REF!</definedName>
    <definedName name="BExQ9KX9734KIAK7IMRLHCPYDHO2" hidden="1">#REF!</definedName>
    <definedName name="BExQ9L81FF4I7816VTPFBDWVU4CW" hidden="1">#REF!</definedName>
    <definedName name="BExQ9L81NJ13DU9YBWXBVFW9CUXZ" hidden="1">#REF!</definedName>
    <definedName name="BExQ9M4E2ACZOWWWP1JJIQO8AHUM" hidden="1">#REF!</definedName>
    <definedName name="BExQ9P4BBVS3P5BKN790LSTKJG5G" hidden="1">#REF!</definedName>
    <definedName name="BExQ9UTANMJCK7LJ4OQMD6F2Q01L" hidden="1">#REF!</definedName>
    <definedName name="BExQ9ZLYHWABXAA9NJDW8ZS0UQ9P" hidden="1">#REF!</definedName>
    <definedName name="BExQA324HSCK40ENJUT9CS9EC71B" hidden="1">#REF!</definedName>
    <definedName name="BExQA55GY0STSNBWQCWN8E31ZXCS" hidden="1">#REF!</definedName>
    <definedName name="BExQA9HZIN9XEMHEEVHT99UU9Z82" hidden="1">#REF!</definedName>
    <definedName name="BExQAELFYH92K8CJL155181UDORO" hidden="1">#REF!</definedName>
    <definedName name="BExQAG8PP8R5NJKNQD1U4QOSD6X5" hidden="1">#REF!</definedName>
    <definedName name="BExQAXMHNJFSS4M5SF684MIC26B3" hidden="1">#REF!</definedName>
    <definedName name="BExQBDICMZTSA1X73TMHNO4JSFLN" hidden="1">#REF!</definedName>
    <definedName name="BExQBEER6CRCRPSSL61S0OMH57ZA" hidden="1">#REF!</definedName>
    <definedName name="BExQBGI9DLM04QWIAWZDVD6V9Z0W" hidden="1">#REF!</definedName>
    <definedName name="BExQBIGGY5TXI2FJVVZSLZ0LTZYH" hidden="1">#REF!</definedName>
    <definedName name="BExQBM1RUSIQ85LLMM2159BYDPIP" hidden="1">#REF!</definedName>
    <definedName name="BExQBPSOZ47V81YAEURP0NQJNTJH" hidden="1">#REF!</definedName>
    <definedName name="BExQC5TWT21CGBKD0IHAXTIN2QB8" hidden="1">#REF!</definedName>
    <definedName name="BExQC8DNHMYMK98UYCNEU82MP4CM" hidden="1">#REF!</definedName>
    <definedName name="BExQC94JL9F5GW4S8DQCAF4WB2DA" hidden="1">#REF!</definedName>
    <definedName name="BExQCKTD8AT0824LGWREXM1B5D1X" hidden="1">#REF!</definedName>
    <definedName name="BExQCQIE9A5LSAZ9JFF1BA5P9EV8" hidden="1">#REF!</definedName>
    <definedName name="BExQD571YWOXKR2SX85K5MKQ0AO2" hidden="1">#REF!</definedName>
    <definedName name="BExQDA50PW2NIWE5LL4XH4TJ8E76" hidden="1">#REF!</definedName>
    <definedName name="BExQDB6VCHN8PNX8EA6JNIEQ2JC2" hidden="1">#REF!</definedName>
    <definedName name="BExQDE1B6U2Q9B73KBENABP71YM1" hidden="1">#REF!</definedName>
    <definedName name="BExQDGQCN7ZW41QDUHOBJUGQAX40" hidden="1">#REF!</definedName>
    <definedName name="BExQEC7BRIJ30PTU3UPFOIP2HPE3" hidden="1">#REF!</definedName>
    <definedName name="BExQEME5IQGLHOFTREE3SA96YW17" hidden="1">#REF!</definedName>
    <definedName name="BExQEMUA4HEFM4OVO8M8MA8PIAW1" hidden="1">#REF!</definedName>
    <definedName name="BExQEQ4XZQFIKUXNU9H7WE7AMZ1U" hidden="1">#REF!</definedName>
    <definedName name="BExQF1OEB07CRAP6ALNNMJNJ3P2D" hidden="1">#REF!</definedName>
    <definedName name="BExQF3X9MZ7MZ6CJSD7T6YUJ8PXB" hidden="1">#REF!</definedName>
    <definedName name="BExQF9X2AQPFJZTCHTU5PTTR0JAH" hidden="1">#REF!</definedName>
    <definedName name="BExQFC0M9KKFMQKPLPEO2RQDB7MM" hidden="1">#REF!</definedName>
    <definedName name="BExQFEEV7627R8TYZCM28C6V6WHE" hidden="1">#REF!</definedName>
    <definedName name="BExQFEK8NUD04X2OBRA275ADPSDL" hidden="1">#REF!</definedName>
    <definedName name="BExQFGYIWDR4W0YF7XR6E4EWWJ02" hidden="1">#REF!</definedName>
    <definedName name="BExQFPNFKA36IAPS22LAUMBDI4KE" hidden="1">#REF!</definedName>
    <definedName name="BExQFPSWEMA8WBUZ4WK20LR13VSU" hidden="1">#REF!</definedName>
    <definedName name="BExQFVSPOSCCPF1TLJPIWYWYB8A9" hidden="1">#REF!</definedName>
    <definedName name="BExQFWJQXNQAW6LUMOEDS6KMJMYL" hidden="1">#REF!</definedName>
    <definedName name="BExQG3FRO5ZA8DXH0A33X0VKOBGS" hidden="1">#REF!</definedName>
    <definedName name="BExQG537QFBUPY97AW6Z46IIF4UN" hidden="1">#REF!</definedName>
    <definedName name="BExQG8TYRD2G42UA5ZPCRLNKUDMX" hidden="1">#REF!</definedName>
    <definedName name="BExQGCKVRUHJRAJCLN2TR2E8ZAJ8" hidden="1">#REF!</definedName>
    <definedName name="BExQGO48J9MPCDQ96RBB9UN9AIGT" hidden="1">#REF!</definedName>
    <definedName name="BExQGSBB6MJWDW7AYWA0MSFTXKRR" hidden="1">#REF!</definedName>
    <definedName name="BExQH0UURAJ13AVO5UI04HSRGVYW" hidden="1">#REF!</definedName>
    <definedName name="BExQH6ZZS1KZ45K7C7LUQRSRTCOU" hidden="1">#REF!</definedName>
    <definedName name="BExQH6ZZY0NR8SE48PSI9D0CU1TC" hidden="1">#REF!</definedName>
    <definedName name="BExQH9P2MCXAJOVEO4GFQT6MNW22" hidden="1">#REF!</definedName>
    <definedName name="BExQHCZSBYUY8OKKJXFYWKBBM6AH" hidden="1">#REF!</definedName>
    <definedName name="BExQHPKXZ1K33V2F90NZIQRZYIAW" hidden="1">#REF!</definedName>
    <definedName name="BExQHVF9KD06AG2RXUQJ9X4PVGX4" hidden="1">#REF!</definedName>
    <definedName name="BExQHVVCSE811DB7RN00JR7EPO59" hidden="1">#REF!</definedName>
    <definedName name="BExQHZBHVN2L4HC7ACTR73T5OCV0" hidden="1">#REF!</definedName>
    <definedName name="BExQI0DC3QAF2S3KRVTU4XTZVE88" hidden="1">#REF!</definedName>
    <definedName name="BExQI1PU6N7649QZO6DUTEACMD7E" hidden="1">#REF!</definedName>
    <definedName name="BExQI85V9TNLDJT5LTRZS10Y26SG" hidden="1">#REF!</definedName>
    <definedName name="BExQIAPKHVEV8CU1L3TTHJW67FJ5" hidden="1">#REF!</definedName>
    <definedName name="BExQIBB4I3Z6AUU0HYV1DHRS13M4" hidden="1">#REF!</definedName>
    <definedName name="BExQIBWPAXU7HJZLKGJZY3EB7MIS" hidden="1">#REF!</definedName>
    <definedName name="BExQIE5P7GMUCWRTEAUTXHVHH1RT" hidden="1">#REF!</definedName>
    <definedName name="BExQIII2YKNNBPUFZNOC88FK394S" hidden="1">#REF!</definedName>
    <definedName name="BExQIN58WB9L6JOG1T1UXU613DIN" hidden="1">#REF!</definedName>
    <definedName name="BExQIS8O6R36CI01XRY9ISM99TW9" hidden="1">#REF!</definedName>
    <definedName name="BExQIVE21IDUQ7PGR8YTOZOK6TTT" hidden="1">#REF!</definedName>
    <definedName name="BExQIVJB9MJ25NDUHTCVMSODJY2C" hidden="1">#REF!</definedName>
    <definedName name="BExQJBF7LAX128WR7VTMJC88ZLPG" hidden="1">#REF!</definedName>
    <definedName name="BExQJEVCKX6KZHNCLYXY7D0MX5KN" hidden="1">#REF!</definedName>
    <definedName name="BExQJJYSDX8B0J1QGF2HL071KKA3" hidden="1">#REF!</definedName>
    <definedName name="BExQJLWUW839WHGG62MC210P3TFX" hidden="1">#REF!</definedName>
    <definedName name="BExQJM7LVBOWQECNJHCHLAF2SGHY" hidden="1">#REF!</definedName>
    <definedName name="BExQK1HV6SQQ7CP8H8IUKI9TYXTD" hidden="1">#REF!</definedName>
    <definedName name="BExQK3LE5CSBW1E4H4KHW548FL2R" hidden="1">#REF!</definedName>
    <definedName name="BExQK8UA20WX3HII8Q2FX53YQVL4" hidden="1">#REF!</definedName>
    <definedName name="BExQK9L7NF36J11L5STXNKQ0ABH7" hidden="1">#REF!</definedName>
    <definedName name="BExQKG6LD6PLNDGNGO9DJXY865BR" hidden="1">#REF!</definedName>
    <definedName name="BExQLE1TOW3A287TQB0AVWENT8O1" hidden="1">#REF!</definedName>
    <definedName name="BExQLFUJM3HP5LS2E9VURP00C7EE" hidden="1">#REF!</definedName>
    <definedName name="BExRYOYB4A3E5F6MTROY69LR0PMG" hidden="1">#REF!</definedName>
    <definedName name="BExRYZLA9EW71H4SXQR525S72LLP" hidden="1">#REF!</definedName>
    <definedName name="BExRZ66M8G9FQ0VFP077QSZBSOA5" hidden="1">#REF!</definedName>
    <definedName name="BExRZ8FMQQL46I8AQWU17LRNZD5T" hidden="1">#REF!</definedName>
    <definedName name="BExRZIH1PG1RRSQMHFZ4BX0PBW81" hidden="1">#REF!</definedName>
    <definedName name="BExRZIRRIXRUMZ5GOO95S7460BMP" hidden="1">#REF!</definedName>
    <definedName name="BExRZK4G9ANJZNX16F6N6KGZ475A" hidden="1">#REF!</definedName>
    <definedName name="BExRZK9RAHMM0ZLTNSK7A4LDC42D" hidden="1">#REF!</definedName>
    <definedName name="BExRZOGSR69INI6GAEPHDWSNK5Q4" hidden="1">#REF!</definedName>
    <definedName name="BExS0ASQBKRTPDWFK0KUDFOS9LE5" hidden="1">#REF!</definedName>
    <definedName name="BExS0GHQUF6YT0RU3TKDEO8CSJYB" hidden="1">#REF!</definedName>
    <definedName name="BExS0K8IHC45I78DMZBOJ1P13KQA" hidden="1">#REF!</definedName>
    <definedName name="BExS10PZABKYCMU7FQIYJLNQUP2B" hidden="1">#REF!</definedName>
    <definedName name="BExS152B2LFCRAUHSLI5T6QRNII0" hidden="1">#REF!</definedName>
    <definedName name="BExS157SWZPTETZB5PUHXHKKEGVZ" hidden="1">#REF!</definedName>
    <definedName name="BExS15IJV0WW662NXQUVT3FGP4ST" hidden="1">#REF!</definedName>
    <definedName name="BExS194110MR25BYJI3CJ2EGZ8XT" hidden="1">#REF!</definedName>
    <definedName name="BExS1BNVGNSGD4EP90QL8WXYWZ66" hidden="1">#REF!</definedName>
    <definedName name="BExS1UE39N6NCND7MAARSBWXS6HU" hidden="1">#REF!</definedName>
    <definedName name="BExS226HTWL5WVC76MP5A1IBI8WD" hidden="1">#REF!</definedName>
    <definedName name="BExS26OI2QNNAH2WMDD95Z400048" hidden="1">#REF!</definedName>
    <definedName name="BExS2DF6B4ZUF3VZLI4G6LJ3BF38" hidden="1">#REF!</definedName>
    <definedName name="BExS2DPZ8NENT869JXHE03L5QZRQ" hidden="1">#REF!</definedName>
    <definedName name="BExS2QB5FS5LYTFYO4BROTWG3OV5" hidden="1">#REF!</definedName>
    <definedName name="BExS2TLU1HONYV6S3ZD9T12D7CIG" hidden="1">#REF!</definedName>
    <definedName name="BExS318UV9I2FXPQQWUKKX00QLPJ" hidden="1">#REF!</definedName>
    <definedName name="BExS37U8XEP1M82LBAI7VMIBG1XW" hidden="1">#REF!</definedName>
    <definedName name="BExS3EQE81ET5L600D5EG86HUUV1" hidden="1">#REF!</definedName>
    <definedName name="BExS3LBS0SMTHALVM4NRI1BAV1NP" hidden="1">#REF!</definedName>
    <definedName name="BExS3MTQ75VBXDGEBURP6YT8RROE" hidden="1">#REF!</definedName>
    <definedName name="BExS3OMGYO0DFN5186UFKEXZ2RX3" hidden="1">#REF!</definedName>
    <definedName name="BExS3POBPQW526PSZA4SGVB7SYHE" hidden="1">#REF!</definedName>
    <definedName name="BExS3SDERJ27OER67TIGOVZU13A2" hidden="1">#REF!</definedName>
    <definedName name="BExS412AUQCDNMJLBULSI1AQ6KPO" hidden="1">#REF!</definedName>
    <definedName name="BExS46R5WDNU5KL04FKY5LHJUCB8" hidden="1">#REF!</definedName>
    <definedName name="BExS4ASWKM93XA275AXHYP8AG6SU" hidden="1">#REF!</definedName>
    <definedName name="BExS4JN3Y6SVBKILQK0R9HS45Y52" hidden="1">#REF!</definedName>
    <definedName name="BExS4P6S41O6Z6BED77U3GD9PNH1" hidden="1">#REF!</definedName>
    <definedName name="BExS4TJ644A7CNSO5R92AIEL0A7C" hidden="1">#REF!</definedName>
    <definedName name="BExS51H0N51UT0FZOPZRCF1GU063" hidden="1">#REF!</definedName>
    <definedName name="BExS54X72TJFC41FJK72MLRR2OO7" hidden="1">#REF!</definedName>
    <definedName name="BExS59F0PA1V2ZC7S5TN6IT41SXP" hidden="1">#REF!</definedName>
    <definedName name="BExS5DRER9US6NXY9ATYT41KZII3" hidden="1">#REF!</definedName>
    <definedName name="BExS5L3TGB8JVW9ROYWTKYTUPW27" hidden="1">#REF!</definedName>
    <definedName name="BExS5L9598S5M1N3HNOH1DTH3R3W" hidden="1">#REF!</definedName>
    <definedName name="BExS5SQUFUG031MKRMBX710YW1CD" hidden="1">#REF!</definedName>
    <definedName name="BExS6GKQ96EHVLYWNJDWXZXUZW90" hidden="1">#REF!</definedName>
    <definedName name="BExS6ITKSZFRR01YD5B0F676SYN7" hidden="1">#REF!</definedName>
    <definedName name="BExS6KGU63BUOXCPJ9TSCDS9ZY2T" hidden="1">#REF!</definedName>
    <definedName name="BExS6N0LI574IAC89EFW6CLTCQ33" hidden="1">#REF!</definedName>
    <definedName name="BExS6WRDBF3ST86ZOBBUL3GTCR11" hidden="1">#REF!</definedName>
    <definedName name="BExS6XNRKR0C3MTA0LV5B60UB908" hidden="1">#REF!</definedName>
    <definedName name="BExS6Z07AJ2W3U4T62CBP45FB1PB" hidden="1">#REF!</definedName>
    <definedName name="BExS707EGIMBRZVNIE692P5OAQJ8" hidden="1">#REF!</definedName>
    <definedName name="BExS7674WWPXIYC4TMEJ6SA12ESO" hidden="1">#REF!</definedName>
    <definedName name="BExS76CIJRR5EFH940QH9ZSTOFEM" hidden="1">#REF!</definedName>
    <definedName name="BExS79HUY1GAJJP4VMMZHU8UJI6O" hidden="1">#REF!</definedName>
    <definedName name="BExS7DU7IOWG5MHL28Z4KOM2V434" hidden="1">#REF!</definedName>
    <definedName name="BExS7HQI0PBQNP39JUZ69RMC7M7N" hidden="1">#REF!</definedName>
    <definedName name="BExS7TKQYLRZGM93UY3ZJZJBQNFJ" hidden="1">#REF!</definedName>
    <definedName name="BExS7VO9SOI9UJEHRDT9PLBS13KG" hidden="1">#REF!</definedName>
    <definedName name="BExS7Y2LNGVHSIBKC7C3R6X4LDR6" hidden="1">#REF!</definedName>
    <definedName name="BExS81TE0EY44Y3W2M4Z4MGNP5OM" hidden="1">#REF!</definedName>
    <definedName name="BExS81YPDZDVJJVS15HV2HDXAC3Y" hidden="1">#REF!</definedName>
    <definedName name="BExS82PRVNUTEKQZS56YT2DVF6C2" hidden="1">#REF!</definedName>
    <definedName name="BExS8BPG5A0GR5AO1U951NDGGR0L" hidden="1">#REF!</definedName>
    <definedName name="BExS8CB1U42ZA85TE2A7OLSKV5B3" hidden="1">#REF!</definedName>
    <definedName name="BExS8GI3AL1G4Z62Y8MJF3Y7GOUJ" hidden="1">#REF!</definedName>
    <definedName name="BExS8GSUS17UY50TEM2AWF36BR9Z" hidden="1">#REF!</definedName>
    <definedName name="BExS8HJRBVG0XI6PWA9KTMJZMQXK" hidden="1">#REF!</definedName>
    <definedName name="BExS8KZYPH9VQG2Q3Q6W0JOIA00P" hidden="1">#REF!</definedName>
    <definedName name="BExS8R51C8RM2FS6V6IRTYO9GA4A" hidden="1">#REF!</definedName>
    <definedName name="BExS8WDX408F60MH1X9B9UZ2H4R7" hidden="1">#REF!</definedName>
    <definedName name="BExS8Z2W2QEC3MH0BZIYLDFQNUIP" hidden="1">#REF!</definedName>
    <definedName name="BExS92DKGRFFCIA9C0IXDOLO57EP" hidden="1">#REF!</definedName>
    <definedName name="BExS98OB4321YCHLCQ022PXKTT2W" hidden="1">#REF!</definedName>
    <definedName name="BExS9C9N8GFISC6HUERJ0EI06GB2" hidden="1">#REF!</definedName>
    <definedName name="BExS9DX13CACP3J8JDREK30JB1SQ" hidden="1">#REF!</definedName>
    <definedName name="BExS9FPRS2KRRCS33SE6WFNF5GYL" hidden="1">#REF!</definedName>
    <definedName name="BExS9M5USDRGBG0PHVU7ZFJCJ3J9" hidden="1">#REF!</definedName>
    <definedName name="BExS9MLZC7KCYEAY1OVMWEA1E6AG" hidden="1">#REF!</definedName>
    <definedName name="BExS9WI0A6PSEB8N9GPXF2Z7MWHM" hidden="1">#REF!</definedName>
    <definedName name="BExS9ZY0SGDJH7VH4TOZW5AWLAHZ" hidden="1">#REF!</definedName>
    <definedName name="BExSA5HP306TN9XJS0TU619DLRR7" hidden="1">#REF!</definedName>
    <definedName name="BExSAAVWQOOIA6B3JHQVGP08HFEM" hidden="1">#REF!</definedName>
    <definedName name="BExSAFJ3IICU2M7QPVE4ARYMXZKX" hidden="1">#REF!</definedName>
    <definedName name="BExSAH6ID8OHX379UXVNGFO8J6KQ" hidden="1">#REF!</definedName>
    <definedName name="BExSAQBHIXGQRNIRGCJMBXUPCZQA" hidden="1">#REF!</definedName>
    <definedName name="BExSAT0KZ08KY6D7INTB14G8PLEA" hidden="1">#REF!</definedName>
    <definedName name="BExSAUTCT4P7JP57NOR9MTX33QJZ" hidden="1">#REF!</definedName>
    <definedName name="BExSAY9CA9TFXQ9M9FBJRGJO9T9E" hidden="1">#REF!</definedName>
    <definedName name="BExSB4JYKQ3MINI7RAYK5M8BLJDC" hidden="1">#REF!</definedName>
    <definedName name="BExSBEQRVIJYNBKD3W9G8U4ROP56" hidden="1">#REF!</definedName>
    <definedName name="BExSBFHTSA8PCM1AODQ7VN2S5IDV" hidden="1">#REF!</definedName>
    <definedName name="BExSBLSDY4ZC030N8PPDFLMXXU8I" hidden="1">#REF!</definedName>
    <definedName name="BExSBMOS41ZRLWYLOU29V6Y7YORR" hidden="1">#REF!</definedName>
    <definedName name="BExSBRBXXQMBU1TYDW1BXTEVEPRU" hidden="1">#REF!</definedName>
    <definedName name="BExSC54998WTZ21DSL0R8UN0Y9JH" hidden="1">#REF!</definedName>
    <definedName name="BExSC60N7WR9PJSNC9B7ORCX9NGY" hidden="1">#REF!</definedName>
    <definedName name="BExSC6M6XH8XMP97UDLRU48LDXKE" hidden="1">#REF!</definedName>
    <definedName name="BExSCE99EZTILTTCE4NJJF96OYYM" hidden="1">#REF!</definedName>
    <definedName name="BExSCHUQZ2HFEWS54X67DIS8OSXZ" hidden="1">#REF!</definedName>
    <definedName name="BExSCOG41SKKG4GYU76WRWW1CTE6" hidden="1">#REF!</definedName>
    <definedName name="BExSCP76ZOTIG68PZGGX9T9D8FDC" hidden="1">#REF!</definedName>
    <definedName name="BExSCVC9P86YVFMRKKUVRV29MZXZ" hidden="1">#REF!</definedName>
    <definedName name="BExSD233CH4MU9ZMGNRF97ZV7KWU" hidden="1">#REF!</definedName>
    <definedName name="BExSD2U0F3BN6IN9N4R2DTTJG15H" hidden="1">#REF!</definedName>
    <definedName name="BExSD6A6NY15YSMFH51ST6XJY429" hidden="1">#REF!</definedName>
    <definedName name="BExSD9VH6PF6RQ135VOEE08YXPAW" hidden="1">#REF!</definedName>
    <definedName name="BExSDP0G78DK7D85HESY6V3GZXJN" hidden="1">#REF!</definedName>
    <definedName name="BExSDP5Y04WWMX2WWRITWOX8R5I9" hidden="1">#REF!</definedName>
    <definedName name="BExSDSGM203BJTNS9MKCBX453HMD" hidden="1">#REF!</definedName>
    <definedName name="BExSDT20XUFXTDM37M148AXAP7HN" hidden="1">#REF!</definedName>
    <definedName name="BExSDZCKLZNF1KIXIAQ1L8G08FG8" hidden="1">#REF!</definedName>
    <definedName name="BExSEEHK1VLWD7JBV9SVVVIKQZ3I" hidden="1">#REF!</definedName>
    <definedName name="BExSEJKZLX37P3V33TRTFJ30BFRK" hidden="1">#REF!</definedName>
    <definedName name="BExSEP9UVOAI6TMXKNK587PQ3328" hidden="1">#REF!</definedName>
    <definedName name="BExSERZ34ETZF8OI93MYIVZX4RDV" hidden="1">#REF!</definedName>
    <definedName name="BExSETMDMWXM1X7U6OHMUPFB4SG8" hidden="1">#REF!</definedName>
    <definedName name="BExSEZM5BGZN75NTRHLVIMWXGOHK" hidden="1">#REF!</definedName>
    <definedName name="BExSF07QFLZCO4P6K6QF05XG7PH1" hidden="1">#REF!</definedName>
    <definedName name="BExSF6T44YAG5BK0U0EXH3L6IQFI" hidden="1">#REF!</definedName>
    <definedName name="BExSFELNPJYUZX393PKWKNNZYV1N" hidden="1">#REF!</definedName>
    <definedName name="BExSFJ8ZAGQ63A4MVMZRQWLVRGQ5" hidden="1">#REF!</definedName>
    <definedName name="BExSFKQRST2S9KXWWLCXYLKSF4G1" hidden="1">#REF!</definedName>
    <definedName name="BExSFMZQWQLPMMISPCUE306G63ST" hidden="1">#REF!</definedName>
    <definedName name="BExSFYDRRTAZVPXRWUF5PDQ97WFF" hidden="1">#REF!</definedName>
    <definedName name="BExSFZVPFTXA3F0IJ2NGH1GXX9R7" hidden="1">#REF!</definedName>
    <definedName name="BExSG90Q4ZUU2IPGDYOM169NJV9S" hidden="1">#REF!</definedName>
    <definedName name="BExSG9X3DU845PNXYJGGLBQY2UHG" hidden="1">#REF!</definedName>
    <definedName name="BExSGE45J27MDUUNXW7Z8Q33UAON" hidden="1">#REF!</definedName>
    <definedName name="BExSGE9LY91Q0URHB4YAMX0UAMYI" hidden="1">#REF!</definedName>
    <definedName name="BExSGJT4LF1CNH5RN5GZ373ISW9D" hidden="1">#REF!</definedName>
    <definedName name="BExSGLB2URTLBCKBB4Y885W925F2" hidden="1">#REF!</definedName>
    <definedName name="BExSGOAYG73SFWOPAQV80P710GID" hidden="1">#REF!</definedName>
    <definedName name="BExSGOWJHRW7FWKLO2EHUOOGHNAF" hidden="1">#REF!</definedName>
    <definedName name="BExSGOWJTAP41ZV5Q23H7MI9C76W" hidden="1">#REF!</definedName>
    <definedName name="BExSGR5JQVX2HQ0PKCGZNSSUM1RV" hidden="1">#REF!</definedName>
    <definedName name="BExSGVHX69GJZHD99DKE4RZ042B1" hidden="1">#REF!</definedName>
    <definedName name="BExSGZJO4J4ZO04E2N2ECVYS9DEZ" hidden="1">#REF!</definedName>
    <definedName name="BExSH4HMJS0TXSYHRWJRFTJ7NOSN" hidden="1">#REF!</definedName>
    <definedName name="BExSHAHFHS7MMNJR8JPVABRGBVIT" hidden="1">#REF!</definedName>
    <definedName name="BExSHGH88QZWW4RNAX4YKAZ5JEBL" hidden="1">#REF!</definedName>
    <definedName name="BExSHOKK1OO3CX9Z28C58E5J1D9W" hidden="1">#REF!</definedName>
    <definedName name="BExSHQD8KYLTQGDXIRKCHQQ7MKIH" hidden="1">#REF!</definedName>
    <definedName name="BExSHVGPIAHXI97UBLI9G4I4M29F" hidden="1">#REF!</definedName>
    <definedName name="BExSI0K2YL3HTCQAD8A7TR4QCUR6" hidden="1">#REF!</definedName>
    <definedName name="BExSIFUDNRWXWIWNGCCFOOD8WIAZ" hidden="1">#REF!</definedName>
    <definedName name="BExTTWD2PGX3Y9FR5F2MRNLY1DIY" hidden="1">#REF!</definedName>
    <definedName name="BExTTZNS2PBCR93C9IUW49UZ4I6T" hidden="1">#REF!</definedName>
    <definedName name="BExTU2YFQ25JQ6MEMRHHN66VLTPJ" hidden="1">#REF!</definedName>
    <definedName name="BExTU75IOII1V5O0C9X2VAYYVJUG" hidden="1">#REF!</definedName>
    <definedName name="BExTUA5F7V4LUIIAM17J3A8XF3JE" hidden="1">#REF!</definedName>
    <definedName name="BExTUJ53ANGZ3H1KDK4CR4Q0OD6P" hidden="1">#REF!</definedName>
    <definedName name="BExTUKXSZBM7C57G6NGLWGU4WOHY" hidden="1">#REF!</definedName>
    <definedName name="BExTUSQCFFYZCDNHWHADBC2E1ZP1" hidden="1">#REF!</definedName>
    <definedName name="BExTUVFGOJEYS28JURA5KHQFDU5J" hidden="1">#REF!</definedName>
    <definedName name="BExTUW10U40QCYGHM5NJ3YR1O5SP" hidden="1">#REF!</definedName>
    <definedName name="BExTUWXFQHINU66YG82BI20ATMB5" hidden="1">#REF!</definedName>
    <definedName name="BExTUY9WNSJ91GV8CP0SKJTEIV82" hidden="1">#REF!</definedName>
    <definedName name="BExTV67VIM8PV6KO253M4DUBJQLC" hidden="1">#REF!</definedName>
    <definedName name="BExTVELZCF2YA5L6F23BYZZR6WHF" hidden="1">#REF!</definedName>
    <definedName name="BExTVG3Y0HUZTOAL0QN48XNK9B1Y" hidden="1">#REF!</definedName>
    <definedName name="BExTVGPIQZ99YFXUC8OONUX5BD42" hidden="1">#REF!</definedName>
    <definedName name="BExTVZQLP9VFLEYQ9280W13X7E8K" hidden="1">#REF!</definedName>
    <definedName name="BExTW3195L7SLBS49MLGN7BW548T" hidden="1">#REF!</definedName>
    <definedName name="BExTWB4LA1PODQOH4LDTHQKBN16K" hidden="1">#REF!</definedName>
    <definedName name="BExTWEKL6Z7NUK13E7UFA2RQF2LS" hidden="1">#REF!</definedName>
    <definedName name="BExTWFX8OYD9IX59PTP73YAC8O9G" hidden="1">#REF!</definedName>
    <definedName name="BExTWI0Q8AWXUA3ZN7I5V3QK2KM1" hidden="1">#REF!</definedName>
    <definedName name="BExTWJTGTEM42YMMOXES1DOPT9UG" hidden="1">#REF!</definedName>
    <definedName name="BExTWJTIA3WUW1PUWXAOP9O8NKLZ" hidden="1">#REF!</definedName>
    <definedName name="BExTWMILE8JH490EQHID8QJSVQP8" hidden="1">#REF!</definedName>
    <definedName name="BExTWW95OX07FNA01WF5MSSSFQLX" hidden="1">#REF!</definedName>
    <definedName name="BExTX476KI0RNB71XI5TYMANSGBG" hidden="1">#REF!</definedName>
    <definedName name="BExTXJ6HBAIXMMWKZTJNFDYVZCAY" hidden="1">#REF!</definedName>
    <definedName name="BExTXT812NQT8GAEGH738U29BI0D" hidden="1">#REF!</definedName>
    <definedName name="BExTXWIP2TFPTQ76NHFOB72NICRZ" hidden="1">#REF!</definedName>
    <definedName name="BExTXZIMI68W0FZ72FE8GK1UZGMW" hidden="1">#REF!</definedName>
    <definedName name="BExTY5T62H651VC86QM4X7E28JVA" hidden="1">#REF!</definedName>
    <definedName name="BExTYHCJJ2NWRM1RV59FYR41534U" hidden="1">#REF!</definedName>
    <definedName name="BExTYKCEFJ83LZM95M1V7CSFQVEA" hidden="1">#REF!</definedName>
    <definedName name="BExTYPLA9N640MFRJJQPKXT7P88M" hidden="1">#REF!</definedName>
    <definedName name="BExTYUOQNZE6BGSBWNO36HAIM2IC" hidden="1">#REF!</definedName>
    <definedName name="BExTYW18MUCKSJZB4J153F5V29QS" hidden="1">#REF!</definedName>
    <definedName name="BExTZ7F71SNTOX4LLZCK5R9VUMIJ" hidden="1">#REF!</definedName>
    <definedName name="BExTZ8X5G9S3PA4FPSNK7T69W7QT" hidden="1">#REF!</definedName>
    <definedName name="BExTZ97Y0RMR8V5BI9F2H4MFB77O" hidden="1">#REF!</definedName>
    <definedName name="BExTZJK3HXJGRROL79GP7LPB00A0" hidden="1">#REF!</definedName>
    <definedName name="BExTZK5PMCAXJL4DUIGL6H9Y8U4C" hidden="1">#REF!</definedName>
    <definedName name="BExTZKB6L5SXV5UN71YVTCBEIGWY" hidden="1">#REF!</definedName>
    <definedName name="BExTZLICVKK4NBJFEGL270GJ2VQO" hidden="1">#REF!</definedName>
    <definedName name="BExTZO2596CBZKPI7YNA1QQNPAIJ" hidden="1">#REF!</definedName>
    <definedName name="BExTZY8TDV4U7FQL7O10G6VKWKPJ" hidden="1">#REF!</definedName>
    <definedName name="BExU02QNT4LT7H9JPUC4FXTLVGZT" hidden="1">#REF!</definedName>
    <definedName name="BExU08VS7H5G5K7LHUFKL6S0YBRO" hidden="1">#REF!</definedName>
    <definedName name="BExU0BFJJQO1HJZKI14QGOQ6JROO" hidden="1">#REF!</definedName>
    <definedName name="BExU0D2UMAT3A38DSZ4UKCY3NAJM" hidden="1">#REF!</definedName>
    <definedName name="BExU0FH5WTGW8MRFUFMDDSMJ6YQ5" hidden="1">#REF!</definedName>
    <definedName name="BExU0GDOIL9U33QGU9ZU3YX3V1I4" hidden="1">#REF!</definedName>
    <definedName name="BExU0HKTO8WJDQDWRTUK5TETM3HS" hidden="1">#REF!</definedName>
    <definedName name="BExU0MTJQPE041ZN7H8UKGV6MZT7" hidden="1">#REF!</definedName>
    <definedName name="BExU0XB6XCXI4SZ92YEUFMW4TAXF" hidden="1">#REF!</definedName>
    <definedName name="BExU0ZUUFYHLUK4M4E8GLGIBBNT0" hidden="1">#REF!</definedName>
    <definedName name="BExU147D6RPG6ZVTSXRKFSVRHSBG" hidden="1">#REF!</definedName>
    <definedName name="BExU16R10W1SOAPNG4CDJ01T7JRE" hidden="1">#REF!</definedName>
    <definedName name="BExU16R5X6DF4P9T9X3YWDIUULU7" hidden="1">#REF!</definedName>
    <definedName name="BExU17CKOR3GNIHDNVLH9L1IOJS9" hidden="1">#REF!</definedName>
    <definedName name="BExU1GXUTLRPJN4MRINLAPHSZQFG" hidden="1">#REF!</definedName>
    <definedName name="BExU1IL9AOHFO85BZB6S60DK3N8H" hidden="1">#REF!</definedName>
    <definedName name="BExU1NOPS09CLFZL1O31RAF9BQNQ" hidden="1">#REF!</definedName>
    <definedName name="BExU1PH9MOEX1JZVZ3D5M9DXB191" hidden="1">#REF!</definedName>
    <definedName name="BExU1QZEEKJA35IMEOLOJ3ODX0ZA" hidden="1">#REF!</definedName>
    <definedName name="BExU1RKYMWYXDM9CY0HNT0D4I4QQ" hidden="1">#REF!</definedName>
    <definedName name="BExU1VRURIWWVJ95O40WA23LMTJD" hidden="1">#REF!</definedName>
    <definedName name="BExU2FJZAFDJM977QTMVD8W0XD43" hidden="1">#REF!</definedName>
    <definedName name="BExU2M5CK6XK55UIHDVYRXJJJRI4" hidden="1">#REF!</definedName>
    <definedName name="BExU2TXVT25ZTOFQAF6CM53Z1RLF" hidden="1">#REF!</definedName>
    <definedName name="BExU2XZLYIU19G7358W5T9E87AFR" hidden="1">#REF!</definedName>
    <definedName name="BExU3B66MCKJFSKT3HL8B5EJGVX0" hidden="1">#REF!</definedName>
    <definedName name="BExU3QWQVA35KFNEQYRLU0ZG2TZ0" hidden="1">#REF!</definedName>
    <definedName name="BExU3UNI9NR1RNZR07NSLSZMDOQQ" hidden="1">#REF!</definedName>
    <definedName name="BExU3USZZD3LQDBVWY9V9Y6WYMTR" hidden="1">#REF!</definedName>
    <definedName name="BExU401R18N6XKZKL7CNFOZQCM14" hidden="1">#REF!</definedName>
    <definedName name="BExU42QVGY7TK39W1BIN6CDRG2OE" hidden="1">#REF!</definedName>
    <definedName name="BExU448RB91B2E1KVEDYIVLHVHSX" hidden="1">#REF!</definedName>
    <definedName name="BExU44P2AEX6PD8VC4ISCROUCQSP" hidden="1">#REF!</definedName>
    <definedName name="BExU47OZMS6TCWMEHHF0UCSFLLPI" hidden="1">#REF!</definedName>
    <definedName name="BExU4D36E8TXN0M8KSNGEAFYP4DQ" hidden="1">#REF!</definedName>
    <definedName name="BExU4DJA4UA7QCSSEAHJHFKWB29S" hidden="1">#REF!</definedName>
    <definedName name="BExU4G31RRVLJ3AC6E1FNEFMXM3O" hidden="1">#REF!</definedName>
    <definedName name="BExU4GDVLPUEWBA4MRYRTQAUNO7B" hidden="1">#REF!</definedName>
    <definedName name="BExU4I148DA7PRCCISLWQ6ABXFK6" hidden="1">#REF!</definedName>
    <definedName name="BExU4L101H2KQHVKCKQ4PBAWZV6K" hidden="1">#REF!</definedName>
    <definedName name="BExU4NA00RRRBGRT6TOB0MXZRCRZ" hidden="1">#REF!</definedName>
    <definedName name="BExU4SO8DUBB0PWUNLWA8Z5BT2FC" hidden="1">#REF!</definedName>
    <definedName name="BExU50M2X2RYWJIZKFTACTLO0WHF" hidden="1">#REF!</definedName>
    <definedName name="BExU51IFNZXPBDES28457LR8X60M" hidden="1">#REF!</definedName>
    <definedName name="BExU529I6YHVOG83TJHWSILIQU1S" hidden="1">#REF!</definedName>
    <definedName name="BExU57YCIKPRD8QWL6EU0YR3NG3J" hidden="1">#REF!</definedName>
    <definedName name="BExU5DSTBWXLN6E59B757KRWRI6E" hidden="1">#REF!</definedName>
    <definedName name="BExU5TDWM8NNDHYPQ7OQODTQ368A" hidden="1">#REF!</definedName>
    <definedName name="BExU5X4OX1V1XHS6WSSORVQPP6Z3" hidden="1">#REF!</definedName>
    <definedName name="BExU5XVPARTFMRYHNUTBKDIL4UJN" hidden="1">#REF!</definedName>
    <definedName name="BExU60FCUNFIFIIILU6GD4K6P627" hidden="1">#REF!</definedName>
    <definedName name="BExU66KMFBAP8JCVG9VM1RD1TNFF" hidden="1">#REF!</definedName>
    <definedName name="BExU68IOM3CB3TACNAE9565TW7SH" hidden="1">#REF!</definedName>
    <definedName name="BExU6AM82KN21E82HMWVP3LWP9IL" hidden="1">#REF!</definedName>
    <definedName name="BExU6FEU1MRHU98R9YOJC5OKUJ6L" hidden="1">#REF!</definedName>
    <definedName name="BExU6KIAJ663Y8W8QMU4HCF183DF" hidden="1">#REF!</definedName>
    <definedName name="BExU6KT19B4PG6SHXFBGBPLM66KT" hidden="1">#REF!</definedName>
    <definedName name="BExU6PAVKIOAIMQ9XQIHHF1SUAGO" hidden="1">#REF!</definedName>
    <definedName name="BExU6WXXC7SSQDMHSLUN5C2V4IYX" hidden="1">#REF!</definedName>
    <definedName name="BExU73387E74XE8A9UKZLZNJYY65" hidden="1">#REF!</definedName>
    <definedName name="BExU76ZHCJM8I7VSICCMSTC33O6U" hidden="1">#REF!</definedName>
    <definedName name="BExU7BBTUF8BQ42DSGM94X5TG5GF" hidden="1">#REF!</definedName>
    <definedName name="BExU7HH4EAHFQHT4AXKGWAWZP3I0" hidden="1">#REF!</definedName>
    <definedName name="BExU7MF1ZVPDHOSMCAXOSYICHZ4I" hidden="1">#REF!</definedName>
    <definedName name="BExU7O2BJ6D5YCKEL6FD2EFCWYRX" hidden="1">#REF!</definedName>
    <definedName name="BExU7Q0JS9YIUKUPNSSAIDK2KJAV" hidden="1">#REF!</definedName>
    <definedName name="BExU80I6AE5OU7P7F5V7HWIZBJ4P" hidden="1">#REF!</definedName>
    <definedName name="BExU86NB26MCPYIISZ36HADONGT2" hidden="1">#REF!</definedName>
    <definedName name="BExU885EZZNSZV3GP298UJ8LB7OL" hidden="1">#REF!</definedName>
    <definedName name="BExU8FSAUP9TUZ1NO9WXK80QPHWV" hidden="1">#REF!</definedName>
    <definedName name="BExU8KFLAN778MBN93NYZB0FV30G" hidden="1">#REF!</definedName>
    <definedName name="BExU8UX9JX3XLB47YZ8GFXE0V7R2" hidden="1">#REF!</definedName>
    <definedName name="BExU91DC3DGKPZD6LTER2IRTF89C" hidden="1">#REF!</definedName>
    <definedName name="BExU96M1J7P9DZQ3S9H0C12KGYTW" hidden="1">#REF!</definedName>
    <definedName name="BExU9DT07CYJ3BSKKQQZRR00ZWQR" hidden="1">#REF!</definedName>
    <definedName name="BExU9F05OR1GZ3057R6UL3WPEIYI" hidden="1">#REF!</definedName>
    <definedName name="BExU9GCSO5YILIKG6VAHN13DL75K" hidden="1">#REF!</definedName>
    <definedName name="BExU9H3P6XRH45SB7QUVVOCG9U4U" hidden="1">#REF!</definedName>
    <definedName name="BExU9KJOZLO15N11MJVN782NFGJ0" hidden="1">#REF!</definedName>
    <definedName name="BExU9LG29XU2K1GNKRO4438JYQZE" hidden="1">#REF!</definedName>
    <definedName name="BExU9RW36I5Z6JIXUIUB3PJH86LT" hidden="1">#REF!</definedName>
    <definedName name="BExUA28AO7OWDG3H23Q0CL4B7BHW" hidden="1">#REF!</definedName>
    <definedName name="BExUA5O923FFNEBY8BPO1TU3QGBM" hidden="1">#REF!</definedName>
    <definedName name="BExUA6Q4K25VH452AQ3ZIRBCMS61" hidden="1">#REF!</definedName>
    <definedName name="BExUAFV4JMBSM2SKBQL9NHL0NIBS" hidden="1">#REF!</definedName>
    <definedName name="BExUAIK8A5I109GM63JVZP5986JM" hidden="1">#REF!</definedName>
    <definedName name="BExUAMWQODKBXMRH1QCMJLJBF8M7" hidden="1">#REF!</definedName>
    <definedName name="BExUAX8WS5OPVLCDXRGKTU2QMTFO" hidden="1">#REF!</definedName>
    <definedName name="BExUB3JHDL430WKBOVB9KNTSWU3Q" hidden="1">#REF!</definedName>
    <definedName name="BExUB8HLEXSBVPZ5AXNQEK96F1N4" hidden="1">#REF!</definedName>
    <definedName name="BExUBCDVZIEA7YT0LPSMHL5ZSERQ" hidden="1">#REF!</definedName>
    <definedName name="BExUBKXBUCN760QYU7Q8GESBWOQH" hidden="1">#REF!</definedName>
    <definedName name="BExUBL83ED0P076RN9RJ8P1MZ299" hidden="1">#REF!</definedName>
    <definedName name="BExUBNRVHXRIJBHKA2TWL10IFYUF" hidden="1">#REF!</definedName>
    <definedName name="BExUBPV8GB3LLCKQZCK9OFOFPN4G" hidden="1">#REF!</definedName>
    <definedName name="BExUC0ICAOPJF6H8VB4W57YFBDL6" hidden="1">#REF!</definedName>
    <definedName name="BExUC623BDYEODBN0N4DO6PJQ7NU" hidden="1">#REF!</definedName>
    <definedName name="BExUC8WH8TCKBB5313JGYYQ1WFLT" hidden="1">#REF!</definedName>
    <definedName name="BExUCAP7T2AW4LSPSS6GRZT5R63H" hidden="1">#REF!</definedName>
    <definedName name="BExUCFCDK6SPH86I6STXX8X3WMC4" hidden="1">#REF!</definedName>
    <definedName name="BExUCLC6AQ5KR6LXSAXV4QQ8ASVG" hidden="1">#REF!</definedName>
    <definedName name="BExUCSDSMIV2R9COSFQYYQHFLUJM" hidden="1">#REF!</definedName>
    <definedName name="BExUD4DEN8ATSHQQCOZZHBBAYQEC" hidden="1">#REF!</definedName>
    <definedName name="BExUD4IOJ12X3PJG5WXNNGDRCKAP" hidden="1">#REF!</definedName>
    <definedName name="BExUD9WX9BWK72UWVSLYZJLAY5VY" hidden="1">#REF!</definedName>
    <definedName name="BExUDBEUJH9IACZDBL1VAUWPG0QW" hidden="1">#REF!</definedName>
    <definedName name="BExUDEV0CYVO7Y5IQQBEJ6FUY9S6" hidden="1">#REF!</definedName>
    <definedName name="BExUDQECBL1HUC9FH0E8BI44L507" hidden="1">#REF!</definedName>
    <definedName name="BExUDWOXQGIZW0EAIIYLQUPXF8YV" hidden="1">#REF!</definedName>
    <definedName name="BExUDXAIC17W1FUU8Z10XUAVB7CS" hidden="1">#REF!</definedName>
    <definedName name="BExUE5OMY7OAJQ9WR8C8HG311ORP" hidden="1">#REF!</definedName>
    <definedName name="BExUEFKOQWXXGRNLAOJV2BJ66UB8" hidden="1">#REF!</definedName>
    <definedName name="BExUEJGX3OQQP5KFRJSRCZ70EI9V" hidden="1">#REF!</definedName>
    <definedName name="BExUEYR71COFS2X8PDNU21IPMQEU" hidden="1">#REF!</definedName>
    <definedName name="BExVPRLJ9I6RX45EDVFSQGCPJSOK" hidden="1">#REF!</definedName>
    <definedName name="BExVQNO0R59Q2Q9QUT530F6C3RAY" hidden="1">#REF!</definedName>
    <definedName name="BExVR0US1K8UYYR0B499NIAPMGZF" hidden="1">#REF!</definedName>
    <definedName name="BExVR8NAH73TVNEQ6TXX8GAYA4RX" hidden="1">#REF!</definedName>
    <definedName name="BExVRGFTIDSBKBB03OCXSNMYBD0Y" hidden="1">#REF!</definedName>
    <definedName name="BExVRI8JYKTL52Y5QEX3G4LPHNV9" hidden="1">#REF!</definedName>
    <definedName name="BExVRN6J5RZOAJ6FWEFAVCGEU4GQ" hidden="1">#REF!</definedName>
    <definedName name="BExVRRTTOHRPXT9GPHB4FO2AV5R1" hidden="1">#REF!</definedName>
    <definedName name="BExVSL787C8E4HFQZ2NVLT35I2XV" hidden="1">#REF!</definedName>
    <definedName name="BExVSTFTVV14SFGHQUOJL5SQ5TX9" hidden="1">#REF!</definedName>
    <definedName name="BExVSWAA5CU6786BGV51OQCILL69" hidden="1">#REF!</definedName>
    <definedName name="BExVT3MPE8LQ5JFN3HQIFKSQ80U4" hidden="1">#REF!</definedName>
    <definedName name="BExVT7TRK3NZHPME2TFBXOF1WBR9" hidden="1">#REF!</definedName>
    <definedName name="BExVT9H0R0T7WGQAAC0HABMG54YM" hidden="1">#REF!</definedName>
    <definedName name="BExVTCMDDEDGLUIMUU6BSFHEWTOP" hidden="1">#REF!</definedName>
    <definedName name="BExVTCMDQMLKRA2NQR72XU6Y54IK" hidden="1">#REF!</definedName>
    <definedName name="BExVTCRV8FQ5U9OYWWL44N6KFNHU" hidden="1">#REF!</definedName>
    <definedName name="BExVTNESHPVG0A0KZ7BRX26MS0PF" hidden="1">#REF!</definedName>
    <definedName name="BExVTTJVTNRSBHBTUZ78WG2JM5MK" hidden="1">#REF!</definedName>
    <definedName name="BExVTW3OZ04QHKTFPPDM5JDNT6C1" hidden="1">#REF!</definedName>
    <definedName name="BExVTXLMYR87BC04D1ERALPUFVPG" hidden="1">#REF!</definedName>
    <definedName name="BExVU3QR4CV5CXN5VOM2Q1DRPGX2" hidden="1">#REF!</definedName>
    <definedName name="BExVUL9V3H8ZF6Y72LQBBN639YAA" hidden="1">#REF!</definedName>
    <definedName name="BExVV5T14N2HZIK7HQ4P2KG09U0J" hidden="1">#REF!</definedName>
    <definedName name="BExVV7R410VYLADLX9LNG63ID6H1" hidden="1">#REF!</definedName>
    <definedName name="BExVVCEED4JEKF59OV0G3T4XFMFO" hidden="1">#REF!</definedName>
    <definedName name="BExVVMFST230TC1KFGT8UTG7CP1M" hidden="1">#REF!</definedName>
    <definedName name="BExVVPFO2J7FMSRPD36909HN4BZJ" hidden="1">#REF!</definedName>
    <definedName name="BExVVQ19AQ3VCARJOC38SF7OYE9Y" hidden="1">#REF!</definedName>
    <definedName name="BExVVQ19TAECID45CS4HXT1RD3AQ" hidden="1">#REF!</definedName>
    <definedName name="BExVVSA8WD76SCES4GA040NIQM5U" hidden="1">#REF!</definedName>
    <definedName name="BExVW3O42ZN183TR1VKBH0HQ6BYA" hidden="1">#REF!</definedName>
    <definedName name="BExVW3YV5XGIVJ97UUPDJGJ2P15B" hidden="1">#REF!</definedName>
    <definedName name="BExVW49OFTDXJB9ENW90I7SKETHF" hidden="1">#REF!</definedName>
    <definedName name="BExVW5X571GEYR5SCU1Z2DHKWM79" hidden="1">#REF!</definedName>
    <definedName name="BExVW6TH4AWBAFVPWGQEPKMOEHJ6" hidden="1">#REF!</definedName>
    <definedName name="BExVW6YTKA098AF57M4PHNQ54XMH" hidden="1">#REF!</definedName>
    <definedName name="BExVWEB84ERCMDSU9NGA954R8A42" hidden="1">#REF!</definedName>
    <definedName name="BExVWINKCH0V0NUWH363SMXAZE62" hidden="1">#REF!</definedName>
    <definedName name="BExVWYU8EK669NP172GEIGCTVPPA" hidden="1">#REF!</definedName>
    <definedName name="BExVX3MVJ0GHWPP1EL59ZQNKMX0B" hidden="1">#REF!</definedName>
    <definedName name="BExVX3XN2DRJKL8EDBIG58RYQ36R" hidden="1">#REF!</definedName>
    <definedName name="BExVXDZ63PUART77BBR5SI63TPC6" hidden="1">#REF!</definedName>
    <definedName name="BExVXHKI6LFYMGWISMPACMO247HL" hidden="1">#REF!</definedName>
    <definedName name="BExVXHVBYTXVUG63EPXDF05RFJS5" hidden="1">#REF!</definedName>
    <definedName name="BExVXLX2BZ5EF2X6R41BTKRJR1NM" hidden="1">#REF!</definedName>
    <definedName name="BExVY11V7U1SAY4QKYE0PBSPD7LW" hidden="1">#REF!</definedName>
    <definedName name="BExVY1SV37DL5YU59HS4IG3VBCP4" hidden="1">#REF!</definedName>
    <definedName name="BExVY3WFGJKSQA08UF9NCMST928Y" hidden="1">#REF!</definedName>
    <definedName name="BExVY71LZQXNVQ5HK0RXBO6AJ4OM" hidden="1">#REF!</definedName>
    <definedName name="BExVY7XZS7ZEEEI66TWUYUKRGMHJ" hidden="1">#REF!</definedName>
    <definedName name="BExVY954UOEVQEIC5OFO4NEWVKAQ" hidden="1">#REF!</definedName>
    <definedName name="BExVYHDYIV5397LC02V4FEP8VD6W" hidden="1">#REF!</definedName>
    <definedName name="BExVYJ18DGWPXELEGYJTBXEVHVJW" hidden="1">#REF!</definedName>
    <definedName name="BExVYOVIZDA18YIQ0A30Q052PCAK" hidden="1">#REF!</definedName>
    <definedName name="BExVYQIXPEM6J4JVP78BRHIC05PV" hidden="1">#REF!</definedName>
    <definedName name="BExVYTIW4E6PO16BT3YCXTXTKG94" hidden="1">#REF!</definedName>
    <definedName name="BExVYVGWN7SONLVDH9WJ2F1JS264" hidden="1">#REF!</definedName>
    <definedName name="BExVZ7RAYLQ1UR75FTZIOA42G8CG" hidden="1">#REF!</definedName>
    <definedName name="BExVZ9EO732IK6MNMG17Y1EFTJQC" hidden="1">#REF!</definedName>
    <definedName name="BExVZB1Y5J4UL2LKK0363EU7GIJ1" hidden="1">#REF!</definedName>
    <definedName name="BExVZJQVO5LQ0BJH5JEN5NOBIAF6" hidden="1">#REF!</definedName>
    <definedName name="BExVZNXWS91RD7NXV5NE2R3C8WW7" hidden="1">#REF!</definedName>
    <definedName name="BExW0386REQRCQCVT9BCX80UPTRY" hidden="1">#REF!</definedName>
    <definedName name="BExW044KFM6K2E59VLCTMIUH7OHF" hidden="1">#REF!</definedName>
    <definedName name="BExW0F2BFN2JW3DWHUMEUO16YJDD" hidden="1">#REF!</definedName>
    <definedName name="BExW0FYP4WXY71CYUG40SUBG9UWU" hidden="1">#REF!</definedName>
    <definedName name="BExW0HBC1RMZ2GDGOGDTNAOOFO74" hidden="1">#REF!</definedName>
    <definedName name="BExW0PJY0QT1YYHEOQPDHHNJJOC5" hidden="1">#REF!</definedName>
    <definedName name="BExW0RI61B4VV0ARXTFVBAWRA1C5" hidden="1">#REF!</definedName>
    <definedName name="BExW1BVUYQTKMOR56MW7RVRX4L1L" hidden="1">#REF!</definedName>
    <definedName name="BExW1F1220628FOMTW5UAATHRJHK" hidden="1">#REF!</definedName>
    <definedName name="BExW1PIPBFM0638V0K6U8F57DAEZ" hidden="1">#REF!</definedName>
    <definedName name="BExW1TKA0Z9OP2DTG50GZR5EG8C7" hidden="1">#REF!</definedName>
    <definedName name="BExW1U0JLKQ094DW5MMOI8UHO09V" hidden="1">#REF!</definedName>
    <definedName name="BExW22UQU8KWNMTA3S4TVA3Q3B2G" hidden="1">#REF!</definedName>
    <definedName name="BExW27CKTHXIQCUL3RSLAFEQV8VT" hidden="1">#REF!</definedName>
    <definedName name="BExW283NP9D366XFPXLGSCI5UB0L" hidden="1">#REF!</definedName>
    <definedName name="BExW2H3C8WJSBW5FGTFKVDVJC4CL" hidden="1">#REF!</definedName>
    <definedName name="BExW2MSCKPGF5K3I7TL4KF5ISUOL" hidden="1">#REF!</definedName>
    <definedName name="BExW2S6DT1UKL4GTW3KEQCCBL9VQ" hidden="1">#REF!</definedName>
    <definedName name="BExW2SMO90FU9W8DVVES6Q4E6BZR" hidden="1">#REF!</definedName>
    <definedName name="BExW36V9N91OHCUMGWJQL3I5P4JK" hidden="1">#REF!</definedName>
    <definedName name="BExW3DB6WJTNNZO33WM9DE3J2TIX" hidden="1">#REF!</definedName>
    <definedName name="BExW3EIBA1J9Q9NA9VCGZGRS8WV7" hidden="1">#REF!</definedName>
    <definedName name="BExW3FEO8FI8N6AGQKYEG4SQVJWB" hidden="1">#REF!</definedName>
    <definedName name="BExW3GB28STOMJUSZEIA7YKYNS4Y" hidden="1">#REF!</definedName>
    <definedName name="BExW3Q1NNLC87CCHQQ4ISCJ3H4I6" hidden="1">#REF!</definedName>
    <definedName name="BExW3T1K638HT5E0Y8MMK108P5JT" hidden="1">#REF!</definedName>
    <definedName name="BExW4217ZHL9VO39POSTJOD090WU" hidden="1">#REF!</definedName>
    <definedName name="BExW4FZ05RFH52NOC61TVPGHXCWZ" hidden="1">#REF!</definedName>
    <definedName name="BExW4GPW71EBF8XPS2QGVQHBCDX3" hidden="1">#REF!</definedName>
    <definedName name="BExW4JKC5837JBPCOJV337ZVYYY3" hidden="1">#REF!</definedName>
    <definedName name="BExW4QR9FV9MP5K610THBSM51RYO" hidden="1">#REF!</definedName>
    <definedName name="BExW4Z029R9E19ZENN3WEA3VDAD1" hidden="1">#REF!</definedName>
    <definedName name="BExW55W913ANKKJPWY0XLSB0L0BA" hidden="1">#REF!</definedName>
    <definedName name="BExW5AZNT6IAZGNF2C879ODHY1B8" hidden="1">#REF!</definedName>
    <definedName name="BExW5WPU27WD4NWZOT0ZEJIDLX5J" hidden="1">#REF!</definedName>
    <definedName name="BExW61NYOHBXEBCZ80ZJTB38E7BS" hidden="1">#REF!</definedName>
    <definedName name="BExW660AV1TUV2XNUPD65RZR3QOO" hidden="1">#REF!</definedName>
    <definedName name="BExW66LVVZK656PQY1257QMHP2AY" hidden="1">#REF!</definedName>
    <definedName name="BExW6CLPE1TKJ1FUNIMI8MVTRFKD" hidden="1">#REF!</definedName>
    <definedName name="BExW6EJPHAP1TWT380AZLXNHR22P" hidden="1">#REF!</definedName>
    <definedName name="BExW6G1PJ38H10DVLL8WPQ736OEB" hidden="1">#REF!</definedName>
    <definedName name="BExW6TOP485K9L69K4OR8ZTZBJVW" hidden="1">#REF!</definedName>
    <definedName name="BExW6WJ2VW51JNF32JZF98WJDRR3" hidden="1">#REF!</definedName>
    <definedName name="BExW74MG1WIOS7FRGX4CXWYNPZV1" hidden="1">#REF!</definedName>
    <definedName name="BExW794A74Z5F2K8LVQLD6VSKXUE" hidden="1">#REF!</definedName>
    <definedName name="BExW7P5M5MJWPEPMLYFPJR0R51AC" hidden="1">#REF!</definedName>
    <definedName name="BExW7Q7AWQEXMJAVTMGZQJKCB6AO" hidden="1">#REF!</definedName>
    <definedName name="BExW89DT2OUQ24LOFUS7BMP44P4B" hidden="1">#REF!</definedName>
    <definedName name="BExW8GVK2KZQNNE8HZN2TNUAW1DO" hidden="1">#REF!</definedName>
    <definedName name="BExW8H6CQPFFKUX9JNKFC7Y48SVZ" hidden="1">#REF!</definedName>
    <definedName name="BExW8K0SSIPSKBVP06IJ71600HJZ" hidden="1">#REF!</definedName>
    <definedName name="BExW8NM8DJJESE7GF7VGTO2XO6P1" hidden="1">#REF!</definedName>
    <definedName name="BExW8T0GVY3ZYO4ACSBLHS8SH895" hidden="1">#REF!</definedName>
    <definedName name="BExW8YEP73JMMU9HZ08PM4WHJQZ4" hidden="1">#REF!</definedName>
    <definedName name="BExW937AT53OZQRHNWQZ5BVH24IE" hidden="1">#REF!</definedName>
    <definedName name="BExW95LN5N0LYFFVP7GJEGDVDLF0" hidden="1">#REF!</definedName>
    <definedName name="BExW967733Q8RAJOHR2GJ3HO8JIW" hidden="1">#REF!</definedName>
    <definedName name="BExW9JZK2CSFMKED1TX7YD9FRDO3" hidden="1">#REF!</definedName>
    <definedName name="BExW9POK1KIOI0ALS5MZIKTDIYMA" hidden="1">#REF!</definedName>
    <definedName name="BExW9TVLB7OIHTG98I7I4EXBL61S" hidden="1">#REF!</definedName>
    <definedName name="BExXLBW8C0QN7XN59JLQ4OUH9990" hidden="1">#REF!</definedName>
    <definedName name="BExXLDE6PN4ESWT3LXJNQCY94NE4" hidden="1">#REF!</definedName>
    <definedName name="BExXLQVPK2H3IF0NDDA5CT612EUK" hidden="1">#REF!</definedName>
    <definedName name="BExXLR6IO70TYTACKQH9M5PGV24J" hidden="1">#REF!</definedName>
    <definedName name="BExXLURYFM8GBF8GFBF4XEDZKF0T" hidden="1">#REF!</definedName>
    <definedName name="BExXM065WOLYRYHGHOJE0OOFXA4M" hidden="1">#REF!</definedName>
    <definedName name="BExXM3GUNXVDM82KUR17NNUMQCNI" hidden="1">#REF!</definedName>
    <definedName name="BExXMA28M8SH7MKIGETSDA72WUIZ" hidden="1">#REF!</definedName>
    <definedName name="BExXMGYEEDDHZXL92PSWSUBBFOFG" hidden="1">#REF!</definedName>
    <definedName name="BExXMJNJBSI8TZSIOTQROMYX04LH" hidden="1">#REF!</definedName>
    <definedName name="BExXMNJRTGZUXLSLUGSDUFK3XIUI" hidden="1">#REF!</definedName>
    <definedName name="BExXMOLHIAHDLFSA31PUB36SC3I9" hidden="1">#REF!</definedName>
    <definedName name="BExXMSXZY0B3DKY35VFPW75BOI33" hidden="1">#REF!</definedName>
    <definedName name="BExXMT8T5Z3M2JBQN65X2LKH0YQI" hidden="1">#REF!</definedName>
    <definedName name="BExXN1XNO7H60M9X1E7EVWFJDM5N" hidden="1">#REF!</definedName>
    <definedName name="BExXN22ZOTIW49GPLWFYKVM90FNZ" hidden="1">#REF!</definedName>
    <definedName name="BExXN4C031W9DK73MJHKL8YT1QA8" hidden="1">#REF!</definedName>
    <definedName name="BExXN6QAP8UJQVN4R4BQKPP4QK35" hidden="1">#REF!</definedName>
    <definedName name="BExXNBOA39T2X6Y5Y5GZ5DDNA1AX" hidden="1">#REF!</definedName>
    <definedName name="BExXND6872VJ3M2PGT056WQMWBHD" hidden="1">#REF!</definedName>
    <definedName name="BExXNPM24UN2PGVL9D1TUBFRIKR4" hidden="1">#REF!</definedName>
    <definedName name="BExXNWYB165VO9MHARCL5WLCHWS0" hidden="1">#REF!</definedName>
    <definedName name="BExXNXPDR67U6QVL7QMKEQFU0KBX" hidden="1">#REF!</definedName>
    <definedName name="BExXO278QHQN8JDK5425EJ615ECC" hidden="1">#REF!</definedName>
    <definedName name="BExXO2SNDDGWMJ98F4ARL99WBNOA" hidden="1">#REF!</definedName>
    <definedName name="BExXO6ZP85325PSLSXWM38N73O6V" hidden="1">#REF!</definedName>
    <definedName name="BExXOBHOP0WGFHI2Y9AO4L440UVQ" hidden="1">#REF!</definedName>
    <definedName name="BExXOHSAD2NSHOLLMZ2JWA4I3I1R" hidden="1">#REF!</definedName>
    <definedName name="BExXOMQ9421Y32TZ81U6YGIP35QU" hidden="1">#REF!</definedName>
    <definedName name="BExXOQ67NWU65C52VVJEZOF547IZ" hidden="1">#REF!</definedName>
    <definedName name="BExXP80B5FGA00JCM7UXKPI3PB7Y" hidden="1">#REF!</definedName>
    <definedName name="BExXP85M4WXYVN1UVHUTOEKEG5XS" hidden="1">#REF!</definedName>
    <definedName name="BExXPELOTHOAG0OWILLAH94OZV5J" hidden="1">#REF!</definedName>
    <definedName name="BExXPS31W1VD2NMIE4E37LHVDF0L" hidden="1">#REF!</definedName>
    <definedName name="BExXPZKYEMVF5JOC14HYOOYQK6JK" hidden="1">#REF!</definedName>
    <definedName name="BExXQ89PA10X79WBWOEP1AJX1OQM" hidden="1">#REF!</definedName>
    <definedName name="BExXQCGQGGYSI0LTRVR73MUO50AW" hidden="1">#REF!</definedName>
    <definedName name="BExXQEEXFHDQ8DSRAJSB5ET6J004" hidden="1">#REF!</definedName>
    <definedName name="BExXQEKA2PONA924775OCWFH574G" hidden="1">#REF!</definedName>
    <definedName name="BExXQH41O5HZAH8BO6HCFY8YC3TU" hidden="1">#REF!</definedName>
    <definedName name="BExXQIRBLQSLAJTFL7224FCFUTKH" hidden="1">#REF!</definedName>
    <definedName name="BExXQJIEF5R3QQ6D8HO3NGPU0IQC" hidden="1">#REF!</definedName>
    <definedName name="BExXQS1SGPIQX0ESRMCECOYMUQQJ" hidden="1">#REF!</definedName>
    <definedName name="BExXQU00K9ER4I1WM7T9J0W1E7ZC" hidden="1">#REF!</definedName>
    <definedName name="BExXQU00KOR7XLM8B13DGJ1MIQDY" hidden="1">#REF!</definedName>
    <definedName name="BExXQXG18PS8HGBOS03OSTQ0KEYC" hidden="1">#REF!</definedName>
    <definedName name="BExXQXQT4OAFQT5B0YB3USDJOJOB" hidden="1">#REF!</definedName>
    <definedName name="BExXQZE2BT4RXC942YY853V5Q2MP" hidden="1">#REF!</definedName>
    <definedName name="BExXR3FSEXAHSXEQNJORWFCPX86N" hidden="1">#REF!</definedName>
    <definedName name="BExXR3W3FKYQBLR299HO9RZ70C43" hidden="1">#REF!</definedName>
    <definedName name="BExXR46U23CRRBV6IZT982MAEQKI" hidden="1">#REF!</definedName>
    <definedName name="BExXR8OKAVX7O70V5IYG2PRKXSTI" hidden="1">#REF!</definedName>
    <definedName name="BExXRA6N6XCLQM6XDV724ZIH6G93" hidden="1">#REF!</definedName>
    <definedName name="BExXRABZ1CNKCG6K1MR6OUFHF7J9" hidden="1">#REF!</definedName>
    <definedName name="BExXRBOFETC0OTJ6WY3VPMFH03VB" hidden="1">#REF!</definedName>
    <definedName name="BExXRD13K1S9Y3JGR7CXSONT7RJZ" hidden="1">#REF!</definedName>
    <definedName name="BExXRIFB4QQ87QIGA9AG0NXP577K" hidden="1">#REF!</definedName>
    <definedName name="BExXRIQ2JF2CVTRDQX2D9SPH7FTN" hidden="1">#REF!</definedName>
    <definedName name="BExXRIVEKGF20QTADXUUU296KUBM" hidden="1">#REF!</definedName>
    <definedName name="BExXRO4A6VUH1F4XV8N1BRJ4896W" hidden="1">#REF!</definedName>
    <definedName name="BExXRO9N1SNJZGKD90P4K7FU1J0P" hidden="1">#REF!</definedName>
    <definedName name="BExXRV5QP3Z0KAQ1EQT9JYT2FV0L" hidden="1">#REF!</definedName>
    <definedName name="BExXRZ20LZZCW8LVGDK0XETOTSAI" hidden="1">#REF!</definedName>
    <definedName name="BExXRZNM651EJ5HJPGKGTVYLAZQ1" hidden="1">#REF!</definedName>
    <definedName name="BExXS63O4OMWMNXXAODZQFSDG33N" hidden="1">#REF!</definedName>
    <definedName name="BExXSBSP1TOY051HSPEPM0AEIO2M" hidden="1">#REF!</definedName>
    <definedName name="BExXSC8RFK5D68FJD2HI4K66SA6I" hidden="1">#REF!</definedName>
    <definedName name="BExXSNHC88W4UMXEOIOOATJAIKZO" hidden="1">#REF!</definedName>
    <definedName name="BExXSTBS08WIA9TLALV3UQ2Z3MRG" hidden="1">#REF!</definedName>
    <definedName name="BExXSVQ2WOJJ73YEO8Q2FK60V4G8" hidden="1">#REF!</definedName>
    <definedName name="BExXTHLRNL82GN7KZY3TOLO508N7" hidden="1">#REF!</definedName>
    <definedName name="BExXTKAV4Y4JQ7D62LKGD89F9WMF" hidden="1">#REF!</definedName>
    <definedName name="BExXTL72MKEQSQH9L2OTFLU8DM2B" hidden="1">#REF!</definedName>
    <definedName name="BExXTM3M4RTCRSX7VGAXGQNPP668" hidden="1">#REF!</definedName>
    <definedName name="BExXTOCF78J7WY6FOVBRY1N2RBBR" hidden="1">#REF!</definedName>
    <definedName name="BExXTP3GYO6Z9RTKKT10XA0UTV3T" hidden="1">#REF!</definedName>
    <definedName name="BExXTZKZ4CG92ZQLIRKEXXH9BFIR" hidden="1">#REF!</definedName>
    <definedName name="BExXU4J2BM2964GD5UZHM752Q4NS" hidden="1">#REF!</definedName>
    <definedName name="BExXU6XDTT7RM93KILIDEYPA9XKF" hidden="1">#REF!</definedName>
    <definedName name="BExXU8VLZA7WLPZ3RAQZGNERUD26" hidden="1">#REF!</definedName>
    <definedName name="BExXUB9RSLSCNN5ETLXY72DAPZZM" hidden="1">#REF!</definedName>
    <definedName name="BExXUFRM82XQIN2T8KGLDQL1IBQW" hidden="1">#REF!</definedName>
    <definedName name="BExXUQEQBF6FI240ZGIF9YXZSRAU" hidden="1">#REF!</definedName>
    <definedName name="BExXUYND6EJO7CJ5KRICV4O1JNWK" hidden="1">#REF!</definedName>
    <definedName name="BExXV6FWG4H3S2QEUJZYIXILNGJ7" hidden="1">#REF!</definedName>
    <definedName name="BExXV9FTAZVDJFHB49EQSWTF9TFT" hidden="1">#REF!</definedName>
    <definedName name="BExXVGMPSU251HN0MOPMZ4DTSPE2" hidden="1">#REF!</definedName>
    <definedName name="BExXVJXGEVKUU5N2GONQFA9E1HFP" hidden="1">#REF!</definedName>
    <definedName name="BExXVK87BMMO6LHKV0CFDNIQVIBS" hidden="1">#REF!</definedName>
    <definedName name="BExXVKZ9WXPGL6IVY6T61IDD771I" hidden="1">#REF!</definedName>
    <definedName name="BExXW0K72T1Y8K1I4VZT87UY9S2G" hidden="1">#REF!</definedName>
    <definedName name="BExXW27MMXHXUXX78SDTBE1JYTHT" hidden="1">#REF!</definedName>
    <definedName name="BExXW2YIM2MYBSHRIX0RP9D4PRMN" hidden="1">#REF!</definedName>
    <definedName name="BExXW6JY31I0ZWSB9Y3NC3GJRJTL" hidden="1">#REF!</definedName>
    <definedName name="BExXWBNE4KTFSXKVSRF6WX039WPB" hidden="1">#REF!</definedName>
    <definedName name="BExXWFP5AYE7EHYTJWBZSQ8PQ0YX" hidden="1">#REF!</definedName>
    <definedName name="BExXWFZWPMP02KEX478AWUYZAAT9" hidden="1">#REF!</definedName>
    <definedName name="BExXWT6H9M5TYI9EUD0JCK8ECE1N" hidden="1">#REF!</definedName>
    <definedName name="BExXWVFIBQT8OY1O41FRFPFGXQHK" hidden="1">#REF!</definedName>
    <definedName name="BExXWWXHBZHA9J3N8K47F84X0M0L" hidden="1">#REF!</definedName>
    <definedName name="BExXX2MHREYDYKRMFKTEG8F1SGLW" hidden="1">#REF!</definedName>
    <definedName name="BExXXBM521DL8R4ZX7NZ3DBCUOR5" hidden="1">#REF!</definedName>
    <definedName name="BExXXC7OZI33XZ03NRMEP7VRLQK4" hidden="1">#REF!</definedName>
    <definedName name="BExXXH5N3NKBQ7BCJPJTBF8CYM2Q" hidden="1">#REF!</definedName>
    <definedName name="BExXXKWLM4D541BH6O8GOJMHFHMW" hidden="1">#REF!</definedName>
    <definedName name="BExXXM93P8Y8QGBXPQLOT05H17B4" hidden="1">#REF!</definedName>
    <definedName name="BExXXPPA1Q87XPI97X0OXCPBPDON" hidden="1">#REF!</definedName>
    <definedName name="BExXXVUDA98IZTQ6MANKU4MTTDVR" hidden="1">#REF!</definedName>
    <definedName name="BExXXXHROK4BFR3Z8Y8FQXFW6LVF" hidden="1">#REF!</definedName>
    <definedName name="BExXXZQNZY6IZI45DJXJK0MQZWA7" hidden="1">#REF!</definedName>
    <definedName name="BExXY1OTGRKFRJTXOW6IJIFV48QI" hidden="1">#REF!</definedName>
    <definedName name="BExXY5QFG6QP94SFT3935OBM8Y4K" hidden="1">#REF!</definedName>
    <definedName name="BExXY7TYEBFXRYUYIFHTN65RJ8EW" hidden="1">#REF!</definedName>
    <definedName name="BExXYA89NRN1HYTOK91PBJO3M738" hidden="1">#REF!</definedName>
    <definedName name="BExXYKPWUUKXAHAU41313KMXCUW9" hidden="1">#REF!</definedName>
    <definedName name="BExXYLBHANUXC5FCTDDTGOVD3GQS" hidden="1">#REF!</definedName>
    <definedName name="BExXYMNYAYH3WA2ZCFAYKZID9ZCI" hidden="1">#REF!</definedName>
    <definedName name="BExXYYT12SVN2VDMLVNV4P3ISD8T" hidden="1">#REF!</definedName>
    <definedName name="BExXZ11UQTE8QV2O33Y5ZJO20LWS" hidden="1">#REF!</definedName>
    <definedName name="BExXZ6QU5C0UMWY7U4BHVZNIPANK" hidden="1">#REF!</definedName>
    <definedName name="BExXZEDWSTNMXHYAK3QML3IUJWFJ" hidden="1">#REF!</definedName>
    <definedName name="BExXZEDWUYH25UZMW2QU2RXFILJE" hidden="1">#REF!</definedName>
    <definedName name="BExXZFVV4YB42AZ3H1I40YG3JAPU" hidden="1">#REF!</definedName>
    <definedName name="BExXZHJ9T2JELF12CHHGD54J1B0C" hidden="1">#REF!</definedName>
    <definedName name="BExXZM14LCKC01C1Y3B0OIRKXPR0" hidden="1">#REF!</definedName>
    <definedName name="BExXZNJ2X1TK2LRK5ZY3MX49H5T7" hidden="1">#REF!</definedName>
    <definedName name="BExXZOVPCEP495TQSON6PSRQ8XCY" hidden="1">#REF!</definedName>
    <definedName name="BExXZXKH7NBARQQAZM69Z57IH1MM" hidden="1">#REF!</definedName>
    <definedName name="BExY07WSDH5QEVM7BJXJK2ZRAI1O" hidden="1">#REF!</definedName>
    <definedName name="BExY0C3UBVC4M59JIRXVQ8OWAJC1" hidden="1">#REF!</definedName>
    <definedName name="BExY0OE8GFHMLLTEAFIOQTOPEVPB" hidden="1">#REF!</definedName>
    <definedName name="BExY0OJHW85S0VKBA8T4HTYPYBOS" hidden="1">#REF!</definedName>
    <definedName name="BExY0T1E034D7XAXNC6F7540LLIE" hidden="1">#REF!</definedName>
    <definedName name="BExY0XTZLHN49J2JH94BYTKBJLT3" hidden="1">#REF!</definedName>
    <definedName name="BExY11FH9TXHERUYGG8FE50U7H7J" hidden="1">#REF!</definedName>
    <definedName name="BExY180UKNW5NIAWD6ZUYTFEH8QS" hidden="1">#REF!</definedName>
    <definedName name="BExY1DPTV4LSY9MEOUGXF8X052NA" hidden="1">#REF!</definedName>
    <definedName name="BExY1GK9ELBEKDD7O6HR6DUO8YGO" hidden="1">#REF!</definedName>
    <definedName name="BExY1NWOXXFV9GGZ3PX444LZ8TVX" hidden="1">#REF!</definedName>
    <definedName name="BExY1R7E61J436W2LYGRWL07ZIT9" hidden="1">#REF!</definedName>
    <definedName name="BExY1UCL0RND63LLSM9X5SFRG117" hidden="1">#REF!</definedName>
    <definedName name="BExY1WAT3937L08HLHIRQHMP2A3H" hidden="1">#REF!</definedName>
    <definedName name="BExY1YEBOSLMID7LURP8QB46AI91" hidden="1">#REF!</definedName>
    <definedName name="BExY25AI7609LLDM04OPR3GG6OD7" hidden="1">#REF!</definedName>
    <definedName name="BExY27ZKYHSLEAFR10S8OW7VQPWV" hidden="1">#REF!</definedName>
    <definedName name="BExY2FS4LFX9OHOTQT7SJ2PXAC25" hidden="1">#REF!</definedName>
    <definedName name="BExY2GDPCZPVU0IQ6IJIB1YQQRQ6" hidden="1">#REF!</definedName>
    <definedName name="BExY2GTSZ3VA9TXLY7KW1LIAKJ61" hidden="1">#REF!</definedName>
    <definedName name="BExY2IXBR1SGYZH08T7QHKEFS8HA" hidden="1">#REF!</definedName>
    <definedName name="BExY2Q4B5FUDA5VU4VRUHX327QN0" hidden="1">#REF!</definedName>
    <definedName name="BExY2XB7S6PR9RPI3GB0RLONV1LB" hidden="1">#REF!</definedName>
    <definedName name="BExY3BUHF49HBMC20Z30YPLFCPS7" hidden="1">#REF!</definedName>
    <definedName name="BExY3DHVHH0H5J9SQT1BSO28IJ0M" hidden="1">#REF!</definedName>
    <definedName name="BExY3FAME3HIN2RXBJJ7BFZOQELW" hidden="1">#REF!</definedName>
    <definedName name="BExY3HOSK7YI364K15OX70AVR6F1" hidden="1">#REF!</definedName>
    <definedName name="BExY3O4V4YDZAEFNICL1P02QE7M1" hidden="1">#REF!</definedName>
    <definedName name="BExY3T89AUR83SOAZZ3OMDEJDQ39" hidden="1">#REF!</definedName>
    <definedName name="BExY3TJ2T29CBTTNYSCFBLQXZUYK" hidden="1">#REF!</definedName>
    <definedName name="BExY3VMLU6H6IDX2CR5GAYYTSLDI" hidden="1">#REF!</definedName>
    <definedName name="BExY40KJDMUEPCGZT9PRO4SN0HN6" hidden="1">#REF!</definedName>
    <definedName name="BExY4DRA1NB56I6KHB22C0U0NKPH" hidden="1">#REF!</definedName>
    <definedName name="BExY4MG771JQ84EMIVB6HQGGHZY7" hidden="1">#REF!</definedName>
    <definedName name="BExY4PWCSFB8P3J3TBQB2MD67263" hidden="1">#REF!</definedName>
    <definedName name="BExY4RZW3KK11JLYBA4DWZ92M6LQ" hidden="1">#REF!</definedName>
    <definedName name="BExY4XOVTTNVZ577RLIEC7NZQFIX" hidden="1">#REF!</definedName>
    <definedName name="BExY50JAF5CG01GTHAUS7I4ZLUDC" hidden="1">#REF!</definedName>
    <definedName name="BExY53J7EXFEOFTRNAHLK7IH3ACB" hidden="1">#REF!</definedName>
    <definedName name="BExY53TYJKQ6WLVR4N5DG87YRKWC" hidden="1">#REF!</definedName>
    <definedName name="BExY5515SJTJS3VM80M3YYR0WF37" hidden="1">#REF!</definedName>
    <definedName name="BExY5515WE39FQ3EG5QHG67V9C0O" hidden="1">#REF!</definedName>
    <definedName name="BExY5986WNAD8NFCPXC9TVLBU4FG" hidden="1">#REF!</definedName>
    <definedName name="BExY5DF9MS25IFNWGJ1YAS5MDN8R" hidden="1">#REF!</definedName>
    <definedName name="BExY5ERVGL3UM2MGT8LJ0XPKTZEK" hidden="1">#REF!</definedName>
    <definedName name="BExY5EX6NJFK8W754ZVZDN5DS04K" hidden="1">#REF!</definedName>
    <definedName name="BExY5J48065U4NLKD1SJ6MNJYBZS" hidden="1">#REF!</definedName>
    <definedName name="BExY5S3XD1NJT109CV54IFOHVLQ6" hidden="1">#REF!</definedName>
    <definedName name="BExY5TB2VAI3GHKCPXMCVIOM8B8W" hidden="1">#REF!</definedName>
    <definedName name="BExY6KVS1MMZ2R34PGEFR2BMTU9W" hidden="1">#REF!</definedName>
    <definedName name="BExY6Q9YY7LW745GP7CYOGGSPHGE" hidden="1">#REF!</definedName>
    <definedName name="BExZIA3C8LKJTEH3MKQ57KJH5TA2" hidden="1">#REF!</definedName>
    <definedName name="BExZIIHH3QNQE3GFMHEE4UMHY6WQ" hidden="1">#REF!</definedName>
    <definedName name="BExZIM2W4PEH76G23WQ2O80XCAF4" hidden="1">#REF!</definedName>
    <definedName name="BExZIYO22G5UXOB42GDLYGVRJ6U7" hidden="1">#REF!</definedName>
    <definedName name="BExZJ7I9T8XU4MZRKJ1VVU76V2LZ" hidden="1">#REF!</definedName>
    <definedName name="BExZJMY170JCUU1RWASNZ1HJPRTA" hidden="1">#REF!</definedName>
    <definedName name="BExZJOQR77H0P4SUKVYACDCFBBXO" hidden="1">#REF!</definedName>
    <definedName name="BExZJS6RG34ODDY9HMZ0O34MEMSB" hidden="1">#REF!</definedName>
    <definedName name="BExZK34NR4BAD7HJAP7SQ926UQP3" hidden="1">#REF!</definedName>
    <definedName name="BExZK3FGPHH5H771U7D5XY7XBS6E" hidden="1">#REF!</definedName>
    <definedName name="BExZKDMBO8DJDGU6RLT8366753MU" hidden="1">#REF!</definedName>
    <definedName name="BExZKHYORG3O8C772XPFHM1N8T80" hidden="1">#REF!</definedName>
    <definedName name="BExZKJRF2IRR57DG9CLC7MSHWNNN" hidden="1">#REF!</definedName>
    <definedName name="BExZKNYGK25A5A2VMRG3NDX2XRQM" hidden="1">#REF!</definedName>
    <definedName name="BExZKV5GYXO0X760SBD9TWTIQHGI" hidden="1">#REF!</definedName>
    <definedName name="BExZL6E4YVXRUN7ZGF2BIGIXFR8K" hidden="1">#REF!</definedName>
    <definedName name="BExZLGVLMKTPFXG42QYT0PO81G7F" hidden="1">#REF!</definedName>
    <definedName name="BExZLKMK7LRK14S09WLMH7MXSQXM" hidden="1">#REF!</definedName>
    <definedName name="BExZM7JVLG0W8EG5RBU915U3SKBY" hidden="1">#REF!</definedName>
    <definedName name="BExZM7JW5PQUIBL9FN0JEFVMNP4I" hidden="1">#REF!</definedName>
    <definedName name="BExZM85FOVUFF110XMQ9O2ODSJUK" hidden="1">#REF!</definedName>
    <definedName name="BExZMDUG6NU0WGS8KW4PKMHXCM64" hidden="1">#REF!</definedName>
    <definedName name="BExZMF1MMTZ1TA14PZ8ASSU2CBSP" hidden="1">#REF!</definedName>
    <definedName name="BExZMKL5YQZD7F0FUCSVFGLPFK52" hidden="1">#REF!</definedName>
    <definedName name="BExZMOC3VNZALJM71X2T6FV91GTB" hidden="1">#REF!</definedName>
    <definedName name="BExZMXH39OB0I43XEL3K11U3G9PM" hidden="1">#REF!</definedName>
    <definedName name="BExZMZQ3RBKDHT5GLFNLS52OSJA0" hidden="1">#REF!</definedName>
    <definedName name="BExZN2F7Y2J2L2LN5WZRG949MS4A" hidden="1">#REF!</definedName>
    <definedName name="BExZN4YTWJWBT5QSMDUZ7FRFJ2XM" hidden="1">#REF!</definedName>
    <definedName name="BExZN847WUWKRYTZWG9TCQZJS3OL" hidden="1">#REF!</definedName>
    <definedName name="BExZNH3VISFF4NQI11BZDP5IQ7VG" hidden="1">#REF!</definedName>
    <definedName name="BExZNJ1Y8RSOGU7HCLNI4JJ9WA8U" hidden="1">#REF!</definedName>
    <definedName name="BExZNJYCFYVMAOI62GB2BABK1ELE" hidden="1">#REF!</definedName>
    <definedName name="BExZNMY7XJVJ3WW7LIY11NAQJ1JO" hidden="1">#REF!</definedName>
    <definedName name="BExZNV707LIU6Z5H6QI6H67LHTI1" hidden="1">#REF!</definedName>
    <definedName name="BExZNVCBKB930QQ9QW7KSGOZ0V1M" hidden="1">#REF!</definedName>
    <definedName name="BExZNW8QJ18X0RSGFDWAE9ZSDX39" hidden="1">#REF!</definedName>
    <definedName name="BExZNZDWRS6Q40L8OCWFEIVI0A1O" hidden="1">#REF!</definedName>
    <definedName name="BExZOBO9NYLGVJQ31LVQ9XS2ZT4N" hidden="1">#REF!</definedName>
    <definedName name="BExZOETNB1CJ3Y2RKLI1ZK0S8Z6H" hidden="1">#REF!</definedName>
    <definedName name="BExZOGGXELQYWTJNTL72DC4QXU26" hidden="1">#REF!</definedName>
    <definedName name="BExZOL9K1RUXBTLZ6FJ65BIE9G5R" hidden="1">#REF!</definedName>
    <definedName name="BExZOREMVSK4E5VSWM838KHUB8AI" hidden="1">#REF!</definedName>
    <definedName name="BExZOVR745T5P1KS9NV2PXZPZVRG" hidden="1">#REF!</definedName>
    <definedName name="BExZOZSWGLSY2XYVRIS6VSNJDSGD" hidden="1">#REF!</definedName>
    <definedName name="BExZP7AIJKLM6C6CSUIIFAHFBNX2" hidden="1">#REF!</definedName>
    <definedName name="BExZP8710NGWLJQZFWZQ9G16PRCE" hidden="1">#REF!</definedName>
    <definedName name="BExZPOZ4GAJ4JUQAWTMYHWIMFZQ0" hidden="1">#REF!</definedName>
    <definedName name="BExZPQ0XY507N8FJMVPKCTK8HC9H" hidden="1">#REF!</definedName>
    <definedName name="BExZPUO4CB129T88WJB1FJA6GOYC" hidden="1">#REF!</definedName>
    <definedName name="BExZQ37OVBR25U32CO2YYVPZOMR5" hidden="1">#REF!</definedName>
    <definedName name="BExZQ3IHNAFF2HI20IH754T349LH" hidden="1">#REF!</definedName>
    <definedName name="BExZQ3NT7H06VO0AR48WHZULZB93" hidden="1">#REF!</definedName>
    <definedName name="BExZQ7PJU07SEJMDX18U9YVDC2GU" hidden="1">#REF!</definedName>
    <definedName name="BExZQIHTGHK7OOI2Y2PN3JYBY82I" hidden="1">#REF!</definedName>
    <definedName name="BExZQJJMGU5MHQOILGXGJPAQI5XI" hidden="1">#REF!</definedName>
    <definedName name="BExZQXBYEBN28QUH1KOVW6KKA5UM" hidden="1">#REF!</definedName>
    <definedName name="BExZQXMRBU0L5J1HYZDU0LXLEIX0" hidden="1">#REF!</definedName>
    <definedName name="BExZQYDNHDN37U6VEBPKV9HRJEPC" hidden="1">#REF!</definedName>
    <definedName name="BExZQZKT146WEN8FTVZ7Y5TSB8L5" hidden="1">#REF!</definedName>
    <definedName name="BExZR485AKBH93YZ08CMUC3WROED" hidden="1">#REF!</definedName>
    <definedName name="BExZR7TL98P2PPUVGIZYR5873DWW" hidden="1">#REF!</definedName>
    <definedName name="BExZRGD1603X5ACFALUUDKCD7X48" hidden="1">#REF!</definedName>
    <definedName name="BExZRP1X6UVLN1UOLHH5VF4STP1O" hidden="1">#REF!</definedName>
    <definedName name="BExZRQ930U6OCYNV00CH5I0Q4LPE" hidden="1">#REF!</definedName>
    <definedName name="BExZRT8ZWZNTV0LRDJE3NRR55SIX" hidden="1">#REF!</definedName>
    <definedName name="BExZRW8W514W8OZ72YBONYJ64GXF" hidden="1">#REF!</definedName>
    <definedName name="BExZRWJP2BUVFJPO8U8ATQEP0LZU" hidden="1">#REF!</definedName>
    <definedName name="BExZS1CBTC8QC8S2HIB93A2TPFQA" hidden="1">#REF!</definedName>
    <definedName name="BExZS2OY9JTSSP01ZQ6V2T2LO5R9" hidden="1">#REF!</definedName>
    <definedName name="BExZSI9USDLZAN8LI8M4YYQL24GZ" hidden="1">#REF!</definedName>
    <definedName name="BExZSS0LA2JY4ZLJ1Z5YCMLJJZCH" hidden="1">#REF!</definedName>
    <definedName name="BExZSY5OAHPQLHA4WPD8P8YG7LE1" hidden="1">#REF!</definedName>
    <definedName name="BExZTAQV2QVSZY5Y3VCCWUBSBW9P" hidden="1">#REF!</definedName>
    <definedName name="BExZTCP3AS1RQUH3NNZGOJY7ORHW" hidden="1">#REF!</definedName>
    <definedName name="BExZTHSI2FX56PWRSNX9H5EWTZFO" hidden="1">#REF!</definedName>
    <definedName name="BExZTJL3HVBFY139H6CJHEQCT1EL" hidden="1">#REF!</definedName>
    <definedName name="BExZTKC4F08I0270327A7RCGQFHB" hidden="1">#REF!</definedName>
    <definedName name="BExZTLOL8OPABZI453E0KVNA1GJS" hidden="1">#REF!</definedName>
    <definedName name="BExZTT6J3X0TOX0ZY6YPLUVMCW9X" hidden="1">#REF!</definedName>
    <definedName name="BExZTW6ECBRA0BBITWBQ8R93RMCL" hidden="1">#REF!</definedName>
    <definedName name="BExZU2BHYAOKSCBM3C5014ZF6IXS" hidden="1">#REF!</definedName>
    <definedName name="BExZU2RMJTXOCS0ROPMYPE6WTD87" hidden="1">#REF!</definedName>
    <definedName name="BExZUF7G8FENTJKH9R1XUWXM6CWD" hidden="1">#REF!</definedName>
    <definedName name="BExZUNARUJBIZ08VCAV3GEVBIR3D" hidden="1">#REF!</definedName>
    <definedName name="BExZUSZT5496UMBP4LFSLTR1GVEW" hidden="1">#REF!</definedName>
    <definedName name="BExZUT54340I38GVCV79EL116WR0" hidden="1">#REF!</definedName>
    <definedName name="BExZUYDULCX65H9OZ9JHPBNKF3MI" hidden="1">#REF!</definedName>
    <definedName name="BExZV2QD5ZDK3AGDRULLA7JB46C3" hidden="1">#REF!</definedName>
    <definedName name="BExZVBQ29OM0V8XAL3HL0JIM0MMU" hidden="1">#REF!</definedName>
    <definedName name="BExZVEPYS6HYXG8RN9GMWZTHDEMK" hidden="1">#REF!</definedName>
    <definedName name="BExZVJ2GE8LRFLUOY65DVMTKYPZB" hidden="1">#REF!</definedName>
    <definedName name="BExZVLM4T9ORS4ZWHME46U4Q103C" hidden="1">#REF!</definedName>
    <definedName name="BExZVM7OZWPPRH5YQW50EYMMIW1A" hidden="1">#REF!</definedName>
    <definedName name="BExZVPYGX2C5OSHMZ6F0KBKZ6B1S" hidden="1">#REF!</definedName>
    <definedName name="BExZVYI34GUY0YHRJAX8NAEO7TH4" hidden="1">#REF!</definedName>
    <definedName name="BExZW5UARC8W9AQNLJX2I5WQWS5F" hidden="1">#REF!</definedName>
    <definedName name="BExZW7HRGN6A9YS41KI2B2UUMJ7X" hidden="1">#REF!</definedName>
    <definedName name="BExZW8ZPNV43UXGOT98FDNIBQHZY" hidden="1">#REF!</definedName>
    <definedName name="BExZWE34WLHXW41SZ9QCACZ6SVF0" hidden="1">#REF!</definedName>
    <definedName name="BExZWKZ5N3RDXU8MZ8HQVYYD8O0F" hidden="1">#REF!</definedName>
    <definedName name="BExZWSMC9T48W74GFGQCIUJ8ZPP3" hidden="1">#REF!</definedName>
    <definedName name="BExZWUF2V4HY3HI8JN9ZVPRWK1H3" hidden="1">#REF!</definedName>
    <definedName name="BExZWX45URTK9KYDJHEXL1OTZ833" hidden="1">#REF!</definedName>
    <definedName name="BExZX0EWQEZO86WDAD9A4EAEZ012" hidden="1">#REF!</definedName>
    <definedName name="BExZX2T6ZT2DZLYSDJJBPVIT5OK2" hidden="1">#REF!</definedName>
    <definedName name="BExZXCP42U5HL8V0ND1DHZMXHV3O" hidden="1">#REF!</definedName>
    <definedName name="BExZXOJDELULNLEH7WG0OYJT0NJ4" hidden="1">#REF!</definedName>
    <definedName name="BExZXOOTRNUK8LGEAZ8ZCFW9KXQ1" hidden="1">#REF!</definedName>
    <definedName name="BExZXT6JOXNKEDU23DKL8XZAJZIH" hidden="1">#REF!</definedName>
    <definedName name="BExZXUTYW1HWEEZ1LIX4OQWC7HL1" hidden="1">#REF!</definedName>
    <definedName name="BExZXY4NKQL9QD76YMQJ15U1C2G8" hidden="1">#REF!</definedName>
    <definedName name="BExZXYQ7U5G08FQGUIGYT14QCBOF" hidden="1">#REF!</definedName>
    <definedName name="BExZY02V77YJBMODJSWZOYCMPS5X" hidden="1">#REF!</definedName>
    <definedName name="BExZY49QRZIR6CA41LFA9LM6EULU" hidden="1">#REF!</definedName>
    <definedName name="BExZYSZXZLA9AIL6C8UFO5UMYLOL" hidden="1">#REF!</definedName>
    <definedName name="BExZZ2FQA9A8C7CJKMEFQ9VPSLCE" hidden="1">#REF!</definedName>
    <definedName name="BExZZ4315ZM8JCWPVO1MCZXHL1P2" hidden="1">#REF!</definedName>
    <definedName name="BExZZCHAVHW8C2H649KRGVQ0WVRT" hidden="1">#REF!</definedName>
    <definedName name="BExZZIX86XGUYCDC9LRDYXCWSZ4X" hidden="1">#REF!</definedName>
    <definedName name="BExZZTK54OTLF2YB68BHGOS27GEN" hidden="1">#REF!</definedName>
    <definedName name="BExZZVIC2F5RTBYPLNKOKF5NVGJG" hidden="1">#REF!</definedName>
    <definedName name="BExZZW3YBYAO27O0Y6XQ1YJ6J7S4" hidden="1">#REF!</definedName>
    <definedName name="BExZZXB3JQQG4SIZS4MRU6NNW7HI" hidden="1">#REF!</definedName>
    <definedName name="BExZZZEMIIFKMLLV4DJKX5TB9R5V" hidden="1">#REF!</definedName>
    <definedName name="bfbfdhfdhdfgh" localSheetId="10" hidden="1">{#N/A,#N/A,FALSE,"CCTV"}</definedName>
    <definedName name="bfbfdhfdhdfgh" localSheetId="9" hidden="1">{#N/A,#N/A,FALSE,"CCTV"}</definedName>
    <definedName name="bfbfdhfdhdfgh" hidden="1">{#N/A,#N/A,FALSE,"CCTV"}</definedName>
    <definedName name="BG_Del" hidden="1">15</definedName>
    <definedName name="BG_Ins" hidden="1">4</definedName>
    <definedName name="BG_Mod" hidden="1">6</definedName>
    <definedName name="bh" localSheetId="10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bh" localSheetId="9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bh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BHL" localSheetId="10" hidden="1">{#N/A,#N/A,FALSE,"Corporate_Digital";#N/A,#N/A,FALSE,"Corporate_Analog";#N/A,#N/A,FALSE,"RetailDigBuckets";#N/A,#N/A,FALSE,"Retail_19.99";#N/A,#N/A,FALSE,"Companion Plan"}</definedName>
    <definedName name="BHL" localSheetId="9" hidden="1">{#N/A,#N/A,FALSE,"Corporate_Digital";#N/A,#N/A,FALSE,"Corporate_Analog";#N/A,#N/A,FALSE,"RetailDigBuckets";#N/A,#N/A,FALSE,"Retail_19.99";#N/A,#N/A,FALSE,"Companion Plan"}</definedName>
    <definedName name="BHL" hidden="1">{#N/A,#N/A,FALSE,"Corporate_Digital";#N/A,#N/A,FALSE,"Corporate_Analog";#N/A,#N/A,FALSE,"RetailDigBuckets";#N/A,#N/A,FALSE,"Retail_19.99";#N/A,#N/A,FALSE,"Companion Plan"}</definedName>
    <definedName name="BHL_1" localSheetId="10" hidden="1">{#N/A,#N/A,FALSE,"Corporate_Digital";#N/A,#N/A,FALSE,"Corporate_Analog";#N/A,#N/A,FALSE,"RetailDigBuckets";#N/A,#N/A,FALSE,"Retail_19.99";#N/A,#N/A,FALSE,"Companion Plan"}</definedName>
    <definedName name="BHL_1" localSheetId="9" hidden="1">{#N/A,#N/A,FALSE,"Corporate_Digital";#N/A,#N/A,FALSE,"Corporate_Analog";#N/A,#N/A,FALSE,"RetailDigBuckets";#N/A,#N/A,FALSE,"Retail_19.99";#N/A,#N/A,FALSE,"Companion Plan"}</definedName>
    <definedName name="BHL_1" hidden="1">{#N/A,#N/A,FALSE,"Corporate_Digital";#N/A,#N/A,FALSE,"Corporate_Analog";#N/A,#N/A,FALSE,"RetailDigBuckets";#N/A,#N/A,FALSE,"Retail_19.99";#N/A,#N/A,FALSE,"Companion Plan"}</definedName>
    <definedName name="BIDO" hidden="1">#REF!</definedName>
    <definedName name="bidon" localSheetId="10" hidden="1">{#N/A,#N/A,FALSE,"0)Sommaire";#N/A,#N/A,FALSE,"1)Hypothèses";#N/A,#N/A,FALSE,"2)Cadences Mach-Besoin Métal";#N/A,#N/A,FALSE,"3)Dimensionnement Baskets";#N/A,#N/A,FALSE,"4)Lingotage";#N/A,#N/A,FALSE,"5)Cycles Wagons";#N/A,#N/A,FALSE,"5) Cycles Wagons(suite)";#N/A,#N/A,FALSE,"6)Cycles Fours";#N/A,#N/A,FALSE,"6)Capacité à 2 ou 3 Fours";#N/A,#N/A,FALSE,"7) Avantages d'un Four à Canal";#N/A,#N/A,FALSE,"8)Cycle Ponts sans Four à Canal";#N/A,#N/A,FALSE,"8) Occupation Ponts sans FAC";#N/A,#N/A,FALSE,"8)Cycle Ponts avec Four à Canal";#N/A,#N/A,FALSE,"8) Occupation Ponts avec FAC";#N/A,#N/A,FALSE,"Annexes";#N/A,#N/A,FALSE,"A)Calcul Cycles Ponts";#N/A,#N/A,FALSE,"A)Cycle Wagon --&gt; Fours";#N/A,#N/A,FALSE,"A)Cycle Ferrailles ---&gt; Fours";#N/A,#N/A,FALSE,"A)Cycle Four --&gt; Machines";#N/A,#N/A,FALSE,"A)Four--&gt;Mach(Rempl.autre pont)";#N/A,#N/A,FALSE,"A)Four--&gt;Basculeur Machine";#N/A,#N/A,FALSE,"A)Cycle Wagon --&gt; Four à Canal";#N/A,#N/A,FALSE,"A)Cycle Four --&gt; Four à Canal ";#N/A,#N/A,FALSE,"A)Cycle Four à Canal --&gt; Mach. ";#N/A,#N/A,FALSE,"A)Four à Canal--&gt;Basculeur Mach";#N/A,#N/A,FALSE,"A)Cycle Remplis. Poche au Four";#N/A,#N/A,FALSE,"A)Cycle Remplis. Poche au FAC ";#N/A,#N/A,FALSE,"A)FAC--&gt;Mach(Rempl.autre pont)"}</definedName>
    <definedName name="bidon" localSheetId="9" hidden="1">{#N/A,#N/A,FALSE,"0)Sommaire";#N/A,#N/A,FALSE,"1)Hypothèses";#N/A,#N/A,FALSE,"2)Cadences Mach-Besoin Métal";#N/A,#N/A,FALSE,"3)Dimensionnement Baskets";#N/A,#N/A,FALSE,"4)Lingotage";#N/A,#N/A,FALSE,"5)Cycles Wagons";#N/A,#N/A,FALSE,"5) Cycles Wagons(suite)";#N/A,#N/A,FALSE,"6)Cycles Fours";#N/A,#N/A,FALSE,"6)Capacité à 2 ou 3 Fours";#N/A,#N/A,FALSE,"7) Avantages d'un Four à Canal";#N/A,#N/A,FALSE,"8)Cycle Ponts sans Four à Canal";#N/A,#N/A,FALSE,"8) Occupation Ponts sans FAC";#N/A,#N/A,FALSE,"8)Cycle Ponts avec Four à Canal";#N/A,#N/A,FALSE,"8) Occupation Ponts avec FAC";#N/A,#N/A,FALSE,"Annexes";#N/A,#N/A,FALSE,"A)Calcul Cycles Ponts";#N/A,#N/A,FALSE,"A)Cycle Wagon --&gt; Fours";#N/A,#N/A,FALSE,"A)Cycle Ferrailles ---&gt; Fours";#N/A,#N/A,FALSE,"A)Cycle Four --&gt; Machines";#N/A,#N/A,FALSE,"A)Four--&gt;Mach(Rempl.autre pont)";#N/A,#N/A,FALSE,"A)Four--&gt;Basculeur Machine";#N/A,#N/A,FALSE,"A)Cycle Wagon --&gt; Four à Canal";#N/A,#N/A,FALSE,"A)Cycle Four --&gt; Four à Canal ";#N/A,#N/A,FALSE,"A)Cycle Four à Canal --&gt; Mach. ";#N/A,#N/A,FALSE,"A)Four à Canal--&gt;Basculeur Mach";#N/A,#N/A,FALSE,"A)Cycle Remplis. Poche au Four";#N/A,#N/A,FALSE,"A)Cycle Remplis. Poche au FAC ";#N/A,#N/A,FALSE,"A)FAC--&gt;Mach(Rempl.autre pont)"}</definedName>
    <definedName name="bidon" hidden="1">{#N/A,#N/A,FALSE,"0)Sommaire";#N/A,#N/A,FALSE,"1)Hypothèses";#N/A,#N/A,FALSE,"2)Cadences Mach-Besoin Métal";#N/A,#N/A,FALSE,"3)Dimensionnement Baskets";#N/A,#N/A,FALSE,"4)Lingotage";#N/A,#N/A,FALSE,"5)Cycles Wagons";#N/A,#N/A,FALSE,"5) Cycles Wagons(suite)";#N/A,#N/A,FALSE,"6)Cycles Fours";#N/A,#N/A,FALSE,"6)Capacité à 2 ou 3 Fours";#N/A,#N/A,FALSE,"7) Avantages d'un Four à Canal";#N/A,#N/A,FALSE,"8)Cycle Ponts sans Four à Canal";#N/A,#N/A,FALSE,"8) Occupation Ponts sans FAC";#N/A,#N/A,FALSE,"8)Cycle Ponts avec Four à Canal";#N/A,#N/A,FALSE,"8) Occupation Ponts avec FAC";#N/A,#N/A,FALSE,"Annexes";#N/A,#N/A,FALSE,"A)Calcul Cycles Ponts";#N/A,#N/A,FALSE,"A)Cycle Wagon --&gt; Fours";#N/A,#N/A,FALSE,"A)Cycle Ferrailles ---&gt; Fours";#N/A,#N/A,FALSE,"A)Cycle Four --&gt; Machines";#N/A,#N/A,FALSE,"A)Four--&gt;Mach(Rempl.autre pont)";#N/A,#N/A,FALSE,"A)Four--&gt;Basculeur Machine";#N/A,#N/A,FALSE,"A)Cycle Wagon --&gt; Four à Canal";#N/A,#N/A,FALSE,"A)Cycle Four --&gt; Four à Canal ";#N/A,#N/A,FALSE,"A)Cycle Four à Canal --&gt; Mach. ";#N/A,#N/A,FALSE,"A)Four à Canal--&gt;Basculeur Mach";#N/A,#N/A,FALSE,"A)Cycle Remplis. Poche au Four";#N/A,#N/A,FALSE,"A)Cycle Remplis. Poche au FAC ";#N/A,#N/A,FALSE,"A)FAC--&gt;Mach(Rempl.autre pont)"}</definedName>
    <definedName name="bidon_1" localSheetId="10" hidden="1">{#N/A,#N/A,FALSE,"0)Sommaire";#N/A,#N/A,FALSE,"1)Hypothèses";#N/A,#N/A,FALSE,"2)Cadences Mach-Besoin Métal";#N/A,#N/A,FALSE,"3)Dimensionnement Baskets";#N/A,#N/A,FALSE,"4)Lingotage";#N/A,#N/A,FALSE,"5)Cycles Wagons";#N/A,#N/A,FALSE,"5) Cycles Wagons(suite)";#N/A,#N/A,FALSE,"6)Cycles Fours";#N/A,#N/A,FALSE,"6)Capacité à 2 ou 3 Fours";#N/A,#N/A,FALSE,"7) Avantages d'un Four à Canal";#N/A,#N/A,FALSE,"8)Cycle Ponts sans Four à Canal";#N/A,#N/A,FALSE,"8) Occupation Ponts sans FAC";#N/A,#N/A,FALSE,"8)Cycle Ponts avec Four à Canal";#N/A,#N/A,FALSE,"8) Occupation Ponts avec FAC";#N/A,#N/A,FALSE,"Annexes";#N/A,#N/A,FALSE,"A)Calcul Cycles Ponts";#N/A,#N/A,FALSE,"A)Cycle Wagon --&gt; Fours";#N/A,#N/A,FALSE,"A)Cycle Ferrailles ---&gt; Fours";#N/A,#N/A,FALSE,"A)Cycle Four --&gt; Machines";#N/A,#N/A,FALSE,"A)Four--&gt;Mach(Rempl.autre pont)";#N/A,#N/A,FALSE,"A)Four--&gt;Basculeur Machine";#N/A,#N/A,FALSE,"A)Cycle Wagon --&gt; Four à Canal";#N/A,#N/A,FALSE,"A)Cycle Four --&gt; Four à Canal ";#N/A,#N/A,FALSE,"A)Cycle Four à Canal --&gt; Mach. ";#N/A,#N/A,FALSE,"A)Four à Canal--&gt;Basculeur Mach";#N/A,#N/A,FALSE,"A)Cycle Remplis. Poche au Four";#N/A,#N/A,FALSE,"A)Cycle Remplis. Poche au FAC ";#N/A,#N/A,FALSE,"A)FAC--&gt;Mach(Rempl.autre pont)"}</definedName>
    <definedName name="bidon_1" localSheetId="9" hidden="1">{#N/A,#N/A,FALSE,"0)Sommaire";#N/A,#N/A,FALSE,"1)Hypothèses";#N/A,#N/A,FALSE,"2)Cadences Mach-Besoin Métal";#N/A,#N/A,FALSE,"3)Dimensionnement Baskets";#N/A,#N/A,FALSE,"4)Lingotage";#N/A,#N/A,FALSE,"5)Cycles Wagons";#N/A,#N/A,FALSE,"5) Cycles Wagons(suite)";#N/A,#N/A,FALSE,"6)Cycles Fours";#N/A,#N/A,FALSE,"6)Capacité à 2 ou 3 Fours";#N/A,#N/A,FALSE,"7) Avantages d'un Four à Canal";#N/A,#N/A,FALSE,"8)Cycle Ponts sans Four à Canal";#N/A,#N/A,FALSE,"8) Occupation Ponts sans FAC";#N/A,#N/A,FALSE,"8)Cycle Ponts avec Four à Canal";#N/A,#N/A,FALSE,"8) Occupation Ponts avec FAC";#N/A,#N/A,FALSE,"Annexes";#N/A,#N/A,FALSE,"A)Calcul Cycles Ponts";#N/A,#N/A,FALSE,"A)Cycle Wagon --&gt; Fours";#N/A,#N/A,FALSE,"A)Cycle Ferrailles ---&gt; Fours";#N/A,#N/A,FALSE,"A)Cycle Four --&gt; Machines";#N/A,#N/A,FALSE,"A)Four--&gt;Mach(Rempl.autre pont)";#N/A,#N/A,FALSE,"A)Four--&gt;Basculeur Machine";#N/A,#N/A,FALSE,"A)Cycle Wagon --&gt; Four à Canal";#N/A,#N/A,FALSE,"A)Cycle Four --&gt; Four à Canal ";#N/A,#N/A,FALSE,"A)Cycle Four à Canal --&gt; Mach. ";#N/A,#N/A,FALSE,"A)Four à Canal--&gt;Basculeur Mach";#N/A,#N/A,FALSE,"A)Cycle Remplis. Poche au Four";#N/A,#N/A,FALSE,"A)Cycle Remplis. Poche au FAC ";#N/A,#N/A,FALSE,"A)FAC--&gt;Mach(Rempl.autre pont)"}</definedName>
    <definedName name="bidon_1" hidden="1">{#N/A,#N/A,FALSE,"0)Sommaire";#N/A,#N/A,FALSE,"1)Hypothèses";#N/A,#N/A,FALSE,"2)Cadences Mach-Besoin Métal";#N/A,#N/A,FALSE,"3)Dimensionnement Baskets";#N/A,#N/A,FALSE,"4)Lingotage";#N/A,#N/A,FALSE,"5)Cycles Wagons";#N/A,#N/A,FALSE,"5) Cycles Wagons(suite)";#N/A,#N/A,FALSE,"6)Cycles Fours";#N/A,#N/A,FALSE,"6)Capacité à 2 ou 3 Fours";#N/A,#N/A,FALSE,"7) Avantages d'un Four à Canal";#N/A,#N/A,FALSE,"8)Cycle Ponts sans Four à Canal";#N/A,#N/A,FALSE,"8) Occupation Ponts sans FAC";#N/A,#N/A,FALSE,"8)Cycle Ponts avec Four à Canal";#N/A,#N/A,FALSE,"8) Occupation Ponts avec FAC";#N/A,#N/A,FALSE,"Annexes";#N/A,#N/A,FALSE,"A)Calcul Cycles Ponts";#N/A,#N/A,FALSE,"A)Cycle Wagon --&gt; Fours";#N/A,#N/A,FALSE,"A)Cycle Ferrailles ---&gt; Fours";#N/A,#N/A,FALSE,"A)Cycle Four --&gt; Machines";#N/A,#N/A,FALSE,"A)Four--&gt;Mach(Rempl.autre pont)";#N/A,#N/A,FALSE,"A)Four--&gt;Basculeur Machine";#N/A,#N/A,FALSE,"A)Cycle Wagon --&gt; Four à Canal";#N/A,#N/A,FALSE,"A)Cycle Four --&gt; Four à Canal ";#N/A,#N/A,FALSE,"A)Cycle Four à Canal --&gt; Mach. ";#N/A,#N/A,FALSE,"A)Four à Canal--&gt;Basculeur Mach";#N/A,#N/A,FALSE,"A)Cycle Remplis. Poche au Four";#N/A,#N/A,FALSE,"A)Cycle Remplis. Poche au FAC ";#N/A,#N/A,FALSE,"A)FAC--&gt;Mach(Rempl.autre pont)"}</definedName>
    <definedName name="bk" localSheetId="10" hidden="1">{"cashflow",#N/A,FALSE,"cash flow"}</definedName>
    <definedName name="bk" localSheetId="9" hidden="1">{"cashflow",#N/A,FALSE,"cash flow"}</definedName>
    <definedName name="bk" hidden="1">{"cashflow",#N/A,FALSE,"cash flow"}</definedName>
    <definedName name="blah2" localSheetId="10" hidden="1">{#N/A,#N/A,FALSE,"Performance Flash Report"}</definedName>
    <definedName name="blah2" localSheetId="9" hidden="1">{#N/A,#N/A,FALSE,"Performance Flash Report"}</definedName>
    <definedName name="blah2" hidden="1">{#N/A,#N/A,FALSE,"Performance Flash Report"}</definedName>
    <definedName name="blah2_1" localSheetId="10" hidden="1">{#N/A,#N/A,FALSE,"Performance Flash Report"}</definedName>
    <definedName name="blah2_1" localSheetId="9" hidden="1">{#N/A,#N/A,FALSE,"Performance Flash Report"}</definedName>
    <definedName name="blah2_1" hidden="1">{#N/A,#N/A,FALSE,"Performance Flash Report"}</definedName>
    <definedName name="blah2_1_1" localSheetId="10" hidden="1">{#N/A,#N/A,FALSE,"Performance Flash Report"}</definedName>
    <definedName name="blah2_1_1" localSheetId="9" hidden="1">{#N/A,#N/A,FALSE,"Performance Flash Report"}</definedName>
    <definedName name="blah2_1_1" hidden="1">{#N/A,#N/A,FALSE,"Performance Flash Report"}</definedName>
    <definedName name="blah2_1_2" localSheetId="10" hidden="1">{#N/A,#N/A,FALSE,"Performance Flash Report"}</definedName>
    <definedName name="blah2_1_2" localSheetId="9" hidden="1">{#N/A,#N/A,FALSE,"Performance Flash Report"}</definedName>
    <definedName name="blah2_1_2" hidden="1">{#N/A,#N/A,FALSE,"Performance Flash Report"}</definedName>
    <definedName name="blah2_1_3" localSheetId="10" hidden="1">{#N/A,#N/A,FALSE,"Performance Flash Report"}</definedName>
    <definedName name="blah2_1_3" localSheetId="9" hidden="1">{#N/A,#N/A,FALSE,"Performance Flash Report"}</definedName>
    <definedName name="blah2_1_3" hidden="1">{#N/A,#N/A,FALSE,"Performance Flash Report"}</definedName>
    <definedName name="blah2_1_4" localSheetId="10" hidden="1">{#N/A,#N/A,FALSE,"Performance Flash Report"}</definedName>
    <definedName name="blah2_1_4" localSheetId="9" hidden="1">{#N/A,#N/A,FALSE,"Performance Flash Report"}</definedName>
    <definedName name="blah2_1_4" hidden="1">{#N/A,#N/A,FALSE,"Performance Flash Report"}</definedName>
    <definedName name="blah2_2" localSheetId="10" hidden="1">{#N/A,#N/A,FALSE,"Performance Flash Report"}</definedName>
    <definedName name="blah2_2" localSheetId="9" hidden="1">{#N/A,#N/A,FALSE,"Performance Flash Report"}</definedName>
    <definedName name="blah2_2" hidden="1">{#N/A,#N/A,FALSE,"Performance Flash Report"}</definedName>
    <definedName name="blah2_2_1" localSheetId="10" hidden="1">{#N/A,#N/A,FALSE,"Performance Flash Report"}</definedName>
    <definedName name="blah2_2_1" localSheetId="9" hidden="1">{#N/A,#N/A,FALSE,"Performance Flash Report"}</definedName>
    <definedName name="blah2_2_1" hidden="1">{#N/A,#N/A,FALSE,"Performance Flash Report"}</definedName>
    <definedName name="blah2_2_2" localSheetId="10" hidden="1">{#N/A,#N/A,FALSE,"Performance Flash Report"}</definedName>
    <definedName name="blah2_2_2" localSheetId="9" hidden="1">{#N/A,#N/A,FALSE,"Performance Flash Report"}</definedName>
    <definedName name="blah2_2_2" hidden="1">{#N/A,#N/A,FALSE,"Performance Flash Report"}</definedName>
    <definedName name="blah2_2_3" localSheetId="10" hidden="1">{#N/A,#N/A,FALSE,"Performance Flash Report"}</definedName>
    <definedName name="blah2_2_3" localSheetId="9" hidden="1">{#N/A,#N/A,FALSE,"Performance Flash Report"}</definedName>
    <definedName name="blah2_2_3" hidden="1">{#N/A,#N/A,FALSE,"Performance Flash Report"}</definedName>
    <definedName name="blah2_2_4" localSheetId="10" hidden="1">{#N/A,#N/A,FALSE,"Performance Flash Report"}</definedName>
    <definedName name="blah2_2_4" localSheetId="9" hidden="1">{#N/A,#N/A,FALSE,"Performance Flash Report"}</definedName>
    <definedName name="blah2_2_4" hidden="1">{#N/A,#N/A,FALSE,"Performance Flash Report"}</definedName>
    <definedName name="blah2_3" localSheetId="10" hidden="1">{#N/A,#N/A,FALSE,"Performance Flash Report"}</definedName>
    <definedName name="blah2_3" localSheetId="9" hidden="1">{#N/A,#N/A,FALSE,"Performance Flash Report"}</definedName>
    <definedName name="blah2_3" hidden="1">{#N/A,#N/A,FALSE,"Performance Flash Report"}</definedName>
    <definedName name="blah2_3_1" localSheetId="10" hidden="1">{#N/A,#N/A,FALSE,"Performance Flash Report"}</definedName>
    <definedName name="blah2_3_1" localSheetId="9" hidden="1">{#N/A,#N/A,FALSE,"Performance Flash Report"}</definedName>
    <definedName name="blah2_3_1" hidden="1">{#N/A,#N/A,FALSE,"Performance Flash Report"}</definedName>
    <definedName name="blah2_3_2" localSheetId="10" hidden="1">{#N/A,#N/A,FALSE,"Performance Flash Report"}</definedName>
    <definedName name="blah2_3_2" localSheetId="9" hidden="1">{#N/A,#N/A,FALSE,"Performance Flash Report"}</definedName>
    <definedName name="blah2_3_2" hidden="1">{#N/A,#N/A,FALSE,"Performance Flash Report"}</definedName>
    <definedName name="blah2_3_3" localSheetId="10" hidden="1">{#N/A,#N/A,FALSE,"Performance Flash Report"}</definedName>
    <definedName name="blah2_3_3" localSheetId="9" hidden="1">{#N/A,#N/A,FALSE,"Performance Flash Report"}</definedName>
    <definedName name="blah2_3_3" hidden="1">{#N/A,#N/A,FALSE,"Performance Flash Report"}</definedName>
    <definedName name="blah2_3_4" localSheetId="10" hidden="1">{#N/A,#N/A,FALSE,"Performance Flash Report"}</definedName>
    <definedName name="blah2_3_4" localSheetId="9" hidden="1">{#N/A,#N/A,FALSE,"Performance Flash Report"}</definedName>
    <definedName name="blah2_3_4" hidden="1">{#N/A,#N/A,FALSE,"Performance Flash Report"}</definedName>
    <definedName name="blah2_4" localSheetId="10" hidden="1">{#N/A,#N/A,FALSE,"Performance Flash Report"}</definedName>
    <definedName name="blah2_4" localSheetId="9" hidden="1">{#N/A,#N/A,FALSE,"Performance Flash Report"}</definedName>
    <definedName name="blah2_4" hidden="1">{#N/A,#N/A,FALSE,"Performance Flash Report"}</definedName>
    <definedName name="blah2_4_1" localSheetId="10" hidden="1">{#N/A,#N/A,FALSE,"Performance Flash Report"}</definedName>
    <definedName name="blah2_4_1" localSheetId="9" hidden="1">{#N/A,#N/A,FALSE,"Performance Flash Report"}</definedName>
    <definedName name="blah2_4_1" hidden="1">{#N/A,#N/A,FALSE,"Performance Flash Report"}</definedName>
    <definedName name="blah2_4_2" localSheetId="10" hidden="1">{#N/A,#N/A,FALSE,"Performance Flash Report"}</definedName>
    <definedName name="blah2_4_2" localSheetId="9" hidden="1">{#N/A,#N/A,FALSE,"Performance Flash Report"}</definedName>
    <definedName name="blah2_4_2" hidden="1">{#N/A,#N/A,FALSE,"Performance Flash Report"}</definedName>
    <definedName name="blah2_4_3" localSheetId="10" hidden="1">{#N/A,#N/A,FALSE,"Performance Flash Report"}</definedName>
    <definedName name="blah2_4_3" localSheetId="9" hidden="1">{#N/A,#N/A,FALSE,"Performance Flash Report"}</definedName>
    <definedName name="blah2_4_3" hidden="1">{#N/A,#N/A,FALSE,"Performance Flash Report"}</definedName>
    <definedName name="blah2_4_4" localSheetId="10" hidden="1">{#N/A,#N/A,FALSE,"Performance Flash Report"}</definedName>
    <definedName name="blah2_4_4" localSheetId="9" hidden="1">{#N/A,#N/A,FALSE,"Performance Flash Report"}</definedName>
    <definedName name="blah2_4_4" hidden="1">{#N/A,#N/A,FALSE,"Performance Flash Report"}</definedName>
    <definedName name="blah2_5" localSheetId="10" hidden="1">{#N/A,#N/A,FALSE,"Performance Flash Report"}</definedName>
    <definedName name="blah2_5" localSheetId="9" hidden="1">{#N/A,#N/A,FALSE,"Performance Flash Report"}</definedName>
    <definedName name="blah2_5" hidden="1">{#N/A,#N/A,FALSE,"Performance Flash Report"}</definedName>
    <definedName name="blah2_5_1" localSheetId="10" hidden="1">{#N/A,#N/A,FALSE,"Performance Flash Report"}</definedName>
    <definedName name="blah2_5_1" localSheetId="9" hidden="1">{#N/A,#N/A,FALSE,"Performance Flash Report"}</definedName>
    <definedName name="blah2_5_1" hidden="1">{#N/A,#N/A,FALSE,"Performance Flash Report"}</definedName>
    <definedName name="blah2_5_2" localSheetId="10" hidden="1">{#N/A,#N/A,FALSE,"Performance Flash Report"}</definedName>
    <definedName name="blah2_5_2" localSheetId="9" hidden="1">{#N/A,#N/A,FALSE,"Performance Flash Report"}</definedName>
    <definedName name="blah2_5_2" hidden="1">{#N/A,#N/A,FALSE,"Performance Flash Report"}</definedName>
    <definedName name="blah2_5_3" localSheetId="10" hidden="1">{#N/A,#N/A,FALSE,"Performance Flash Report"}</definedName>
    <definedName name="blah2_5_3" localSheetId="9" hidden="1">{#N/A,#N/A,FALSE,"Performance Flash Report"}</definedName>
    <definedName name="blah2_5_3" hidden="1">{#N/A,#N/A,FALSE,"Performance Flash Report"}</definedName>
    <definedName name="blah2_5_4" localSheetId="10" hidden="1">{#N/A,#N/A,FALSE,"Performance Flash Report"}</definedName>
    <definedName name="blah2_5_4" localSheetId="9" hidden="1">{#N/A,#N/A,FALSE,"Performance Flash Report"}</definedName>
    <definedName name="blah2_5_4" hidden="1">{#N/A,#N/A,FALSE,"Performance Flash Report"}</definedName>
    <definedName name="BLPH1" localSheetId="10" hidden="1">#REF!</definedName>
    <definedName name="BLPH1" hidden="1">#REF!</definedName>
    <definedName name="BLPH10" localSheetId="10" hidden="1">#REF!</definedName>
    <definedName name="BLPH10" hidden="1">#REF!</definedName>
    <definedName name="BLPH100" hidden="1">#REF!</definedName>
    <definedName name="BLPH1000" hidden="1">#REF!</definedName>
    <definedName name="BLPH1001" hidden="1">#REF!</definedName>
    <definedName name="BLPH1002" hidden="1">#REF!</definedName>
    <definedName name="BLPH1003" hidden="1">#REF!</definedName>
    <definedName name="BLPH1004" hidden="1">#REF!</definedName>
    <definedName name="BLPH1005" hidden="1">#REF!</definedName>
    <definedName name="BLPH1006" hidden="1">#REF!</definedName>
    <definedName name="BLPH1007" hidden="1">#REF!</definedName>
    <definedName name="BLPH1008" hidden="1">#REF!</definedName>
    <definedName name="BLPH1009" hidden="1">#REF!</definedName>
    <definedName name="BLPH101" hidden="1">#REF!</definedName>
    <definedName name="BLPH1010" hidden="1">#REF!</definedName>
    <definedName name="BLPH1011" hidden="1">#REF!</definedName>
    <definedName name="BLPH1012" hidden="1">#REF!</definedName>
    <definedName name="BLPH1013" hidden="1">#REF!</definedName>
    <definedName name="BLPH1014" hidden="1">#REF!</definedName>
    <definedName name="BLPH1015" hidden="1">#REF!</definedName>
    <definedName name="BLPH1016" hidden="1">#REF!</definedName>
    <definedName name="BLPH1017" hidden="1">#REF!</definedName>
    <definedName name="BLPH1018" hidden="1">#REF!</definedName>
    <definedName name="BLPH1019" hidden="1">#REF!</definedName>
    <definedName name="BLPH102" hidden="1">#REF!</definedName>
    <definedName name="BLPH1020" hidden="1">#REF!</definedName>
    <definedName name="BLPH1021" hidden="1">#REF!</definedName>
    <definedName name="BLPH1022" hidden="1">#REF!</definedName>
    <definedName name="BLPH1023" hidden="1">#REF!</definedName>
    <definedName name="BLPH1024" hidden="1">#REF!</definedName>
    <definedName name="BLPH1025" hidden="1">#REF!</definedName>
    <definedName name="BLPH1026" hidden="1">#REF!</definedName>
    <definedName name="BLPH1027" hidden="1">#REF!</definedName>
    <definedName name="BLPH1028" hidden="1">#REF!</definedName>
    <definedName name="BLPH1029" hidden="1">#REF!</definedName>
    <definedName name="BLPH103" hidden="1">#REF!</definedName>
    <definedName name="BLPH1030" hidden="1">#REF!</definedName>
    <definedName name="BLPH1031" hidden="1">#REF!</definedName>
    <definedName name="BLPH1032" hidden="1">#REF!</definedName>
    <definedName name="BLPH1033" hidden="1">#REF!</definedName>
    <definedName name="BLPH1034" hidden="1">#REF!</definedName>
    <definedName name="BLPH1035" hidden="1">#REF!</definedName>
    <definedName name="BLPH1036" hidden="1">#REF!</definedName>
    <definedName name="BLPH1037" hidden="1">#REF!</definedName>
    <definedName name="BLPH1038" hidden="1">#REF!</definedName>
    <definedName name="BLPH1039" hidden="1">#REF!</definedName>
    <definedName name="BLPH104" hidden="1">#REF!</definedName>
    <definedName name="BLPH1040" hidden="1">#REF!</definedName>
    <definedName name="BLPH1041" hidden="1">#REF!</definedName>
    <definedName name="BLPH1042" hidden="1">#REF!</definedName>
    <definedName name="BLPH1043" hidden="1">#REF!</definedName>
    <definedName name="BLPH1044" hidden="1">#REF!</definedName>
    <definedName name="BLPH1045" hidden="1">#REF!</definedName>
    <definedName name="BLPH1046" hidden="1">#REF!</definedName>
    <definedName name="BLPH1047" hidden="1">#REF!</definedName>
    <definedName name="BLPH1048" hidden="1">#REF!</definedName>
    <definedName name="BLPH1049" hidden="1">#REF!</definedName>
    <definedName name="BLPH105" hidden="1">#REF!</definedName>
    <definedName name="BLPH1050" hidden="1">#REF!</definedName>
    <definedName name="BLPH1051" hidden="1">#REF!</definedName>
    <definedName name="BLPH1052" hidden="1">#REF!</definedName>
    <definedName name="BLPH1053" hidden="1">#REF!</definedName>
    <definedName name="BLPH1054" hidden="1">#REF!</definedName>
    <definedName name="BLPH1055" hidden="1">#REF!</definedName>
    <definedName name="BLPH1056" hidden="1">#REF!</definedName>
    <definedName name="BLPH1057" hidden="1">#REF!</definedName>
    <definedName name="BLPH1058" hidden="1">#REF!</definedName>
    <definedName name="BLPH1059" hidden="1">#REF!</definedName>
    <definedName name="BLPH106" hidden="1">#REF!</definedName>
    <definedName name="BLPH1060" hidden="1">#REF!</definedName>
    <definedName name="BLPH1061" hidden="1">#REF!</definedName>
    <definedName name="BLPH1062" hidden="1">#REF!</definedName>
    <definedName name="BLPH1063" hidden="1">#REF!</definedName>
    <definedName name="BLPH1064" hidden="1">#REF!</definedName>
    <definedName name="BLPH1065" hidden="1">#REF!</definedName>
    <definedName name="BLPH1066" hidden="1">#REF!</definedName>
    <definedName name="BLPH1067" hidden="1">#REF!</definedName>
    <definedName name="BLPH1068" hidden="1">#REF!</definedName>
    <definedName name="BLPH1069" hidden="1">#REF!</definedName>
    <definedName name="BLPH107" hidden="1">#REF!</definedName>
    <definedName name="BLPH1070" hidden="1">#REF!</definedName>
    <definedName name="BLPH1071" hidden="1">#REF!</definedName>
    <definedName name="BLPH1072" hidden="1">#REF!</definedName>
    <definedName name="BLPH1073" hidden="1">#REF!</definedName>
    <definedName name="BLPH1074" hidden="1">#REF!</definedName>
    <definedName name="BLPH1075" hidden="1">#REF!</definedName>
    <definedName name="BLPH1076" hidden="1">#REF!</definedName>
    <definedName name="BLPH1077" hidden="1">#REF!</definedName>
    <definedName name="BLPH1078" hidden="1">#REF!</definedName>
    <definedName name="BLPH1079" hidden="1">#REF!</definedName>
    <definedName name="BLPH108" hidden="1">#REF!</definedName>
    <definedName name="BLPH1080" hidden="1">#REF!</definedName>
    <definedName name="BLPH1081" hidden="1">#REF!</definedName>
    <definedName name="BLPH1082" hidden="1">#REF!</definedName>
    <definedName name="BLPH1083" hidden="1">#REF!</definedName>
    <definedName name="BLPH1084" hidden="1">#REF!</definedName>
    <definedName name="BLPH1085" hidden="1">#REF!</definedName>
    <definedName name="BLPH1086" hidden="1">#REF!</definedName>
    <definedName name="BLPH1087" hidden="1">#REF!</definedName>
    <definedName name="BLPH1088" hidden="1">#REF!</definedName>
    <definedName name="BLPH1089" hidden="1">#REF!</definedName>
    <definedName name="BLPH109" hidden="1">#REF!</definedName>
    <definedName name="BLPH1090" hidden="1">#REF!</definedName>
    <definedName name="BLPH1091" hidden="1">#REF!</definedName>
    <definedName name="BLPH1092" hidden="1">#REF!</definedName>
    <definedName name="BLPH1093" hidden="1">#REF!</definedName>
    <definedName name="BLPH1094" hidden="1">#REF!</definedName>
    <definedName name="BLPH1095" hidden="1">#REF!</definedName>
    <definedName name="BLPH1096" hidden="1">#REF!</definedName>
    <definedName name="BLPH1097" hidden="1">#REF!</definedName>
    <definedName name="BLPH1098" hidden="1">#REF!</definedName>
    <definedName name="BLPH1099" hidden="1">#REF!</definedName>
    <definedName name="BLPH11" localSheetId="10" hidden="1">#REF!</definedName>
    <definedName name="BLPH11" hidden="1">#REF!</definedName>
    <definedName name="BLPH110" hidden="1">#REF!</definedName>
    <definedName name="BLPH1100" hidden="1">#REF!</definedName>
    <definedName name="BLPH1101" hidden="1">#REF!</definedName>
    <definedName name="BLPH1102" hidden="1">#REF!</definedName>
    <definedName name="BLPH1103" hidden="1">#REF!</definedName>
    <definedName name="BLPH1104" hidden="1">#REF!</definedName>
    <definedName name="BLPH1105" hidden="1">#REF!</definedName>
    <definedName name="BLPH1106" hidden="1">#REF!</definedName>
    <definedName name="BLPH1107" hidden="1">#REF!</definedName>
    <definedName name="BLPH1108" hidden="1">#REF!</definedName>
    <definedName name="BLPH1109" hidden="1">#REF!</definedName>
    <definedName name="BLPH111" hidden="1">#REF!</definedName>
    <definedName name="BLPH1110" hidden="1">#REF!</definedName>
    <definedName name="BLPH1111" hidden="1">#REF!</definedName>
    <definedName name="BLPH1112" hidden="1">#REF!</definedName>
    <definedName name="BLPH1113" hidden="1">#REF!</definedName>
    <definedName name="BLPH1114" hidden="1">#REF!</definedName>
    <definedName name="BLPH1115" hidden="1">#REF!</definedName>
    <definedName name="BLPH1116" hidden="1">#REF!</definedName>
    <definedName name="BLPH1117" hidden="1">#REF!</definedName>
    <definedName name="BLPH1118" hidden="1">#REF!</definedName>
    <definedName name="BLPH1119" hidden="1">#REF!</definedName>
    <definedName name="BLPH112" hidden="1">#REF!</definedName>
    <definedName name="BLPH1120" hidden="1">#REF!</definedName>
    <definedName name="BLPH1121" hidden="1">#REF!</definedName>
    <definedName name="BLPH1122" hidden="1">#REF!</definedName>
    <definedName name="BLPH1123" hidden="1">#REF!</definedName>
    <definedName name="BLPH1124" hidden="1">#REF!</definedName>
    <definedName name="BLPH1125" hidden="1">#REF!</definedName>
    <definedName name="BLPH1126" hidden="1">#REF!</definedName>
    <definedName name="BLPH1127" hidden="1">#REF!</definedName>
    <definedName name="BLPH1128" hidden="1">#REF!</definedName>
    <definedName name="BLPH1129" hidden="1">#REF!</definedName>
    <definedName name="BLPH113" hidden="1">#REF!</definedName>
    <definedName name="BLPH1130" hidden="1">#REF!</definedName>
    <definedName name="BLPH1131" hidden="1">#REF!</definedName>
    <definedName name="BLPH1132" hidden="1">#REF!</definedName>
    <definedName name="BLPH1133" hidden="1">#REF!</definedName>
    <definedName name="BLPH1134" hidden="1">#REF!</definedName>
    <definedName name="BLPH1135" hidden="1">#REF!</definedName>
    <definedName name="BLPH1136" hidden="1">#REF!</definedName>
    <definedName name="BLPH1137" hidden="1">#REF!</definedName>
    <definedName name="BLPH1138" hidden="1">#REF!</definedName>
    <definedName name="BLPH1139" hidden="1">#REF!</definedName>
    <definedName name="BLPH114" hidden="1">#REF!</definedName>
    <definedName name="BLPH1140" hidden="1">#REF!</definedName>
    <definedName name="BLPH1141" hidden="1">#REF!</definedName>
    <definedName name="BLPH1142" hidden="1">#REF!</definedName>
    <definedName name="BLPH1143" hidden="1">#REF!</definedName>
    <definedName name="BLPH1144" hidden="1">#REF!</definedName>
    <definedName name="BLPH1145" hidden="1">#REF!</definedName>
    <definedName name="BLPH1146" hidden="1">#REF!</definedName>
    <definedName name="BLPH1147" hidden="1">#REF!</definedName>
    <definedName name="BLPH1148" hidden="1">#REF!</definedName>
    <definedName name="BLPH1149" hidden="1">#REF!</definedName>
    <definedName name="BLPH115" hidden="1">#REF!</definedName>
    <definedName name="BLPH1150" hidden="1">#REF!</definedName>
    <definedName name="BLPH1151" hidden="1">#REF!</definedName>
    <definedName name="BLPH1152" hidden="1">#REF!</definedName>
    <definedName name="BLPH1153" hidden="1">#REF!</definedName>
    <definedName name="BLPH1154" hidden="1">#REF!</definedName>
    <definedName name="BLPH1155" hidden="1">#REF!</definedName>
    <definedName name="BLPH1156" hidden="1">#REF!</definedName>
    <definedName name="BLPH1157" hidden="1">#REF!</definedName>
    <definedName name="BLPH1158" hidden="1">#REF!</definedName>
    <definedName name="BLPH1159" hidden="1">#REF!</definedName>
    <definedName name="BLPH116" hidden="1">#REF!</definedName>
    <definedName name="BLPH1160" hidden="1">#REF!</definedName>
    <definedName name="BLPH1161" hidden="1">#REF!</definedName>
    <definedName name="BLPH1162" hidden="1">#REF!</definedName>
    <definedName name="BLPH1163" hidden="1">#REF!</definedName>
    <definedName name="BLPH1164" hidden="1">#REF!</definedName>
    <definedName name="BLPH1165" hidden="1">#REF!</definedName>
    <definedName name="BLPH1166" hidden="1">#REF!</definedName>
    <definedName name="BLPH1167" hidden="1">#REF!</definedName>
    <definedName name="BLPH1168" hidden="1">#REF!</definedName>
    <definedName name="BLPH1169" hidden="1">#REF!</definedName>
    <definedName name="BLPH117" hidden="1">#REF!</definedName>
    <definedName name="BLPH1170" hidden="1">#REF!</definedName>
    <definedName name="BLPH1171" hidden="1">#REF!</definedName>
    <definedName name="BLPH1172" hidden="1">#REF!</definedName>
    <definedName name="BLPH1173" hidden="1">#REF!</definedName>
    <definedName name="BLPH1174" hidden="1">#REF!</definedName>
    <definedName name="BLPH1175" hidden="1">#REF!</definedName>
    <definedName name="BLPH1176" hidden="1">#REF!</definedName>
    <definedName name="BLPH1177" hidden="1">#REF!</definedName>
    <definedName name="BLPH1178" hidden="1">#REF!</definedName>
    <definedName name="BLPH1179" hidden="1">#REF!</definedName>
    <definedName name="BLPH118" hidden="1">#REF!</definedName>
    <definedName name="BLPH1180" hidden="1">#REF!</definedName>
    <definedName name="BLPH1181" hidden="1">#REF!</definedName>
    <definedName name="BLPH1182" hidden="1">#REF!</definedName>
    <definedName name="BLPH1183" hidden="1">#REF!</definedName>
    <definedName name="BLPH1184" hidden="1">#REF!</definedName>
    <definedName name="BLPH1185" hidden="1">#REF!</definedName>
    <definedName name="BLPH1186" hidden="1">#REF!</definedName>
    <definedName name="BLPH1187" hidden="1">#REF!</definedName>
    <definedName name="BLPH1188" hidden="1">#REF!</definedName>
    <definedName name="BLPH1189" hidden="1">#REF!</definedName>
    <definedName name="BLPH119" hidden="1">#REF!</definedName>
    <definedName name="BLPH1190" hidden="1">#REF!</definedName>
    <definedName name="BLPH1191" hidden="1">#REF!</definedName>
    <definedName name="BLPH1192" hidden="1">#REF!</definedName>
    <definedName name="BLPH1193" hidden="1">#REF!</definedName>
    <definedName name="BLPH1194" hidden="1">#REF!</definedName>
    <definedName name="BLPH1195" hidden="1">#REF!</definedName>
    <definedName name="BLPH1196" hidden="1">#REF!</definedName>
    <definedName name="BLPH1197" hidden="1">#REF!</definedName>
    <definedName name="BLPH1198" hidden="1">#REF!</definedName>
    <definedName name="BLPH1199" hidden="1">#REF!</definedName>
    <definedName name="BLPH12" localSheetId="10" hidden="1">#REF!</definedName>
    <definedName name="BLPH12" hidden="1">#REF!</definedName>
    <definedName name="BLPH120" hidden="1">#REF!</definedName>
    <definedName name="BLPH1200" hidden="1">#REF!</definedName>
    <definedName name="BLPH1201" hidden="1">#REF!</definedName>
    <definedName name="BLPH1202" hidden="1">#REF!</definedName>
    <definedName name="BLPH1203" hidden="1">#REF!</definedName>
    <definedName name="BLPH1204" hidden="1">#REF!</definedName>
    <definedName name="BLPH1205" hidden="1">#REF!</definedName>
    <definedName name="BLPH1206" hidden="1">#REF!</definedName>
    <definedName name="BLPH1207" hidden="1">#REF!</definedName>
    <definedName name="BLPH1208" hidden="1">#REF!</definedName>
    <definedName name="BLPH1209" hidden="1">#REF!</definedName>
    <definedName name="BLPH121" hidden="1">#REF!</definedName>
    <definedName name="BLPH1210" hidden="1">#REF!</definedName>
    <definedName name="BLPH1211" hidden="1">#REF!</definedName>
    <definedName name="BLPH1212" hidden="1">#REF!</definedName>
    <definedName name="BLPH1213" hidden="1">#REF!</definedName>
    <definedName name="BLPH1214" hidden="1">#REF!</definedName>
    <definedName name="BLPH1215" hidden="1">#REF!</definedName>
    <definedName name="BLPH1216" hidden="1">#REF!</definedName>
    <definedName name="BLPH1217" hidden="1">#REF!</definedName>
    <definedName name="BLPH1218" hidden="1">#REF!</definedName>
    <definedName name="BLPH1219" hidden="1">#REF!</definedName>
    <definedName name="BLPH122" hidden="1">#REF!</definedName>
    <definedName name="BLPH1220" hidden="1">#REF!</definedName>
    <definedName name="BLPH1221" hidden="1">#REF!</definedName>
    <definedName name="BLPH1222" hidden="1">#REF!</definedName>
    <definedName name="BLPH1223" hidden="1">#REF!</definedName>
    <definedName name="BLPH1224" hidden="1">#REF!</definedName>
    <definedName name="BLPH1225" hidden="1">#REF!</definedName>
    <definedName name="BLPH1226" hidden="1">#REF!</definedName>
    <definedName name="BLPH1227" hidden="1">#REF!</definedName>
    <definedName name="BLPH1228" hidden="1">#REF!</definedName>
    <definedName name="BLPH1229" hidden="1">#REF!</definedName>
    <definedName name="BLPH123" hidden="1">#REF!</definedName>
    <definedName name="BLPH1230" hidden="1">#REF!</definedName>
    <definedName name="BLPH1231" hidden="1">#REF!</definedName>
    <definedName name="BLPH1232" hidden="1">#REF!</definedName>
    <definedName name="BLPH1233" hidden="1">#REF!</definedName>
    <definedName name="BLPH1234" hidden="1">#REF!</definedName>
    <definedName name="BLPH1235" hidden="1">#REF!</definedName>
    <definedName name="BLPH1236" hidden="1">#REF!</definedName>
    <definedName name="BLPH1237" hidden="1">#REF!</definedName>
    <definedName name="BLPH1238" hidden="1">#REF!</definedName>
    <definedName name="BLPH1239" hidden="1">#REF!</definedName>
    <definedName name="BLPH124" hidden="1">#REF!</definedName>
    <definedName name="BLPH1240" hidden="1">#REF!</definedName>
    <definedName name="BLPH1241" hidden="1">#REF!</definedName>
    <definedName name="BLPH1242" hidden="1">#REF!</definedName>
    <definedName name="BLPH1243" hidden="1">#REF!</definedName>
    <definedName name="BLPH1244" hidden="1">#REF!</definedName>
    <definedName name="BLPH1245" hidden="1">#REF!</definedName>
    <definedName name="BLPH1246" hidden="1">#REF!</definedName>
    <definedName name="BLPH1247" hidden="1">#REF!</definedName>
    <definedName name="BLPH1248" hidden="1">#REF!</definedName>
    <definedName name="BLPH1249" hidden="1">#REF!</definedName>
    <definedName name="BLPH125" hidden="1">#REF!</definedName>
    <definedName name="BLPH1250" hidden="1">#REF!</definedName>
    <definedName name="BLPH1251" hidden="1">#REF!</definedName>
    <definedName name="BLPH1252" hidden="1">#REF!</definedName>
    <definedName name="BLPH1253" hidden="1">#REF!</definedName>
    <definedName name="BLPH1254" hidden="1">#REF!</definedName>
    <definedName name="BLPH1255" hidden="1">#REF!</definedName>
    <definedName name="BLPH1256" hidden="1">#REF!</definedName>
    <definedName name="BLPH1257" hidden="1">#REF!</definedName>
    <definedName name="BLPH1258" hidden="1">#REF!</definedName>
    <definedName name="BLPH1259" hidden="1">#REF!</definedName>
    <definedName name="BLPH126" hidden="1">#REF!</definedName>
    <definedName name="BLPH1260" hidden="1">#REF!</definedName>
    <definedName name="BLPH1261" hidden="1">#REF!</definedName>
    <definedName name="BLPH1262" hidden="1">#REF!</definedName>
    <definedName name="BLPH1263" hidden="1">#REF!</definedName>
    <definedName name="BLPH1264" hidden="1">#REF!</definedName>
    <definedName name="BLPH1265" hidden="1">#REF!</definedName>
    <definedName name="BLPH1266" hidden="1">#REF!</definedName>
    <definedName name="BLPH1267" hidden="1">#REF!</definedName>
    <definedName name="BLPH1268" hidden="1">#REF!</definedName>
    <definedName name="BLPH1269" hidden="1">#REF!</definedName>
    <definedName name="BLPH127" hidden="1">#REF!</definedName>
    <definedName name="BLPH1270" hidden="1">#REF!</definedName>
    <definedName name="BLPH1271" hidden="1">#REF!</definedName>
    <definedName name="BLPH1272" hidden="1">#REF!</definedName>
    <definedName name="BLPH1273" hidden="1">#REF!</definedName>
    <definedName name="BLPH1274" hidden="1">#REF!</definedName>
    <definedName name="BLPH1275" hidden="1">#REF!</definedName>
    <definedName name="BLPH1276" hidden="1">#REF!</definedName>
    <definedName name="BLPH1277" hidden="1">#REF!</definedName>
    <definedName name="BLPH1278" hidden="1">#REF!</definedName>
    <definedName name="BLPH1279" hidden="1">#REF!</definedName>
    <definedName name="BLPH128" hidden="1">#REF!</definedName>
    <definedName name="BLPH1280" hidden="1">#REF!</definedName>
    <definedName name="BLPH1281" hidden="1">#REF!</definedName>
    <definedName name="BLPH1282" hidden="1">#REF!</definedName>
    <definedName name="BLPH1283" hidden="1">#REF!</definedName>
    <definedName name="BLPH1284" hidden="1">#REF!</definedName>
    <definedName name="BLPH1285" hidden="1">#REF!</definedName>
    <definedName name="BLPH1286" hidden="1">#REF!</definedName>
    <definedName name="BLPH1287" hidden="1">#REF!</definedName>
    <definedName name="BLPH1288" hidden="1">#REF!</definedName>
    <definedName name="BLPH1289" hidden="1">#REF!</definedName>
    <definedName name="BLPH129" hidden="1">#REF!</definedName>
    <definedName name="BLPH1290" hidden="1">#REF!</definedName>
    <definedName name="BLPH1291" hidden="1">#REF!</definedName>
    <definedName name="BLPH1292" hidden="1">#REF!</definedName>
    <definedName name="BLPH1293" hidden="1">#REF!</definedName>
    <definedName name="BLPH1294" hidden="1">#REF!</definedName>
    <definedName name="BLPH1295" hidden="1">#REF!</definedName>
    <definedName name="BLPH1296" hidden="1">#REF!</definedName>
    <definedName name="BLPH1297" hidden="1">#REF!</definedName>
    <definedName name="BLPH1298" hidden="1">#REF!</definedName>
    <definedName name="BLPH1299" hidden="1">#REF!</definedName>
    <definedName name="BLPH13" localSheetId="10" hidden="1">#REF!</definedName>
    <definedName name="BLPH13" hidden="1">#REF!</definedName>
    <definedName name="BLPH130" hidden="1">#REF!</definedName>
    <definedName name="BLPH1300" hidden="1">#REF!</definedName>
    <definedName name="BLPH1301" hidden="1">#REF!</definedName>
    <definedName name="BLPH1302" hidden="1">#REF!</definedName>
    <definedName name="BLPH1303" hidden="1">#REF!</definedName>
    <definedName name="BLPH1304" hidden="1">#REF!</definedName>
    <definedName name="BLPH1305" hidden="1">#REF!</definedName>
    <definedName name="BLPH1306" hidden="1">#REF!</definedName>
    <definedName name="BLPH1307" hidden="1">#REF!</definedName>
    <definedName name="BLPH1308" hidden="1">#REF!</definedName>
    <definedName name="BLPH1309" hidden="1">#REF!</definedName>
    <definedName name="BLPH131" hidden="1">#REF!</definedName>
    <definedName name="BLPH1310" hidden="1">#REF!</definedName>
    <definedName name="BLPH1311" hidden="1">#REF!</definedName>
    <definedName name="BLPH1312" hidden="1">#REF!</definedName>
    <definedName name="BLPH1313" hidden="1">#REF!</definedName>
    <definedName name="BLPH1314" hidden="1">#REF!</definedName>
    <definedName name="BLPH1315" hidden="1">#REF!</definedName>
    <definedName name="BLPH1316" hidden="1">#REF!</definedName>
    <definedName name="BLPH1317" hidden="1">#REF!</definedName>
    <definedName name="BLPH1318" hidden="1">#REF!</definedName>
    <definedName name="BLPH1319" hidden="1">#REF!</definedName>
    <definedName name="BLPH132" hidden="1">#REF!</definedName>
    <definedName name="BLPH1320" hidden="1">#REF!</definedName>
    <definedName name="BLPH1321" hidden="1">#REF!</definedName>
    <definedName name="BLPH1322" hidden="1">#REF!</definedName>
    <definedName name="BLPH1323" hidden="1">#REF!</definedName>
    <definedName name="BLPH1324" hidden="1">#REF!</definedName>
    <definedName name="BLPH1325" hidden="1">#REF!</definedName>
    <definedName name="BLPH1326" hidden="1">#REF!</definedName>
    <definedName name="BLPH1327" hidden="1">#REF!</definedName>
    <definedName name="BLPH1328" hidden="1">#REF!</definedName>
    <definedName name="BLPH1329" hidden="1">#REF!</definedName>
    <definedName name="BLPH133" hidden="1">#REF!</definedName>
    <definedName name="BLPH1330" hidden="1">#REF!</definedName>
    <definedName name="BLPH1331" hidden="1">#REF!</definedName>
    <definedName name="BLPH1332" hidden="1">#REF!</definedName>
    <definedName name="BLPH1333" hidden="1">#REF!</definedName>
    <definedName name="BLPH1334" hidden="1">#REF!</definedName>
    <definedName name="BLPH1335" hidden="1">#REF!</definedName>
    <definedName name="BLPH1336" hidden="1">#REF!</definedName>
    <definedName name="BLPH1337" hidden="1">#REF!</definedName>
    <definedName name="BLPH1338" hidden="1">#REF!</definedName>
    <definedName name="BLPH1339" hidden="1">#REF!</definedName>
    <definedName name="BLPH134" hidden="1">#REF!</definedName>
    <definedName name="BLPH1340" hidden="1">#REF!</definedName>
    <definedName name="BLPH1341" hidden="1">#REF!</definedName>
    <definedName name="BLPH1342" hidden="1">#REF!</definedName>
    <definedName name="BLPH1343" hidden="1">#REF!</definedName>
    <definedName name="BLPH1344" hidden="1">#REF!</definedName>
    <definedName name="BLPH1345" hidden="1">#REF!</definedName>
    <definedName name="BLPH1346" hidden="1">#REF!</definedName>
    <definedName name="BLPH1347" hidden="1">#REF!</definedName>
    <definedName name="BLPH1348" hidden="1">#REF!</definedName>
    <definedName name="BLPH1349" hidden="1">#REF!</definedName>
    <definedName name="BLPH135" hidden="1">#REF!</definedName>
    <definedName name="BLPH1350" hidden="1">#REF!</definedName>
    <definedName name="BLPH1351" hidden="1">#REF!</definedName>
    <definedName name="BLPH1352" hidden="1">#REF!</definedName>
    <definedName name="BLPH1353" hidden="1">#REF!</definedName>
    <definedName name="BLPH1354" hidden="1">#REF!</definedName>
    <definedName name="BLPH1355" hidden="1">#REF!</definedName>
    <definedName name="BLPH1356" hidden="1">#REF!</definedName>
    <definedName name="BLPH1357" hidden="1">#REF!</definedName>
    <definedName name="BLPH1358" hidden="1">#REF!</definedName>
    <definedName name="BLPH1359" hidden="1">#REF!</definedName>
    <definedName name="BLPH136" hidden="1">#REF!</definedName>
    <definedName name="BLPH1360" hidden="1">#REF!</definedName>
    <definedName name="BLPH1361" hidden="1">#REF!</definedName>
    <definedName name="BLPH1362" hidden="1">#REF!</definedName>
    <definedName name="BLPH1363" hidden="1">#REF!</definedName>
    <definedName name="BLPH1364" hidden="1">#REF!</definedName>
    <definedName name="BLPH1365" hidden="1">#REF!</definedName>
    <definedName name="BLPH1366" hidden="1">#REF!</definedName>
    <definedName name="BLPH1367" hidden="1">#REF!</definedName>
    <definedName name="BLPH1368" hidden="1">#REF!</definedName>
    <definedName name="BLPH1369" hidden="1">#REF!</definedName>
    <definedName name="BLPH137" hidden="1">#REF!</definedName>
    <definedName name="BLPH1370" hidden="1">#REF!</definedName>
    <definedName name="BLPH1371" hidden="1">#REF!</definedName>
    <definedName name="BLPH1372" hidden="1">#REF!</definedName>
    <definedName name="BLPH1373" hidden="1">#REF!</definedName>
    <definedName name="BLPH1374" hidden="1">#REF!</definedName>
    <definedName name="BLPH1375" hidden="1">#REF!</definedName>
    <definedName name="BLPH1376" hidden="1">#REF!</definedName>
    <definedName name="BLPH1377" hidden="1">#REF!</definedName>
    <definedName name="BLPH1378" hidden="1">#REF!</definedName>
    <definedName name="BLPH1379" hidden="1">#REF!</definedName>
    <definedName name="BLPH138" hidden="1">#REF!</definedName>
    <definedName name="BLPH1380" hidden="1">#REF!</definedName>
    <definedName name="BLPH1381" hidden="1">#REF!</definedName>
    <definedName name="BLPH1382" hidden="1">#REF!</definedName>
    <definedName name="BLPH1383" hidden="1">#REF!</definedName>
    <definedName name="BLPH1384" hidden="1">#REF!</definedName>
    <definedName name="BLPH1385" hidden="1">#REF!</definedName>
    <definedName name="BLPH1386" hidden="1">#REF!</definedName>
    <definedName name="BLPH1387" hidden="1">#REF!</definedName>
    <definedName name="BLPH1388" hidden="1">#REF!</definedName>
    <definedName name="BLPH1389" hidden="1">#REF!</definedName>
    <definedName name="BLPH139" hidden="1">#REF!</definedName>
    <definedName name="BLPH1390" hidden="1">#REF!</definedName>
    <definedName name="BLPH1391" hidden="1">#REF!</definedName>
    <definedName name="BLPH1392" hidden="1">#REF!</definedName>
    <definedName name="BLPH1393" hidden="1">#REF!</definedName>
    <definedName name="BLPH1394" hidden="1">#REF!</definedName>
    <definedName name="BLPH1395" hidden="1">#REF!</definedName>
    <definedName name="BLPH1396" hidden="1">#REF!</definedName>
    <definedName name="BLPH1397" hidden="1">#REF!</definedName>
    <definedName name="BLPH1398" hidden="1">#REF!</definedName>
    <definedName name="BLPH1399" hidden="1">#REF!</definedName>
    <definedName name="BLPH14" localSheetId="10" hidden="1">#REF!</definedName>
    <definedName name="BLPH14" hidden="1">#REF!</definedName>
    <definedName name="BLPH140" hidden="1">#REF!</definedName>
    <definedName name="BLPH1400" hidden="1">#REF!</definedName>
    <definedName name="BLPH1401" hidden="1">#REF!</definedName>
    <definedName name="BLPH1402" hidden="1">#REF!</definedName>
    <definedName name="BLPH1403" hidden="1">#REF!</definedName>
    <definedName name="BLPH1404" hidden="1">#REF!</definedName>
    <definedName name="BLPH1405" hidden="1">#REF!</definedName>
    <definedName name="BLPH1406" hidden="1">#REF!</definedName>
    <definedName name="BLPH1407" hidden="1">#REF!</definedName>
    <definedName name="BLPH1408" hidden="1">#REF!</definedName>
    <definedName name="BLPH1409" hidden="1">#REF!</definedName>
    <definedName name="BLPH141" hidden="1">#REF!</definedName>
    <definedName name="BLPH1410" hidden="1">#REF!</definedName>
    <definedName name="BLPH1411" hidden="1">#REF!</definedName>
    <definedName name="BLPH1412" hidden="1">#REF!</definedName>
    <definedName name="BLPH1413" hidden="1">#REF!</definedName>
    <definedName name="BLPH1414" hidden="1">#REF!</definedName>
    <definedName name="BLPH1415" hidden="1">#REF!</definedName>
    <definedName name="BLPH1416" hidden="1">#REF!</definedName>
    <definedName name="BLPH1417" hidden="1">#REF!</definedName>
    <definedName name="BLPH1418" hidden="1">#REF!</definedName>
    <definedName name="BLPH1419" hidden="1">#REF!</definedName>
    <definedName name="BLPH142" hidden="1">#REF!</definedName>
    <definedName name="BLPH1420" hidden="1">#REF!</definedName>
    <definedName name="BLPH1421" hidden="1">#REF!</definedName>
    <definedName name="BLPH1422" hidden="1">#REF!</definedName>
    <definedName name="BLPH1423" hidden="1">#REF!</definedName>
    <definedName name="BLPH1424" hidden="1">#REF!</definedName>
    <definedName name="BLPH1425" hidden="1">#REF!</definedName>
    <definedName name="BLPH1426" hidden="1">#REF!</definedName>
    <definedName name="BLPH1427" hidden="1">#REF!</definedName>
    <definedName name="BLPH1428" hidden="1">#REF!</definedName>
    <definedName name="BLPH1429" hidden="1">#REF!</definedName>
    <definedName name="BLPH143" hidden="1">#REF!</definedName>
    <definedName name="BLPH1430" hidden="1">#REF!</definedName>
    <definedName name="BLPH1431" hidden="1">#REF!</definedName>
    <definedName name="BLPH1434" hidden="1">#REF!</definedName>
    <definedName name="BLPH1435" hidden="1">#REF!</definedName>
    <definedName name="BLPH1436" hidden="1">#REF!</definedName>
    <definedName name="BLPH1437" hidden="1">#REF!</definedName>
    <definedName name="BLPH1438" hidden="1">#REF!</definedName>
    <definedName name="BLPH1439" hidden="1">#REF!</definedName>
    <definedName name="BLPH144" hidden="1">#REF!</definedName>
    <definedName name="BLPH1440" hidden="1">#REF!</definedName>
    <definedName name="BLPH1441" hidden="1">#REF!</definedName>
    <definedName name="BLPH1442" hidden="1">#REF!</definedName>
    <definedName name="BLPH1443" hidden="1">#REF!</definedName>
    <definedName name="BLPH1444" hidden="1">#REF!</definedName>
    <definedName name="BLPH1445" hidden="1">#REF!</definedName>
    <definedName name="BLPH1446" hidden="1">#REF!</definedName>
    <definedName name="BLPH1447" hidden="1">#REF!</definedName>
    <definedName name="BLPH1448" hidden="1">#REF!</definedName>
    <definedName name="BLPH1449" hidden="1">#REF!</definedName>
    <definedName name="BLPH145" hidden="1">#REF!</definedName>
    <definedName name="BLPH1450" hidden="1">#REF!</definedName>
    <definedName name="BLPH1451" hidden="1">#REF!</definedName>
    <definedName name="BLPH1452" hidden="1">#REF!</definedName>
    <definedName name="BLPH1453" hidden="1">#REF!</definedName>
    <definedName name="BLPH1454" hidden="1">#REF!</definedName>
    <definedName name="BLPH1455" hidden="1">#REF!</definedName>
    <definedName name="BLPH1456" hidden="1">#REF!</definedName>
    <definedName name="BLPH1457" hidden="1">#REF!</definedName>
    <definedName name="BLPH1458" hidden="1">#REF!</definedName>
    <definedName name="BLPH1459" hidden="1">#REF!</definedName>
    <definedName name="BLPH146" hidden="1">#REF!</definedName>
    <definedName name="BLPH1460" hidden="1">#REF!</definedName>
    <definedName name="BLPH1461" hidden="1">#REF!</definedName>
    <definedName name="BLPH1462" hidden="1">#REF!</definedName>
    <definedName name="BLPH1463" hidden="1">#REF!</definedName>
    <definedName name="BLPH1464" hidden="1">#REF!</definedName>
    <definedName name="BLPH1465" hidden="1">#REF!</definedName>
    <definedName name="BLPH1466" hidden="1">#REF!</definedName>
    <definedName name="BLPH1467" hidden="1">#REF!</definedName>
    <definedName name="BLPH1468" hidden="1">#REF!</definedName>
    <definedName name="BLPH1469" hidden="1">#REF!</definedName>
    <definedName name="BLPH147" hidden="1">#REF!</definedName>
    <definedName name="BLPH1470" hidden="1">#REF!</definedName>
    <definedName name="BLPH1471" hidden="1">#REF!</definedName>
    <definedName name="BLPH1472" hidden="1">#REF!</definedName>
    <definedName name="BLPH1473" hidden="1">#REF!</definedName>
    <definedName name="BLPH1474" hidden="1">#REF!</definedName>
    <definedName name="BLPH1475" hidden="1">#REF!</definedName>
    <definedName name="BLPH1476" hidden="1">#REF!</definedName>
    <definedName name="BLPH1477" hidden="1">#REF!</definedName>
    <definedName name="BLPH1478" hidden="1">#REF!</definedName>
    <definedName name="BLPH1479" hidden="1">#REF!</definedName>
    <definedName name="BLPH148" hidden="1">#REF!</definedName>
    <definedName name="BLPH1480" hidden="1">#REF!</definedName>
    <definedName name="BLPH1481" hidden="1">#REF!</definedName>
    <definedName name="BLPH1482" hidden="1">#REF!</definedName>
    <definedName name="BLPH1483" hidden="1">#REF!</definedName>
    <definedName name="BLPH1484" hidden="1">#REF!</definedName>
    <definedName name="BLPH1485" hidden="1">#REF!</definedName>
    <definedName name="BLPH1486" hidden="1">#REF!</definedName>
    <definedName name="BLPH1487" hidden="1">#REF!</definedName>
    <definedName name="BLPH1488" hidden="1">#REF!</definedName>
    <definedName name="BLPH1489" hidden="1">#REF!</definedName>
    <definedName name="BLPH149" hidden="1">#REF!</definedName>
    <definedName name="BLPH1490" hidden="1">#REF!</definedName>
    <definedName name="BLPH1491" hidden="1">#REF!</definedName>
    <definedName name="BLPH1492" hidden="1">#REF!</definedName>
    <definedName name="BLPH1493" hidden="1">#REF!</definedName>
    <definedName name="BLPH1494" hidden="1">#REF!</definedName>
    <definedName name="BLPH1495" hidden="1">#REF!</definedName>
    <definedName name="BLPH1496" hidden="1">#REF!</definedName>
    <definedName name="BLPH1497" hidden="1">#REF!</definedName>
    <definedName name="BLPH1498" hidden="1">#REF!</definedName>
    <definedName name="BLPH1499" hidden="1">#REF!</definedName>
    <definedName name="BLPH15" localSheetId="10" hidden="1">#REF!</definedName>
    <definedName name="BLPH15" hidden="1">#REF!</definedName>
    <definedName name="BLPH150" hidden="1">#REF!</definedName>
    <definedName name="BLPH1500" hidden="1">#REF!</definedName>
    <definedName name="BLPH1501" hidden="1">#REF!</definedName>
    <definedName name="BLPH1502" hidden="1">#REF!</definedName>
    <definedName name="BLPH1503" hidden="1">#REF!</definedName>
    <definedName name="BLPH1504" hidden="1">#REF!</definedName>
    <definedName name="BLPH1505" hidden="1">#REF!</definedName>
    <definedName name="BLPH1506" hidden="1">#REF!</definedName>
    <definedName name="BLPH1508" hidden="1">#REF!</definedName>
    <definedName name="BLPH1509" hidden="1">#REF!</definedName>
    <definedName name="BLPH151" hidden="1">#REF!</definedName>
    <definedName name="BLPH1510" hidden="1">#REF!</definedName>
    <definedName name="BLPH1511" hidden="1">#REF!</definedName>
    <definedName name="BLPH1512" hidden="1">#REF!</definedName>
    <definedName name="BLPH1513" hidden="1">#REF!</definedName>
    <definedName name="BLPH1514" hidden="1">#REF!</definedName>
    <definedName name="BLPH1515" hidden="1">#REF!</definedName>
    <definedName name="BLPH1516" hidden="1">#REF!</definedName>
    <definedName name="BLPH1517" hidden="1">#REF!</definedName>
    <definedName name="BLPH1518" hidden="1">#REF!</definedName>
    <definedName name="BLPH1519" hidden="1">#REF!</definedName>
    <definedName name="BLPH152" hidden="1">#REF!</definedName>
    <definedName name="BLPH1520" hidden="1">#REF!</definedName>
    <definedName name="BLPH1521" hidden="1">#REF!</definedName>
    <definedName name="BLPH1522" hidden="1">#REF!</definedName>
    <definedName name="BLPH1523" hidden="1">#REF!</definedName>
    <definedName name="BLPH1524" hidden="1">#REF!</definedName>
    <definedName name="BLPH1525" hidden="1">#REF!</definedName>
    <definedName name="BLPH1526" hidden="1">#REF!</definedName>
    <definedName name="BLPH1527" hidden="1">#REF!</definedName>
    <definedName name="BLPH1528" hidden="1">#REF!</definedName>
    <definedName name="BLPH1529" hidden="1">#REF!</definedName>
    <definedName name="BLPH153" hidden="1">#REF!</definedName>
    <definedName name="BLPH1530" hidden="1">#REF!</definedName>
    <definedName name="BLPH1531" hidden="1">#REF!</definedName>
    <definedName name="BLPH1532" hidden="1">#REF!</definedName>
    <definedName name="BLPH1533" hidden="1">#REF!</definedName>
    <definedName name="BLPH1534" hidden="1">#REF!</definedName>
    <definedName name="BLPH1535" hidden="1">#REF!</definedName>
    <definedName name="BLPH1536" hidden="1">#REF!</definedName>
    <definedName name="BLPH1537" hidden="1">#REF!</definedName>
    <definedName name="BLPH1538" hidden="1">#REF!</definedName>
    <definedName name="BLPH1539" hidden="1">#REF!</definedName>
    <definedName name="BLPH154" hidden="1">#REF!</definedName>
    <definedName name="BLPH1540" hidden="1">#REF!</definedName>
    <definedName name="BLPH1541" hidden="1">#REF!</definedName>
    <definedName name="BLPH1542" hidden="1">#REF!</definedName>
    <definedName name="BLPH1543" hidden="1">#REF!</definedName>
    <definedName name="BLPH1544" hidden="1">#REF!</definedName>
    <definedName name="BLPH1545" hidden="1">#REF!</definedName>
    <definedName name="BLPH1546" hidden="1">#REF!</definedName>
    <definedName name="BLPH1547" hidden="1">#REF!</definedName>
    <definedName name="BLPH1548" hidden="1">#REF!</definedName>
    <definedName name="BLPH1549" hidden="1">#REF!</definedName>
    <definedName name="BLPH155" hidden="1">#REF!</definedName>
    <definedName name="BLPH1550" hidden="1">#REF!</definedName>
    <definedName name="BLPH1551" hidden="1">#REF!</definedName>
    <definedName name="BLPH1552" hidden="1">#REF!</definedName>
    <definedName name="BLPH1553" hidden="1">#REF!</definedName>
    <definedName name="BLPH1554" hidden="1">#REF!</definedName>
    <definedName name="BLPH1555" hidden="1">#REF!</definedName>
    <definedName name="BLPH1556" hidden="1">#REF!</definedName>
    <definedName name="BLPH1557" hidden="1">#REF!</definedName>
    <definedName name="BLPH1558" hidden="1">#REF!</definedName>
    <definedName name="BLPH1559" hidden="1">#REF!</definedName>
    <definedName name="BLPH156" hidden="1">#REF!</definedName>
    <definedName name="BLPH1560" hidden="1">#REF!</definedName>
    <definedName name="BLPH1561" hidden="1">#REF!</definedName>
    <definedName name="BLPH1562" hidden="1">#REF!</definedName>
    <definedName name="BLPH1563" hidden="1">#REF!</definedName>
    <definedName name="BLPH1564" hidden="1">#REF!</definedName>
    <definedName name="BLPH1565" hidden="1">#REF!</definedName>
    <definedName name="BLPH1566" hidden="1">#REF!</definedName>
    <definedName name="BLPH1567" hidden="1">#REF!</definedName>
    <definedName name="BLPH1568" hidden="1">#REF!</definedName>
    <definedName name="BLPH1569" hidden="1">#REF!</definedName>
    <definedName name="BLPH157" hidden="1">#REF!</definedName>
    <definedName name="BLPH1570" hidden="1">#REF!</definedName>
    <definedName name="BLPH1571" hidden="1">#REF!</definedName>
    <definedName name="BLPH1572" hidden="1">#REF!</definedName>
    <definedName name="BLPH1573" hidden="1">#REF!</definedName>
    <definedName name="BLPH1574" hidden="1">#REF!</definedName>
    <definedName name="BLPH1575" hidden="1">#REF!</definedName>
    <definedName name="BLPH158" hidden="1">#REF!</definedName>
    <definedName name="BLPH159" hidden="1">#REF!</definedName>
    <definedName name="BLPH16" localSheetId="10" hidden="1">#REF!</definedName>
    <definedName name="BLPH16" hidden="1">#REF!</definedName>
    <definedName name="BLPH160" hidden="1">#REF!</definedName>
    <definedName name="BLPH161" hidden="1">#REF!</definedName>
    <definedName name="BLPH162" hidden="1">#REF!</definedName>
    <definedName name="BLPH163" hidden="1">#REF!</definedName>
    <definedName name="BLPH164" hidden="1">#REF!</definedName>
    <definedName name="BLPH165" hidden="1">#REF!</definedName>
    <definedName name="BLPH166" hidden="1">#REF!</definedName>
    <definedName name="BLPH167" hidden="1">#REF!</definedName>
    <definedName name="BLPH168" hidden="1">#REF!</definedName>
    <definedName name="BLPH169" hidden="1">#REF!</definedName>
    <definedName name="BLPH17" localSheetId="10" hidden="1">#REF!</definedName>
    <definedName name="BLPH17" hidden="1">#REF!</definedName>
    <definedName name="BLPH170" hidden="1">#REF!</definedName>
    <definedName name="BLPH171" hidden="1">#REF!</definedName>
    <definedName name="BLPH172" hidden="1">#REF!</definedName>
    <definedName name="BLPH173" hidden="1">#REF!</definedName>
    <definedName name="BLPH174" hidden="1">#REF!</definedName>
    <definedName name="BLPH175" hidden="1">#REF!</definedName>
    <definedName name="BLPH176" hidden="1">#REF!</definedName>
    <definedName name="BLPH177" hidden="1">#REF!</definedName>
    <definedName name="BLPH178" hidden="1">#REF!</definedName>
    <definedName name="BLPH179" hidden="1">#REF!</definedName>
    <definedName name="BLPH18" localSheetId="10" hidden="1">#REF!</definedName>
    <definedName name="BLPH18" hidden="1">#REF!</definedName>
    <definedName name="BLPH180" hidden="1">#REF!</definedName>
    <definedName name="BLPH181" hidden="1">#REF!</definedName>
    <definedName name="BLPH182" hidden="1">#REF!</definedName>
    <definedName name="BLPH183" hidden="1">#REF!</definedName>
    <definedName name="BLPH184" hidden="1">#REF!</definedName>
    <definedName name="BLPH185" hidden="1">#REF!</definedName>
    <definedName name="BLPH186" hidden="1">#REF!</definedName>
    <definedName name="BLPH187" hidden="1">#REF!</definedName>
    <definedName name="BLPH188" hidden="1">#REF!</definedName>
    <definedName name="BLPH189" hidden="1">#REF!</definedName>
    <definedName name="BLPH19" localSheetId="10" hidden="1">#REF!</definedName>
    <definedName name="BLPH19" hidden="1">#REF!</definedName>
    <definedName name="BLPH190" hidden="1">#REF!</definedName>
    <definedName name="BLPH191" hidden="1">#REF!</definedName>
    <definedName name="BLPH192" hidden="1">#REF!</definedName>
    <definedName name="BLPH193" hidden="1">#REF!</definedName>
    <definedName name="BLPH194" hidden="1">#REF!</definedName>
    <definedName name="BLPH195" hidden="1">#REF!</definedName>
    <definedName name="BLPH196" hidden="1">#REF!</definedName>
    <definedName name="BLPH197" hidden="1">#REF!</definedName>
    <definedName name="BLPH198" hidden="1">#REF!</definedName>
    <definedName name="BLPH199" hidden="1">#REF!</definedName>
    <definedName name="BLPH2" localSheetId="10" hidden="1">#REF!</definedName>
    <definedName name="BLPH2" hidden="1">#REF!</definedName>
    <definedName name="BLPH20" localSheetId="10" hidden="1">#REF!</definedName>
    <definedName name="BLPH20" hidden="1">#REF!</definedName>
    <definedName name="BLPH200" hidden="1">#REF!</definedName>
    <definedName name="BLPH201" hidden="1">#REF!</definedName>
    <definedName name="BLPH202" hidden="1">#REF!</definedName>
    <definedName name="BLPH203" hidden="1">#REF!</definedName>
    <definedName name="BLPH204" hidden="1">#REF!</definedName>
    <definedName name="BLPH205" hidden="1">#REF!</definedName>
    <definedName name="BLPH206" hidden="1">#REF!</definedName>
    <definedName name="BLPH207" hidden="1">#REF!</definedName>
    <definedName name="BLPH208" hidden="1">#REF!</definedName>
    <definedName name="BLPH209" hidden="1">#REF!</definedName>
    <definedName name="BLPH21" localSheetId="10" hidden="1">#REF!</definedName>
    <definedName name="BLPH21" hidden="1">#REF!</definedName>
    <definedName name="BLPH210" hidden="1">#REF!</definedName>
    <definedName name="BLPH211" hidden="1">#REF!</definedName>
    <definedName name="BLPH212" hidden="1">#REF!</definedName>
    <definedName name="BLPH213" hidden="1">#REF!</definedName>
    <definedName name="BLPH214" hidden="1">#REF!</definedName>
    <definedName name="BLPH215" hidden="1">#REF!</definedName>
    <definedName name="BLPH216" hidden="1">#REF!</definedName>
    <definedName name="BLPH217" hidden="1">#REF!</definedName>
    <definedName name="BLPH218" hidden="1">#REF!</definedName>
    <definedName name="BLPH219" hidden="1">#REF!</definedName>
    <definedName name="BLPH22" localSheetId="10" hidden="1">#REF!</definedName>
    <definedName name="BLPH22" hidden="1">#REF!</definedName>
    <definedName name="BLPH220" hidden="1">#REF!</definedName>
    <definedName name="BLPH221" hidden="1">#REF!</definedName>
    <definedName name="BLPH222" hidden="1">#REF!</definedName>
    <definedName name="BLPH223" hidden="1">#REF!</definedName>
    <definedName name="BLPH224" hidden="1">#REF!</definedName>
    <definedName name="BLPH225" hidden="1">#REF!</definedName>
    <definedName name="BLPH226" hidden="1">#REF!</definedName>
    <definedName name="BLPH227" hidden="1">#REF!</definedName>
    <definedName name="BLPH228" hidden="1">#REF!</definedName>
    <definedName name="BLPH229" hidden="1">#REF!</definedName>
    <definedName name="BLPH23" localSheetId="10" hidden="1">#REF!</definedName>
    <definedName name="BLPH23" hidden="1">#REF!</definedName>
    <definedName name="BLPH230" hidden="1">#REF!</definedName>
    <definedName name="BLPH231" hidden="1">#REF!</definedName>
    <definedName name="BLPH232" hidden="1">#REF!</definedName>
    <definedName name="BLPH233" hidden="1">#REF!</definedName>
    <definedName name="BLPH234" hidden="1">#REF!</definedName>
    <definedName name="BLPH235" hidden="1">#REF!</definedName>
    <definedName name="BLPH236" hidden="1">#REF!</definedName>
    <definedName name="BLPH237" hidden="1">#REF!</definedName>
    <definedName name="BLPH238" hidden="1">#REF!</definedName>
    <definedName name="BLPH239" hidden="1">#REF!</definedName>
    <definedName name="BLPH24" localSheetId="10" hidden="1">#REF!</definedName>
    <definedName name="BLPH24" hidden="1">#REF!</definedName>
    <definedName name="BLPH240" hidden="1">#REF!</definedName>
    <definedName name="BLPH241" hidden="1">#REF!</definedName>
    <definedName name="BLPH242" hidden="1">#REF!</definedName>
    <definedName name="BLPH243" hidden="1">#REF!</definedName>
    <definedName name="BLPH244" hidden="1">#REF!</definedName>
    <definedName name="BLPH245" hidden="1">#REF!</definedName>
    <definedName name="BLPH246" hidden="1">#REF!</definedName>
    <definedName name="BLPH247" hidden="1">#REF!</definedName>
    <definedName name="BLPH248" hidden="1">#REF!</definedName>
    <definedName name="BLPH249" hidden="1">#REF!</definedName>
    <definedName name="BLPH25" localSheetId="10" hidden="1">#REF!</definedName>
    <definedName name="BLPH25" hidden="1">#REF!</definedName>
    <definedName name="BLPH250" hidden="1">#REF!</definedName>
    <definedName name="BLPH251" hidden="1">#REF!</definedName>
    <definedName name="BLPH252" hidden="1">#REF!</definedName>
    <definedName name="BLPH253" hidden="1">#REF!</definedName>
    <definedName name="BLPH254" hidden="1">#REF!</definedName>
    <definedName name="BLPH255" hidden="1">#REF!</definedName>
    <definedName name="BLPH256" hidden="1">#REF!</definedName>
    <definedName name="BLPH257" hidden="1">#REF!</definedName>
    <definedName name="BLPH258" hidden="1">#REF!</definedName>
    <definedName name="BLPH259" hidden="1">#REF!</definedName>
    <definedName name="BLPH26" localSheetId="10" hidden="1">#REF!</definedName>
    <definedName name="BLPH26" hidden="1">#REF!</definedName>
    <definedName name="BLPH260" hidden="1">#REF!</definedName>
    <definedName name="BLPH261" hidden="1">#REF!</definedName>
    <definedName name="BLPH262" hidden="1">#REF!</definedName>
    <definedName name="BLPH263" hidden="1">#REF!</definedName>
    <definedName name="BLPH264" hidden="1">#REF!</definedName>
    <definedName name="BLPH265" hidden="1">#REF!</definedName>
    <definedName name="BLPH266" hidden="1">#REF!</definedName>
    <definedName name="BLPH267" hidden="1">#REF!</definedName>
    <definedName name="BLPH268" hidden="1">#REF!</definedName>
    <definedName name="BLPH269" hidden="1">#REF!</definedName>
    <definedName name="BLPH27" localSheetId="10" hidden="1">#REF!</definedName>
    <definedName name="BLPH27" hidden="1">#REF!</definedName>
    <definedName name="BLPH270" hidden="1">#REF!</definedName>
    <definedName name="BLPH271" hidden="1">#REF!</definedName>
    <definedName name="BLPH272" hidden="1">#REF!</definedName>
    <definedName name="BLPH273" hidden="1">#REF!</definedName>
    <definedName name="BLPH274" hidden="1">#REF!</definedName>
    <definedName name="BLPH275" hidden="1">#REF!</definedName>
    <definedName name="BLPH276" hidden="1">#REF!</definedName>
    <definedName name="BLPH277" hidden="1">#REF!</definedName>
    <definedName name="BLPH278" hidden="1">#REF!</definedName>
    <definedName name="BLPH279" hidden="1">#REF!</definedName>
    <definedName name="BLPH28" localSheetId="10" hidden="1">#REF!</definedName>
    <definedName name="BLPH28" hidden="1">#REF!</definedName>
    <definedName name="BLPH280" hidden="1">#REF!</definedName>
    <definedName name="BLPH281" hidden="1">#REF!</definedName>
    <definedName name="BLPH282" hidden="1">#REF!</definedName>
    <definedName name="BLPH283" hidden="1">#REF!</definedName>
    <definedName name="BLPH284" hidden="1">#REF!</definedName>
    <definedName name="BLPH285" hidden="1">#REF!</definedName>
    <definedName name="BLPH286" hidden="1">#REF!</definedName>
    <definedName name="BLPH287" hidden="1">#REF!</definedName>
    <definedName name="BLPH288" hidden="1">#REF!</definedName>
    <definedName name="BLPH289" hidden="1">#REF!</definedName>
    <definedName name="BLPH29" hidden="1">#REF!</definedName>
    <definedName name="BLPH290" hidden="1">#REF!</definedName>
    <definedName name="BLPH291" hidden="1">#REF!</definedName>
    <definedName name="BLPH292" hidden="1">#REF!</definedName>
    <definedName name="BLPH293" hidden="1">#REF!</definedName>
    <definedName name="BLPH294" hidden="1">#REF!</definedName>
    <definedName name="BLPH295" hidden="1">#REF!</definedName>
    <definedName name="BLPH296" hidden="1">#REF!</definedName>
    <definedName name="BLPH297" hidden="1">#REF!</definedName>
    <definedName name="BLPH298" hidden="1">#REF!</definedName>
    <definedName name="BLPH299" hidden="1">#REF!</definedName>
    <definedName name="BLPH3" localSheetId="10" hidden="1">#REF!</definedName>
    <definedName name="BLPH3" hidden="1">#REF!</definedName>
    <definedName name="BLPH30" hidden="1">#REF!</definedName>
    <definedName name="BLPH300" hidden="1">#REF!</definedName>
    <definedName name="BLPH301" hidden="1">#REF!</definedName>
    <definedName name="BLPH302" hidden="1">#REF!</definedName>
    <definedName name="BLPH303" hidden="1">#REF!</definedName>
    <definedName name="BLPH304" hidden="1">#REF!</definedName>
    <definedName name="BLPH305" hidden="1">#REF!</definedName>
    <definedName name="BLPH306" hidden="1">#REF!</definedName>
    <definedName name="BLPH307" hidden="1">#REF!</definedName>
    <definedName name="BLPH308" hidden="1">#REF!</definedName>
    <definedName name="BLPH309" hidden="1">#REF!</definedName>
    <definedName name="BLPH31" hidden="1">#REF!</definedName>
    <definedName name="BLPH310" hidden="1">#REF!</definedName>
    <definedName name="BLPH311" hidden="1">#REF!</definedName>
    <definedName name="BLPH312" hidden="1">#REF!</definedName>
    <definedName name="BLPH313" hidden="1">#REF!</definedName>
    <definedName name="BLPH314" hidden="1">#REF!</definedName>
    <definedName name="BLPH315" hidden="1">#REF!</definedName>
    <definedName name="BLPH316" hidden="1">#REF!</definedName>
    <definedName name="BLPH317" hidden="1">#REF!</definedName>
    <definedName name="BLPH318" hidden="1">#REF!</definedName>
    <definedName name="BLPH319" hidden="1">#REF!</definedName>
    <definedName name="BLPH32" hidden="1">#REF!</definedName>
    <definedName name="BLPH320" hidden="1">#REF!</definedName>
    <definedName name="BLPH321" hidden="1">#REF!</definedName>
    <definedName name="BLPH322" hidden="1">#REF!</definedName>
    <definedName name="BLPH323" hidden="1">#REF!</definedName>
    <definedName name="BLPH324" hidden="1">#REF!</definedName>
    <definedName name="BLPH325" hidden="1">#REF!</definedName>
    <definedName name="BLPH326" hidden="1">#REF!</definedName>
    <definedName name="BLPH327" hidden="1">#REF!</definedName>
    <definedName name="BLPH328" hidden="1">#REF!</definedName>
    <definedName name="BLPH329" hidden="1">#REF!</definedName>
    <definedName name="BLPH33" hidden="1">#REF!</definedName>
    <definedName name="BLPH330" hidden="1">#REF!</definedName>
    <definedName name="BLPH331" hidden="1">#REF!</definedName>
    <definedName name="BLPH332" hidden="1">#REF!</definedName>
    <definedName name="BLPH333" hidden="1">#REF!</definedName>
    <definedName name="BLPH334" hidden="1">#REF!</definedName>
    <definedName name="BLPH335" hidden="1">#REF!</definedName>
    <definedName name="BLPH336" hidden="1">#REF!</definedName>
    <definedName name="BLPH337" hidden="1">#REF!</definedName>
    <definedName name="BLPH338" hidden="1">#REF!</definedName>
    <definedName name="BLPH339" hidden="1">#REF!</definedName>
    <definedName name="BLPH34" hidden="1">#REF!</definedName>
    <definedName name="BLPH340" hidden="1">#REF!</definedName>
    <definedName name="BLPH341" hidden="1">#REF!</definedName>
    <definedName name="BLPH342" hidden="1">#REF!</definedName>
    <definedName name="BLPH343" hidden="1">#REF!</definedName>
    <definedName name="BLPH344" hidden="1">#REF!</definedName>
    <definedName name="BLPH345" hidden="1">#REF!</definedName>
    <definedName name="BLPH346" hidden="1">#REF!</definedName>
    <definedName name="BLPH347" hidden="1">#REF!</definedName>
    <definedName name="BLPH348" hidden="1">#REF!</definedName>
    <definedName name="BLPH349" hidden="1">#REF!</definedName>
    <definedName name="BLPH35" hidden="1">#REF!</definedName>
    <definedName name="BLPH350" hidden="1">#REF!</definedName>
    <definedName name="BLPH351" hidden="1">#REF!</definedName>
    <definedName name="BLPH352" hidden="1">#REF!</definedName>
    <definedName name="BLPH353" hidden="1">#REF!</definedName>
    <definedName name="BLPH354" hidden="1">#REF!</definedName>
    <definedName name="BLPH355" hidden="1">#REF!</definedName>
    <definedName name="BLPH356" hidden="1">#REF!</definedName>
    <definedName name="BLPH357" hidden="1">#REF!</definedName>
    <definedName name="BLPH358" hidden="1">#REF!</definedName>
    <definedName name="BLPH359" hidden="1">#REF!</definedName>
    <definedName name="BLPH36" hidden="1">#REF!</definedName>
    <definedName name="BLPH360" hidden="1">#REF!</definedName>
    <definedName name="BLPH361" hidden="1">#REF!</definedName>
    <definedName name="BLPH362" hidden="1">#REF!</definedName>
    <definedName name="BLPH363" hidden="1">#REF!</definedName>
    <definedName name="BLPH364" hidden="1">#REF!</definedName>
    <definedName name="BLPH365" hidden="1">#REF!</definedName>
    <definedName name="BLPH366" hidden="1">#REF!</definedName>
    <definedName name="BLPH367" hidden="1">#REF!</definedName>
    <definedName name="BLPH368" hidden="1">#REF!</definedName>
    <definedName name="BLPH369" hidden="1">#REF!</definedName>
    <definedName name="BLPH37" hidden="1">#REF!</definedName>
    <definedName name="BLPH370" hidden="1">#REF!</definedName>
    <definedName name="BLPH371" hidden="1">#REF!</definedName>
    <definedName name="BLPH372" hidden="1">#REF!</definedName>
    <definedName name="BLPH373" hidden="1">#REF!</definedName>
    <definedName name="BLPH374" hidden="1">#REF!</definedName>
    <definedName name="BLPH375" hidden="1">#REF!</definedName>
    <definedName name="BLPH376" hidden="1">#REF!</definedName>
    <definedName name="BLPH377" hidden="1">#REF!</definedName>
    <definedName name="BLPH378" hidden="1">#REF!</definedName>
    <definedName name="BLPH379" hidden="1">#REF!</definedName>
    <definedName name="BLPH38" hidden="1">#REF!</definedName>
    <definedName name="BLPH380" hidden="1">#REF!</definedName>
    <definedName name="BLPH381" hidden="1">#REF!</definedName>
    <definedName name="BLPH382" hidden="1">#REF!</definedName>
    <definedName name="BLPH383" hidden="1">#REF!</definedName>
    <definedName name="BLPH384" hidden="1">#REF!</definedName>
    <definedName name="BLPH385" hidden="1">#REF!</definedName>
    <definedName name="BLPH386" hidden="1">#REF!</definedName>
    <definedName name="BLPH387" hidden="1">#REF!</definedName>
    <definedName name="BLPH388" hidden="1">#REF!</definedName>
    <definedName name="BLPH389" hidden="1">#REF!</definedName>
    <definedName name="BLPH39" hidden="1">#REF!</definedName>
    <definedName name="BLPH390" hidden="1">#REF!</definedName>
    <definedName name="BLPH391" hidden="1">#REF!</definedName>
    <definedName name="BLPH392" hidden="1">#REF!</definedName>
    <definedName name="BLPH393" hidden="1">#REF!</definedName>
    <definedName name="BLPH394" hidden="1">#REF!</definedName>
    <definedName name="BLPH395" hidden="1">#REF!</definedName>
    <definedName name="BLPH396" hidden="1">#REF!</definedName>
    <definedName name="BLPH397" hidden="1">#REF!</definedName>
    <definedName name="BLPH398" hidden="1">#REF!</definedName>
    <definedName name="BLPH399" hidden="1">#REF!</definedName>
    <definedName name="BLPH4" localSheetId="10" hidden="1">#REF!</definedName>
    <definedName name="BLPH4" hidden="1">#REF!</definedName>
    <definedName name="BLPH40" hidden="1">#REF!</definedName>
    <definedName name="BLPH400" hidden="1">#REF!</definedName>
    <definedName name="BLPH401" hidden="1">#REF!</definedName>
    <definedName name="BLPH402" hidden="1">#REF!</definedName>
    <definedName name="BLPH403" hidden="1">#REF!</definedName>
    <definedName name="BLPH404" hidden="1">#REF!</definedName>
    <definedName name="BLPH405" hidden="1">#REF!</definedName>
    <definedName name="BLPH406" hidden="1">#REF!</definedName>
    <definedName name="BLPH407" hidden="1">#REF!</definedName>
    <definedName name="BLPH408" hidden="1">#REF!</definedName>
    <definedName name="BLPH409" hidden="1">#REF!</definedName>
    <definedName name="BLPH41" hidden="1">#REF!</definedName>
    <definedName name="BLPH410" hidden="1">#REF!</definedName>
    <definedName name="BLPH411" hidden="1">#REF!</definedName>
    <definedName name="BLPH412" hidden="1">#REF!</definedName>
    <definedName name="BLPH413" hidden="1">#REF!</definedName>
    <definedName name="BLPH414" hidden="1">#REF!</definedName>
    <definedName name="BLPH415" hidden="1">#REF!</definedName>
    <definedName name="BLPH416" hidden="1">#REF!</definedName>
    <definedName name="BLPH417" hidden="1">#REF!</definedName>
    <definedName name="BLPH418" hidden="1">#REF!</definedName>
    <definedName name="BLPH419" hidden="1">#REF!</definedName>
    <definedName name="BLPH42" hidden="1">#REF!</definedName>
    <definedName name="BLPH420" hidden="1">#REF!</definedName>
    <definedName name="BLPH421" hidden="1">#REF!</definedName>
    <definedName name="BLPH422" hidden="1">#REF!</definedName>
    <definedName name="BLPH423" hidden="1">#REF!</definedName>
    <definedName name="BLPH424" hidden="1">#REF!</definedName>
    <definedName name="BLPH425" hidden="1">#REF!</definedName>
    <definedName name="BLPH426" hidden="1">#REF!</definedName>
    <definedName name="BLPH427" hidden="1">#REF!</definedName>
    <definedName name="BLPH428" hidden="1">#REF!</definedName>
    <definedName name="BLPH429" hidden="1">#REF!</definedName>
    <definedName name="BLPH43" hidden="1">#REF!</definedName>
    <definedName name="BLPH430" hidden="1">#REF!</definedName>
    <definedName name="BLPH431" hidden="1">#REF!</definedName>
    <definedName name="BLPH432" hidden="1">#REF!</definedName>
    <definedName name="BLPH433" hidden="1">#REF!</definedName>
    <definedName name="BLPH434" hidden="1">#REF!</definedName>
    <definedName name="BLPH435" hidden="1">#REF!</definedName>
    <definedName name="BLPH436" hidden="1">#REF!</definedName>
    <definedName name="BLPH437" hidden="1">#REF!</definedName>
    <definedName name="BLPH438" hidden="1">#REF!</definedName>
    <definedName name="BLPH439" hidden="1">#REF!</definedName>
    <definedName name="BLPH44" hidden="1">#REF!</definedName>
    <definedName name="BLPH440" hidden="1">#REF!</definedName>
    <definedName name="BLPH441" hidden="1">#REF!</definedName>
    <definedName name="BLPH442" hidden="1">#REF!</definedName>
    <definedName name="BLPH443" hidden="1">#REF!</definedName>
    <definedName name="BLPH444" hidden="1">#REF!</definedName>
    <definedName name="BLPH445" hidden="1">#REF!</definedName>
    <definedName name="BLPH446" hidden="1">#REF!</definedName>
    <definedName name="BLPH447" hidden="1">#REF!</definedName>
    <definedName name="BLPH448" hidden="1">#REF!</definedName>
    <definedName name="BLPH449" hidden="1">#REF!</definedName>
    <definedName name="BLPH45" hidden="1">#REF!</definedName>
    <definedName name="BLPH450" hidden="1">#REF!</definedName>
    <definedName name="BLPH451" hidden="1">#REF!</definedName>
    <definedName name="BLPH452" hidden="1">#REF!</definedName>
    <definedName name="BLPH453" hidden="1">#REF!</definedName>
    <definedName name="BLPH454" hidden="1">#REF!</definedName>
    <definedName name="BLPH455" hidden="1">#REF!</definedName>
    <definedName name="BLPH456" hidden="1">#REF!</definedName>
    <definedName name="BLPH457" hidden="1">#REF!</definedName>
    <definedName name="BLPH458" hidden="1">#REF!</definedName>
    <definedName name="BLPH459" hidden="1">#REF!</definedName>
    <definedName name="BLPH46" hidden="1">#REF!</definedName>
    <definedName name="BLPH460" hidden="1">#REF!</definedName>
    <definedName name="BLPH461" hidden="1">#REF!</definedName>
    <definedName name="BLPH462" hidden="1">#REF!</definedName>
    <definedName name="BLPH463" hidden="1">#REF!</definedName>
    <definedName name="BLPH464" hidden="1">#REF!</definedName>
    <definedName name="BLPH465" hidden="1">#REF!</definedName>
    <definedName name="BLPH466" hidden="1">#REF!</definedName>
    <definedName name="BLPH467" hidden="1">#REF!</definedName>
    <definedName name="BLPH468" hidden="1">#REF!</definedName>
    <definedName name="BLPH469" hidden="1">#REF!</definedName>
    <definedName name="BLPH47" hidden="1">#REF!</definedName>
    <definedName name="BLPH470" hidden="1">#REF!</definedName>
    <definedName name="BLPH471" hidden="1">#REF!</definedName>
    <definedName name="BLPH472" hidden="1">#REF!</definedName>
    <definedName name="BLPH473" hidden="1">#REF!</definedName>
    <definedName name="BLPH474" hidden="1">#REF!</definedName>
    <definedName name="BLPH475" hidden="1">#REF!</definedName>
    <definedName name="BLPH476" hidden="1">#REF!</definedName>
    <definedName name="BLPH477" hidden="1">#REF!</definedName>
    <definedName name="BLPH478" hidden="1">#REF!</definedName>
    <definedName name="BLPH479" hidden="1">#REF!</definedName>
    <definedName name="BLPH48" hidden="1">#REF!</definedName>
    <definedName name="BLPH480" hidden="1">#REF!</definedName>
    <definedName name="BLPH481" hidden="1">#REF!</definedName>
    <definedName name="BLPH482" hidden="1">#REF!</definedName>
    <definedName name="BLPH483" hidden="1">#REF!</definedName>
    <definedName name="BLPH484" hidden="1">#REF!</definedName>
    <definedName name="BLPH485" hidden="1">#REF!</definedName>
    <definedName name="BLPH486" hidden="1">#REF!</definedName>
    <definedName name="BLPH487" hidden="1">#REF!</definedName>
    <definedName name="BLPH488" hidden="1">#REF!</definedName>
    <definedName name="BLPH489" hidden="1">#REF!</definedName>
    <definedName name="BLPH49" hidden="1">#REF!</definedName>
    <definedName name="BLPH490" hidden="1">#REF!</definedName>
    <definedName name="BLPH491" hidden="1">#REF!</definedName>
    <definedName name="BLPH492" hidden="1">#REF!</definedName>
    <definedName name="BLPH493" hidden="1">#REF!</definedName>
    <definedName name="BLPH494" hidden="1">#REF!</definedName>
    <definedName name="BLPH495" hidden="1">#REF!</definedName>
    <definedName name="BLPH496" hidden="1">#REF!</definedName>
    <definedName name="BLPH497" hidden="1">#REF!</definedName>
    <definedName name="BLPH498" hidden="1">#REF!</definedName>
    <definedName name="BLPH499" hidden="1">#REF!</definedName>
    <definedName name="BLPH5" localSheetId="10" hidden="1">#REF!</definedName>
    <definedName name="BLPH5" hidden="1">#REF!</definedName>
    <definedName name="BLPH50" hidden="1">#REF!</definedName>
    <definedName name="BLPH500" hidden="1">#REF!</definedName>
    <definedName name="BLPH501" hidden="1">#REF!</definedName>
    <definedName name="BLPH502" hidden="1">#REF!</definedName>
    <definedName name="BLPH503" hidden="1">#REF!</definedName>
    <definedName name="BLPH504" hidden="1">#REF!</definedName>
    <definedName name="BLPH505" hidden="1">#REF!</definedName>
    <definedName name="BLPH506" hidden="1">#REF!</definedName>
    <definedName name="BLPH507" hidden="1">#REF!</definedName>
    <definedName name="BLPH508" hidden="1">#REF!</definedName>
    <definedName name="BLPH509" hidden="1">#REF!</definedName>
    <definedName name="BLPH51" hidden="1">#REF!</definedName>
    <definedName name="BLPH510" hidden="1">#REF!</definedName>
    <definedName name="BLPH511" hidden="1">#REF!</definedName>
    <definedName name="BLPH512" hidden="1">#REF!</definedName>
    <definedName name="BLPH513" hidden="1">#REF!</definedName>
    <definedName name="BLPH514" hidden="1">#REF!</definedName>
    <definedName name="BLPH515" hidden="1">#REF!</definedName>
    <definedName name="BLPH516" hidden="1">#REF!</definedName>
    <definedName name="BLPH517" hidden="1">#REF!</definedName>
    <definedName name="BLPH518" hidden="1">#REF!</definedName>
    <definedName name="BLPH519" hidden="1">#REF!</definedName>
    <definedName name="BLPH52" hidden="1">#REF!</definedName>
    <definedName name="BLPH520" hidden="1">#REF!</definedName>
    <definedName name="BLPH521" hidden="1">#REF!</definedName>
    <definedName name="BLPH522" hidden="1">#REF!</definedName>
    <definedName name="BLPH523" hidden="1">#REF!</definedName>
    <definedName name="BLPH524" hidden="1">#REF!</definedName>
    <definedName name="BLPH525" hidden="1">#REF!</definedName>
    <definedName name="BLPH526" hidden="1">#REF!</definedName>
    <definedName name="BLPH527" hidden="1">#REF!</definedName>
    <definedName name="BLPH528" hidden="1">#REF!</definedName>
    <definedName name="BLPH529" hidden="1">#REF!</definedName>
    <definedName name="BLPH53" hidden="1">#REF!</definedName>
    <definedName name="BLPH530" hidden="1">#REF!</definedName>
    <definedName name="BLPH531" hidden="1">#REF!</definedName>
    <definedName name="BLPH532" hidden="1">#REF!</definedName>
    <definedName name="BLPH533" hidden="1">#REF!</definedName>
    <definedName name="BLPH534" hidden="1">#REF!</definedName>
    <definedName name="BLPH535" hidden="1">#REF!</definedName>
    <definedName name="BLPH536" hidden="1">#REF!</definedName>
    <definedName name="BLPH537" hidden="1">#REF!</definedName>
    <definedName name="BLPH538" hidden="1">#REF!</definedName>
    <definedName name="BLPH539" hidden="1">#REF!</definedName>
    <definedName name="BLPH54" hidden="1">#REF!</definedName>
    <definedName name="BLPH540" hidden="1">#REF!</definedName>
    <definedName name="BLPH541" hidden="1">#REF!</definedName>
    <definedName name="BLPH542" hidden="1">#REF!</definedName>
    <definedName name="BLPH543" hidden="1">#REF!</definedName>
    <definedName name="BLPH544" hidden="1">#REF!</definedName>
    <definedName name="BLPH545" hidden="1">#REF!</definedName>
    <definedName name="BLPH546" hidden="1">#REF!</definedName>
    <definedName name="BLPH547" hidden="1">#REF!</definedName>
    <definedName name="BLPH548" hidden="1">#REF!</definedName>
    <definedName name="BLPH549" hidden="1">#REF!</definedName>
    <definedName name="BLPH55" hidden="1">#REF!</definedName>
    <definedName name="BLPH550" hidden="1">#REF!</definedName>
    <definedName name="BLPH551" hidden="1">#REF!</definedName>
    <definedName name="BLPH552" hidden="1">#REF!</definedName>
    <definedName name="BLPH553" hidden="1">#REF!</definedName>
    <definedName name="BLPH554" hidden="1">#REF!</definedName>
    <definedName name="BLPH555" hidden="1">#REF!</definedName>
    <definedName name="BLPH556" hidden="1">#REF!</definedName>
    <definedName name="BLPH557" hidden="1">#REF!</definedName>
    <definedName name="BLPH558" hidden="1">#REF!</definedName>
    <definedName name="BLPH559" hidden="1">#REF!</definedName>
    <definedName name="BLPH56" hidden="1">#REF!</definedName>
    <definedName name="BLPH560" hidden="1">#REF!</definedName>
    <definedName name="BLPH561" hidden="1">#REF!</definedName>
    <definedName name="BLPH562" hidden="1">#REF!</definedName>
    <definedName name="BLPH563" hidden="1">#REF!</definedName>
    <definedName name="BLPH564" hidden="1">#REF!</definedName>
    <definedName name="BLPH565" hidden="1">#REF!</definedName>
    <definedName name="BLPH566" hidden="1">#REF!</definedName>
    <definedName name="BLPH567" hidden="1">#REF!</definedName>
    <definedName name="BLPH568" hidden="1">#REF!</definedName>
    <definedName name="BLPH569" hidden="1">#REF!</definedName>
    <definedName name="BLPH57" hidden="1">#REF!</definedName>
    <definedName name="BLPH570" hidden="1">#REF!</definedName>
    <definedName name="BLPH571" hidden="1">#REF!</definedName>
    <definedName name="BLPH572" hidden="1">#REF!</definedName>
    <definedName name="BLPH573" hidden="1">#REF!</definedName>
    <definedName name="BLPH574" hidden="1">#REF!</definedName>
    <definedName name="BLPH575" hidden="1">#REF!</definedName>
    <definedName name="BLPH576" hidden="1">#REF!</definedName>
    <definedName name="BLPH577" hidden="1">#REF!</definedName>
    <definedName name="BLPH579" hidden="1">#REF!</definedName>
    <definedName name="BLPH58" hidden="1">#REF!</definedName>
    <definedName name="BLPH580" hidden="1">#REF!</definedName>
    <definedName name="BLPH581" hidden="1">#REF!</definedName>
    <definedName name="BLPH583" hidden="1">#REF!</definedName>
    <definedName name="BLPH584" hidden="1">#REF!</definedName>
    <definedName name="BLPH585" hidden="1">#REF!</definedName>
    <definedName name="BLPH586" hidden="1">#REF!</definedName>
    <definedName name="BLPH587" hidden="1">#REF!</definedName>
    <definedName name="BLPH588" hidden="1">#REF!</definedName>
    <definedName name="BLPH589" hidden="1">#REF!</definedName>
    <definedName name="BLPH59" hidden="1">#REF!</definedName>
    <definedName name="BLPH590" hidden="1">#REF!</definedName>
    <definedName name="BLPH591" hidden="1">#REF!</definedName>
    <definedName name="BLPH592" hidden="1">#REF!</definedName>
    <definedName name="BLPH593" hidden="1">#REF!</definedName>
    <definedName name="BLPH594" hidden="1">#REF!</definedName>
    <definedName name="BLPH595" hidden="1">#REF!</definedName>
    <definedName name="BLPH596" hidden="1">#REF!</definedName>
    <definedName name="BLPH597" hidden="1">#REF!</definedName>
    <definedName name="BLPH598" hidden="1">#REF!</definedName>
    <definedName name="BLPH599" hidden="1">#REF!</definedName>
    <definedName name="BLPH6" localSheetId="10" hidden="1">#REF!</definedName>
    <definedName name="BLPH6" hidden="1">#REF!</definedName>
    <definedName name="BLPH60" hidden="1">#REF!</definedName>
    <definedName name="BLPH600" hidden="1">#REF!</definedName>
    <definedName name="BLPH601" hidden="1">#REF!</definedName>
    <definedName name="BLPH602" hidden="1">#REF!</definedName>
    <definedName name="BLPH603" hidden="1">#REF!</definedName>
    <definedName name="BLPH604" hidden="1">#REF!</definedName>
    <definedName name="BLPH605" hidden="1">#REF!</definedName>
    <definedName name="BLPH606" hidden="1">#REF!</definedName>
    <definedName name="BLPH607" hidden="1">#REF!</definedName>
    <definedName name="BLPH608" hidden="1">#REF!</definedName>
    <definedName name="BLPH609" hidden="1">#REF!</definedName>
    <definedName name="BLPH61" hidden="1">#REF!</definedName>
    <definedName name="BLPH610" hidden="1">#REF!</definedName>
    <definedName name="BLPH611" hidden="1">#REF!</definedName>
    <definedName name="BLPH612" hidden="1">#REF!</definedName>
    <definedName name="BLPH613" hidden="1">#REF!</definedName>
    <definedName name="BLPH614" hidden="1">#REF!</definedName>
    <definedName name="BLPH615" hidden="1">#REF!</definedName>
    <definedName name="BLPH616" hidden="1">#REF!</definedName>
    <definedName name="BLPH617" hidden="1">#REF!</definedName>
    <definedName name="BLPH618" hidden="1">#REF!</definedName>
    <definedName name="BLPH619" hidden="1">#REF!</definedName>
    <definedName name="BLPH62" hidden="1">#REF!</definedName>
    <definedName name="BLPH620" hidden="1">#REF!</definedName>
    <definedName name="BLPH621" hidden="1">#REF!</definedName>
    <definedName name="BLPH622" hidden="1">#REF!</definedName>
    <definedName name="BLPH623" hidden="1">#REF!</definedName>
    <definedName name="BLPH624" hidden="1">#REF!</definedName>
    <definedName name="BLPH625" hidden="1">#REF!</definedName>
    <definedName name="BLPH626" hidden="1">#REF!</definedName>
    <definedName name="BLPH627" hidden="1">#REF!</definedName>
    <definedName name="BLPH628" hidden="1">#REF!</definedName>
    <definedName name="BLPH629" hidden="1">#REF!</definedName>
    <definedName name="BLPH63" hidden="1">#REF!</definedName>
    <definedName name="BLPH630" hidden="1">#REF!</definedName>
    <definedName name="BLPH631" hidden="1">#REF!</definedName>
    <definedName name="BLPH632" hidden="1">#REF!</definedName>
    <definedName name="BLPH633" hidden="1">#REF!</definedName>
    <definedName name="BLPH634" hidden="1">#REF!</definedName>
    <definedName name="BLPH635" hidden="1">#REF!</definedName>
    <definedName name="BLPH636" hidden="1">#REF!</definedName>
    <definedName name="BLPH637" hidden="1">#REF!</definedName>
    <definedName name="BLPH638" hidden="1">#REF!</definedName>
    <definedName name="BLPH639" hidden="1">#REF!</definedName>
    <definedName name="BLPH64" hidden="1">#REF!</definedName>
    <definedName name="BLPH640" hidden="1">#REF!</definedName>
    <definedName name="BLPH641" hidden="1">#REF!</definedName>
    <definedName name="BLPH642" hidden="1">#REF!</definedName>
    <definedName name="BLPH643" hidden="1">#REF!</definedName>
    <definedName name="BLPH644" hidden="1">#REF!</definedName>
    <definedName name="BLPH645" hidden="1">#REF!</definedName>
    <definedName name="BLPH646" hidden="1">#REF!</definedName>
    <definedName name="BLPH647" hidden="1">#REF!</definedName>
    <definedName name="BLPH648" hidden="1">#REF!</definedName>
    <definedName name="BLPH649" hidden="1">#REF!</definedName>
    <definedName name="BLPH65" hidden="1">#REF!</definedName>
    <definedName name="BLPH650" hidden="1">#REF!</definedName>
    <definedName name="BLPH651" hidden="1">#REF!</definedName>
    <definedName name="BLPH652" hidden="1">#REF!</definedName>
    <definedName name="BLPH653" hidden="1">#REF!</definedName>
    <definedName name="BLPH654" hidden="1">#REF!</definedName>
    <definedName name="BLPH655" hidden="1">#REF!</definedName>
    <definedName name="BLPH656" hidden="1">#REF!</definedName>
    <definedName name="BLPH657" hidden="1">#REF!</definedName>
    <definedName name="BLPH658" hidden="1">#REF!</definedName>
    <definedName name="BLPH659" hidden="1">#REF!</definedName>
    <definedName name="BLPH66" hidden="1">#REF!</definedName>
    <definedName name="BLPH660" hidden="1">#REF!</definedName>
    <definedName name="BLPH661" hidden="1">#REF!</definedName>
    <definedName name="BLPH662" hidden="1">#REF!</definedName>
    <definedName name="BLPH663" hidden="1">#REF!</definedName>
    <definedName name="BLPH664" hidden="1">#REF!</definedName>
    <definedName name="BLPH665" hidden="1">#REF!</definedName>
    <definedName name="BLPH666" hidden="1">#REF!</definedName>
    <definedName name="BLPH668" hidden="1">#REF!</definedName>
    <definedName name="BLPH669" hidden="1">#REF!</definedName>
    <definedName name="BLPH67" hidden="1">#REF!</definedName>
    <definedName name="BLPH670" hidden="1">#REF!</definedName>
    <definedName name="BLPH671" hidden="1">#REF!</definedName>
    <definedName name="BLPH672" hidden="1">#REF!</definedName>
    <definedName name="BLPH673" hidden="1">#REF!</definedName>
    <definedName name="BLPH674" hidden="1">#REF!</definedName>
    <definedName name="BLPH675" hidden="1">#REF!</definedName>
    <definedName name="BLPH676" hidden="1">#REF!</definedName>
    <definedName name="BLPH677" hidden="1">#REF!</definedName>
    <definedName name="BLPH678" hidden="1">#REF!</definedName>
    <definedName name="BLPH679" hidden="1">#REF!</definedName>
    <definedName name="BLPH68" hidden="1">#REF!</definedName>
    <definedName name="BLPH680" hidden="1">#REF!</definedName>
    <definedName name="BLPH681" hidden="1">#REF!</definedName>
    <definedName name="BLPH682" hidden="1">#REF!</definedName>
    <definedName name="BLPH683" hidden="1">#REF!</definedName>
    <definedName name="BLPH684" hidden="1">#REF!</definedName>
    <definedName name="BLPH685" hidden="1">#REF!</definedName>
    <definedName name="BLPH686" hidden="1">#REF!</definedName>
    <definedName name="BLPH687" hidden="1">#REF!</definedName>
    <definedName name="BLPH688" hidden="1">#REF!</definedName>
    <definedName name="BLPH689" hidden="1">#REF!</definedName>
    <definedName name="BLPH69" hidden="1">#REF!</definedName>
    <definedName name="BLPH690" hidden="1">#REF!</definedName>
    <definedName name="BLPH691" hidden="1">#REF!</definedName>
    <definedName name="BLPH692" hidden="1">#REF!</definedName>
    <definedName name="BLPH693" hidden="1">#REF!</definedName>
    <definedName name="BLPH694" hidden="1">#REF!</definedName>
    <definedName name="BLPH695" hidden="1">#REF!</definedName>
    <definedName name="BLPH696" hidden="1">#REF!</definedName>
    <definedName name="BLPH697" hidden="1">#REF!</definedName>
    <definedName name="BLPH698" hidden="1">#REF!</definedName>
    <definedName name="BLPH699" hidden="1">#REF!</definedName>
    <definedName name="BLPH7" localSheetId="10" hidden="1">#REF!</definedName>
    <definedName name="BLPH7" hidden="1">#REF!</definedName>
    <definedName name="BLPH70" hidden="1">#REF!</definedName>
    <definedName name="BLPH700" hidden="1">#REF!</definedName>
    <definedName name="BLPH701" hidden="1">#REF!</definedName>
    <definedName name="BLPH702" hidden="1">#REF!</definedName>
    <definedName name="BLPH703" hidden="1">#REF!</definedName>
    <definedName name="BLPH704" hidden="1">#REF!</definedName>
    <definedName name="BLPH705" hidden="1">#REF!</definedName>
    <definedName name="BLPH706" hidden="1">#REF!</definedName>
    <definedName name="BLPH707" hidden="1">#REF!</definedName>
    <definedName name="BLPH708" hidden="1">#REF!</definedName>
    <definedName name="BLPH709" hidden="1">#REF!</definedName>
    <definedName name="BLPH71" hidden="1">#REF!</definedName>
    <definedName name="BLPH710" hidden="1">#REF!</definedName>
    <definedName name="BLPH711" hidden="1">#REF!</definedName>
    <definedName name="BLPH712" hidden="1">#REF!</definedName>
    <definedName name="BLPH713" hidden="1">#REF!</definedName>
    <definedName name="BLPH714" hidden="1">#REF!</definedName>
    <definedName name="BLPH715" hidden="1">#REF!</definedName>
    <definedName name="BLPH716" hidden="1">#REF!</definedName>
    <definedName name="BLPH717" hidden="1">#REF!</definedName>
    <definedName name="BLPH718" hidden="1">#REF!</definedName>
    <definedName name="BLPH719" hidden="1">#REF!</definedName>
    <definedName name="BLPH72" hidden="1">#REF!</definedName>
    <definedName name="BLPH720" hidden="1">#REF!</definedName>
    <definedName name="BLPH721" hidden="1">#REF!</definedName>
    <definedName name="BLPH722" hidden="1">#REF!</definedName>
    <definedName name="BLPH723" hidden="1">#REF!</definedName>
    <definedName name="BLPH724" hidden="1">#REF!</definedName>
    <definedName name="BLPH725" hidden="1">#REF!</definedName>
    <definedName name="BLPH726" hidden="1">#REF!</definedName>
    <definedName name="BLPH727" hidden="1">#REF!</definedName>
    <definedName name="BLPH728" hidden="1">#REF!</definedName>
    <definedName name="BLPH729" hidden="1">#REF!</definedName>
    <definedName name="BLPH73" hidden="1">#REF!</definedName>
    <definedName name="BLPH730" hidden="1">#REF!</definedName>
    <definedName name="BLPH731" hidden="1">#REF!</definedName>
    <definedName name="BLPH732" hidden="1">#REF!</definedName>
    <definedName name="BLPH733" hidden="1">#REF!</definedName>
    <definedName name="BLPH734" hidden="1">#REF!</definedName>
    <definedName name="BLPH735" hidden="1">#REF!</definedName>
    <definedName name="BLPH736" hidden="1">#REF!</definedName>
    <definedName name="BLPH737" hidden="1">#REF!</definedName>
    <definedName name="BLPH738" hidden="1">#REF!</definedName>
    <definedName name="BLPH739" hidden="1">#REF!</definedName>
    <definedName name="BLPH74" hidden="1">#REF!</definedName>
    <definedName name="BLPH740" hidden="1">#REF!</definedName>
    <definedName name="BLPH741" hidden="1">#REF!</definedName>
    <definedName name="BLPH742" hidden="1">#REF!</definedName>
    <definedName name="BLPH743" hidden="1">#REF!</definedName>
    <definedName name="BLPH744" hidden="1">#REF!</definedName>
    <definedName name="BLPH745" hidden="1">#REF!</definedName>
    <definedName name="BLPH746" hidden="1">#REF!</definedName>
    <definedName name="BLPH747" hidden="1">#REF!</definedName>
    <definedName name="BLPH748" hidden="1">#REF!</definedName>
    <definedName name="BLPH749" hidden="1">#REF!</definedName>
    <definedName name="BLPH75" hidden="1">#REF!</definedName>
    <definedName name="BLPH750" hidden="1">#REF!</definedName>
    <definedName name="BLPH751" hidden="1">#REF!</definedName>
    <definedName name="BLPH752" hidden="1">#REF!</definedName>
    <definedName name="BLPH753" hidden="1">#REF!</definedName>
    <definedName name="BLPH754" hidden="1">#REF!</definedName>
    <definedName name="BLPH755" hidden="1">#REF!</definedName>
    <definedName name="BLPH756" hidden="1">#REF!</definedName>
    <definedName name="BLPH757" hidden="1">#REF!</definedName>
    <definedName name="BLPH758" hidden="1">#REF!</definedName>
    <definedName name="BLPH759" hidden="1">#REF!</definedName>
    <definedName name="BLPH76" hidden="1">#REF!</definedName>
    <definedName name="BLPH760" hidden="1">#REF!</definedName>
    <definedName name="BLPH761" hidden="1">#REF!</definedName>
    <definedName name="BLPH762" hidden="1">#REF!</definedName>
    <definedName name="BLPH763" hidden="1">#REF!</definedName>
    <definedName name="BLPH764" hidden="1">#REF!</definedName>
    <definedName name="BLPH765" hidden="1">#REF!</definedName>
    <definedName name="BLPH766" hidden="1">#REF!</definedName>
    <definedName name="BLPH767" hidden="1">#REF!</definedName>
    <definedName name="BLPH768" hidden="1">#REF!</definedName>
    <definedName name="BLPH769" hidden="1">#REF!</definedName>
    <definedName name="BLPH77" hidden="1">#REF!</definedName>
    <definedName name="BLPH770" hidden="1">#REF!</definedName>
    <definedName name="BLPH771" hidden="1">#REF!</definedName>
    <definedName name="BLPH772" hidden="1">#REF!</definedName>
    <definedName name="BLPH773" hidden="1">#REF!</definedName>
    <definedName name="BLPH774" hidden="1">#REF!</definedName>
    <definedName name="BLPH775" hidden="1">#REF!</definedName>
    <definedName name="BLPH776" hidden="1">#REF!</definedName>
    <definedName name="BLPH777" hidden="1">#REF!</definedName>
    <definedName name="BLPH778" hidden="1">#REF!</definedName>
    <definedName name="BLPH779" hidden="1">#REF!</definedName>
    <definedName name="BLPH78" hidden="1">#REF!</definedName>
    <definedName name="BLPH780" hidden="1">#REF!</definedName>
    <definedName name="BLPH781" hidden="1">#REF!</definedName>
    <definedName name="BLPH782" hidden="1">#REF!</definedName>
    <definedName name="BLPH783" hidden="1">#REF!</definedName>
    <definedName name="BLPH784" hidden="1">#REF!</definedName>
    <definedName name="BLPH785" hidden="1">#REF!</definedName>
    <definedName name="BLPH786" hidden="1">#REF!</definedName>
    <definedName name="BLPH787" hidden="1">#REF!</definedName>
    <definedName name="BLPH788" hidden="1">#REF!</definedName>
    <definedName name="BLPH789" hidden="1">#REF!</definedName>
    <definedName name="BLPH79" hidden="1">#REF!</definedName>
    <definedName name="BLPH790" hidden="1">#REF!</definedName>
    <definedName name="BLPH791" hidden="1">#REF!</definedName>
    <definedName name="BLPH792" hidden="1">#REF!</definedName>
    <definedName name="BLPH793" hidden="1">#REF!</definedName>
    <definedName name="BLPH794" hidden="1">#REF!</definedName>
    <definedName name="BLPH795" hidden="1">#REF!</definedName>
    <definedName name="BLPH796" hidden="1">#REF!</definedName>
    <definedName name="BLPH797" hidden="1">#REF!</definedName>
    <definedName name="BLPH798" hidden="1">#REF!</definedName>
    <definedName name="BLPH799" hidden="1">#REF!</definedName>
    <definedName name="BLPH8" localSheetId="10" hidden="1">#REF!</definedName>
    <definedName name="BLPH8" hidden="1">#REF!</definedName>
    <definedName name="BLPH80" hidden="1">#REF!</definedName>
    <definedName name="BLPH800" hidden="1">#REF!</definedName>
    <definedName name="BLPH801" hidden="1">#REF!</definedName>
    <definedName name="BLPH802" hidden="1">#REF!</definedName>
    <definedName name="BLPH803" hidden="1">#REF!</definedName>
    <definedName name="BLPH804" hidden="1">#REF!</definedName>
    <definedName name="BLPH805" hidden="1">#REF!</definedName>
    <definedName name="BLPH806" hidden="1">#REF!</definedName>
    <definedName name="BLPH807" hidden="1">#REF!</definedName>
    <definedName name="BLPH808" hidden="1">#REF!</definedName>
    <definedName name="BLPH809" hidden="1">#REF!</definedName>
    <definedName name="BLPH81" hidden="1">#REF!</definedName>
    <definedName name="BLPH810" hidden="1">#REF!</definedName>
    <definedName name="BLPH811" hidden="1">#REF!</definedName>
    <definedName name="BLPH812" hidden="1">#REF!</definedName>
    <definedName name="BLPH813" hidden="1">#REF!</definedName>
    <definedName name="BLPH814" hidden="1">#REF!</definedName>
    <definedName name="BLPH815" hidden="1">#REF!</definedName>
    <definedName name="BLPH816" hidden="1">#REF!</definedName>
    <definedName name="BLPH817" hidden="1">#REF!</definedName>
    <definedName name="BLPH818" hidden="1">#REF!</definedName>
    <definedName name="BLPH819" hidden="1">#REF!</definedName>
    <definedName name="BLPH82" hidden="1">#REF!</definedName>
    <definedName name="BLPH820" hidden="1">#REF!</definedName>
    <definedName name="BLPH821" hidden="1">#REF!</definedName>
    <definedName name="BLPH822" hidden="1">#REF!</definedName>
    <definedName name="BLPH823" hidden="1">#REF!</definedName>
    <definedName name="BLPH824" hidden="1">#REF!</definedName>
    <definedName name="BLPH825" hidden="1">#REF!</definedName>
    <definedName name="BLPH826" hidden="1">#REF!</definedName>
    <definedName name="BLPH827" hidden="1">#REF!</definedName>
    <definedName name="BLPH828" hidden="1">#REF!</definedName>
    <definedName name="BLPH829" hidden="1">#REF!</definedName>
    <definedName name="BLPH83" hidden="1">#REF!</definedName>
    <definedName name="BLPH830" hidden="1">#REF!</definedName>
    <definedName name="BLPH831" hidden="1">#REF!</definedName>
    <definedName name="BLPH832" hidden="1">#REF!</definedName>
    <definedName name="BLPH833" hidden="1">#REF!</definedName>
    <definedName name="BLPH834" hidden="1">#REF!</definedName>
    <definedName name="BLPH835" hidden="1">#REF!</definedName>
    <definedName name="BLPH836" hidden="1">#REF!</definedName>
    <definedName name="BLPH837" hidden="1">#REF!</definedName>
    <definedName name="BLPH838" hidden="1">#REF!</definedName>
    <definedName name="BLPH839" hidden="1">#REF!</definedName>
    <definedName name="BLPH84" hidden="1">#REF!</definedName>
    <definedName name="BLPH840" hidden="1">#REF!</definedName>
    <definedName name="BLPH841" hidden="1">#REF!</definedName>
    <definedName name="BLPH842" hidden="1">#REF!</definedName>
    <definedName name="BLPH843" hidden="1">#REF!</definedName>
    <definedName name="BLPH844" hidden="1">#REF!</definedName>
    <definedName name="BLPH845" hidden="1">#REF!</definedName>
    <definedName name="BLPH846" hidden="1">#REF!</definedName>
    <definedName name="BLPH847" hidden="1">#REF!</definedName>
    <definedName name="BLPH848" hidden="1">#REF!</definedName>
    <definedName name="BLPH85" hidden="1">#REF!</definedName>
    <definedName name="BLPH86" hidden="1">#REF!</definedName>
    <definedName name="BLPH860" hidden="1">#REF!</definedName>
    <definedName name="BLPH861" hidden="1">#REF!</definedName>
    <definedName name="BLPH862" hidden="1">#REF!</definedName>
    <definedName name="BLPH863" hidden="1">#REF!</definedName>
    <definedName name="BLPH864" hidden="1">#REF!</definedName>
    <definedName name="BLPH865" hidden="1">#REF!</definedName>
    <definedName name="BLPH866" hidden="1">#REF!</definedName>
    <definedName name="BLPH867" hidden="1">#REF!</definedName>
    <definedName name="BLPH868" hidden="1">#REF!</definedName>
    <definedName name="BLPH869" hidden="1">#REF!</definedName>
    <definedName name="BLPH87" hidden="1">#REF!</definedName>
    <definedName name="BLPH870" hidden="1">#REF!</definedName>
    <definedName name="BLPH871" hidden="1">#REF!</definedName>
    <definedName name="BLPH872" hidden="1">#REF!</definedName>
    <definedName name="BLPH873" hidden="1">#REF!</definedName>
    <definedName name="BLPH874" hidden="1">#REF!</definedName>
    <definedName name="BLPH875" hidden="1">#REF!</definedName>
    <definedName name="BLPH876" hidden="1">#REF!</definedName>
    <definedName name="BLPH877" hidden="1">#REF!</definedName>
    <definedName name="BLPH878" hidden="1">#REF!</definedName>
    <definedName name="BLPH879" hidden="1">#REF!</definedName>
    <definedName name="BLPH88" hidden="1">#REF!</definedName>
    <definedName name="BLPH880" hidden="1">#REF!</definedName>
    <definedName name="BLPH881" hidden="1">#REF!</definedName>
    <definedName name="BLPH882" hidden="1">#REF!</definedName>
    <definedName name="BLPH883" hidden="1">#REF!</definedName>
    <definedName name="BLPH884" hidden="1">#REF!</definedName>
    <definedName name="BLPH885" hidden="1">#REF!</definedName>
    <definedName name="BLPH886" hidden="1">#REF!</definedName>
    <definedName name="BLPH887" hidden="1">#REF!</definedName>
    <definedName name="BLPH888" hidden="1">#REF!</definedName>
    <definedName name="BLPH889" hidden="1">#REF!</definedName>
    <definedName name="BLPH89" hidden="1">#REF!</definedName>
    <definedName name="BLPH890" hidden="1">#REF!</definedName>
    <definedName name="BLPH891" hidden="1">#REF!</definedName>
    <definedName name="BLPH892" hidden="1">#REF!</definedName>
    <definedName name="BLPH893" hidden="1">#REF!</definedName>
    <definedName name="BLPH894" hidden="1">#REF!</definedName>
    <definedName name="BLPH895" hidden="1">#REF!</definedName>
    <definedName name="BLPH896" hidden="1">#REF!</definedName>
    <definedName name="BLPH897" hidden="1">#REF!</definedName>
    <definedName name="BLPH898" hidden="1">#REF!</definedName>
    <definedName name="BLPH899" hidden="1">#REF!</definedName>
    <definedName name="BLPH9" localSheetId="10" hidden="1">#REF!</definedName>
    <definedName name="BLPH9" hidden="1">#REF!</definedName>
    <definedName name="BLPH90" hidden="1">#REF!</definedName>
    <definedName name="BLPH900" hidden="1">#REF!</definedName>
    <definedName name="BLPH901" hidden="1">#REF!</definedName>
    <definedName name="BLPH902" hidden="1">#REF!</definedName>
    <definedName name="BLPH903" hidden="1">#REF!</definedName>
    <definedName name="BLPH904" hidden="1">#REF!</definedName>
    <definedName name="BLPH905" hidden="1">#REF!</definedName>
    <definedName name="BLPH906" hidden="1">#REF!</definedName>
    <definedName name="BLPH907" hidden="1">#REF!</definedName>
    <definedName name="BLPH908" hidden="1">#REF!</definedName>
    <definedName name="BLPH909" hidden="1">#REF!</definedName>
    <definedName name="BLPH91" hidden="1">#REF!</definedName>
    <definedName name="BLPH910" hidden="1">#REF!</definedName>
    <definedName name="BLPH911" hidden="1">#REF!</definedName>
    <definedName name="BLPH912" hidden="1">#REF!</definedName>
    <definedName name="BLPH913" hidden="1">#REF!</definedName>
    <definedName name="BLPH914" hidden="1">#REF!</definedName>
    <definedName name="BLPH915" hidden="1">#REF!</definedName>
    <definedName name="BLPH916" hidden="1">#REF!</definedName>
    <definedName name="BLPH917" hidden="1">#REF!</definedName>
    <definedName name="BLPH918" hidden="1">#REF!</definedName>
    <definedName name="BLPH919" hidden="1">#REF!</definedName>
    <definedName name="BLPH92" hidden="1">#REF!</definedName>
    <definedName name="BLPH920" hidden="1">#REF!</definedName>
    <definedName name="BLPH921" hidden="1">#REF!</definedName>
    <definedName name="BLPH922" hidden="1">#REF!</definedName>
    <definedName name="BLPH923" hidden="1">#REF!</definedName>
    <definedName name="BLPH924" hidden="1">#REF!</definedName>
    <definedName name="BLPH925" hidden="1">#REF!</definedName>
    <definedName name="BLPH926" hidden="1">#REF!</definedName>
    <definedName name="BLPH927" hidden="1">#REF!</definedName>
    <definedName name="BLPH928" hidden="1">#REF!</definedName>
    <definedName name="BLPH929" hidden="1">#REF!</definedName>
    <definedName name="BLPH93" hidden="1">#REF!</definedName>
    <definedName name="BLPH930" hidden="1">#REF!</definedName>
    <definedName name="BLPH931" hidden="1">#REF!</definedName>
    <definedName name="BLPH932" hidden="1">#REF!</definedName>
    <definedName name="BLPH933" hidden="1">#REF!</definedName>
    <definedName name="BLPH934" hidden="1">#REF!</definedName>
    <definedName name="BLPH935" hidden="1">#REF!</definedName>
    <definedName name="BLPH936" hidden="1">#REF!</definedName>
    <definedName name="BLPH937" hidden="1">#REF!</definedName>
    <definedName name="BLPH938" hidden="1">#REF!</definedName>
    <definedName name="BLPH939" hidden="1">#REF!</definedName>
    <definedName name="BLPH94" hidden="1">#REF!</definedName>
    <definedName name="BLPH940" hidden="1">#REF!</definedName>
    <definedName name="BLPH941" hidden="1">#REF!</definedName>
    <definedName name="BLPH942" hidden="1">#REF!</definedName>
    <definedName name="BLPH943" hidden="1">#REF!</definedName>
    <definedName name="BLPH944" hidden="1">#REF!</definedName>
    <definedName name="BLPH945" hidden="1">#REF!</definedName>
    <definedName name="BLPH946" hidden="1">#REF!</definedName>
    <definedName name="BLPH947" hidden="1">#REF!</definedName>
    <definedName name="BLPH948" hidden="1">#REF!</definedName>
    <definedName name="BLPH949" hidden="1">#REF!</definedName>
    <definedName name="BLPH95" hidden="1">#REF!</definedName>
    <definedName name="BLPH950" hidden="1">#REF!</definedName>
    <definedName name="BLPH951" hidden="1">#REF!</definedName>
    <definedName name="BLPH952" hidden="1">#REF!</definedName>
    <definedName name="BLPH953" hidden="1">#REF!</definedName>
    <definedName name="BLPH954" hidden="1">#REF!</definedName>
    <definedName name="BLPH955" hidden="1">#REF!</definedName>
    <definedName name="BLPH956" hidden="1">#REF!</definedName>
    <definedName name="BLPH957" hidden="1">#REF!</definedName>
    <definedName name="BLPH958" hidden="1">#REF!</definedName>
    <definedName name="BLPH959" hidden="1">#REF!</definedName>
    <definedName name="BLPH96" hidden="1">#REF!</definedName>
    <definedName name="BLPH960" hidden="1">#REF!</definedName>
    <definedName name="BLPH961" hidden="1">#REF!</definedName>
    <definedName name="BLPH962" hidden="1">#REF!</definedName>
    <definedName name="BLPH963" hidden="1">#REF!</definedName>
    <definedName name="BLPH964" hidden="1">#REF!</definedName>
    <definedName name="BLPH965" hidden="1">#REF!</definedName>
    <definedName name="BLPH966" hidden="1">#REF!</definedName>
    <definedName name="BLPH967" hidden="1">#REF!</definedName>
    <definedName name="BLPH968" hidden="1">#REF!</definedName>
    <definedName name="BLPH969" hidden="1">#REF!</definedName>
    <definedName name="BLPH97" hidden="1">#REF!</definedName>
    <definedName name="BLPH970" hidden="1">#REF!</definedName>
    <definedName name="BLPH971" hidden="1">#REF!</definedName>
    <definedName name="BLPH972" hidden="1">#REF!</definedName>
    <definedName name="BLPH973" hidden="1">#REF!</definedName>
    <definedName name="BLPH974" hidden="1">#REF!</definedName>
    <definedName name="BLPH975" hidden="1">#REF!</definedName>
    <definedName name="BLPH976" hidden="1">#REF!</definedName>
    <definedName name="BLPH977" hidden="1">#REF!</definedName>
    <definedName name="BLPH978" hidden="1">#REF!</definedName>
    <definedName name="BLPH979" hidden="1">#REF!</definedName>
    <definedName name="BLPH98" hidden="1">#REF!</definedName>
    <definedName name="BLPH980" hidden="1">#REF!</definedName>
    <definedName name="BLPH981" hidden="1">#REF!</definedName>
    <definedName name="BLPH982" hidden="1">#REF!</definedName>
    <definedName name="BLPH983" hidden="1">#REF!</definedName>
    <definedName name="BLPH984" hidden="1">#REF!</definedName>
    <definedName name="BLPH985" hidden="1">#REF!</definedName>
    <definedName name="BLPH986" hidden="1">#REF!</definedName>
    <definedName name="BLPH987" hidden="1">#REF!</definedName>
    <definedName name="BLPH988" hidden="1">#REF!</definedName>
    <definedName name="BLPH989" hidden="1">#REF!</definedName>
    <definedName name="BLPH99" hidden="1">#REF!</definedName>
    <definedName name="BLPH990" hidden="1">#REF!</definedName>
    <definedName name="BLPH991" hidden="1">#REF!</definedName>
    <definedName name="BLPH992" hidden="1">#REF!</definedName>
    <definedName name="BLPH993" hidden="1">#REF!</definedName>
    <definedName name="BLPH994" hidden="1">#REF!</definedName>
    <definedName name="BLPH995" hidden="1">#REF!</definedName>
    <definedName name="BLPH996" hidden="1">#REF!</definedName>
    <definedName name="BLPH997" hidden="1">#REF!</definedName>
    <definedName name="BLPH998" hidden="1">#REF!</definedName>
    <definedName name="BLPH999" hidden="1">#REF!</definedName>
    <definedName name="BM" localSheetId="10" hidden="1">{#N/A,#N/A,FALSE,"CCTV"}</definedName>
    <definedName name="BM" localSheetId="9" hidden="1">{#N/A,#N/A,FALSE,"CCTV"}</definedName>
    <definedName name="BM" hidden="1">{#N/A,#N/A,FALSE,"CCTV"}</definedName>
    <definedName name="BNE_MESSAGES_HIDDEN" hidden="1">#REF!</definedName>
    <definedName name="bnm" localSheetId="10" hidden="1">{#N/A,#N/A,FALSE,"REPORT"}</definedName>
    <definedName name="bnm" localSheetId="9" hidden="1">{#N/A,#N/A,FALSE,"REPORT"}</definedName>
    <definedName name="bnm" hidden="1">{#N/A,#N/A,FALSE,"REPORT"}</definedName>
    <definedName name="bob" localSheetId="10" hidden="1">{"Titles",#N/A,FALSE,"Titles";"Schedule 5",#N/A,FALSE,"Schedule 5";"Schedule 6",#N/A,FALSE,"Schedule 6";"Schedule 7",#N/A,FALSE,"Schedule 7";"Schedule 8",#N/A,FALSE,"Schedule 8";"Schedule 9",#N/A,FALSE,"Schedule 9";"Schedule 10",#N/A,FALSE,"Schedule 10";"schedule 11",#N/A,FALSE,"Schedule 11";"schedule 12",#N/A,FALSE,"Schedule 12";"schedule 13",#N/A,FALSE,"Schedule 13";"schedule 14",#N/A,FALSE,"Schedule 14";"schedule 15",#N/A,FALSE,"Schedule 15"}</definedName>
    <definedName name="bob" localSheetId="9" hidden="1">{"Titles",#N/A,FALSE,"Titles";"Schedule 5",#N/A,FALSE,"Schedule 5";"Schedule 6",#N/A,FALSE,"Schedule 6";"Schedule 7",#N/A,FALSE,"Schedule 7";"Schedule 8",#N/A,FALSE,"Schedule 8";"Schedule 9",#N/A,FALSE,"Schedule 9";"Schedule 10",#N/A,FALSE,"Schedule 10";"schedule 11",#N/A,FALSE,"Schedule 11";"schedule 12",#N/A,FALSE,"Schedule 12";"schedule 13",#N/A,FALSE,"Schedule 13";"schedule 14",#N/A,FALSE,"Schedule 14";"schedule 15",#N/A,FALSE,"Schedule 15"}</definedName>
    <definedName name="bob" hidden="1">{"Titles",#N/A,FALSE,"Titles";"Schedule 5",#N/A,FALSE,"Schedule 5";"Schedule 6",#N/A,FALSE,"Schedule 6";"Schedule 7",#N/A,FALSE,"Schedule 7";"Schedule 8",#N/A,FALSE,"Schedule 8";"Schedule 9",#N/A,FALSE,"Schedule 9";"Schedule 10",#N/A,FALSE,"Schedule 10";"schedule 11",#N/A,FALSE,"Schedule 11";"schedule 12",#N/A,FALSE,"Schedule 12";"schedule 13",#N/A,FALSE,"Schedule 13";"schedule 14",#N/A,FALSE,"Schedule 14";"schedule 15",#N/A,FALSE,"Schedule 15"}</definedName>
    <definedName name="bob_1" localSheetId="10" hidden="1">{"Titles",#N/A,FALSE,"Titles";"Schedule 5",#N/A,FALSE,"Schedule 5";"Schedule 6",#N/A,FALSE,"Schedule 6";"Schedule 7",#N/A,FALSE,"Schedule 7";"Schedule 8",#N/A,FALSE,"Schedule 8";"Schedule 9",#N/A,FALSE,"Schedule 9";"Schedule 10",#N/A,FALSE,"Schedule 10";"schedule 11",#N/A,FALSE,"Schedule 11";"schedule 12",#N/A,FALSE,"Schedule 12";"schedule 13",#N/A,FALSE,"Schedule 13";"schedule 14",#N/A,FALSE,"Schedule 14";"schedule 15",#N/A,FALSE,"Schedule 15"}</definedName>
    <definedName name="bob_1" localSheetId="9" hidden="1">{"Titles",#N/A,FALSE,"Titles";"Schedule 5",#N/A,FALSE,"Schedule 5";"Schedule 6",#N/A,FALSE,"Schedule 6";"Schedule 7",#N/A,FALSE,"Schedule 7";"Schedule 8",#N/A,FALSE,"Schedule 8";"Schedule 9",#N/A,FALSE,"Schedule 9";"Schedule 10",#N/A,FALSE,"Schedule 10";"schedule 11",#N/A,FALSE,"Schedule 11";"schedule 12",#N/A,FALSE,"Schedule 12";"schedule 13",#N/A,FALSE,"Schedule 13";"schedule 14",#N/A,FALSE,"Schedule 14";"schedule 15",#N/A,FALSE,"Schedule 15"}</definedName>
    <definedName name="bob_1" hidden="1">{"Titles",#N/A,FALSE,"Titles";"Schedule 5",#N/A,FALSE,"Schedule 5";"Schedule 6",#N/A,FALSE,"Schedule 6";"Schedule 7",#N/A,FALSE,"Schedule 7";"Schedule 8",#N/A,FALSE,"Schedule 8";"Schedule 9",#N/A,FALSE,"Schedule 9";"Schedule 10",#N/A,FALSE,"Schedule 10";"schedule 11",#N/A,FALSE,"Schedule 11";"schedule 12",#N/A,FALSE,"Schedule 12";"schedule 13",#N/A,FALSE,"Schedule 13";"schedule 14",#N/A,FALSE,"Schedule 14";"schedule 15",#N/A,FALSE,"Schedule 15"}</definedName>
    <definedName name="boh" localSheetId="10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boh" localSheetId="9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boh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book1" localSheetId="10" hidden="1">{#N/A,#N/A,FALSE,"UNIT";#N/A,#N/A,FALSE,"UNIT";#N/A,#N/A,FALSE,"계정"}</definedName>
    <definedName name="book1" localSheetId="9" hidden="1">{#N/A,#N/A,FALSE,"UNIT";#N/A,#N/A,FALSE,"UNIT";#N/A,#N/A,FALSE,"계정"}</definedName>
    <definedName name="book1" hidden="1">{#N/A,#N/A,FALSE,"UNIT";#N/A,#N/A,FALSE,"UNIT";#N/A,#N/A,FALSE,"계정"}</definedName>
    <definedName name="BPR_01" localSheetId="10" hidden="1">{#N/A,#N/A,FALSE,"BS";#N/A,#N/A,FALSE,"PL";#N/A,#N/A,FALSE,"처분";#N/A,#N/A,FALSE,"현금";#N/A,#N/A,FALSE,"매출";#N/A,#N/A,FALSE,"원가";#N/A,#N/A,FALSE,"경영"}</definedName>
    <definedName name="BPR_01" localSheetId="9" hidden="1">{#N/A,#N/A,FALSE,"BS";#N/A,#N/A,FALSE,"PL";#N/A,#N/A,FALSE,"처분";#N/A,#N/A,FALSE,"현금";#N/A,#N/A,FALSE,"매출";#N/A,#N/A,FALSE,"원가";#N/A,#N/A,FALSE,"경영"}</definedName>
    <definedName name="BPR_01" hidden="1">{#N/A,#N/A,FALSE,"BS";#N/A,#N/A,FALSE,"PL";#N/A,#N/A,FALSE,"처분";#N/A,#N/A,FALSE,"현금";#N/A,#N/A,FALSE,"매출";#N/A,#N/A,FALSE,"원가";#N/A,#N/A,FALSE,"경영"}</definedName>
    <definedName name="Breakdown" localSheetId="10" hidden="1">{"summary",#N/A,FALSE,"2000 vs 1999";"detail",#N/A,FALSE,"2000 vs 1999"}</definedName>
    <definedName name="Breakdown" localSheetId="9" hidden="1">{"summary",#N/A,FALSE,"2000 vs 1999";"detail",#N/A,FALSE,"2000 vs 1999"}</definedName>
    <definedName name="Breakdown" hidden="1">{"summary",#N/A,FALSE,"2000 vs 1999";"detail",#N/A,FALSE,"2000 vs 1999"}</definedName>
    <definedName name="Breakdown_1" localSheetId="10" hidden="1">{"summary",#N/A,FALSE,"2000 vs 1999";"detail",#N/A,FALSE,"2000 vs 1999"}</definedName>
    <definedName name="Breakdown_1" localSheetId="9" hidden="1">{"summary",#N/A,FALSE,"2000 vs 1999";"detail",#N/A,FALSE,"2000 vs 1999"}</definedName>
    <definedName name="Breakdown_1" hidden="1">{"summary",#N/A,FALSE,"2000 vs 1999";"detail",#N/A,FALSE,"2000 vs 1999"}</definedName>
    <definedName name="Bridge" localSheetId="10" hidden="1">{"'Highlights'!$A$1:$M$123"}</definedName>
    <definedName name="Bridge" localSheetId="9" hidden="1">{"'Highlights'!$A$1:$M$123"}</definedName>
    <definedName name="Bridge" hidden="1">{"'Highlights'!$A$1:$M$123"}</definedName>
    <definedName name="Bridge_1" localSheetId="10" hidden="1">{"'Highlights'!$A$1:$M$123"}</definedName>
    <definedName name="Bridge_1" localSheetId="9" hidden="1">{"'Highlights'!$A$1:$M$123"}</definedName>
    <definedName name="Bridge_1" hidden="1">{"'Highlights'!$A$1:$M$123"}</definedName>
    <definedName name="BS차이내역" localSheetId="10" hidden="1">{#N/A,#N/A,FALSE,"정공"}</definedName>
    <definedName name="BS차이내역" localSheetId="9" hidden="1">{#N/A,#N/A,FALSE,"정공"}</definedName>
    <definedName name="BS차이내역" hidden="1">{#N/A,#N/A,FALSE,"정공"}</definedName>
    <definedName name="BS추정" localSheetId="10" hidden="1">{"'보고양식'!$A$58:$K$111"}</definedName>
    <definedName name="BS추정" localSheetId="9" hidden="1">{"'보고양식'!$A$58:$K$111"}</definedName>
    <definedName name="BS추정" hidden="1">{"'보고양식'!$A$58:$K$111"}</definedName>
    <definedName name="Buyers_Label" hidden="1">#REF!</definedName>
    <definedName name="C_40" localSheetId="1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C_40" localSheetId="9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C_4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CAPA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9798" localSheetId="10" hidden="1">{#N/A,#N/A,FALSE,"P.C.B"}</definedName>
    <definedName name="CAPA9798" localSheetId="9" hidden="1">{#N/A,#N/A,FALSE,"P.C.B"}</definedName>
    <definedName name="CAPA9798" hidden="1">{#N/A,#N/A,FALSE,"P.C.B"}</definedName>
    <definedName name="CAPEX98" hidden="1">#REF!</definedName>
    <definedName name="cas" localSheetId="1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as" localSheetId="9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a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ashflow20030930" localSheetId="1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shflow20030930" localSheetId="9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shflow2003093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b_Chart_1_opts" hidden="1">"1, 5, 1, False, 2, True, False, , 0, False, False, 1, 1"</definedName>
    <definedName name="cb_Chart_2_opts" hidden="1">"1, 1, 1, False, 2, False, False, , 0, False, False, 1, 1"</definedName>
    <definedName name="cb_Chart_3_opts" hidden="1">"1, 1, 1, False, 2, False, False, , 0, False, False, 1, 1"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489E789_opts" hidden="1">"2, 1, 2, True, 2, False, False, , 0, False, True, 2, 2"</definedName>
    <definedName name="cb_sChart1489EC54_opts" hidden="1">"2, 1, 2, True, 2, False, False, , 0, False, True, 2, 2"</definedName>
    <definedName name="cb_sChart16EBA7BA_opts" hidden="1">"1, 1, 1, False, 2, True, False, , 0, False, True, 1, 2"</definedName>
    <definedName name="cb_sChart1747F65E_opts" hidden="1">"2, 1, 2, True, 2, False, False, , 0, False, True, 1, 1"</definedName>
    <definedName name="cb_sChart1749F803_opts" hidden="1">"1, 1, 1, False, 2, True, False, , 0, False, False, 1, 1"</definedName>
    <definedName name="cb_sChart174A0AB0_opts" hidden="1">"1, 1, 1, False, 2, False, False, , 0, False, False, 2, 1"</definedName>
    <definedName name="cb_sChart174C8BEB_opts" hidden="1">"1, 9, 1, False, 2, False, False, , 0, False, True, 1, 1"</definedName>
    <definedName name="cb_sChart174C8EAD_opts" hidden="1">"1, 9, 1, False, 2, False, False, , 0, False, False, 1, 1"</definedName>
    <definedName name="cb_sChart174C909E_opts" hidden="1">"1, 9, 1, False, 2, False, False, , 0, False, True, 1, 1"</definedName>
    <definedName name="cb_sChart174E2C44_opts" hidden="1">"2, 1, 2, True, 2, False, False, , 0, False, True, 1, 1"</definedName>
    <definedName name="cb_sChart1754A686_opts" hidden="1">"1, 10, 1, False, 2, False, False, , 0, False, False, 2, 2"</definedName>
    <definedName name="cb_sChart1755F643_opts" hidden="1">"1, 1, 1, False, 2, False, False, , 0, False, False, 2, 1"</definedName>
    <definedName name="cb_sChart1755FC0D_opts" hidden="1">"1, 1, 1, False, 2, True, False, , 0, False, False, 2, 1"</definedName>
    <definedName name="cb_sChart175849A6_opts" hidden="1">"1, 1, 1, False, 2, False, False, , 0, False, False, 2, 1"</definedName>
    <definedName name="cb_sChart175885B1_opts" hidden="1">"1, 1, 1, False, 2, False, False, , 0, False, False, 1, 1"</definedName>
    <definedName name="cb_sChart175890FE_opts" hidden="1">"1, 1, 1, False, 2, True, False, , 0, False, False, 1, 1"</definedName>
    <definedName name="cb_sChart1765309A_opts" hidden="1">"2, 1, 2, True, 2, False, False, , 0, False, True, 1, 1"</definedName>
    <definedName name="cb_sChart1769A36D_opts" hidden="1">"2, 1, 2, True, 2, False, False, , 0, False, True, 1, 1"</definedName>
    <definedName name="cb_sChart1769CA15_opts" hidden="1">"1, 9, 1, False, 2, False, False, , 0, False, True, 1, 1"</definedName>
    <definedName name="cb_sChart182C6410_opts" hidden="1">"1, 1, 1, False, 2, True, False, , 0, False, False, 2, 2"</definedName>
    <definedName name="cb_sChart182C682D_opts" hidden="1">"2, 1, 1, False, 2, False, False, , 0, False, False, 2, 2"</definedName>
    <definedName name="cb_sChart182C6A08_opts" hidden="1">"2, 1, 1, True, 2, False, False, , 0, False, True, 2, 2"</definedName>
    <definedName name="cb_sChart182C8139_opts" hidden="1">"1, 10, 1, False, 2, False, False, , 0, False, False, 1, 1"</definedName>
    <definedName name="cb_sChart182CA784_opts" hidden="1">"2, 1, 1, True, 2, False, False, , 0, False, True, 2, 2"</definedName>
    <definedName name="cb_sChart182CB588_opts" hidden="1">"1, 1, 1, False, 2, True, False, , 0, False, False, 2, 2"</definedName>
    <definedName name="cb_sChart182CB687_opts" hidden="1">"1, 1, 1, False, 2, True, False, , 0, False, False, 2, 2"</definedName>
    <definedName name="cb_sChart182CB729_opts" hidden="1">"1, 1, 1, False, 2, True, False, , 0, False, False, 2, 2"</definedName>
    <definedName name="cb_sChart182CB879_opts" hidden="1">"1, 1, 1, False, 2, True, False, , 0, False, False, 2, 2"</definedName>
    <definedName name="cb_sChart182CCD73_opts" hidden="1">"2, 1, 2, True, 2, False, False, , 0, False, True, 1, 1"</definedName>
    <definedName name="cb_sChart182D26A7_opts" hidden="1">"1, 9, 1, False, 2, False, False, , 0, False, True, 1, 1"</definedName>
    <definedName name="cb_sChart182EE412_opts" hidden="1">"1, 3, 1, False, 2, False, False, , 0, False, False, 2, 2"</definedName>
    <definedName name="cb_sChart182EE7EA_opts" hidden="1">"1, 3, 1, False, 2, True, False, , 0, False, True, 2, 2"</definedName>
    <definedName name="cb_sChart182EEAFD_opts" hidden="1">"1, 3, 1, False, 2, False, False, , 0, False, True, 1, 1"</definedName>
    <definedName name="cb_sChart182EEB7C_opts" hidden="1">"1, 3, 1, False, 2, False, False, , 0, False, True, 2, 2"</definedName>
    <definedName name="cb_sChart182EFA23_opts" hidden="1">"1, 3, 1, False, 2, False, False, , 0, False, True, 2, 2"</definedName>
    <definedName name="cb_sChart182F2AF6_opts" hidden="1">"1, 10, 1, False, 2, False, False, , 0, False, False, 1, 1"</definedName>
    <definedName name="cb_sChart182F2C80_opts" hidden="1">"1, 10, 1, False, 2, False, False, , 0, False, False, 1, 1"</definedName>
    <definedName name="cb_sChart182F3616_opts" hidden="1">"1, 10, 1, False, 2, False, False, , 0, False, False, 1, 1"</definedName>
    <definedName name="cb_sChart182F379F_opts" hidden="1">"1, 10, 1, False, 2, False, False, , 0, False, False, 1, 1"</definedName>
    <definedName name="cb_sChart182F6E6B_opts" hidden="1">"1, 1, 1, False, 2, True, False, , 0, False, False, 1, 2"</definedName>
    <definedName name="cb_sChart182F8534_opts" hidden="1">"1, 1, 1, False, 2, True, False, , 0, False, False, 2, 2"</definedName>
    <definedName name="cb_sChart182F90BC_opts" hidden="1">"1, 1, 1, False, 2, True, False, , 0, False, False, 2, 2"</definedName>
    <definedName name="cb_sChart18446126_opts" hidden="1">"2, 1, 2, True, 2, False, False, , 0, False, True, 1, 1"</definedName>
    <definedName name="cb_sChart1844654F_opts" hidden="1">"1, 9, 1, False, 2, False, False, , 0, False, True, 1, 1"</definedName>
    <definedName name="cb_sChart189C3065_opts" hidden="1">"2, 1, 2, True, 2, False, False, , 0, False, True, 1, 1"</definedName>
    <definedName name="cb_sChart18D72224_opts" hidden="1">"2, 1, 2, True, 2, False, False, , 0, False, True, 1, 1"</definedName>
    <definedName name="cb_sChart19DDC996_opts" hidden="1">"1, 10, 1, False, 2, False, False, , 0, False, False, 2, 2"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b_sChart1B1BE962_opts" hidden="1">"1, 1, 1, False, 2, True, False, , 0, False, True, 1, 1"</definedName>
    <definedName name="cb_sChart1B1BEC47_opts" hidden="1">"1, 1, 1, False, 2, True, False, , 0, False, False, 1, 1"</definedName>
    <definedName name="cb_sChart1B1BEDFF_opts" hidden="1">"1, 1, 1, False, 2, True, False, , 0, False, False, 1, 1"</definedName>
    <definedName name="cb_sChart1B1BF0B5_opts" hidden="1">"1, 1, 1, False, 2, True, False, , 0, False, False, 1, 1"</definedName>
    <definedName name="cb_sChart1B1BF228_opts" hidden="1">"1, 1, 1, False, 2, True, False, , 0, False, False, 1, 1"</definedName>
    <definedName name="cb_sChart1B1BF30F_opts" hidden="1">"1, 1, 1, False, 2, True, False, , 0, False, False, 1, 2"</definedName>
    <definedName name="cb_sChart1B1BF48D_opts" hidden="1">"1, 1, 1, False, 2, True, False, , 0, False, False, 1, 1"</definedName>
    <definedName name="cb_sChart1B1BF772_opts" hidden="1">"2, 1, 1, False, 2, False, False, , 0, False, False, 1, 1"</definedName>
    <definedName name="cb_sChart1B2A786B_opts" hidden="1">"1, 9, 1, False, 2, False, False, , 0, False, True, 1, 1"</definedName>
    <definedName name="cb_sChart1B36F9D3_opts" hidden="1">"2, 1, 1, False, 2, False, False, , 0, False, False, 1, 1"</definedName>
    <definedName name="cb_sChart1B36FA69_opts" hidden="1">"2, 1, 1, True, 2, False, False, , 0, False, True, 1, 1"</definedName>
    <definedName name="cb_sChart1B36FB17_opts" hidden="1">"2, 1, 2, True, 2, False, False, , 0, False, True, 1, 1"</definedName>
    <definedName name="cb_sChart1B3899A2_opts" hidden="1">"1, 9, 1, False, 2, False, False, , 0, False, True, 1, 1"</definedName>
    <definedName name="cb_sChart1B597E8A_opts" hidden="1">"1, 3, 1, False, 2, False, False, , 0, False, False, 1, 1"</definedName>
    <definedName name="cb_sChart1B598BC9_opts" hidden="1">"1, 3, 1, False, 2, False, False, , 0, False, True, 1, 1"</definedName>
    <definedName name="cb_sChart1B598CA5_opts" hidden="1">"1, 3, 1, False, 2, True, False, , 0, False, False, 1, 1"</definedName>
    <definedName name="cb_sChart1B598D98_opts" hidden="1">"1, 5, 1, False, 2, False, False, , 0, False, False, 1, 1"</definedName>
    <definedName name="cb_sChart1B598E69_opts" hidden="1">"1, 3, 1, False, 2, False, False, , 0, False, True, 1, 1"</definedName>
    <definedName name="cb_sChart1B59DA46_opts" hidden="1">"1, 3, 1, False, 2, True, False, , 0, False, True, 1, 2"</definedName>
    <definedName name="cb_sChart1B59F03F_opts" hidden="1">"1, 3, 1, False, 2, True, False, , 0, False, True, 1, 2"</definedName>
    <definedName name="cb_sChart1B76B73C_opts" hidden="1">"2, 1, 2, True, 2, False, False, , 0, False, True, 1, 1"</definedName>
    <definedName name="cb_sChart1B76EB51_opts" hidden="1">"1, 9, 1, False, 2, False, False, , 0, False, True, 1, 1"</definedName>
    <definedName name="cb_sChart1B854864_opts" hidden="1">"2, 1, 2, True, 2, False, False, , 0, False, True, 1, 1"</definedName>
    <definedName name="cb_sChart1B855A06_opts" hidden="1">"2, 1, 2, True, 2, False, False, , 0, False, True, 1, 1"</definedName>
    <definedName name="cb_sChart1B857654_opts" hidden="1">"1, 3, 1, False, 2, True, False, , 0, False, True, 1, 1"</definedName>
    <definedName name="cb_sChart1B8582DA_opts" hidden="1">"1, 5, 1, False, 2, False, False, , 0, False, False, 1, 1"</definedName>
    <definedName name="cb_sChart1B85949E_opts" hidden="1">"2, 1, 1, False, 2, False, False, , 0, False, False, 1, 1"</definedName>
    <definedName name="cb_sChart1B90E804_opts" hidden="1">"1, 1, 1, False, 2, True, False, , 0, False, False, 1, 1"</definedName>
    <definedName name="cb_sChart1B90EF28_opts" hidden="1">"1, 1, 1, False, 2, True, False, , 0, False, False, 1, 1"</definedName>
    <definedName name="cb_sChart1B90FE93_opts" hidden="1">"1, 1, 1, False, 2, True, False, , 0, False, False, 1, 1"</definedName>
    <definedName name="cb_sChart1B910758_opts" hidden="1">"2, 1, 2, True, 2, False, False, , 0, False, True, 1, 1"</definedName>
    <definedName name="cb_sChart1B911376_opts" hidden="1">"1, 1, 1, False, 2, True, False, , 0, False, False, 1, 1"</definedName>
    <definedName name="cb_sChart1B911C6A_opts" hidden="1">"2, 1, 1, False, 2, True, False, , 0, False, False, 1, 1"</definedName>
    <definedName name="cb_sChart1B912893_opts" hidden="1">"1, 6, 1, False, 2, False, False, , 0, False, False, 1, 1"</definedName>
    <definedName name="cb_sChart1C3BD6A6_opts" hidden="1">"1, 10, 1, False, 2, False, False, , 0, False, False, 1, 1"</definedName>
    <definedName name="cb_sChart1C57CB5C_opts" hidden="1">"1, 10, 1, False, 2, False, False, , 0, False, False, 1, 1"</definedName>
    <definedName name="cb_sChart1C5896AD_opts" hidden="1">"1, 10, 1, False, 2, False, False, , 0, False, False, 1, 1"</definedName>
    <definedName name="cb_sChart1C589842_opts" hidden="1">"1, 10, 1, False, 2, False, False, , 0, False, False, 1, 1"</definedName>
    <definedName name="cb_sChart1C5FD194_opts" hidden="1">"2, 1, 2, True, 2, False, False, , 0, False, True, 1, 1"</definedName>
    <definedName name="cb_sChart1C5FEB93_opts" hidden="1">"2, 1, 2, True, 2, False, False, , 0, False, True, 1, 1"</definedName>
    <definedName name="cb_sChart1C6D61E4_opts" hidden="1">"2, 1, 3, False, 2, False, False, , 0, False, False, 1, 1"</definedName>
    <definedName name="cb_sChart1D4AB240_opts" hidden="1">"1, 9, 1, False, 2, False, False, , 0, False, True, 2, 2"</definedName>
    <definedName name="cb_sChart1D5372A5_opts" hidden="1">"1, 5, 1, False, 2, False, False, , 0, False, False, 1, 1"</definedName>
    <definedName name="cb_sChart250B349A_opts" hidden="1">"2, 1, 1, True, 2, False, False, , 0, False, False, 1, 1"</definedName>
    <definedName name="cb_sChart250B5702_opts" hidden="1">"2, 1, 1, False, 2, False, False, , 0, False, False, 1, 1"</definedName>
    <definedName name="cb_sChart250B585D_opts" hidden="1">"2, 1, 1, True, 2, False, False, , 0, False, False, 1, 1"</definedName>
    <definedName name="cb_sChart41E9A35_opts" hidden="1">"1, 9, 1, False, 2, False, False, , 0, False, True, 1, 1"</definedName>
    <definedName name="cb_sChart68E08A4_opts" hidden="1">"1, 1, 1, False, 2, True, False, , 0, False, False, 2, 2"</definedName>
    <definedName name="cb_sChart6F544DD_opts" hidden="1">"1, 3, 1, False, 2, False, False, , 0, False, False, 2, 1"</definedName>
    <definedName name="cb_sChart74FE4B0_opts" hidden="1">"1, 4, 1, False, 2, True, False, , 0, False, False, 1, 1"</definedName>
    <definedName name="cb_sChart74FE8FC_opts" hidden="1">"1, 4, 1, False, 2, True, False, , 0, False, False, 1, 1"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046D89_opts" hidden="1">"1, 1, 1, False, 2, True, False, , 1, False, False, 1, 1"</definedName>
    <definedName name="cb_sChartF048B26_opts" hidden="1">"1, 5, 1, False, 2, False, False, , 1, False, False, 1, 2"</definedName>
    <definedName name="cb_sChartF2B7B01_opts" hidden="1">"1, 1, 1, False, 2, True, False, , 1, False, False,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WorkbookPriority" hidden="1">-1215586120</definedName>
    <definedName name="cc" localSheetId="10" hidden="1">{#N/A,#N/A,FALSE,"Marketing";#N/A,#N/A,FALSE,"Selling";#N/A,#N/A,FALSE,"Promotional";#N/A,#N/A,FALSE,"Advertising"}</definedName>
    <definedName name="cc" localSheetId="9" hidden="1">{#N/A,#N/A,FALSE,"Marketing";#N/A,#N/A,FALSE,"Selling";#N/A,#N/A,FALSE,"Promotional";#N/A,#N/A,FALSE,"Advertising"}</definedName>
    <definedName name="cc" hidden="1">{#N/A,#N/A,FALSE,"Marketing";#N/A,#N/A,FALSE,"Selling";#N/A,#N/A,FALSE,"Promotional";#N/A,#N/A,FALSE,"Advertising"}</definedName>
    <definedName name="ccc" hidden="1">#REF!</definedName>
    <definedName name="ccccd" localSheetId="10" hidden="1">{#N/A,#N/A,FALSE,"Corporate_Digital";#N/A,#N/A,FALSE,"Corporate_Analog";#N/A,#N/A,FALSE,"RetailDigBuckets";#N/A,#N/A,FALSE,"Retail_19.99";#N/A,#N/A,FALSE,"Companion Plan"}</definedName>
    <definedName name="ccccd" localSheetId="9" hidden="1">{#N/A,#N/A,FALSE,"Corporate_Digital";#N/A,#N/A,FALSE,"Corporate_Analog";#N/A,#N/A,FALSE,"RetailDigBuckets";#N/A,#N/A,FALSE,"Retail_19.99";#N/A,#N/A,FALSE,"Companion Plan"}</definedName>
    <definedName name="ccccd" hidden="1">{#N/A,#N/A,FALSE,"Corporate_Digital";#N/A,#N/A,FALSE,"Corporate_Analog";#N/A,#N/A,FALSE,"RetailDigBuckets";#N/A,#N/A,FALSE,"Retail_19.99";#N/A,#N/A,FALSE,"Companion Plan"}</definedName>
    <definedName name="ccccd_1" localSheetId="10" hidden="1">{#N/A,#N/A,FALSE,"Corporate_Digital";#N/A,#N/A,FALSE,"Corporate_Analog";#N/A,#N/A,FALSE,"RetailDigBuckets";#N/A,#N/A,FALSE,"Retail_19.99";#N/A,#N/A,FALSE,"Companion Plan"}</definedName>
    <definedName name="ccccd_1" localSheetId="9" hidden="1">{#N/A,#N/A,FALSE,"Corporate_Digital";#N/A,#N/A,FALSE,"Corporate_Analog";#N/A,#N/A,FALSE,"RetailDigBuckets";#N/A,#N/A,FALSE,"Retail_19.99";#N/A,#N/A,FALSE,"Companion Plan"}</definedName>
    <definedName name="ccccd_1" hidden="1">{#N/A,#N/A,FALSE,"Corporate_Digital";#N/A,#N/A,FALSE,"Corporate_Analog";#N/A,#N/A,FALSE,"RetailDigBuckets";#N/A,#N/A,FALSE,"Retail_19.99";#N/A,#N/A,FALSE,"Companion Plan"}</definedName>
    <definedName name="CCR" localSheetId="10" hidden="1">{#N/A,#N/A,FALSE,"CCTV"}</definedName>
    <definedName name="CCR" localSheetId="9" hidden="1">{#N/A,#N/A,FALSE,"CCTV"}</definedName>
    <definedName name="CCR" hidden="1">{#N/A,#N/A,FALSE,"CCTV"}</definedName>
    <definedName name="CCR빈양식" localSheetId="10" hidden="1">{#N/A,#N/A,FALSE,"CCTV"}</definedName>
    <definedName name="CCR빈양식" localSheetId="9" hidden="1">{#N/A,#N/A,FALSE,"CCTV"}</definedName>
    <definedName name="CCR빈양식" hidden="1">{#N/A,#N/A,FALSE,"CCTV"}</definedName>
    <definedName name="Cellular_Sub" localSheetId="10" hidden="1">{"Outputs",#N/A,TRUE,"North America";"Outputs",#N/A,TRUE,"Europe";"Outputs",#N/A,TRUE,"Asia Pacific";"Outputs",#N/A,TRUE,"Latin America";"Outputs",#N/A,TRUE,"Wireless"}</definedName>
    <definedName name="Cellular_Sub" localSheetId="9" hidden="1">{"Outputs",#N/A,TRUE,"North America";"Outputs",#N/A,TRUE,"Europe";"Outputs",#N/A,TRUE,"Asia Pacific";"Outputs",#N/A,TRUE,"Latin America";"Outputs",#N/A,TRUE,"Wireless"}</definedName>
    <definedName name="Cellular_Sub" hidden="1">{"Outputs",#N/A,TRUE,"North America";"Outputs",#N/A,TRUE,"Europe";"Outputs",#N/A,TRUE,"Asia Pacific";"Outputs",#N/A,TRUE,"Latin America";"Outputs",#N/A,TRUE,"Wireless"}</definedName>
    <definedName name="CFiniN" hidden="1">0</definedName>
    <definedName name="CFkor" localSheetId="1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CFkor" localSheetId="9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CFkor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CFkor_1" localSheetId="1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CFkor_1" localSheetId="9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CFkor_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cgmh" localSheetId="10" hidden="1">{"'용역비'!$A$4:$C$8"}</definedName>
    <definedName name="cgmh" localSheetId="9" hidden="1">{"'용역비'!$A$4:$C$8"}</definedName>
    <definedName name="cgmh" hidden="1">{"'용역비'!$A$4:$C$8"}</definedName>
    <definedName name="CHANG" localSheetId="10" hidden="1">{#N/A,#N/A,FALSE,"P.C.B"}</definedName>
    <definedName name="CHANG" localSheetId="9" hidden="1">{#N/A,#N/A,FALSE,"P.C.B"}</definedName>
    <definedName name="CHANG" hidden="1">{#N/A,#N/A,FALSE,"P.C.B"}</definedName>
    <definedName name="ChangeRange" hidden="1">#REF!</definedName>
    <definedName name="CHART" hidden="1">#REF!</definedName>
    <definedName name="CHARTCLASSIFICATION" hidden="1">#REF!</definedName>
    <definedName name="CHD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HD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H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HD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HD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HD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hiho" localSheetId="10" hidden="1">{"'下期集計（10.27迄・速報値）'!$Q$16"}</definedName>
    <definedName name="chiho" localSheetId="9" hidden="1">{"'下期集計（10.27迄・速報値）'!$Q$16"}</definedName>
    <definedName name="chiho" hidden="1">{"'下期集計（10.27迄・速報値）'!$Q$16"}</definedName>
    <definedName name="chiho_1" localSheetId="10" hidden="1">{"'下期集計（10.27迄・速報値）'!$Q$16"}</definedName>
    <definedName name="chiho_1" localSheetId="9" hidden="1">{"'下期集計（10.27迄・速報値）'!$Q$16"}</definedName>
    <definedName name="chiho_1" hidden="1">{"'下期集計（10.27迄・速報値）'!$Q$16"}</definedName>
    <definedName name="chosie" localSheetId="10" hidden="1">{#N/A,#N/A,FALSE,"Pharm";#N/A,#N/A,FALSE,"WWCM"}</definedName>
    <definedName name="chosie" localSheetId="9" hidden="1">{#N/A,#N/A,FALSE,"Pharm";#N/A,#N/A,FALSE,"WWCM"}</definedName>
    <definedName name="chosie" hidden="1">{#N/A,#N/A,FALSE,"Pharm";#N/A,#N/A,FALSE,"WWCM"}</definedName>
    <definedName name="CHRTCLASS2" hidden="1">#REF!</definedName>
    <definedName name="Cipla2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Cipla2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Cipla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CIQWBGuid" localSheetId="10" hidden="1">"ee2f6b3f-2584-47cd-840f-e2a7f3439eda"</definedName>
    <definedName name="CIQWBGuid" localSheetId="9" hidden="1">"f7b599c6-f949-4b43-b677-58020cd81e25"</definedName>
    <definedName name="CIQWBGuid" hidden="1">"d470a4e7-4b5e-460b-9163-7625f374eafa"</definedName>
    <definedName name="CIQWBGuid_1" hidden="1">"Twitchell Technical Products Revenue Forecast 2015-2020.xlsx"</definedName>
    <definedName name="CIQWBInfo" localSheetId="9" hidden="1">"{ ""CIQVersion"":""9.50.2716.4594"" }"</definedName>
    <definedName name="CIQWBInfo" hidden="1">"{ ""CIQVersion"":""9.51.3510.3078"" }"</definedName>
    <definedName name="ckckckckckc" localSheetId="1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ckckckckckc" localSheetId="9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ckckckckckc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ckckckckckc_1" localSheetId="1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ckckckckckc_1" localSheetId="9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ckckckckckc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CKG" localSheetId="10" hidden="1">{#N/A,#N/A,FALSE,"기안지";#N/A,#N/A,FALSE,"통신지"}</definedName>
    <definedName name="CKG" localSheetId="9" hidden="1">{#N/A,#N/A,FALSE,"기안지";#N/A,#N/A,FALSE,"통신지"}</definedName>
    <definedName name="CKG" hidden="1">{#N/A,#N/A,FALSE,"기안지";#N/A,#N/A,FALSE,"통신지"}</definedName>
    <definedName name="CLsysID" hidden="1">"BWP"</definedName>
    <definedName name="COGstandard" localSheetId="10" hidden="1">{#N/A,#N/A,FALSE,"Pharm";#N/A,#N/A,FALSE,"WWCM"}</definedName>
    <definedName name="COGstandard" localSheetId="9" hidden="1">{#N/A,#N/A,FALSE,"Pharm";#N/A,#N/A,FALSE,"WWCM"}</definedName>
    <definedName name="COGstandard" hidden="1">{#N/A,#N/A,FALSE,"Pharm";#N/A,#N/A,FALSE,"WWCM"}</definedName>
    <definedName name="Coll" localSheetId="10" hidden="1">{#N/A,#N/A,FALSE,"970301";#N/A,#N/A,FALSE,"970302";#N/A,#N/A,FALSE,"970303";#N/A,#N/A,FALSE,"970304";#N/A,#N/A,FALSE,"COM1";#N/A,#N/A,FALSE,"COM2"}</definedName>
    <definedName name="Coll" localSheetId="9" hidden="1">{#N/A,#N/A,FALSE,"970301";#N/A,#N/A,FALSE,"970302";#N/A,#N/A,FALSE,"970303";#N/A,#N/A,FALSE,"970304";#N/A,#N/A,FALSE,"COM1";#N/A,#N/A,FALSE,"COM2"}</definedName>
    <definedName name="Coll" hidden="1">{#N/A,#N/A,FALSE,"970301";#N/A,#N/A,FALSE,"970302";#N/A,#N/A,FALSE,"970303";#N/A,#N/A,FALSE,"970304";#N/A,#N/A,FALSE,"COM1";#N/A,#N/A,FALSE,"COM2"}</definedName>
    <definedName name="Coll_1" localSheetId="10" hidden="1">{#N/A,#N/A,FALSE,"970301";#N/A,#N/A,FALSE,"970302";#N/A,#N/A,FALSE,"970303";#N/A,#N/A,FALSE,"970304";#N/A,#N/A,FALSE,"COM1";#N/A,#N/A,FALSE,"COM2"}</definedName>
    <definedName name="Coll_1" localSheetId="9" hidden="1">{#N/A,#N/A,FALSE,"970301";#N/A,#N/A,FALSE,"970302";#N/A,#N/A,FALSE,"970303";#N/A,#N/A,FALSE,"970304";#N/A,#N/A,FALSE,"COM1";#N/A,#N/A,FALSE,"COM2"}</definedName>
    <definedName name="Coll_1" hidden="1">{#N/A,#N/A,FALSE,"970301";#N/A,#N/A,FALSE,"970302";#N/A,#N/A,FALSE,"970303";#N/A,#N/A,FALSE,"970304";#N/A,#N/A,FALSE,"COM1";#N/A,#N/A,FALSE,"COM2"}</definedName>
    <definedName name="CommentCell25980" hidden="1">#REF!</definedName>
    <definedName name="Concentration_Label" hidden="1">#REF!</definedName>
    <definedName name="ContentsHelp" hidden="1">#REF!</definedName>
    <definedName name="copy" localSheetId="10" hidden="1">{#N/A,#N/A,FALSE,"YTD ,99"}</definedName>
    <definedName name="copy" localSheetId="9" hidden="1">{#N/A,#N/A,FALSE,"YTD ,99"}</definedName>
    <definedName name="copy" hidden="1">{#N/A,#N/A,FALSE,"YTD ,99"}</definedName>
    <definedName name="copy_1" localSheetId="10" hidden="1">{#N/A,#N/A,FALSE,"YTD ,99"}</definedName>
    <definedName name="copy_1" localSheetId="9" hidden="1">{#N/A,#N/A,FALSE,"YTD ,99"}</definedName>
    <definedName name="copy_1" hidden="1">{#N/A,#N/A,FALSE,"YTD ,99"}</definedName>
    <definedName name="copy1" localSheetId="10" hidden="1">{#N/A,#N/A,FALSE,"Pharm";#N/A,#N/A,FALSE,"WWCM"}</definedName>
    <definedName name="copy1" localSheetId="9" hidden="1">{#N/A,#N/A,FALSE,"Pharm";#N/A,#N/A,FALSE,"WWCM"}</definedName>
    <definedName name="copy1" hidden="1">{#N/A,#N/A,FALSE,"Pharm";#N/A,#N/A,FALSE,"WWCM"}</definedName>
    <definedName name="copy2" localSheetId="10" hidden="1">{#N/A,#N/A,FALSE,"YTD ,99"}</definedName>
    <definedName name="copy2" localSheetId="9" hidden="1">{#N/A,#N/A,FALSE,"YTD ,99"}</definedName>
    <definedName name="copy2" hidden="1">{#N/A,#N/A,FALSE,"YTD ,99"}</definedName>
    <definedName name="copy2_1" localSheetId="10" hidden="1">{#N/A,#N/A,FALSE,"YTD ,99"}</definedName>
    <definedName name="copy2_1" localSheetId="9" hidden="1">{#N/A,#N/A,FALSE,"YTD ,99"}</definedName>
    <definedName name="copy2_1" hidden="1">{#N/A,#N/A,FALSE,"YTD ,99"}</definedName>
    <definedName name="copy233" localSheetId="10" hidden="1">{#N/A,#N/A,FALSE,"Pharm";#N/A,#N/A,FALSE,"WWCM"}</definedName>
    <definedName name="copy233" localSheetId="9" hidden="1">{#N/A,#N/A,FALSE,"Pharm";#N/A,#N/A,FALSE,"WWCM"}</definedName>
    <definedName name="copy233" hidden="1">{#N/A,#N/A,FALSE,"Pharm";#N/A,#N/A,FALSE,"WWCM"}</definedName>
    <definedName name="copy33" localSheetId="10" hidden="1">{#N/A,#N/A,FALSE,"Pharm";#N/A,#N/A,FALSE,"WWCM"}</definedName>
    <definedName name="copy33" localSheetId="9" hidden="1">{#N/A,#N/A,FALSE,"Pharm";#N/A,#N/A,FALSE,"WWCM"}</definedName>
    <definedName name="copy33" hidden="1">{#N/A,#N/A,FALSE,"Pharm";#N/A,#N/A,FALSE,"WWCM"}</definedName>
    <definedName name="copy38" localSheetId="10" hidden="1">{#N/A,#N/A,FALSE,"Pharm";#N/A,#N/A,FALSE,"WWCM"}</definedName>
    <definedName name="copy38" localSheetId="9" hidden="1">{#N/A,#N/A,FALSE,"Pharm";#N/A,#N/A,FALSE,"WWCM"}</definedName>
    <definedName name="copy38" hidden="1">{#N/A,#N/A,FALSE,"Pharm";#N/A,#N/A,FALSE,"WWCM"}</definedName>
    <definedName name="COSTT" hidden="1">#REF!</definedName>
    <definedName name="Cover" localSheetId="10" hidden="1">{#N/A,#N/A,FALSE,"YTD ,99"}</definedName>
    <definedName name="Cover" localSheetId="9" hidden="1">{#N/A,#N/A,FALSE,"YTD ,99"}</definedName>
    <definedName name="Cover" hidden="1">{#N/A,#N/A,FALSE,"YTD ,99"}</definedName>
    <definedName name="Cover_1" localSheetId="10" hidden="1">{#N/A,#N/A,FALSE,"YTD ,99"}</definedName>
    <definedName name="Cover_1" localSheetId="9" hidden="1">{#N/A,#N/A,FALSE,"YTD ,99"}</definedName>
    <definedName name="Cover_1" hidden="1">{#N/A,#N/A,FALSE,"YTD ,99"}</definedName>
    <definedName name="cox" localSheetId="10" hidden="1">{#N/A,#N/A,FALSE,"Time Warner";#N/A,#N/A,FALSE,"Entertainment Group";#N/A,#N/A,FALSE,"EBITDA";#N/A,#N/A,FALSE,"Notes"}</definedName>
    <definedName name="cox" localSheetId="9" hidden="1">{#N/A,#N/A,FALSE,"Time Warner";#N/A,#N/A,FALSE,"Entertainment Group";#N/A,#N/A,FALSE,"EBITDA";#N/A,#N/A,FALSE,"Notes"}</definedName>
    <definedName name="cox" hidden="1">{#N/A,#N/A,FALSE,"Time Warner";#N/A,#N/A,FALSE,"Entertainment Group";#N/A,#N/A,FALSE,"EBITDA";#N/A,#N/A,FALSE,"Notes"}</definedName>
    <definedName name="CreateTable" hidden="1">#REF!</definedName>
    <definedName name="CRJE" localSheetId="10" hidden="1">{#N/A,#N/A,FALSE,"BS";#N/A,#N/A,FALSE,"PL";#N/A,#N/A,FALSE,"처분";#N/A,#N/A,FALSE,"현금";#N/A,#N/A,FALSE,"매출";#N/A,#N/A,FALSE,"원가";#N/A,#N/A,FALSE,"경영"}</definedName>
    <definedName name="CRJE" localSheetId="9" hidden="1">{#N/A,#N/A,FALSE,"BS";#N/A,#N/A,FALSE,"PL";#N/A,#N/A,FALSE,"처분";#N/A,#N/A,FALSE,"현금";#N/A,#N/A,FALSE,"매출";#N/A,#N/A,FALSE,"원가";#N/A,#N/A,FALSE,"경영"}</definedName>
    <definedName name="CRJE" hidden="1">{#N/A,#N/A,FALSE,"BS";#N/A,#N/A,FALSE,"PL";#N/A,#N/A,FALSE,"처분";#N/A,#N/A,FALSE,"현금";#N/A,#N/A,FALSE,"매출";#N/A,#N/A,FALSE,"원가";#N/A,#N/A,FALSE,"경영"}</definedName>
    <definedName name="CRJE_1" localSheetId="10" hidden="1">{#N/A,#N/A,FALSE,"BS";#N/A,#N/A,FALSE,"PL";#N/A,#N/A,FALSE,"처분";#N/A,#N/A,FALSE,"현금";#N/A,#N/A,FALSE,"매출";#N/A,#N/A,FALSE,"원가";#N/A,#N/A,FALSE,"경영"}</definedName>
    <definedName name="CRJE_1" localSheetId="9" hidden="1">{#N/A,#N/A,FALSE,"BS";#N/A,#N/A,FALSE,"PL";#N/A,#N/A,FALSE,"처분";#N/A,#N/A,FALSE,"현금";#N/A,#N/A,FALSE,"매출";#N/A,#N/A,FALSE,"원가";#N/A,#N/A,FALSE,"경영"}</definedName>
    <definedName name="CRJE_1" hidden="1">{#N/A,#N/A,FALSE,"BS";#N/A,#N/A,FALSE,"PL";#N/A,#N/A,FALSE,"처분";#N/A,#N/A,FALSE,"현금";#N/A,#N/A,FALSE,"매출";#N/A,#N/A,FALSE,"원가";#N/A,#N/A,FALSE,"경영"}</definedName>
    <definedName name="CTCO_Label" hidden="1">#REF!</definedName>
    <definedName name="cu102.ShareScalingFactor" hidden="1">1000000</definedName>
    <definedName name="cu103.EmployeeScalingFactor" hidden="1">1000</definedName>
    <definedName name="cu107.DPSSymbol" hidden="1">"US$"</definedName>
    <definedName name="cu107.EPSSymbol" hidden="1">"US$"</definedName>
    <definedName name="cu119.CopyLastPeriodRows" localSheetId="10" hidden="1">{"AVSHAR","BSHAR"}</definedName>
    <definedName name="cu119.CopyLastPeriodRows" localSheetId="9" hidden="1">{"AVSHAR","BSHAR"}</definedName>
    <definedName name="cu119.CopyLastPeriodRows" hidden="1">{"AVSHAR","BSHAR"}</definedName>
    <definedName name="cu71.ScalingFactor" hidden="1">1000000</definedName>
    <definedName name="cu71.ScalingFactor_1" hidden="1">1000</definedName>
    <definedName name="cvc" hidden="1">#REF!</definedName>
    <definedName name="CZN_Label" hidden="1">#REF!</definedName>
    <definedName name="d" localSheetId="9" hidden="1">{#N/A,#N/A,FALSE,"YTD ,99"}</definedName>
    <definedName name="d" hidden="1">{#N/A,#N/A,FALSE,"YTD ,99"}</definedName>
    <definedName name="d_1" localSheetId="10" hidden="1">{#N/A,#N/A,FALSE,"YTD ,99"}</definedName>
    <definedName name="d_1" localSheetId="9" hidden="1">{#N/A,#N/A,FALSE,"YTD ,99"}</definedName>
    <definedName name="d_1" hidden="1">{#N/A,#N/A,FALSE,"YTD ,99"}</definedName>
    <definedName name="da" localSheetId="10" hidden="1">{"EBIT 5",#N/A,FALSE,"EBIT";"NPAT 5",#N/A,FALSE,"EBIT";"EBITDA 5",#N/A,FALSE,"EBIT";"INTEREST 5",#N/A,FALSE,"EBIT";"TAX 5",#N/A,FALSE,"EBIT";"MI 5",#N/A,FALSE,"EBIT";"3G 5",#N/A,FALSE,"EBIT";"E-Com 5",#N/A,FALSE,"EBIT";"EBIT 12",#N/A,FALSE,"EBIT";"NPAT 12",#N/A,FALSE,"EBIT";"EBITDA 12",#N/A,FALSE,"EBIT";"INTEREST 12",#N/A,FALSE,"EBIT";"TAX 12",#N/A,FALSE,"EBIT";"MI 12",#N/A,FALSE,"EBIT"}</definedName>
    <definedName name="da" localSheetId="9" hidden="1">{"EBIT 5",#N/A,FALSE,"EBIT";"NPAT 5",#N/A,FALSE,"EBIT";"EBITDA 5",#N/A,FALSE,"EBIT";"INTEREST 5",#N/A,FALSE,"EBIT";"TAX 5",#N/A,FALSE,"EBIT";"MI 5",#N/A,FALSE,"EBIT";"3G 5",#N/A,FALSE,"EBIT";"E-Com 5",#N/A,FALSE,"EBIT";"EBIT 12",#N/A,FALSE,"EBIT";"NPAT 12",#N/A,FALSE,"EBIT";"EBITDA 12",#N/A,FALSE,"EBIT";"INTEREST 12",#N/A,FALSE,"EBIT";"TAX 12",#N/A,FALSE,"EBIT";"MI 12",#N/A,FALSE,"EBIT"}</definedName>
    <definedName name="da" hidden="1">{"EBIT 5",#N/A,FALSE,"EBIT";"NPAT 5",#N/A,FALSE,"EBIT";"EBITDA 5",#N/A,FALSE,"EBIT";"INTEREST 5",#N/A,FALSE,"EBIT";"TAX 5",#N/A,FALSE,"EBIT";"MI 5",#N/A,FALSE,"EBIT";"3G 5",#N/A,FALSE,"EBIT";"E-Com 5",#N/A,FALSE,"EBIT";"EBIT 12",#N/A,FALSE,"EBIT";"NPAT 12",#N/A,FALSE,"EBIT";"EBITDA 12",#N/A,FALSE,"EBIT";"INTEREST 12",#N/A,FALSE,"EBIT";"TAX 12",#N/A,FALSE,"EBIT";"MI 12",#N/A,FALSE,"EBIT"}</definedName>
    <definedName name="DA_2278409542900007519" hidden="1">#REF!</definedName>
    <definedName name="DA_2278409542900007524" hidden="1">#REF!</definedName>
    <definedName name="DA_2704143254500000043" hidden="1">#REF!</definedName>
    <definedName name="DA_2704143254500000049" hidden="1">#REF!</definedName>
    <definedName name="DA_2704143254500000053" hidden="1">#REF!</definedName>
    <definedName name="DA_2704143254500000059" hidden="1">#REF!</definedName>
    <definedName name="DA_2704143254500000063" hidden="1">#REF!</definedName>
    <definedName name="DA_2704143254500000068" hidden="1">#REF!</definedName>
    <definedName name="DA_2704143254500000073" hidden="1">#REF!</definedName>
    <definedName name="DA_2704143254500000078" hidden="1">#REF!</definedName>
    <definedName name="DA_2704143254500000083" hidden="1">#REF!</definedName>
    <definedName name="DA_2704143254500000088" hidden="1">#REF!</definedName>
    <definedName name="DA_2704143254500000288" hidden="1">#REF!</definedName>
    <definedName name="DA_2704143254500000294" hidden="1">#REF!</definedName>
    <definedName name="DA_2704143254500000298" hidden="1">#REF!</definedName>
    <definedName name="DA_2704143254500000304" hidden="1">#REF!</definedName>
    <definedName name="DA_2704143254500000309" hidden="1">#REF!</definedName>
    <definedName name="DA_2704143254500000313" hidden="1">#REF!</definedName>
    <definedName name="DA_2704143254500000319" hidden="1">#REF!</definedName>
    <definedName name="DA_2704143254500000323" hidden="1">#REF!</definedName>
    <definedName name="DA_2704143254500000329" hidden="1">#REF!</definedName>
    <definedName name="DA_2704143254500000548" hidden="1">#REF!</definedName>
    <definedName name="DA_2704143254500000554" hidden="1">#REF!</definedName>
    <definedName name="DA_2704143254500000558" hidden="1">#REF!</definedName>
    <definedName name="DA_2704143254500000564" hidden="1">#REF!</definedName>
    <definedName name="DA_2704143254500000568" hidden="1">#REF!</definedName>
    <definedName name="DA_2704143254500000574" hidden="1">#REF!</definedName>
    <definedName name="DA_2704143254500000578" hidden="1">#REF!</definedName>
    <definedName name="DA_2704143254500000584" hidden="1">#REF!</definedName>
    <definedName name="DA_2704143254500000588" hidden="1">#REF!</definedName>
    <definedName name="DA_2704143254500000919" hidden="1">#REF!</definedName>
    <definedName name="DA_2704143254500000923" hidden="1">#REF!</definedName>
    <definedName name="DA_2704143254500000928" hidden="1">#REF!</definedName>
    <definedName name="DA_2704143254500001023" hidden="1">#REF!</definedName>
    <definedName name="DA_2704143254500001028" hidden="1">#REF!</definedName>
    <definedName name="DA_2704143254500001034" hidden="1">#REF!</definedName>
    <definedName name="DA_2704143254500001038" hidden="1">#REF!</definedName>
    <definedName name="DA_2704143254500001044" hidden="1">#REF!</definedName>
    <definedName name="DA_2704143254500001048" hidden="1">#REF!</definedName>
    <definedName name="DA_2704143254500001054" hidden="1">#REF!</definedName>
    <definedName name="DA_2704143254500001058" hidden="1">#REF!</definedName>
    <definedName name="DA_2704143254500001064" hidden="1">#REF!</definedName>
    <definedName name="DA_2704143254500001068" hidden="1">#REF!</definedName>
    <definedName name="DA_2704143254500001074" hidden="1">#REF!</definedName>
    <definedName name="DA_2704143254500001078" hidden="1">#REF!</definedName>
    <definedName name="DA_2704143254500001084" hidden="1">#REF!</definedName>
    <definedName name="DA_2704143254500001088" hidden="1">#REF!</definedName>
    <definedName name="DA_2704143254500001094" hidden="1">#REF!</definedName>
    <definedName name="DA_2704143254500001098" hidden="1">#REF!</definedName>
    <definedName name="DA_2704143254500001104" hidden="1">#REF!</definedName>
    <definedName name="DA_2704143254500001108" hidden="1">#REF!</definedName>
    <definedName name="DA_2704143254500001114" hidden="1">#REF!</definedName>
    <definedName name="DA_2704143254500001118" hidden="1">#REF!</definedName>
    <definedName name="DA_2704143254500001124" hidden="1">#REF!</definedName>
    <definedName name="DA_2704143254500001128" hidden="1">#REF!</definedName>
    <definedName name="DA_2704143254500001134" hidden="1">#REF!</definedName>
    <definedName name="DA_2704143254500001138" hidden="1">#REF!</definedName>
    <definedName name="DA_2704143254500001235" hidden="1">#REF!</definedName>
    <definedName name="DA_2704143254500001239" hidden="1">#REF!</definedName>
    <definedName name="DA_2704143254500001245" hidden="1">#REF!</definedName>
    <definedName name="DA_2704143254500001470" hidden="1">#REF!</definedName>
    <definedName name="DA_2704143254500001476" hidden="1">#REF!</definedName>
    <definedName name="DA_2704143254500001480" hidden="1">#REF!</definedName>
    <definedName name="DA_2704143254500001486" hidden="1">#REF!</definedName>
    <definedName name="DA_2704143254500001616" hidden="1">#REF!</definedName>
    <definedName name="DA_2704143254500001621" hidden="1">#REF!</definedName>
    <definedName name="DA_2704143254500001675" hidden="1">#REF!</definedName>
    <definedName name="DA_2704143254500001679" hidden="1">#REF!</definedName>
    <definedName name="DA_2704143254500001685" hidden="1">#REF!</definedName>
    <definedName name="DA_2704143254500001745" hidden="1">#REF!</definedName>
    <definedName name="DA_2704143254500001750" hidden="1">#REF!</definedName>
    <definedName name="DA_2704143254500001755" hidden="1">#REF!</definedName>
    <definedName name="DA_2704143254500001760" hidden="1">#REF!</definedName>
    <definedName name="DA_2704143254500001765" hidden="1">#REF!</definedName>
    <definedName name="DA_2704143254500001770" hidden="1">#REF!</definedName>
    <definedName name="DA_2704143254500001775" hidden="1">#REF!</definedName>
    <definedName name="DA_2704143254500001780" hidden="1">#REF!</definedName>
    <definedName name="DA_2704143254500001785" hidden="1">#REF!</definedName>
    <definedName name="DA_2704143254500001963" hidden="1">#REF!</definedName>
    <definedName name="DA_2704143254500001968" hidden="1">#REF!</definedName>
    <definedName name="DA_2747225879500000067" hidden="1">#REF!</definedName>
    <definedName name="DA_2747225879500000069" hidden="1">#REF!</definedName>
    <definedName name="DA_2747225879500000071" hidden="1">#REF!</definedName>
    <definedName name="DA_2747225879500000073" hidden="1">#REF!</definedName>
    <definedName name="DA_2747225879500000075" hidden="1">#REF!</definedName>
    <definedName name="DA_2747225879500000079" hidden="1">#REF!</definedName>
    <definedName name="DA_2747225879500000081" hidden="1">#REF!</definedName>
    <definedName name="DA_2747225879500000085" hidden="1">#REF!</definedName>
    <definedName name="DA_2747225879500000087" hidden="1">#REF!</definedName>
    <definedName name="DA_2747225879500000089" hidden="1">#REF!</definedName>
    <definedName name="DA_2747225879500000091" hidden="1">#REF!</definedName>
    <definedName name="DAD" localSheetId="10" hidden="1">{#N/A,#N/A,FALSE,"REPORT"}</definedName>
    <definedName name="DAD" localSheetId="9" hidden="1">{#N/A,#N/A,FALSE,"REPORT"}</definedName>
    <definedName name="DAD" hidden="1">{#N/A,#N/A,FALSE,"REPORT"}</definedName>
    <definedName name="DADF" localSheetId="10" hidden="1">{#N/A,#N/A,FALSE,"REPORT"}</definedName>
    <definedName name="DADF" localSheetId="9" hidden="1">{#N/A,#N/A,FALSE,"REPORT"}</definedName>
    <definedName name="DADF" hidden="1">{#N/A,#N/A,FALSE,"REPORT"}</definedName>
    <definedName name="daf" localSheetId="10" hidden="1">{#N/A,#N/A,FALSE,"1";#N/A,#N/A,FALSE,"2";#N/A,#N/A,FALSE,"16 - 17";#N/A,#N/A,FALSE,"18 - 19";#N/A,#N/A,FALSE,"26";#N/A,#N/A,FALSE,"27";#N/A,#N/A,FALSE,"28"}</definedName>
    <definedName name="daf" localSheetId="9" hidden="1">{#N/A,#N/A,FALSE,"1";#N/A,#N/A,FALSE,"2";#N/A,#N/A,FALSE,"16 - 17";#N/A,#N/A,FALSE,"18 - 19";#N/A,#N/A,FALSE,"26";#N/A,#N/A,FALSE,"27";#N/A,#N/A,FALSE,"28"}</definedName>
    <definedName name="daf" hidden="1">{#N/A,#N/A,FALSE,"1";#N/A,#N/A,FALSE,"2";#N/A,#N/A,FALSE,"16 - 17";#N/A,#N/A,FALSE,"18 - 19";#N/A,#N/A,FALSE,"26";#N/A,#N/A,FALSE,"27";#N/A,#N/A,FALSE,"28"}</definedName>
    <definedName name="dakfkjafgkeaj" localSheetId="10" hidden="1">{#N/A,#N/A,FALSE,"Pharm";#N/A,#N/A,FALSE,"WWCM"}</definedName>
    <definedName name="dakfkjafgkeaj" localSheetId="9" hidden="1">{#N/A,#N/A,FALSE,"Pharm";#N/A,#N/A,FALSE,"WWCM"}</definedName>
    <definedName name="dakfkjafgkeaj" hidden="1">{#N/A,#N/A,FALSE,"Pharm";#N/A,#N/A,FALSE,"WWCM"}</definedName>
    <definedName name="dan" localSheetId="10" hidden="1">{#N/A,#N/A,FALSE,"Aging Summary";#N/A,#N/A,FALSE,"Ratio Analysis";#N/A,#N/A,FALSE,"Test 120 Day Accts";#N/A,#N/A,FALSE,"Tickmarks"}</definedName>
    <definedName name="dan" localSheetId="9" hidden="1">{#N/A,#N/A,FALSE,"Aging Summary";#N/A,#N/A,FALSE,"Ratio Analysis";#N/A,#N/A,FALSE,"Test 120 Day Accts";#N/A,#N/A,FALSE,"Tickmarks"}</definedName>
    <definedName name="dan" hidden="1">{#N/A,#N/A,FALSE,"Aging Summary";#N/A,#N/A,FALSE,"Ratio Analysis";#N/A,#N/A,FALSE,"Test 120 Day Accts";#N/A,#N/A,FALSE,"Tickmarks"}</definedName>
    <definedName name="dasdg" localSheetId="10" hidden="1">{#N/A,"Base Case",FALSE,"Revenue";#N/A,"£6.25 Fee",FALSE,"Revenue"}</definedName>
    <definedName name="dasdg" localSheetId="9" hidden="1">{#N/A,"Base Case",FALSE,"Revenue";#N/A,"£6.25 Fee",FALSE,"Revenue"}</definedName>
    <definedName name="dasdg" hidden="1">{#N/A,"Base Case",FALSE,"Revenue";#N/A,"£6.25 Fee",FALSE,"Revenue"}</definedName>
    <definedName name="data1" hidden="1">#REF!</definedName>
    <definedName name="data2" hidden="1">#REF!</definedName>
    <definedName name="data3" hidden="1">#REF!</definedName>
    <definedName name="datacutoff" localSheetId="10" hidden="1">{#N/A,#N/A,FALSE,"Ocean";#N/A,#N/A,FALSE,"NewYork";#N/A,#N/A,FALSE,"Gateway";#N/A,#N/A,FALSE,"GVH";#N/A,#N/A,FALSE,"GVM";#N/A,#N/A,FALSE,"GVT"}</definedName>
    <definedName name="datacutoff" localSheetId="9" hidden="1">{#N/A,#N/A,FALSE,"Ocean";#N/A,#N/A,FALSE,"NewYork";#N/A,#N/A,FALSE,"Gateway";#N/A,#N/A,FALSE,"GVH";#N/A,#N/A,FALSE,"GVM";#N/A,#N/A,FALSE,"GVT"}</definedName>
    <definedName name="datacutoff" hidden="1">{#N/A,#N/A,FALSE,"Ocean";#N/A,#N/A,FALSE,"NewYork";#N/A,#N/A,FALSE,"Gateway";#N/A,#N/A,FALSE,"GVH";#N/A,#N/A,FALSE,"GVM";#N/A,#N/A,FALSE,"GVT"}</definedName>
    <definedName name="datacutoff_1" localSheetId="10" hidden="1">{#N/A,#N/A,FALSE,"Ocean";#N/A,#N/A,FALSE,"NewYork";#N/A,#N/A,FALSE,"Gateway";#N/A,#N/A,FALSE,"GVH";#N/A,#N/A,FALSE,"GVM";#N/A,#N/A,FALSE,"GVT"}</definedName>
    <definedName name="datacutoff_1" localSheetId="9" hidden="1">{#N/A,#N/A,FALSE,"Ocean";#N/A,#N/A,FALSE,"NewYork";#N/A,#N/A,FALSE,"Gateway";#N/A,#N/A,FALSE,"GVH";#N/A,#N/A,FALSE,"GVM";#N/A,#N/A,FALSE,"GVT"}</definedName>
    <definedName name="datacutoff_1" hidden="1">{#N/A,#N/A,FALSE,"Ocean";#N/A,#N/A,FALSE,"NewYork";#N/A,#N/A,FALSE,"Gateway";#N/A,#N/A,FALSE,"GVH";#N/A,#N/A,FALSE,"GVM";#N/A,#N/A,FALSE,"GVT"}</definedName>
    <definedName name="david" localSheetId="10" hidden="1">{"summary",#N/A,FALSE,"2000 vs 1999";"detail",#N/A,FALSE,"2000 vs 1999"}</definedName>
    <definedName name="david" localSheetId="9" hidden="1">{"summary",#N/A,FALSE,"2000 vs 1999";"detail",#N/A,FALSE,"2000 vs 1999"}</definedName>
    <definedName name="david" hidden="1">{"summary",#N/A,FALSE,"2000 vs 1999";"detail",#N/A,FALSE,"2000 vs 1999"}</definedName>
    <definedName name="david_1" localSheetId="10" hidden="1">{"summary",#N/A,FALSE,"2000 vs 1999";"detail",#N/A,FALSE,"2000 vs 1999"}</definedName>
    <definedName name="david_1" localSheetId="9" hidden="1">{"summary",#N/A,FALSE,"2000 vs 1999";"detail",#N/A,FALSE,"2000 vs 1999"}</definedName>
    <definedName name="david_1" hidden="1">{"summary",#N/A,FALSE,"2000 vs 1999";"detail",#N/A,FALSE,"2000 vs 1999"}</definedName>
    <definedName name="david1" localSheetId="10" hidden="1">{"summary",#N/A,FALSE,"2000 vs 1999";"detail",#N/A,FALSE,"2000 vs 1999"}</definedName>
    <definedName name="david1" localSheetId="9" hidden="1">{"summary",#N/A,FALSE,"2000 vs 1999";"detail",#N/A,FALSE,"2000 vs 1999"}</definedName>
    <definedName name="david1" hidden="1">{"summary",#N/A,FALSE,"2000 vs 1999";"detail",#N/A,FALSE,"2000 vs 1999"}</definedName>
    <definedName name="david1_1" localSheetId="10" hidden="1">{"summary",#N/A,FALSE,"2000 vs 1999";"detail",#N/A,FALSE,"2000 vs 1999"}</definedName>
    <definedName name="david1_1" localSheetId="9" hidden="1">{"summary",#N/A,FALSE,"2000 vs 1999";"detail",#N/A,FALSE,"2000 vs 1999"}</definedName>
    <definedName name="david1_1" hidden="1">{"summary",#N/A,FALSE,"2000 vs 1999";"detail",#N/A,FALSE,"2000 vs 1999"}</definedName>
    <definedName name="DBSENTJQ" localSheetId="10" hidden="1">{#N/A,#N/A,FALSE,"단축1";#N/A,#N/A,FALSE,"단축2";#N/A,#N/A,FALSE,"단축3";#N/A,#N/A,FALSE,"장축";#N/A,#N/A,FALSE,"4WD"}</definedName>
    <definedName name="DBSENTJQ" localSheetId="9" hidden="1">{#N/A,#N/A,FALSE,"단축1";#N/A,#N/A,FALSE,"단축2";#N/A,#N/A,FALSE,"단축3";#N/A,#N/A,FALSE,"장축";#N/A,#N/A,FALSE,"4WD"}</definedName>
    <definedName name="DBSENTJQ" hidden="1">{#N/A,#N/A,FALSE,"단축1";#N/A,#N/A,FALSE,"단축2";#N/A,#N/A,FALSE,"단축3";#N/A,#N/A,FALSE,"장축";#N/A,#N/A,FALSE,"4WD"}</definedName>
    <definedName name="dd" hidden="1">#REF!</definedName>
    <definedName name="ddd" localSheetId="10" hidden="1">{#N/A,#N/A,FALSE,"Pharm";#N/A,#N/A,FALSE,"WWCM"}</definedName>
    <definedName name="ddd" localSheetId="9" hidden="1">{#N/A,#N/A,FALSE,"Pharm";#N/A,#N/A,FALSE,"WWCM"}</definedName>
    <definedName name="ddd" hidden="1">{#N/A,#N/A,FALSE,"Pharm";#N/A,#N/A,FALSE,"WWCM"}</definedName>
    <definedName name="dddaz" localSheetId="10" hidden="1">{#N/A,#N/A,FALSE,"Pharm";#N/A,#N/A,FALSE,"WWCM"}</definedName>
    <definedName name="dddaz" localSheetId="9" hidden="1">{#N/A,#N/A,FALSE,"Pharm";#N/A,#N/A,FALSE,"WWCM"}</definedName>
    <definedName name="dddaz" hidden="1">{#N/A,#N/A,FALSE,"Pharm";#N/A,#N/A,FALSE,"WWCM"}</definedName>
    <definedName name="ddddd" hidden="1">#REF!</definedName>
    <definedName name="dddddd" localSheetId="10" hidden="1">{#N/A,#N/A,FALSE,"Pharm";#N/A,#N/A,FALSE,"WWCM"}</definedName>
    <definedName name="dddddd" localSheetId="9" hidden="1">{#N/A,#N/A,FALSE,"Pharm";#N/A,#N/A,FALSE,"WWCM"}</definedName>
    <definedName name="dddddd" hidden="1">{#N/A,#N/A,FALSE,"Pharm";#N/A,#N/A,FALSE,"WWCM"}</definedName>
    <definedName name="dddfg" localSheetId="10" hidden="1">{#N/A,#N/A,FALSE,"정공"}</definedName>
    <definedName name="dddfg" localSheetId="9" hidden="1">{#N/A,#N/A,FALSE,"정공"}</definedName>
    <definedName name="dddfg" hidden="1">{#N/A,#N/A,FALSE,"정공"}</definedName>
    <definedName name="DDFD" localSheetId="10" hidden="1">{#N/A,#N/A,FALSE,"CCTV"}</definedName>
    <definedName name="DDFD" localSheetId="9" hidden="1">{#N/A,#N/A,FALSE,"CCTV"}</definedName>
    <definedName name="DDFD" hidden="1">{#N/A,#N/A,FALSE,"CCTV"}</definedName>
    <definedName name="ddt" localSheetId="10" hidden="1">{"mgmt forecast",#N/A,FALSE,"Mgmt Forecast";"dcf table",#N/A,FALSE,"Mgmt Forecast";"sensitivity",#N/A,FALSE,"Mgmt Forecast";"table inputs",#N/A,FALSE,"Mgmt Forecast";"calculations",#N/A,FALSE,"Mgmt Forecast"}</definedName>
    <definedName name="ddt" localSheetId="9" hidden="1">{"mgmt forecast",#N/A,FALSE,"Mgmt Forecast";"dcf table",#N/A,FALSE,"Mgmt Forecast";"sensitivity",#N/A,FALSE,"Mgmt Forecast";"table inputs",#N/A,FALSE,"Mgmt Forecast";"calculations",#N/A,FALSE,"Mgmt Forecast"}</definedName>
    <definedName name="ddt" hidden="1">{"mgmt forecast",#N/A,FALSE,"Mgmt Forecast";"dcf table",#N/A,FALSE,"Mgmt Forecast";"sensitivity",#N/A,FALSE,"Mgmt Forecast";"table inputs",#N/A,FALSE,"Mgmt Forecast";"calculations",#N/A,FALSE,"Mgmt Forecast"}</definedName>
    <definedName name="de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e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e_1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e_1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e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ed" localSheetId="10" hidden="1">{#N/A,#N/A,TRUE,"Julio";#N/A,#N/A,TRUE,"Agosto";#N/A,#N/A,TRUE,"BHCo";#N/A,#N/A,TRUE,"Abril";#N/A,#N/A,TRUE,"Pro Forma"}</definedName>
    <definedName name="ded" localSheetId="9" hidden="1">{#N/A,#N/A,TRUE,"Julio";#N/A,#N/A,TRUE,"Agosto";#N/A,#N/A,TRUE,"BHCo";#N/A,#N/A,TRUE,"Abril";#N/A,#N/A,TRUE,"Pro Forma"}</definedName>
    <definedName name="ded" hidden="1">{#N/A,#N/A,TRUE,"Julio";#N/A,#N/A,TRUE,"Agosto";#N/A,#N/A,TRUE,"BHCo";#N/A,#N/A,TRUE,"Abril";#N/A,#N/A,TRUE,"Pro Forma"}</definedName>
    <definedName name="dede" localSheetId="10" hidden="1">{#N/A,#N/A,FALSE,"Pharm";#N/A,#N/A,FALSE,"WWCM"}</definedName>
    <definedName name="dede" localSheetId="9" hidden="1">{#N/A,#N/A,FALSE,"Pharm";#N/A,#N/A,FALSE,"WWCM"}</definedName>
    <definedName name="dede" hidden="1">{#N/A,#N/A,FALSE,"Pharm";#N/A,#N/A,FALSE,"WWCM"}</definedName>
    <definedName name="DEDED" localSheetId="10" hidden="1">{#N/A,#N/A,FALSE,"Card";#N/A,#N/A,FALSE,"Prav";#N/A,#N/A,FALSE,"Irbe";#N/A,#N/A,FALSE,"Plavix";#N/A,#N/A,FALSE,"Capt";#N/A,#N/A,FALSE,"Fosi"}</definedName>
    <definedName name="DEDED" localSheetId="9" hidden="1">{#N/A,#N/A,FALSE,"Card";#N/A,#N/A,FALSE,"Prav";#N/A,#N/A,FALSE,"Irbe";#N/A,#N/A,FALSE,"Plavix";#N/A,#N/A,FALSE,"Capt";#N/A,#N/A,FALSE,"Fosi"}</definedName>
    <definedName name="DEDED" hidden="1">{#N/A,#N/A,FALSE,"Card";#N/A,#N/A,FALSE,"Prav";#N/A,#N/A,FALSE,"Irbe";#N/A,#N/A,FALSE,"Plavix";#N/A,#N/A,FALSE,"Capt";#N/A,#N/A,FALSE,"Fosi"}</definedName>
    <definedName name="DEDEDZE" localSheetId="10" hidden="1">{#N/A,#N/A,FALSE,"Pharm";#N/A,#N/A,FALSE,"WWCM"}</definedName>
    <definedName name="DEDEDZE" localSheetId="9" hidden="1">{#N/A,#N/A,FALSE,"Pharm";#N/A,#N/A,FALSE,"WWCM"}</definedName>
    <definedName name="DEDEDZE" hidden="1">{#N/A,#N/A,FALSE,"Pharm";#N/A,#N/A,FALSE,"WWCM"}</definedName>
    <definedName name="DEDZD" localSheetId="10" hidden="1">{#N/A,#N/A,FALSE,"Pharm";#N/A,#N/A,FALSE,"WWCM"}</definedName>
    <definedName name="DEDZD" localSheetId="9" hidden="1">{#N/A,#N/A,FALSE,"Pharm";#N/A,#N/A,FALSE,"WWCM"}</definedName>
    <definedName name="DEDZD" hidden="1">{#N/A,#N/A,FALSE,"Pharm";#N/A,#N/A,FALSE,"WWCM"}</definedName>
    <definedName name="DEE" localSheetId="10" hidden="1">{#N/A,#N/A,FALSE,"Pharm";#N/A,#N/A,FALSE,"WWCM"}</definedName>
    <definedName name="DEE" localSheetId="9" hidden="1">{#N/A,#N/A,FALSE,"Pharm";#N/A,#N/A,FALSE,"WWCM"}</definedName>
    <definedName name="DEE" hidden="1">{#N/A,#N/A,FALSE,"Pharm";#N/A,#N/A,FALSE,"WWCM"}</definedName>
    <definedName name="defgh" localSheetId="10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defgh" localSheetId="9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defgh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DeleteRange" hidden="1">#REF!</definedName>
    <definedName name="DeleteTable" hidden="1">#REF!</definedName>
    <definedName name="DEM" hidden="1">1.95583</definedName>
    <definedName name="DEZLFEZKLHF" localSheetId="10" hidden="1">{#N/A,#N/A,FALSE,"Pharm";#N/A,#N/A,FALSE,"WWCM"}</definedName>
    <definedName name="DEZLFEZKLHF" localSheetId="9" hidden="1">{#N/A,#N/A,FALSE,"Pharm";#N/A,#N/A,FALSE,"WWCM"}</definedName>
    <definedName name="DEZLFEZKLHF" hidden="1">{#N/A,#N/A,FALSE,"Pharm";#N/A,#N/A,FALSE,"WWCM"}</definedName>
    <definedName name="dfahdfa" localSheetId="10" hidden="1">{0,0,0,0;0,0,0,0;0,0,0,0;TRUE,0,0,0;0,0,0,0;0,0,0,0;0,0,0,0;0,0,147.84,147.84;12,1774.08,0,0;0,0,0,#NULL!;0,0,0,0;0,0,TRUE,0;0,TRUE,TRUE,TRUE;0,0,0,0;0,0,0,0;0,0,0,0;0,0,0,0;0,0,0,0;0,0,0,0;0,0,0,0}</definedName>
    <definedName name="dfahdfa" localSheetId="9" hidden="1">{0,0,0,0;0,0,0,0;0,0,0,0;TRUE,0,0,0;0,0,0,0;0,0,0,0;0,0,0,0;0,0,147.84,147.84;12,1774.08,0,0;0,0,0,#NULL!;0,0,0,0;0,0,TRUE,0;0,TRUE,TRUE,TRUE;0,0,0,0;0,0,0,0;0,0,0,0;0,0,0,0;0,0,0,0;0,0,0,0;0,0,0,0}</definedName>
    <definedName name="dfahdfa" hidden="1">{0,0,0,0;0,0,0,0;0,0,0,0;TRUE,0,0,0;0,0,0,0;0,0,0,0;0,0,0,0;0,0,147.84,147.84;12,1774.08,0,0;0,0,0,#NULL!;0,0,0,0;0,0,TRUE,0;0,TRUE,TRUE,TRUE;0,0,0,0;0,0,0,0;0,0,0,0;0,0,0,0;0,0,0,0;0,0,0,0;0,0,0,0}</definedName>
    <definedName name="dfahdfa_1" localSheetId="10" hidden="1">{0,0,0,0;0,0,0,0;0,0,0,0;TRUE,0,0,0;0,0,0,0;0,0,0,0;0,0,0,0;0,0,147.84,147.84;12,1774.08,0,0;0,0,0,#NULL!;0,0,0,0;0,0,TRUE,0;0,TRUE,TRUE,TRUE;0,0,0,0;0,0,0,0;0,0,0,0;0,0,0,0;0,0,0,0;0,0,0,0;0,0,0,0}</definedName>
    <definedName name="dfahdfa_1" localSheetId="9" hidden="1">{0,0,0,0;0,0,0,0;0,0,0,0;TRUE,0,0,0;0,0,0,0;0,0,0,0;0,0,0,0;0,0,147.84,147.84;12,1774.08,0,0;0,0,0,#NULL!;0,0,0,0;0,0,TRUE,0;0,TRUE,TRUE,TRUE;0,0,0,0;0,0,0,0;0,0,0,0;0,0,0,0;0,0,0,0;0,0,0,0;0,0,0,0}</definedName>
    <definedName name="dfahdfa_1" hidden="1">{0,0,0,0;0,0,0,0;0,0,0,0;TRUE,0,0,0;0,0,0,0;0,0,0,0;0,0,0,0;0,0,147.84,147.84;12,1774.08,0,0;0,0,0,#NULL!;0,0,0,0;0,0,TRUE,0;0,TRUE,TRUE,TRUE;0,0,0,0;0,0,0,0;0,0,0,0;0,0,0,0;0,0,0,0;0,0,0,0;0,0,0,0}</definedName>
    <definedName name="DFDD" localSheetId="10" hidden="1">{#N/A,#N/A,FALSE,"REPORT"}</definedName>
    <definedName name="DFDD" localSheetId="9" hidden="1">{#N/A,#N/A,FALSE,"REPORT"}</definedName>
    <definedName name="DFDD" hidden="1">{#N/A,#N/A,FALSE,"REPORT"}</definedName>
    <definedName name="dfdfdf" localSheetId="10" hidden="1">{#N/A,#N/A,FALSE,"供料净化车间"}</definedName>
    <definedName name="dfdfdf" localSheetId="9" hidden="1">{#N/A,#N/A,FALSE,"供料净化车间"}</definedName>
    <definedName name="dfdfdf" hidden="1">{#N/A,#N/A,FALSE,"供料净化车间"}</definedName>
    <definedName name="dfdfdf_1" localSheetId="10" hidden="1">{#N/A,#N/A,FALSE,"供料净化车间"}</definedName>
    <definedName name="dfdfdf_1" localSheetId="9" hidden="1">{#N/A,#N/A,FALSE,"供料净化车间"}</definedName>
    <definedName name="dfdfdf_1" hidden="1">{#N/A,#N/A,FALSE,"供料净化车间"}</definedName>
    <definedName name="DFFF" hidden="1">#REF!</definedName>
    <definedName name="dfg" localSheetId="10" hidden="1">{#N/A,#N/A,FALSE,"UNIT";#N/A,#N/A,FALSE,"UNIT";#N/A,#N/A,FALSE,"계정"}</definedName>
    <definedName name="dfg" localSheetId="9" hidden="1">{#N/A,#N/A,FALSE,"UNIT";#N/A,#N/A,FALSE,"UNIT";#N/A,#N/A,FALSE,"계정"}</definedName>
    <definedName name="dfg" hidden="1">{#N/A,#N/A,FALSE,"UNIT";#N/A,#N/A,FALSE,"UNIT";#N/A,#N/A,FALSE,"계정"}</definedName>
    <definedName name="dfg_1" localSheetId="10" hidden="1">{#N/A,#N/A,FALSE,"UNIT";#N/A,#N/A,FALSE,"UNIT";#N/A,#N/A,FALSE,"계정"}</definedName>
    <definedName name="dfg_1" localSheetId="9" hidden="1">{#N/A,#N/A,FALSE,"UNIT";#N/A,#N/A,FALSE,"UNIT";#N/A,#N/A,FALSE,"계정"}</definedName>
    <definedName name="dfg_1" hidden="1">{#N/A,#N/A,FALSE,"UNIT";#N/A,#N/A,FALSE,"UNIT";#N/A,#N/A,FALSE,"계정"}</definedName>
    <definedName name="dfgds" hidden="1">38922.8233796296</definedName>
    <definedName name="dfgdsg" localSheetId="10" hidden="1">{"summary",#N/A,FALSE,"2000 vs 1999";"detail",#N/A,FALSE,"2000 vs 1999"}</definedName>
    <definedName name="dfgdsg" localSheetId="9" hidden="1">{"summary",#N/A,FALSE,"2000 vs 1999";"detail",#N/A,FALSE,"2000 vs 1999"}</definedName>
    <definedName name="dfgdsg" hidden="1">{"summary",#N/A,FALSE,"2000 vs 1999";"detail",#N/A,FALSE,"2000 vs 1999"}</definedName>
    <definedName name="dfgdsg_1" localSheetId="10" hidden="1">{"summary",#N/A,FALSE,"2000 vs 1999";"detail",#N/A,FALSE,"2000 vs 1999"}</definedName>
    <definedName name="dfgdsg_1" localSheetId="9" hidden="1">{"summary",#N/A,FALSE,"2000 vs 1999";"detail",#N/A,FALSE,"2000 vs 1999"}</definedName>
    <definedName name="dfgdsg_1" hidden="1">{"summary",#N/A,FALSE,"2000 vs 1999";"detail",#N/A,FALSE,"2000 vs 1999"}</definedName>
    <definedName name="DFHGHF" localSheetId="10" hidden="1">{"'Jibu9811 (3)'!$B$1:$J$433"}</definedName>
    <definedName name="DFHGHF" localSheetId="9" hidden="1">{"'Jibu9811 (3)'!$B$1:$J$433"}</definedName>
    <definedName name="DFHGHF" hidden="1">{"'Jibu9811 (3)'!$B$1:$J$433"}</definedName>
    <definedName name="dflhsdpif" localSheetId="10" hidden="1">{"'Jibu9811 (3)'!$B$1:$J$433"}</definedName>
    <definedName name="dflhsdpif" localSheetId="9" hidden="1">{"'Jibu9811 (3)'!$B$1:$J$433"}</definedName>
    <definedName name="dflhsdpif" hidden="1">{"'Jibu9811 (3)'!$B$1:$J$433"}</definedName>
    <definedName name="dfr" localSheetId="10" hidden="1">{#N/A,#N/A,FALSE,"Pharm";#N/A,#N/A,FALSE,"WWCM"}</definedName>
    <definedName name="dfr" localSheetId="9" hidden="1">{#N/A,#N/A,FALSE,"Pharm";#N/A,#N/A,FALSE,"WWCM"}</definedName>
    <definedName name="dfr" hidden="1">{#N/A,#N/A,FALSE,"Pharm";#N/A,#N/A,FALSE,"WWCM"}</definedName>
    <definedName name="dfs" localSheetId="10" hidden="1">{#N/A,#N/A,FALSE,"Pharm";#N/A,#N/A,FALSE,"WWCM"}</definedName>
    <definedName name="dfs" localSheetId="9" hidden="1">{#N/A,#N/A,FALSE,"Pharm";#N/A,#N/A,FALSE,"WWCM"}</definedName>
    <definedName name="dfs" hidden="1">{#N/A,#N/A,FALSE,"Pharm";#N/A,#N/A,FALSE,"WWCM"}</definedName>
    <definedName name="dfsa" localSheetId="10" hidden="1">{#N/A,#N/A,FALSE,"Aging Summary";#N/A,#N/A,FALSE,"Ratio Analysis";#N/A,#N/A,FALSE,"Test 120 Day Accts";#N/A,#N/A,FALSE,"Tickmarks"}</definedName>
    <definedName name="dfsa" localSheetId="9" hidden="1">{#N/A,#N/A,FALSE,"Aging Summary";#N/A,#N/A,FALSE,"Ratio Analysis";#N/A,#N/A,FALSE,"Test 120 Day Accts";#N/A,#N/A,FALSE,"Tickmarks"}</definedName>
    <definedName name="dfsa" hidden="1">{#N/A,#N/A,FALSE,"Aging Summary";#N/A,#N/A,FALSE,"Ratio Analysis";#N/A,#N/A,FALSE,"Test 120 Day Accts";#N/A,#N/A,FALSE,"Tickmarks"}</definedName>
    <definedName name="dfsa_1" localSheetId="10" hidden="1">{#N/A,#N/A,FALSE,"Aging Summary";#N/A,#N/A,FALSE,"Ratio Analysis";#N/A,#N/A,FALSE,"Test 120 Day Accts";#N/A,#N/A,FALSE,"Tickmarks"}</definedName>
    <definedName name="dfsa_1" localSheetId="9" hidden="1">{#N/A,#N/A,FALSE,"Aging Summary";#N/A,#N/A,FALSE,"Ratio Analysis";#N/A,#N/A,FALSE,"Test 120 Day Accts";#N/A,#N/A,FALSE,"Tickmarks"}</definedName>
    <definedName name="dfsa_1" hidden="1">{#N/A,#N/A,FALSE,"Aging Summary";#N/A,#N/A,FALSE,"Ratio Analysis";#N/A,#N/A,FALSE,"Test 120 Day Accts";#N/A,#N/A,FALSE,"Tickmarks"}</definedName>
    <definedName name="dfsad" hidden="1">#REF!</definedName>
    <definedName name="dfsafa" hidden="1">#REF!,#REF!,#REF!,#REF!,#REF!,#REF!,#REF!,#REF!,#REF!,#REF!,#REF!,#REF!,#REF!,#REF!,#REF!,#REF!,#REF!</definedName>
    <definedName name="dfsdsfsfdsfd" hidden="1">#REF!</definedName>
    <definedName name="dgfgjgj" localSheetId="10" hidden="1">{#N/A,#N/A,FALSE,"CCTV"}</definedName>
    <definedName name="dgfgjgj" localSheetId="9" hidden="1">{#N/A,#N/A,FALSE,"CCTV"}</definedName>
    <definedName name="dgfgjgj" hidden="1">{#N/A,#N/A,FALSE,"CCTV"}</definedName>
    <definedName name="dgs" hidden="1">#REF!</definedName>
    <definedName name="dhj" localSheetId="10" hidden="1">{"'용역비'!$A$4:$C$8"}</definedName>
    <definedName name="dhj" localSheetId="9" hidden="1">{"'용역비'!$A$4:$C$8"}</definedName>
    <definedName name="dhj" hidden="1">{"'용역비'!$A$4:$C$8"}</definedName>
    <definedName name="di" localSheetId="10" hidden="1">{#N/A,#N/A,TRUE,"Overall";#N/A,#N/A,TRUE,"Region Wise ";#N/A,#N/A,TRUE,"Client Wise"}</definedName>
    <definedName name="di" localSheetId="9" hidden="1">{#N/A,#N/A,TRUE,"Overall";#N/A,#N/A,TRUE,"Region Wise ";#N/A,#N/A,TRUE,"Client Wise"}</definedName>
    <definedName name="di" hidden="1">{#N/A,#N/A,TRUE,"Overall";#N/A,#N/A,TRUE,"Region Wise ";#N/A,#N/A,TRUE,"Client Wise"}</definedName>
    <definedName name="di_1" localSheetId="10" hidden="1">{#N/A,#N/A,TRUE,"Overall";#N/A,#N/A,TRUE,"Region Wise ";#N/A,#N/A,TRUE,"Client Wise"}</definedName>
    <definedName name="di_1" localSheetId="9" hidden="1">{#N/A,#N/A,TRUE,"Overall";#N/A,#N/A,TRUE,"Region Wise ";#N/A,#N/A,TRUE,"Client Wise"}</definedName>
    <definedName name="di_1" hidden="1">{#N/A,#N/A,TRUE,"Overall";#N/A,#N/A,TRUE,"Region Wise ";#N/A,#N/A,TRUE,"Client Wise"}</definedName>
    <definedName name="Did" localSheetId="10" hidden="1">{"Salesass",#N/A,FALSE,"assumpt"}</definedName>
    <definedName name="Did" localSheetId="9" hidden="1">{"Salesass",#N/A,FALSE,"assumpt"}</definedName>
    <definedName name="Did" hidden="1">{"Salesass",#N/A,FALSE,"assumpt"}</definedName>
    <definedName name="DIODvAnalyst" hidden="1">#REF!</definedName>
    <definedName name="Disclaimer" localSheetId="10" hidden="1">{"Geographic P1",#N/A,FALSE,"Division &amp; Geog"}</definedName>
    <definedName name="Disclaimer" localSheetId="9" hidden="1">{"Geographic P1",#N/A,FALSE,"Division &amp; Geog"}</definedName>
    <definedName name="Disclaimer" hidden="1">{"Geographic P1",#N/A,FALSE,"Division &amp; Geog"}</definedName>
    <definedName name="Disclosure" localSheetId="10" hidden="1">{"P and L Detail Page 1",#N/A,FALSE,"Data";"P and L Detail Page 2",#N/A,FALSE,"Data"}</definedName>
    <definedName name="Disclosure" localSheetId="9" hidden="1">{"P and L Detail Page 1",#N/A,FALSE,"Data";"P and L Detail Page 2",#N/A,FALSE,"Data"}</definedName>
    <definedName name="Disclosure" hidden="1">{"P and L Detail Page 1",#N/A,FALSE,"Data";"P and L Detail Page 2",#N/A,FALSE,"Data"}</definedName>
    <definedName name="Discount" hidden="1">#REF!</definedName>
    <definedName name="display_area_2" hidden="1">#REF!</definedName>
    <definedName name="Districts" hidden="1">#REF!</definedName>
    <definedName name="DivFpb" hidden="1">#REF!</definedName>
    <definedName name="DJ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ksljd" localSheetId="10" hidden="1">{#N/A,#N/A,FALSE,"Other";#N/A,#N/A,FALSE,"Ace";#N/A,#N/A,FALSE,"Derm"}</definedName>
    <definedName name="djksljd" localSheetId="9" hidden="1">{#N/A,#N/A,FALSE,"Other";#N/A,#N/A,FALSE,"Ace";#N/A,#N/A,FALSE,"Derm"}</definedName>
    <definedName name="djksljd" hidden="1">{#N/A,#N/A,FALSE,"Other";#N/A,#N/A,FALSE,"Ace";#N/A,#N/A,FALSE,"Derm"}</definedName>
    <definedName name="dk" hidden="1">#REF!</definedName>
    <definedName name="DKD" localSheetId="10" hidden="1">{#N/A,#N/A,FALSE,"기안지";#N/A,#N/A,FALSE,"통신지"}</definedName>
    <definedName name="DKD" localSheetId="9" hidden="1">{#N/A,#N/A,FALSE,"기안지";#N/A,#N/A,FALSE,"통신지"}</definedName>
    <definedName name="DKD" hidden="1">{#N/A,#N/A,FALSE,"기안지";#N/A,#N/A,FALSE,"통신지"}</definedName>
    <definedName name="dkdk" localSheetId="10" hidden="1">{#N/A,#N/A,FALSE,"BS";#N/A,#N/A,FALSE,"PL";#N/A,#N/A,FALSE,"처분";#N/A,#N/A,FALSE,"현금";#N/A,#N/A,FALSE,"매출";#N/A,#N/A,FALSE,"원가";#N/A,#N/A,FALSE,"경영"}</definedName>
    <definedName name="dkdk" localSheetId="9" hidden="1">{#N/A,#N/A,FALSE,"BS";#N/A,#N/A,FALSE,"PL";#N/A,#N/A,FALSE,"처분";#N/A,#N/A,FALSE,"현금";#N/A,#N/A,FALSE,"매출";#N/A,#N/A,FALSE,"원가";#N/A,#N/A,FALSE,"경영"}</definedName>
    <definedName name="dkdk" hidden="1">{#N/A,#N/A,FALSE,"BS";#N/A,#N/A,FALSE,"PL";#N/A,#N/A,FALSE,"처분";#N/A,#N/A,FALSE,"현금";#N/A,#N/A,FALSE,"매출";#N/A,#N/A,FALSE,"원가";#N/A,#N/A,FALSE,"경영"}</definedName>
    <definedName name="dkgahirghigf" localSheetId="10" hidden="1">{#N/A,#N/A,FALSE,"Pharm";#N/A,#N/A,FALSE,"WWCM"}</definedName>
    <definedName name="dkgahirghigf" localSheetId="9" hidden="1">{#N/A,#N/A,FALSE,"Pharm";#N/A,#N/A,FALSE,"WWCM"}</definedName>
    <definedName name="dkgahirghigf" hidden="1">{#N/A,#N/A,FALSE,"Pharm";#N/A,#N/A,FALSE,"WWCM"}</definedName>
    <definedName name="dlfma" hidden="1">#REF!</definedName>
    <definedName name="dljg" localSheetId="10" hidden="1">{#N/A,#N/A,FALSE,"기안지";#N/A,#N/A,FALSE,"통신지"}</definedName>
    <definedName name="dljg" localSheetId="9" hidden="1">{#N/A,#N/A,FALSE,"기안지";#N/A,#N/A,FALSE,"통신지"}</definedName>
    <definedName name="dljg" hidden="1">{#N/A,#N/A,FALSE,"기안지";#N/A,#N/A,FALSE,"통신지"}</definedName>
    <definedName name="DLOV_oracle_apps_projects_costing_transactions_fdiupload_ui_ThirdPartyCostedTxnUploadPageDef_DocumentId_TransactionSourceId_0" hidden="1">#REF!</definedName>
    <definedName name="DME_BeforeCloseCompleted" hidden="1">"False"</definedName>
    <definedName name="DME_Dirty" hidden="1">"False"</definedName>
    <definedName name="DME_DocumentFlags" hidden="1">"1"</definedName>
    <definedName name="DME_DocumentID" hidden="1">"::ODMA\DME-MSE\admin-7219"</definedName>
    <definedName name="DME_DocumentOpened" hidden="1">"True"</definedName>
    <definedName name="DME_DocumentTitle" hidden="1">"admin-7219 - CLP 08 Budget Input Templates (R40s) v 2"</definedName>
    <definedName name="DME_LocalFile" hidden="1">"True"</definedName>
    <definedName name="DME_NextWindowNumber" hidden="1">"2"</definedName>
    <definedName name="DME_ODMALinksCount" hidden="1">"1"</definedName>
    <definedName name="DOCK" hidden="1">#REF!</definedName>
    <definedName name="dre" localSheetId="10" hidden="1">{"comp1",#N/A,FALSE,"COMPS";"footnotes",#N/A,FALSE,"COMPS"}</definedName>
    <definedName name="dre" localSheetId="9" hidden="1">{"comp1",#N/A,FALSE,"COMPS";"footnotes",#N/A,FALSE,"COMPS"}</definedName>
    <definedName name="dre" hidden="1">{"comp1",#N/A,FALSE,"COMPS";"footnotes",#N/A,FALSE,"COMPS"}</definedName>
    <definedName name="drg" hidden="1">#REF!</definedName>
    <definedName name="ds" hidden="1">#REF!</definedName>
    <definedName name="DSAF" localSheetId="10" hidden="1">{#N/A,#N/A,FALSE,"Aging Summary";#N/A,#N/A,FALSE,"Ratio Analysis";#N/A,#N/A,FALSE,"Test 120 Day Accts";#N/A,#N/A,FALSE,"Tickmarks"}</definedName>
    <definedName name="DSAF" localSheetId="9" hidden="1">{#N/A,#N/A,FALSE,"Aging Summary";#N/A,#N/A,FALSE,"Ratio Analysis";#N/A,#N/A,FALSE,"Test 120 Day Accts";#N/A,#N/A,FALSE,"Tickmarks"}</definedName>
    <definedName name="DSAF" hidden="1">{#N/A,#N/A,FALSE,"Aging Summary";#N/A,#N/A,FALSE,"Ratio Analysis";#N/A,#N/A,FALSE,"Test 120 Day Accts";#N/A,#N/A,FALSE,"Tickmarks"}</definedName>
    <definedName name="DSAF_1" localSheetId="10" hidden="1">{#N/A,#N/A,FALSE,"Aging Summary";#N/A,#N/A,FALSE,"Ratio Analysis";#N/A,#N/A,FALSE,"Test 120 Day Accts";#N/A,#N/A,FALSE,"Tickmarks"}</definedName>
    <definedName name="DSAF_1" localSheetId="9" hidden="1">{#N/A,#N/A,FALSE,"Aging Summary";#N/A,#N/A,FALSE,"Ratio Analysis";#N/A,#N/A,FALSE,"Test 120 Day Accts";#N/A,#N/A,FALSE,"Tickmarks"}</definedName>
    <definedName name="DSAF_1" hidden="1">{#N/A,#N/A,FALSE,"Aging Summary";#N/A,#N/A,FALSE,"Ratio Analysis";#N/A,#N/A,FALSE,"Test 120 Day Accts";#N/A,#N/A,FALSE,"Tickmarks"}</definedName>
    <definedName name="DSDFSDF" localSheetId="10" hidden="1">{"summary",#N/A,FALSE,"2000 vs 1999";"detail",#N/A,FALSE,"2000 vs 1999"}</definedName>
    <definedName name="DSDFSDF" localSheetId="9" hidden="1">{"summary",#N/A,FALSE,"2000 vs 1999";"detail",#N/A,FALSE,"2000 vs 1999"}</definedName>
    <definedName name="DSDFSDF" hidden="1">{"summary",#N/A,FALSE,"2000 vs 1999";"detail",#N/A,FALSE,"2000 vs 1999"}</definedName>
    <definedName name="DSDFSDF_1" localSheetId="10" hidden="1">{"summary",#N/A,FALSE,"2000 vs 1999";"detail",#N/A,FALSE,"2000 vs 1999"}</definedName>
    <definedName name="DSDFSDF_1" localSheetId="9" hidden="1">{"summary",#N/A,FALSE,"2000 vs 1999";"detail",#N/A,FALSE,"2000 vs 1999"}</definedName>
    <definedName name="DSDFSDF_1" hidden="1">{"summary",#N/A,FALSE,"2000 vs 1999";"detail",#N/A,FALSE,"2000 vs 1999"}</definedName>
    <definedName name="dsfsffss" localSheetId="10" hidden="1">{#N/A,#N/A,FALSE,"Pharm";#N/A,#N/A,FALSE,"WWCM"}</definedName>
    <definedName name="dsfsffss" localSheetId="9" hidden="1">{#N/A,#N/A,FALSE,"Pharm";#N/A,#N/A,FALSE,"WWCM"}</definedName>
    <definedName name="dsfsffss" hidden="1">{#N/A,#N/A,FALSE,"Pharm";#N/A,#N/A,FALSE,"WWCM"}</definedName>
    <definedName name="dss" localSheetId="10" hidden="1">{"P and L Detail Page 1",#N/A,FALSE,"Data";"P and L Detail Page 2",#N/A,FALSE,"Data"}</definedName>
    <definedName name="dss" localSheetId="9" hidden="1">{"P and L Detail Page 1",#N/A,FALSE,"Data";"P and L Detail Page 2",#N/A,FALSE,"Data"}</definedName>
    <definedName name="dss" hidden="1">{"P and L Detail Page 1",#N/A,FALSE,"Data";"P and L Detail Page 2",#N/A,FALSE,"Data"}</definedName>
    <definedName name="dssad" localSheetId="10" hidden="1">{"Monthly6Q",#N/A,FALSE,"0614ESL"}</definedName>
    <definedName name="dssad" localSheetId="9" hidden="1">{"Monthly6Q",#N/A,FALSE,"0614ESL"}</definedName>
    <definedName name="dssad" hidden="1">{"Monthly6Q",#N/A,FALSE,"0614ESL"}</definedName>
    <definedName name="dssad_1" localSheetId="10" hidden="1">{"Monthly6Q",#N/A,FALSE,"0614ESL"}</definedName>
    <definedName name="dssad_1" localSheetId="9" hidden="1">{"Monthly6Q",#N/A,FALSE,"0614ESL"}</definedName>
    <definedName name="dssad_1" hidden="1">{"Monthly6Q",#N/A,FALSE,"0614ESL"}</definedName>
    <definedName name="dsssdf" hidden="1">#REF!</definedName>
    <definedName name="DYUJTIYTI" localSheetId="10" hidden="1">{"summary",#N/A,FALSE,"2000 vs 1999";"detail",#N/A,FALSE,"2000 vs 1999"}</definedName>
    <definedName name="DYUJTIYTI" localSheetId="9" hidden="1">{"summary",#N/A,FALSE,"2000 vs 1999";"detail",#N/A,FALSE,"2000 vs 1999"}</definedName>
    <definedName name="DYUJTIYTI" hidden="1">{"summary",#N/A,FALSE,"2000 vs 1999";"detail",#N/A,FALSE,"2000 vs 1999"}</definedName>
    <definedName name="DYUJTIYTI_1" localSheetId="10" hidden="1">{"summary",#N/A,FALSE,"2000 vs 1999";"detail",#N/A,FALSE,"2000 vs 1999"}</definedName>
    <definedName name="DYUJTIYTI_1" localSheetId="9" hidden="1">{"summary",#N/A,FALSE,"2000 vs 1999";"detail",#N/A,FALSE,"2000 vs 1999"}</definedName>
    <definedName name="DYUJTIYTI_1" hidden="1">{"summary",#N/A,FALSE,"2000 vs 1999";"detail",#N/A,FALSE,"2000 vs 1999"}</definedName>
    <definedName name="earns" localSheetId="1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arns" localSheetId="9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arn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d" localSheetId="10" hidden="1">{"'보고양식'!$A$58:$K$111"}</definedName>
    <definedName name="ed" localSheetId="9" hidden="1">{"'보고양식'!$A$58:$K$111"}</definedName>
    <definedName name="ed" hidden="1">{"'보고양식'!$A$58:$K$111"}</definedName>
    <definedName name="EDRTUERUTY" localSheetId="10" hidden="1">{"summary",#N/A,FALSE,"2000 vs 1999";"detail",#N/A,FALSE,"2000 vs 1999"}</definedName>
    <definedName name="EDRTUERUTY" localSheetId="9" hidden="1">{"summary",#N/A,FALSE,"2000 vs 1999";"detail",#N/A,FALSE,"2000 vs 1999"}</definedName>
    <definedName name="EDRTUERUTY" hidden="1">{"summary",#N/A,FALSE,"2000 vs 1999";"detail",#N/A,FALSE,"2000 vs 1999"}</definedName>
    <definedName name="EDRTUERUTY_1" localSheetId="10" hidden="1">{"summary",#N/A,FALSE,"2000 vs 1999";"detail",#N/A,FALSE,"2000 vs 1999"}</definedName>
    <definedName name="EDRTUERUTY_1" localSheetId="9" hidden="1">{"summary",#N/A,FALSE,"2000 vs 1999";"detail",#N/A,FALSE,"2000 vs 1999"}</definedName>
    <definedName name="EDRTUERUTY_1" hidden="1">{"summary",#N/A,FALSE,"2000 vs 1999";"detail",#N/A,FALSE,"2000 vs 1999"}</definedName>
    <definedName name="eeee" localSheetId="10" hidden="1">{#N/A,#N/A,FALSE,"UNIT";#N/A,#N/A,FALSE,"UNIT";#N/A,#N/A,FALSE,"계정"}</definedName>
    <definedName name="eeee" localSheetId="9" hidden="1">{#N/A,#N/A,FALSE,"UNIT";#N/A,#N/A,FALSE,"UNIT";#N/A,#N/A,FALSE,"계정"}</definedName>
    <definedName name="eeee" hidden="1">{#N/A,#N/A,FALSE,"UNIT";#N/A,#N/A,FALSE,"UNIT";#N/A,#N/A,FALSE,"계정"}</definedName>
    <definedName name="eeee_1" localSheetId="10" hidden="1">{#N/A,#N/A,FALSE,"UNIT";#N/A,#N/A,FALSE,"UNIT";#N/A,#N/A,FALSE,"계정"}</definedName>
    <definedName name="eeee_1" localSheetId="9" hidden="1">{#N/A,#N/A,FALSE,"UNIT";#N/A,#N/A,FALSE,"UNIT";#N/A,#N/A,FALSE,"계정"}</definedName>
    <definedName name="eeee_1" hidden="1">{#N/A,#N/A,FALSE,"UNIT";#N/A,#N/A,FALSE,"UNIT";#N/A,#N/A,FALSE,"계정"}</definedName>
    <definedName name="eeeee" localSheetId="10" hidden="1">{#N/A,#N/A,FALSE,"Pharm";#N/A,#N/A,FALSE,"WWCM"}</definedName>
    <definedName name="eeeee" localSheetId="9" hidden="1">{#N/A,#N/A,FALSE,"Pharm";#N/A,#N/A,FALSE,"WWCM"}</definedName>
    <definedName name="eeeee" hidden="1">{#N/A,#N/A,FALSE,"Pharm";#N/A,#N/A,FALSE,"WWCM"}</definedName>
    <definedName name="efbar" localSheetId="10" hidden="1">{#N/A,#N/A,FALSE,"Performance Flash Report"}</definedName>
    <definedName name="efbar" localSheetId="9" hidden="1">{#N/A,#N/A,FALSE,"Performance Flash Report"}</definedName>
    <definedName name="efbar" hidden="1">{#N/A,#N/A,FALSE,"Performance Flash Report"}</definedName>
    <definedName name="efbar_1" localSheetId="10" hidden="1">{#N/A,#N/A,FALSE,"Performance Flash Report"}</definedName>
    <definedName name="efbar_1" localSheetId="9" hidden="1">{#N/A,#N/A,FALSE,"Performance Flash Report"}</definedName>
    <definedName name="efbar_1" hidden="1">{#N/A,#N/A,FALSE,"Performance Flash Report"}</definedName>
    <definedName name="efbar_1_1" localSheetId="10" hidden="1">{#N/A,#N/A,FALSE,"Performance Flash Report"}</definedName>
    <definedName name="efbar_1_1" localSheetId="9" hidden="1">{#N/A,#N/A,FALSE,"Performance Flash Report"}</definedName>
    <definedName name="efbar_1_1" hidden="1">{#N/A,#N/A,FALSE,"Performance Flash Report"}</definedName>
    <definedName name="efbar_1_2" localSheetId="10" hidden="1">{#N/A,#N/A,FALSE,"Performance Flash Report"}</definedName>
    <definedName name="efbar_1_2" localSheetId="9" hidden="1">{#N/A,#N/A,FALSE,"Performance Flash Report"}</definedName>
    <definedName name="efbar_1_2" hidden="1">{#N/A,#N/A,FALSE,"Performance Flash Report"}</definedName>
    <definedName name="efbar_1_3" localSheetId="10" hidden="1">{#N/A,#N/A,FALSE,"Performance Flash Report"}</definedName>
    <definedName name="efbar_1_3" localSheetId="9" hidden="1">{#N/A,#N/A,FALSE,"Performance Flash Report"}</definedName>
    <definedName name="efbar_1_3" hidden="1">{#N/A,#N/A,FALSE,"Performance Flash Report"}</definedName>
    <definedName name="efbar_1_4" localSheetId="10" hidden="1">{#N/A,#N/A,FALSE,"Performance Flash Report"}</definedName>
    <definedName name="efbar_1_4" localSheetId="9" hidden="1">{#N/A,#N/A,FALSE,"Performance Flash Report"}</definedName>
    <definedName name="efbar_1_4" hidden="1">{#N/A,#N/A,FALSE,"Performance Flash Report"}</definedName>
    <definedName name="efbar_2" localSheetId="10" hidden="1">{#N/A,#N/A,FALSE,"Performance Flash Report"}</definedName>
    <definedName name="efbar_2" localSheetId="9" hidden="1">{#N/A,#N/A,FALSE,"Performance Flash Report"}</definedName>
    <definedName name="efbar_2" hidden="1">{#N/A,#N/A,FALSE,"Performance Flash Report"}</definedName>
    <definedName name="efbar_2_1" localSheetId="10" hidden="1">{#N/A,#N/A,FALSE,"Performance Flash Report"}</definedName>
    <definedName name="efbar_2_1" localSheetId="9" hidden="1">{#N/A,#N/A,FALSE,"Performance Flash Report"}</definedName>
    <definedName name="efbar_2_1" hidden="1">{#N/A,#N/A,FALSE,"Performance Flash Report"}</definedName>
    <definedName name="efbar_2_2" localSheetId="10" hidden="1">{#N/A,#N/A,FALSE,"Performance Flash Report"}</definedName>
    <definedName name="efbar_2_2" localSheetId="9" hidden="1">{#N/A,#N/A,FALSE,"Performance Flash Report"}</definedName>
    <definedName name="efbar_2_2" hidden="1">{#N/A,#N/A,FALSE,"Performance Flash Report"}</definedName>
    <definedName name="efbar_2_3" localSheetId="10" hidden="1">{#N/A,#N/A,FALSE,"Performance Flash Report"}</definedName>
    <definedName name="efbar_2_3" localSheetId="9" hidden="1">{#N/A,#N/A,FALSE,"Performance Flash Report"}</definedName>
    <definedName name="efbar_2_3" hidden="1">{#N/A,#N/A,FALSE,"Performance Flash Report"}</definedName>
    <definedName name="efbar_2_4" localSheetId="10" hidden="1">{#N/A,#N/A,FALSE,"Performance Flash Report"}</definedName>
    <definedName name="efbar_2_4" localSheetId="9" hidden="1">{#N/A,#N/A,FALSE,"Performance Flash Report"}</definedName>
    <definedName name="efbar_2_4" hidden="1">{#N/A,#N/A,FALSE,"Performance Flash Report"}</definedName>
    <definedName name="efbar_3" localSheetId="10" hidden="1">{#N/A,#N/A,FALSE,"Performance Flash Report"}</definedName>
    <definedName name="efbar_3" localSheetId="9" hidden="1">{#N/A,#N/A,FALSE,"Performance Flash Report"}</definedName>
    <definedName name="efbar_3" hidden="1">{#N/A,#N/A,FALSE,"Performance Flash Report"}</definedName>
    <definedName name="efbar_3_1" localSheetId="10" hidden="1">{#N/A,#N/A,FALSE,"Performance Flash Report"}</definedName>
    <definedName name="efbar_3_1" localSheetId="9" hidden="1">{#N/A,#N/A,FALSE,"Performance Flash Report"}</definedName>
    <definedName name="efbar_3_1" hidden="1">{#N/A,#N/A,FALSE,"Performance Flash Report"}</definedName>
    <definedName name="efbar_3_2" localSheetId="10" hidden="1">{#N/A,#N/A,FALSE,"Performance Flash Report"}</definedName>
    <definedName name="efbar_3_2" localSheetId="9" hidden="1">{#N/A,#N/A,FALSE,"Performance Flash Report"}</definedName>
    <definedName name="efbar_3_2" hidden="1">{#N/A,#N/A,FALSE,"Performance Flash Report"}</definedName>
    <definedName name="efbar_3_3" localSheetId="10" hidden="1">{#N/A,#N/A,FALSE,"Performance Flash Report"}</definedName>
    <definedName name="efbar_3_3" localSheetId="9" hidden="1">{#N/A,#N/A,FALSE,"Performance Flash Report"}</definedName>
    <definedName name="efbar_3_3" hidden="1">{#N/A,#N/A,FALSE,"Performance Flash Report"}</definedName>
    <definedName name="efbar_3_4" localSheetId="10" hidden="1">{#N/A,#N/A,FALSE,"Performance Flash Report"}</definedName>
    <definedName name="efbar_3_4" localSheetId="9" hidden="1">{#N/A,#N/A,FALSE,"Performance Flash Report"}</definedName>
    <definedName name="efbar_3_4" hidden="1">{#N/A,#N/A,FALSE,"Performance Flash Report"}</definedName>
    <definedName name="efbar_4" localSheetId="10" hidden="1">{#N/A,#N/A,FALSE,"Performance Flash Report"}</definedName>
    <definedName name="efbar_4" localSheetId="9" hidden="1">{#N/A,#N/A,FALSE,"Performance Flash Report"}</definedName>
    <definedName name="efbar_4" hidden="1">{#N/A,#N/A,FALSE,"Performance Flash Report"}</definedName>
    <definedName name="efbar_4_1" localSheetId="10" hidden="1">{#N/A,#N/A,FALSE,"Performance Flash Report"}</definedName>
    <definedName name="efbar_4_1" localSheetId="9" hidden="1">{#N/A,#N/A,FALSE,"Performance Flash Report"}</definedName>
    <definedName name="efbar_4_1" hidden="1">{#N/A,#N/A,FALSE,"Performance Flash Report"}</definedName>
    <definedName name="efbar_4_2" localSheetId="10" hidden="1">{#N/A,#N/A,FALSE,"Performance Flash Report"}</definedName>
    <definedName name="efbar_4_2" localSheetId="9" hidden="1">{#N/A,#N/A,FALSE,"Performance Flash Report"}</definedName>
    <definedName name="efbar_4_2" hidden="1">{#N/A,#N/A,FALSE,"Performance Flash Report"}</definedName>
    <definedName name="efbar_4_3" localSheetId="10" hidden="1">{#N/A,#N/A,FALSE,"Performance Flash Report"}</definedName>
    <definedName name="efbar_4_3" localSheetId="9" hidden="1">{#N/A,#N/A,FALSE,"Performance Flash Report"}</definedName>
    <definedName name="efbar_4_3" hidden="1">{#N/A,#N/A,FALSE,"Performance Flash Report"}</definedName>
    <definedName name="efbar_4_4" localSheetId="10" hidden="1">{#N/A,#N/A,FALSE,"Performance Flash Report"}</definedName>
    <definedName name="efbar_4_4" localSheetId="9" hidden="1">{#N/A,#N/A,FALSE,"Performance Flash Report"}</definedName>
    <definedName name="efbar_4_4" hidden="1">{#N/A,#N/A,FALSE,"Performance Flash Report"}</definedName>
    <definedName name="efbar_5" localSheetId="10" hidden="1">{#N/A,#N/A,FALSE,"Performance Flash Report"}</definedName>
    <definedName name="efbar_5" localSheetId="9" hidden="1">{#N/A,#N/A,FALSE,"Performance Flash Report"}</definedName>
    <definedName name="efbar_5" hidden="1">{#N/A,#N/A,FALSE,"Performance Flash Report"}</definedName>
    <definedName name="efbar_5_1" localSheetId="10" hidden="1">{#N/A,#N/A,FALSE,"Performance Flash Report"}</definedName>
    <definedName name="efbar_5_1" localSheetId="9" hidden="1">{#N/A,#N/A,FALSE,"Performance Flash Report"}</definedName>
    <definedName name="efbar_5_1" hidden="1">{#N/A,#N/A,FALSE,"Performance Flash Report"}</definedName>
    <definedName name="efbar_5_2" localSheetId="10" hidden="1">{#N/A,#N/A,FALSE,"Performance Flash Report"}</definedName>
    <definedName name="efbar_5_2" localSheetId="9" hidden="1">{#N/A,#N/A,FALSE,"Performance Flash Report"}</definedName>
    <definedName name="efbar_5_2" hidden="1">{#N/A,#N/A,FALSE,"Performance Flash Report"}</definedName>
    <definedName name="efbar_5_3" localSheetId="10" hidden="1">{#N/A,#N/A,FALSE,"Performance Flash Report"}</definedName>
    <definedName name="efbar_5_3" localSheetId="9" hidden="1">{#N/A,#N/A,FALSE,"Performance Flash Report"}</definedName>
    <definedName name="efbar_5_3" hidden="1">{#N/A,#N/A,FALSE,"Performance Flash Report"}</definedName>
    <definedName name="efbar_5_4" localSheetId="10" hidden="1">{#N/A,#N/A,FALSE,"Performance Flash Report"}</definedName>
    <definedName name="efbar_5_4" localSheetId="9" hidden="1">{#N/A,#N/A,FALSE,"Performance Flash Report"}</definedName>
    <definedName name="efbar_5_4" hidden="1">{#N/A,#N/A,FALSE,"Performance Flash Report"}</definedName>
    <definedName name="efweufwbf" localSheetId="1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efweufwbf" localSheetId="9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efweufwbf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ej" localSheetId="10" hidden="1">{"'용역비'!$A$4:$C$8"}</definedName>
    <definedName name="ej" localSheetId="9" hidden="1">{"'용역비'!$A$4:$C$8"}</definedName>
    <definedName name="ej" hidden="1">{"'용역비'!$A$4:$C$8"}</definedName>
    <definedName name="ejkfgkjze" localSheetId="10" hidden="1">{#N/A,#N/A,FALSE,"Pharm";#N/A,#N/A,FALSE,"WWCM"}</definedName>
    <definedName name="ejkfgkjze" localSheetId="9" hidden="1">{#N/A,#N/A,FALSE,"Pharm";#N/A,#N/A,FALSE,"WWCM"}</definedName>
    <definedName name="ejkfgkjze" hidden="1">{#N/A,#N/A,FALSE,"Pharm";#N/A,#N/A,FALSE,"WWCM"}</definedName>
    <definedName name="el" hidden="1">#REF!</definedName>
    <definedName name="EPMWorkbookOptions_1" hidden="1">"HTAAAB|LCAAAAAAABADtvQdgHEmWJSYvbcp7f0r1StfgdKEIgGATJNiQQBDswYjN5pLsHWlHIymrKoHKZVZlXWYWQMztnbz33nvvvffee||997o7nU4n99//P1xmZAFs9s5K2smeIYCqyB8/fnwfPyIe/x7vFmV6mddNUS0/|2h3vPNRmi|n1axYXnz20bo939799KPf4|g3Th5/t6rfTqrq7Zerlpo2Kb23bB69a4rPPpq37erR3btXV1fjq3v"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"jqr64u7ezs3v39/7i|evpPF9k28WyabPlNP/IvjW7|a2PqNc0fXxSLZf5FH2|qU7WdZ0v258s8iv|Mvj6adZm|il9/iJb5NKb7anNF6t1XXBXXzV5/bLOz3OCN83HhNBHR7//s5df/P5PXp588Xp35/f/nkFv/ou2J6vpLL8cNyvqqF4vptWyratyPK0Wd18fv7xLr9z9/u//veOXZ/Tvs2KJkdJv51nZ5N9/fBeYOLyOV6uymGYeDW|Nn4ERQv"</definedName>
    <definedName name="EPMWorkbookOptions_3" hidden="1">"E|1mEfKQ6droVcjoLp3cGvvl3MZvnyabHIlw0jOtzUIdkEbajV63l1ZWGcVGVVHxH5CK3IF5te5VFE3uyNTl8klmjzd|2z7LKqi5bw4pmQl3vf3eL9Z0XdtB4C8e87gCyWwwS6bSu/3VfL4hetcx758XRarZft47uxLzfBEIqTYN/f2b13sOsBiM0Fv/tlPcvro53Hd|WXKPRmVWbXL|tqldft9dH|g4f39s73P92ePJjsbu/v7TzYnnz68N727"</definedName>
    <definedName name="EPMWorkbookOptions_4" hidden="1">"OH5g2z3IMuyfIaew7cigJ9nTfs6L0n08tkX|WJCqirSLGTKaANqIu97ZPre8cnJl1|9ePP98fe|vUv/HD/9zu9/|uTszdNjEtxe6wGo3y7yOqun82vXNCW9|GhZlJ99BLb5qCM/3ruRubvdu4/v3jTeb4Qge/fvP/gRKZgUu/T8iBRCip2dnf|vk|Lx3dtoFk85/uwp8vWsaN/UWVF|fV2|s7N/sLNze1W||/9DVf7V07M3b14dnz03bPrmyzfH"</definedName>
    <definedName name="EPMWorkbookOptions_5" hidden="1">"z7979ubbx8|ff3ny/3WG/abp8uWPqBJQ5ezFy6/e/IgchhzfPnv95stXv8|PCOIT5Pd/ffr57//q9OT5/9fJ8v8e63eStflFVV9/bdt37979|/v7|7e3fXv//7N9J8dvTj|HtJo45uTNV8f/n2fSb4oaT756|vnpz1vVHueN3//3efP0RxQRijw7|Yl7u/s/|f/56O7/PUr9dNkW7ddX6Z8|2N05OHhwe5V|7/9/Kv30xZuzN05oX579/uy2/3|"</definedName>
    <definedName name="EPMWorkbookOptions_6" hidden="1">"dR78Zcrx6tvfF7//V7/UjYoAYp1|8/hEhQIjnp7//7sO9H9FCmOLkyxf/XyfF/3sM2hkt|dTT6mtbNErQffrpvXvvkaHb//|fSTt78eb01cmX1qY9f/77m49|xKhes1u1GmDUV6tWUJ3eyv0K4XztlcH7//9j1lcv35x89erV6YsTq1O/ev3zNmSKUOP5/|dzx//vkdo39NnXty3vLa6fvoe4ZvnDycOH|w|3Z5PJve39|7sH2xMS1O3s09m9yc"</definedName>
    <definedName name="EPMWorkbookOptions_7" hidden="1">"N79/f2zv/fIK5vzr44NZy5t7O7P/7OV/|fd3||IVrcH39x/PM2j9/ji|OvPv8RLZQWP68zCj0peXb65P/rtPh/j0X74vT49VevTl//EK3ag/ewav8fcUINFYlF6X8vT1|dffn07P/zftc3Q42fxwsYISF|4v/7hPgG9dYtGgXYxBs9vnu8WpXFNGsJjv08|NQ0J2jVckmI02dPszbjj/0P31TdwT9|lZ/XeTP/cvnlKl8enWdlQ|5/|CG3Oynzr"</definedName>
    <definedName name="EPMWorkbookOptions_8" hidden="1">"AbQL5evs8vctOx|zG2/W9VvJ1X1lrRVy2Q0rftfhO2vZjxrruGXKxnf/wOkNV9aHTAAAA=="</definedName>
    <definedName name="EPS_1" localSheetId="1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PS_1" localSheetId="9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PS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rd" localSheetId="10" hidden="1">{#N/A,#N/A,FALSE,"Pharm";#N/A,#N/A,FALSE,"WWCM"}</definedName>
    <definedName name="erd" localSheetId="9" hidden="1">{#N/A,#N/A,FALSE,"Pharm";#N/A,#N/A,FALSE,"WWCM"}</definedName>
    <definedName name="erd" hidden="1">{#N/A,#N/A,FALSE,"Pharm";#N/A,#N/A,FALSE,"WWCM"}</definedName>
    <definedName name="ererererytyyy" hidden="1">#REF!</definedName>
    <definedName name="erfe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g" localSheetId="10" hidden="1">{"summary",#N/A,FALSE,"2000 vs 1999";"detail",#N/A,FALSE,"2000 vs 1999"}</definedName>
    <definedName name="erg" localSheetId="9" hidden="1">{"summary",#N/A,FALSE,"2000 vs 1999";"detail",#N/A,FALSE,"2000 vs 1999"}</definedName>
    <definedName name="erg" hidden="1">{"summary",#N/A,FALSE,"2000 vs 1999";"detail",#N/A,FALSE,"2000 vs 1999"}</definedName>
    <definedName name="erg_1" localSheetId="10" hidden="1">{"summary",#N/A,FALSE,"2000 vs 1999";"detail",#N/A,FALSE,"2000 vs 1999"}</definedName>
    <definedName name="erg_1" localSheetId="9" hidden="1">{"summary",#N/A,FALSE,"2000 vs 1999";"detail",#N/A,FALSE,"2000 vs 1999"}</definedName>
    <definedName name="erg_1" hidden="1">{"summary",#N/A,FALSE,"2000 vs 1999";"detail",#N/A,FALSE,"2000 vs 1999"}</definedName>
    <definedName name="ergerg" localSheetId="10" hidden="1">{"summary",#N/A,FALSE,"2000 vs 1999";"detail",#N/A,FALSE,"2000 vs 1999"}</definedName>
    <definedName name="ergerg" localSheetId="9" hidden="1">{"summary",#N/A,FALSE,"2000 vs 1999";"detail",#N/A,FALSE,"2000 vs 1999"}</definedName>
    <definedName name="ergerg" hidden="1">{"summary",#N/A,FALSE,"2000 vs 1999";"detail",#N/A,FALSE,"2000 vs 1999"}</definedName>
    <definedName name="ergerg_1" localSheetId="10" hidden="1">{"summary",#N/A,FALSE,"2000 vs 1999";"detail",#N/A,FALSE,"2000 vs 1999"}</definedName>
    <definedName name="ergerg_1" localSheetId="9" hidden="1">{"summary",#N/A,FALSE,"2000 vs 1999";"detail",#N/A,FALSE,"2000 vs 1999"}</definedName>
    <definedName name="ergerg_1" hidden="1">{"summary",#N/A,FALSE,"2000 vs 1999";"detail",#N/A,FALSE,"2000 vs 1999"}</definedName>
    <definedName name="Err_Chk_2_Hdg" hidden="1">#REF!</definedName>
    <definedName name="erryeyetyuu" localSheetId="10" hidden="1">{#N/A,#N/A,FALSE,"Pharm";#N/A,#N/A,FALSE,"WWCM"}</definedName>
    <definedName name="erryeyetyuu" localSheetId="9" hidden="1">{#N/A,#N/A,FALSE,"Pharm";#N/A,#N/A,FALSE,"WWCM"}</definedName>
    <definedName name="erryeyetyuu" hidden="1">{#N/A,#N/A,FALSE,"Pharm";#N/A,#N/A,FALSE,"WWCM"}</definedName>
    <definedName name="ertert" localSheetId="10" hidden="1">{#N/A,#N/A,FALSE,"UNIT";#N/A,#N/A,FALSE,"UNIT";#N/A,#N/A,FALSE,"계정"}</definedName>
    <definedName name="ertert" localSheetId="9" hidden="1">{#N/A,#N/A,FALSE,"UNIT";#N/A,#N/A,FALSE,"UNIT";#N/A,#N/A,FALSE,"계정"}</definedName>
    <definedName name="ertert" hidden="1">{#N/A,#N/A,FALSE,"UNIT";#N/A,#N/A,FALSE,"UNIT";#N/A,#N/A,FALSE,"계정"}</definedName>
    <definedName name="ertert_1" localSheetId="10" hidden="1">{#N/A,#N/A,FALSE,"UNIT";#N/A,#N/A,FALSE,"UNIT";#N/A,#N/A,FALSE,"계정"}</definedName>
    <definedName name="ertert_1" localSheetId="9" hidden="1">{#N/A,#N/A,FALSE,"UNIT";#N/A,#N/A,FALSE,"UNIT";#N/A,#N/A,FALSE,"계정"}</definedName>
    <definedName name="ertert_1" hidden="1">{#N/A,#N/A,FALSE,"UNIT";#N/A,#N/A,FALSE,"UNIT";#N/A,#N/A,FALSE,"계정"}</definedName>
    <definedName name="erterter" localSheetId="10" hidden="1">{"summary",#N/A,FALSE,"2000 vs 1999";"detail",#N/A,FALSE,"2000 vs 1999"}</definedName>
    <definedName name="erterter" localSheetId="9" hidden="1">{"summary",#N/A,FALSE,"2000 vs 1999";"detail",#N/A,FALSE,"2000 vs 1999"}</definedName>
    <definedName name="erterter" hidden="1">{"summary",#N/A,FALSE,"2000 vs 1999";"detail",#N/A,FALSE,"2000 vs 1999"}</definedName>
    <definedName name="erterter_1" localSheetId="10" hidden="1">{"summary",#N/A,FALSE,"2000 vs 1999";"detail",#N/A,FALSE,"2000 vs 1999"}</definedName>
    <definedName name="erterter_1" localSheetId="9" hidden="1">{"summary",#N/A,FALSE,"2000 vs 1999";"detail",#N/A,FALSE,"2000 vs 1999"}</definedName>
    <definedName name="erterter_1" hidden="1">{"summary",#N/A,FALSE,"2000 vs 1999";"detail",#N/A,FALSE,"2000 vs 1999"}</definedName>
    <definedName name="ertwtre" localSheetId="10" hidden="1">{"summary",#N/A,FALSE,"2000 vs 1999";"detail",#N/A,FALSE,"2000 vs 1999"}</definedName>
    <definedName name="ertwtre" localSheetId="9" hidden="1">{"summary",#N/A,FALSE,"2000 vs 1999";"detail",#N/A,FALSE,"2000 vs 1999"}</definedName>
    <definedName name="ertwtre" hidden="1">{"summary",#N/A,FALSE,"2000 vs 1999";"detail",#N/A,FALSE,"2000 vs 1999"}</definedName>
    <definedName name="ertwtre_1" localSheetId="10" hidden="1">{"summary",#N/A,FALSE,"2000 vs 1999";"detail",#N/A,FALSE,"2000 vs 1999"}</definedName>
    <definedName name="ertwtre_1" localSheetId="9" hidden="1">{"summary",#N/A,FALSE,"2000 vs 1999";"detail",#N/A,FALSE,"2000 vs 1999"}</definedName>
    <definedName name="ertwtre_1" hidden="1">{"summary",#N/A,FALSE,"2000 vs 1999";"detail",#N/A,FALSE,"2000 vs 1999"}</definedName>
    <definedName name="ertyertye" localSheetId="10" hidden="1">{"'용역비'!$A$4:$C$8"}</definedName>
    <definedName name="ertyertye" localSheetId="9" hidden="1">{"'용역비'!$A$4:$C$8"}</definedName>
    <definedName name="ertyertye" hidden="1">{"'용역비'!$A$4:$C$8"}</definedName>
    <definedName name="erwefasgrghehwet" localSheetId="10" hidden="1">{"'Sheet1'!$L$16"}</definedName>
    <definedName name="erwefasgrghehwet" localSheetId="9" hidden="1">{"'Sheet1'!$L$16"}</definedName>
    <definedName name="erwefasgrghehwet" hidden="1">{"'Sheet1'!$L$16"}</definedName>
    <definedName name="erwefasgrghehwet_1" localSheetId="10" hidden="1">{"'Sheet1'!$L$16"}</definedName>
    <definedName name="erwefasgrghehwet_1" localSheetId="9" hidden="1">{"'Sheet1'!$L$16"}</definedName>
    <definedName name="erwefasgrghehwet_1" hidden="1">{"'Sheet1'!$L$16"}</definedName>
    <definedName name="esnrc100c1_values" localSheetId="10" hidden="1">{"FTSE100","COMPANIES",TRUE}</definedName>
    <definedName name="esnrc100c1_values" localSheetId="9" hidden="1">{"FTSE100","COMPANIES",TRUE}</definedName>
    <definedName name="esnrc100c1_values" hidden="1">{"FTSE100","COMPANIES",TRUE}</definedName>
    <definedName name="esnrc33c1_values" localSheetId="10" hidden="1">{"EUMOT","COMPANIES",TRUE}</definedName>
    <definedName name="esnrc33c1_values" localSheetId="9" hidden="1">{"EUMOT","COMPANIES",TRUE}</definedName>
    <definedName name="esnrc33c1_values" hidden="1">{"EUMOT","COMPANIES",TRUE}</definedName>
    <definedName name="esnrc56c1_values" localSheetId="10" hidden="1">{"ASCONGRP","COMPANIES",TRUE}</definedName>
    <definedName name="esnrc56c1_values" localSheetId="9" hidden="1">{"ASCONGRP","COMPANIES",TRUE}</definedName>
    <definedName name="esnrc56c1_values" hidden="1">{"ASCONGRP","COMPANIES",TRUE}</definedName>
    <definedName name="esnrc63c1_values" localSheetId="10" hidden="1">{"EUUTIGRP","COMPANIES",TRUE}</definedName>
    <definedName name="esnrc63c1_values" localSheetId="9" hidden="1">{"EUUTIGRP","COMPANIES",TRUE}</definedName>
    <definedName name="esnrc63c1_values" hidden="1">{"EUUTIGRP","COMPANIES",TRUE}</definedName>
    <definedName name="esnrc91c1_values" localSheetId="10" hidden="1">{"EUUTI","COMPANIES",TRUE}</definedName>
    <definedName name="esnrc91c1_values" localSheetId="9" hidden="1">{"EUUTI","COMPANIES",TRUE}</definedName>
    <definedName name="esnrc91c1_values" hidden="1">{"EUUTI","COMPANIES",TRUE}</definedName>
    <definedName name="esnrc91c2_values" localSheetId="10" hidden="1">{"EUUTI","COMPANIES",TRUE}</definedName>
    <definedName name="esnrc91c2_values" localSheetId="9" hidden="1">{"EUUTI","COMPANIES",TRUE}</definedName>
    <definedName name="esnrc91c2_values" hidden="1">{"EUUTI","COMPANIES",TRUE}</definedName>
    <definedName name="ESSAI" localSheetId="10" hidden="1">{#N/A,#N/A,FALSE,"Pharm";#N/A,#N/A,FALSE,"WWCM"}</definedName>
    <definedName name="ESSAI" localSheetId="9" hidden="1">{#N/A,#N/A,FALSE,"Pharm";#N/A,#N/A,FALSE,"WWCM"}</definedName>
    <definedName name="ESSAI" hidden="1">{#N/A,#N/A,FALSE,"Pharm";#N/A,#N/A,FALSE,"WWCM"}</definedName>
    <definedName name="est" localSheetId="10" hidden="1">{"EVA",#N/A,FALSE,"EVA";"WACC",#N/A,FALSE,"WACC"}</definedName>
    <definedName name="est" localSheetId="9" hidden="1">{"EVA",#N/A,FALSE,"EVA";"WACC",#N/A,FALSE,"WACC"}</definedName>
    <definedName name="est" hidden="1">{"EVA",#N/A,FALSE,"EVA";"WACC",#N/A,FALSE,"WACC"}</definedName>
    <definedName name="ETHGER" hidden="1">#REF!</definedName>
    <definedName name="etyj" localSheetId="10" hidden="1">{"'용역비'!$A$4:$C$8"}</definedName>
    <definedName name="etyj" localSheetId="9" hidden="1">{"'용역비'!$A$4:$C$8"}</definedName>
    <definedName name="etyj" hidden="1">{"'용역비'!$A$4:$C$8"}</definedName>
    <definedName name="etyjj" localSheetId="10" hidden="1">{"'용역비'!$A$4:$C$8"}</definedName>
    <definedName name="etyjj" localSheetId="9" hidden="1">{"'용역비'!$A$4:$C$8"}</definedName>
    <definedName name="etyjj" hidden="1">{"'용역비'!$A$4:$C$8"}</definedName>
    <definedName name="etyyuiytrf" hidden="1">#REF!</definedName>
    <definedName name="EUR" hidden="1">1</definedName>
    <definedName name="ev.Calculation" hidden="1">2</definedName>
    <definedName name="ev.Initialized" hidden="1">FALSE</definedName>
    <definedName name="EV__ALLOWSTOPEXPAND__" hidden="1">1</definedName>
    <definedName name="EV__DECIMALSYMBOL__" hidden="1">"."</definedName>
    <definedName name="EV__EVCOM_OPTIONS__" hidden="1">8</definedName>
    <definedName name="EV__EXPOPTIONS__" hidden="1">0</definedName>
    <definedName name="EV__LASTREFTIME__" hidden="1">38810.7012384259</definedName>
    <definedName name="EV__LOCKEDCVW__BILLING" hidden="1">"BTR_ALLBTR,BIN_AllBusInd,BAR_ALL_BUS_AREAS,CAT_ACTUAL,ACC_BillQ,CTY_ALLCTRY,P_GBP,DSR_TOTAL_DSRC,BDC_TOTAL_DC,MKT_ALLMK,2006.TOTAL,PIN_Total_Pind,PRD_1.1.2.2,STO_CGROUP_ALLAI,VEN_ALLVENDOR,PERIODIC,"</definedName>
    <definedName name="EV__LOCKEDCVW__BILLING_SUMMARY" hidden="1">"BIN_AllBusInd,CAT_BUDGET_v3,ACC_NetRev,G_EUR,DSR_TOTAL_DSRC,BDC_02,LOB_000,MKT_ALLMK,2008.TOTAL,PIN_Total_Pind,PRD_1.1.2.2,VEN_CGROUP_OTHER,YTD,"</definedName>
    <definedName name="EV__LOCKEDCVW__CASHFLOW" hidden="1">"A_TOTCFA,AC_CASHAC,ACTUAL,LC,E_QSG,2007.Q2,PERIODIC,"</definedName>
    <definedName name="EV__LOCKEDCVW__CONSO" hidden="1">"A_None_NETINC,B_ALL,ACTUAL,C_ALL,USD,TotConso,E_QSG,G_ALL,2007.Q3,PERIODIC,"</definedName>
    <definedName name="EV__LOCKEDCVW__CORPOPS" hidden="1">"A_None_NETINC,B_ALL,BUDGET,C_ALL,USD,TotConso,E_100,G_ALL,2007.Q3,PERIODIC,"</definedName>
    <definedName name="EV__LOCKEDCVW__FIN_CASHFLOW" hidden="1">"CFA_INC_CLCSHPOS,CFC_ACTUAL,CMP_EAP,P_GBP,FDS_ALL,CFI_ALL_INTCO,1999.TOTAL,PERIODIC,"</definedName>
    <definedName name="EV__LOCKEDCVW__FIN_OPEX" hidden="1">"G_EUR,FIN_GR01,BUN_ALL,CAT_BUDGET_v3,CMP_EAP,FDS_ALL,FDVA_066,MOV_END,MKT_ALLMK,2008.TOTAL,RVP_ALL,YTD,"</definedName>
    <definedName name="EV__LOCKEDCVW__FINANCE" hidden="1">"MERCK_ACCOUNT,RF,TOT_DIV_ADJ,GHH_ECUADOR,CARDIO,MERCK_RPT_LINE,LC,2011.JAN,PERIODIC,"</definedName>
    <definedName name="EV__LOCKEDCVW__FPR" hidden="1">"A_STAT_INVENT,B_ALL,FORECAST,C_ALL,LC,Input,D_ALL,E_503,P_ALL,S_ALL,2006.Q4,PERIODIC,"</definedName>
    <definedName name="EV__LOCKEDCVW__HBG_REPORTING" hidden="1">"BTO_AllBillTo,CAT_ACTUAL,ACC_NetRev,P_GBP,DSR_TOTAL_DSRC,BDC_TOTAL_DC,MKT_ALLMK,2007.SEP,PRD_TOTAL_HBG,SDT_TOTALSD,STO_AllSoldTo,VEN_ALLVENDOR,PERIODIC,"</definedName>
    <definedName name="EV__LOCKEDCVW__INTERCOMATCHING" hidden="1">"ICAssets,Actual,Input,E_All,I_All,2004.TOTAL,USD,PERIODIC,"</definedName>
    <definedName name="EV__LOCKEDCVW__PAYROLL" hidden="1">"11250,Actual,TotalAdj,TOT_DEPT,ALLEMPL,TOT_COMPANY_PF,Tot_Job,TOT_LOB,ALLPAYGROUPS,2008.Total,ALLDATACONT,PERIODIC,"</definedName>
    <definedName name="EV__LOCKEDCVW__RATE" hidden="1">"ACTUAL,AED,PL_RATE,RATECALC,2010.TOTAL,PERIODIC,"</definedName>
    <definedName name="EV__LOCKEDCVW__RATE_INTERCO" hidden="1">"Actual,Avg,Default,2004.TOTAL,USD,PERIODIC,"</definedName>
    <definedName name="EV__LOCKEDCVW__REVENUE" hidden="1">"CustomerData,Actual,1001018,Revenue,10,TOT_LOB,2009.SEP,PERIODIC,"</definedName>
    <definedName name="EV__LOCKEDCVW__SAFETY" hidden="1">"PrevDOTRatio_PLAN,Plan,Input,LINEHAUL,TOT_COMPANY,REGULAR,2009.TOTAL,PERIODIC,"</definedName>
    <definedName name="EV__LOCKEDCVW__TSL_REPORTING" hidden="1">"BTO_AllBillTo,CAT_ACTUAL,ACC_NetRev,P_GBP,DSR_TOTAL_DSRC,BDC_TOTAL_DC,MKT_ALLMK,0000.TOTAL,PRD_TOTAL_TSL,SDT_TOTALSD,STO_AllSoldTo,VEN_ALLVENDOR,PERIODIC,"</definedName>
    <definedName name="EV__LOCKSTATUS__" hidden="1">1</definedName>
    <definedName name="EV__MAXEXPCOLS__" hidden="1">100</definedName>
    <definedName name="EV__MAXEXPROWS__" hidden="1">1000</definedName>
    <definedName name="EV__MEMORYCVW__" hidden="1">1</definedName>
    <definedName name="EV__MEMORYCVW__3Q08_RECON_FILE_SI_MASTER_ENHANCED.XLS" hidden="1">"AIACONS"</definedName>
    <definedName name="EV__MEMORYCVW__3Q08_RECON_FILE_SI_MASTER_ENHANCED.XLS_C_ACCT" hidden="1">"IS_REPORTING"</definedName>
    <definedName name="EV__MEMORYCVW__3Q08_RECON_FILE_SI_MASTER_ENHANCED.XLS_C_CATEGORY" hidden="1">"ACTUAL"</definedName>
    <definedName name="EV__MEMORYCVW__3Q08_RECON_FILE_SI_MASTER_ENHANCED.XLS_C_DATASRC" hidden="1">"IFRS_TOTL"</definedName>
    <definedName name="EV__MEMORYCVW__3Q08_RECON_FILE_SI_MASTER_ENHANCED.XLS_CURRENCY" hidden="1">"USD"</definedName>
    <definedName name="EV__MEMORYCVW__3Q08_RECON_FILE_SI_MASTER_ENHANCED.XLS_ENTITY" hidden="1">"ENTITY:RAIGH"</definedName>
    <definedName name="EV__MEMORYCVW__3Q08_RECON_FILE_SI_MASTER_ENHANCED.XLS_FLOW" hidden="1">"FTOT"</definedName>
    <definedName name="EV__MEMORYCVW__3Q08_RECON_FILE_SI_MASTER_ENHANCED.XLS_FUND" hidden="1">"TOTALFUND"</definedName>
    <definedName name="EV__MEMORYCVW__3Q08_RECON_FILE_SI_MASTER_ENHANCED.XLS_GROUPS" hidden="1">"USD_LEGAL"</definedName>
    <definedName name="EV__MEMORYCVW__3Q08_RECON_FILE_SI_MASTER_ENHANCED.XLS_INTCO" hidden="1">"TOTALINTCO"</definedName>
    <definedName name="EV__MEMORYCVW__3Q08_RECON_FILE_SI_MASTER_ENHANCED.XLS_LOB_HKICO" hidden="1">"TOTALICO"</definedName>
    <definedName name="EV__MEMORYCVW__3Q08_RECON_FILE_SI_MASTER_ENHANCED.XLS_LOB_IFRS" hidden="1">"TOTALIFRS"</definedName>
    <definedName name="EV__MEMORYCVW__3Q08_RECON_FILE_SI_MASTER_ENHANCED.XLS_LOB_MGMT" hidden="1">"AL"</definedName>
    <definedName name="EV__MEMORYCVW__3Q08_RECON_FILE_SI_MASTER_ENHANCED.XLS_MEASURES" hidden="1">"YTD"</definedName>
    <definedName name="EV__MEMORYCVW__3Q08_RECON_FILE_SI_MASTER_ENHANCED.XLS_TIME" hidden="1">"2009.MAY"</definedName>
    <definedName name="EV__MEMORYCVW__A.TXT" hidden="1">"AIACONS"</definedName>
    <definedName name="EV__MEMORYCVW__A.TXT_C_ACCT" hidden="1">"SI_REPORTING"</definedName>
    <definedName name="EV__MEMORYCVW__A.TXT_C_CATEGORY" hidden="1">"ACTUAL"</definedName>
    <definedName name="EV__MEMORYCVW__A.TXT_C_DATASRC" hidden="1">"IFRS_TOTL"</definedName>
    <definedName name="EV__MEMORYCVW__A.TXT_CURRENCY" hidden="1">"USD"</definedName>
    <definedName name="EV__MEMORYCVW__A.TXT_ENTITY" hidden="1">"ENTITY:RAHGR"</definedName>
    <definedName name="EV__MEMORYCVW__A.TXT_FLOW" hidden="1">"FTOT"</definedName>
    <definedName name="EV__MEMORYCVW__A.TXT_FUND" hidden="1">"TOTALFUND"</definedName>
    <definedName name="EV__MEMORYCVW__A.TXT_GROUPS" hidden="1">"LOCAL"</definedName>
    <definedName name="EV__MEMORYCVW__A.TXT_INTCO" hidden="1">"TOTALINTCO"</definedName>
    <definedName name="EV__MEMORYCVW__A.TXT_LOB_HKICO" hidden="1">"TOTALICO"</definedName>
    <definedName name="EV__MEMORYCVW__A.TXT_LOB_IFRS" hidden="1">"TOTALIFRS"</definedName>
    <definedName name="EV__MEMORYCVW__A.TXT_LOB_MGMT" hidden="1">"AL"</definedName>
    <definedName name="EV__MEMORYCVW__A.TXT_MEASURES" hidden="1">"YTD"</definedName>
    <definedName name="EV__MEMORYCVW__A.TXT_TIME" hidden="1">"2010.FEB"</definedName>
    <definedName name="EV__MEMORYCVW__ACCOUNTS_BACKUP_3MAY2010.XLS" hidden="1">"AIACONS"</definedName>
    <definedName name="EV__MEMORYCVW__ACCOUNTS_BACKUP_3MAY2010.XLS_C_ACCT" hidden="1">"IS_REPORTING"</definedName>
    <definedName name="EV__MEMORYCVW__ACCOUNTS_BACKUP_3MAY2010.XLS_C_CATEGORY" hidden="1">"ACTUAL000"</definedName>
    <definedName name="EV__MEMORYCVW__ACCOUNTS_BACKUP_3MAY2010.XLS_C_DATASRC" hidden="1">"IFRS_TOTL"</definedName>
    <definedName name="EV__MEMORYCVW__ACCOUNTS_BACKUP_3MAY2010.XLS_CURRENCY" hidden="1">"LC"</definedName>
    <definedName name="EV__MEMORYCVW__ACCOUNTS_BACKUP_3MAY2010.XLS_ENTITY" hidden="1">"ENTITY:MGMT_CO"</definedName>
    <definedName name="EV__MEMORYCVW__ACCOUNTS_BACKUP_3MAY2010.XLS_FLOW" hidden="1">"FTOT"</definedName>
    <definedName name="EV__MEMORYCVW__ACCOUNTS_BACKUP_3MAY2010.XLS_FUND" hidden="1">"P00"</definedName>
    <definedName name="EV__MEMORYCVW__ACCOUNTS_BACKUP_3MAY2010.XLS_GROUPS" hidden="1">"LOCAL"</definedName>
    <definedName name="EV__MEMORYCVW__ACCOUNTS_BACKUP_3MAY2010.XLS_INTCO" hidden="1">"TOTALINTCO"</definedName>
    <definedName name="EV__MEMORYCVW__ACCOUNTS_BACKUP_3MAY2010.XLS_LOB_HKICO" hidden="1">"TOTALICO"</definedName>
    <definedName name="EV__MEMORYCVW__ACCOUNTS_BACKUP_3MAY2010.XLS_LOB_IFRS" hidden="1">"TOTALIFRS"</definedName>
    <definedName name="EV__MEMORYCVW__ACCOUNTS_BACKUP_3MAY2010.XLS_LOB_MGMT" hidden="1">"AL"</definedName>
    <definedName name="EV__MEMORYCVW__ACCOUNTS_BACKUP_3MAY2010.XLS_MEASURES" hidden="1">"YTD"</definedName>
    <definedName name="EV__MEMORYCVW__ACCOUNTS_BACKUP_3MAY2010.XLS_TIME" hidden="1">"2010.TOTAL"</definedName>
    <definedName name="EV__MEMORYCVW__AU01_GAAP_CY06_LC.XLS" hidden="1">"AIACONS"</definedName>
    <definedName name="EV__MEMORYCVW__AU01_GAAP_CY06_LC.XLS_C_ACCT" hidden="1">"DC_BY1311"</definedName>
    <definedName name="EV__MEMORYCVW__AU01_GAAP_CY06_LC.XLS_C_CATEGORY" hidden="1">"ACTUAL"</definedName>
    <definedName name="EV__MEMORYCVW__AU01_GAAP_CY06_LC.XLS_C_DATASRC" hidden="1">"GAAP_TOTL"</definedName>
    <definedName name="EV__MEMORYCVW__AU01_GAAP_CY06_LC.XLS_CURRENCY" hidden="1">"USD"</definedName>
    <definedName name="EV__MEMORYCVW__AU01_GAAP_CY06_LC.XLS_ENTITY" hidden="1">"AU01"</definedName>
    <definedName name="EV__MEMORYCVW__AU01_GAAP_CY06_LC.XLS_FLOW" hidden="1">"FTOT"</definedName>
    <definedName name="EV__MEMORYCVW__AU01_GAAP_CY06_LC.XLS_FUND" hidden="1">"TOTALFUND"</definedName>
    <definedName name="EV__MEMORYCVW__AU01_GAAP_CY06_LC.XLS_GROUPS" hidden="1">"LOCAL"</definedName>
    <definedName name="EV__MEMORYCVW__AU01_GAAP_CY06_LC.XLS_INTCO" hidden="1">"I_999999"</definedName>
    <definedName name="EV__MEMORYCVW__AU01_GAAP_CY06_LC.XLS_LOB_HKICO" hidden="1">"TOTALICO"</definedName>
    <definedName name="EV__MEMORYCVW__AU01_GAAP_CY06_LC.XLS_LOB_IFRS" hidden="1">"TOTALIFRS"</definedName>
    <definedName name="EV__MEMORYCVW__AU01_GAAP_CY06_LC.XLS_LOB_MGMT" hidden="1">"SL999"</definedName>
    <definedName name="EV__MEMORYCVW__AU01_GAAP_CY06_LC.XLS_MEASURES" hidden="1">"YTD"</definedName>
    <definedName name="EV__MEMORYCVW__AU01_GAAP_CY06_LC.XLS_TIME" hidden="1">"2010.MAY"</definedName>
    <definedName name="EV__MEMORYCVW__B14030L_B00665_ETC.XLS" hidden="1">"AIACONS"</definedName>
    <definedName name="EV__MEMORYCVW__B14030L_B00665_ETC.XLS_C_ACCT" hidden="1">"IS_REPORTING"</definedName>
    <definedName name="EV__MEMORYCVW__B14030L_B00665_ETC.XLS_C_CATEGORY" hidden="1">"ACTUAL"</definedName>
    <definedName name="EV__MEMORYCVW__B14030L_B00665_ETC.XLS_C_DATASRC" hidden="1">"IFRS_TOTL"</definedName>
    <definedName name="EV__MEMORYCVW__B14030L_B00665_ETC.XLS_CURRENCY" hidden="1">"USD"</definedName>
    <definedName name="EV__MEMORYCVW__B14030L_B00665_ETC.XLS_ENTITY" hidden="1">"ENTITY:RAIGH"</definedName>
    <definedName name="EV__MEMORYCVW__B14030L_B00665_ETC.XLS_FLOW" hidden="1">"FTOT"</definedName>
    <definedName name="EV__MEMORYCVW__B14030L_B00665_ETC.XLS_FUND" hidden="1">"TOTALFUND"</definedName>
    <definedName name="EV__MEMORYCVW__B14030L_B00665_ETC.XLS_GROUPS" hidden="1">"USD_LEGAL"</definedName>
    <definedName name="EV__MEMORYCVW__B14030L_B00665_ETC.XLS_INTCO" hidden="1">"TOTALINTCO"</definedName>
    <definedName name="EV__MEMORYCVW__B14030L_B00665_ETC.XLS_LOB_HKICO" hidden="1">"TOTALICO"</definedName>
    <definedName name="EV__MEMORYCVW__B14030L_B00665_ETC.XLS_LOB_IFRS" hidden="1">"TOTALIFRS"</definedName>
    <definedName name="EV__MEMORYCVW__B14030L_B00665_ETC.XLS_LOB_MGMT" hidden="1">"AL"</definedName>
    <definedName name="EV__MEMORYCVW__B14030L_B00665_ETC.XLS_MEASURES" hidden="1">"YTD"</definedName>
    <definedName name="EV__MEMORYCVW__B14030L_B00665_ETC.XLS_TIME" hidden="1">"2009.MAY"</definedName>
    <definedName name="EV__MEMORYCVW__BOOK1" hidden="1">"AIACONS"</definedName>
    <definedName name="EV__MEMORYCVW__BOOK1_C_ACCT" hidden="1">"IS_REPORTING"</definedName>
    <definedName name="EV__MEMORYCVW__BOOK1_C_CATEGORY" hidden="1">"ACTUAL000"</definedName>
    <definedName name="EV__MEMORYCVW__BOOK1_C_DATASRC" hidden="1">"IFRS_TOTL"</definedName>
    <definedName name="EV__MEMORYCVW__BOOK1_CURRENCY" hidden="1">"LC"</definedName>
    <definedName name="EV__MEMORYCVW__BOOK1_ENTITY" hidden="1">"ENTITY:RHKGR"</definedName>
    <definedName name="EV__MEMORYCVW__BOOK1_FLOW" hidden="1">"FTOT"</definedName>
    <definedName name="EV__MEMORYCVW__BOOK1_FUND" hidden="1">"TOTALFUND"</definedName>
    <definedName name="EV__MEMORYCVW__BOOK1_GROUPS" hidden="1">"LOCAL"</definedName>
    <definedName name="EV__MEMORYCVW__BOOK1_INTCO" hidden="1">"TOTALINTCO"</definedName>
    <definedName name="EV__MEMORYCVW__BOOK1_LOB_HKICO" hidden="1">"TOTALICO"</definedName>
    <definedName name="EV__MEMORYCVW__BOOK1_LOB_IFRS" hidden="1">"TOTALIFRS"</definedName>
    <definedName name="EV__MEMORYCVW__BOOK1_LOB_MGMT" hidden="1">"AL"</definedName>
    <definedName name="EV__MEMORYCVW__BOOK1_MEASURES" hidden="1">"YTD"</definedName>
    <definedName name="EV__MEMORYCVW__BOOK1_TIME" hidden="1">"2010.FEB"</definedName>
    <definedName name="EV__MEMORYCVW__BOOK10" hidden="1">"AIACONS"</definedName>
    <definedName name="EV__MEMORYCVW__BOOK10_C_ACCT" hidden="1">"IS_REPORTING"</definedName>
    <definedName name="EV__MEMORYCVW__BOOK10_C_CATEGORY" hidden="1">"ACTUAL"</definedName>
    <definedName name="EV__MEMORYCVW__BOOK10_C_DATASRC" hidden="1">"IFRS_TOTL"</definedName>
    <definedName name="EV__MEMORYCVW__BOOK10_CURRENCY" hidden="1">"USD"</definedName>
    <definedName name="EV__MEMORYCVW__BOOK10_ENTITY" hidden="1">"ENTITY:RAIGH"</definedName>
    <definedName name="EV__MEMORYCVW__BOOK10_FLOW" hidden="1">"FTOT"</definedName>
    <definedName name="EV__MEMORYCVW__BOOK10_FUND" hidden="1">"TOTALFUND"</definedName>
    <definedName name="EV__MEMORYCVW__BOOK10_GROUPS" hidden="1">"USD_LEGAL"</definedName>
    <definedName name="EV__MEMORYCVW__BOOK10_INTCO" hidden="1">"TOTALINTCO"</definedName>
    <definedName name="EV__MEMORYCVW__BOOK10_LOB_HKICO" hidden="1">"TOTALICO"</definedName>
    <definedName name="EV__MEMORYCVW__BOOK10_LOB_IFRS" hidden="1">"TOTALIFRS"</definedName>
    <definedName name="EV__MEMORYCVW__BOOK10_LOB_MGMT" hidden="1">"AL"</definedName>
    <definedName name="EV__MEMORYCVW__BOOK10_MEASURES" hidden="1">"YTD"</definedName>
    <definedName name="EV__MEMORYCVW__BOOK10_TIME" hidden="1">"2009.MAY"</definedName>
    <definedName name="EV__MEMORYCVW__BOOK15" hidden="1">"AIACONS"</definedName>
    <definedName name="EV__MEMORYCVW__BOOK15_C_ACCT" hidden="1">1</definedName>
    <definedName name="EV__MEMORYCVW__BOOK15_C_CATEGORY" hidden="1">"ACTUAL_2007"</definedName>
    <definedName name="EV__MEMORYCVW__BOOK15_C_DATASRC" hidden="1">"IFRS"</definedName>
    <definedName name="EV__MEMORYCVW__BOOK15_ENTITY" hidden="1">"RAHGR"</definedName>
    <definedName name="EV__MEMORYCVW__BOOK15_FLOW" hidden="1">"FLOW:X_CF_090"</definedName>
    <definedName name="EV__MEMORYCVW__BOOK15_FUND" hidden="1">"TOTALFUND"</definedName>
    <definedName name="EV__MEMORYCVW__BOOK15_GROUPS" hidden="1">"FC"</definedName>
    <definedName name="EV__MEMORYCVW__BOOK15_INTCO" hidden="1">"TOTALINTCO"</definedName>
    <definedName name="EV__MEMORYCVW__BOOK15_LOB_HKICO" hidden="1">"TOTALICO"</definedName>
    <definedName name="EV__MEMORYCVW__BOOK15_LOB_IFRS" hidden="1">"ISUNAL"</definedName>
    <definedName name="EV__MEMORYCVW__BOOK15_LOB_MGMT" hidden="1">"AL"</definedName>
    <definedName name="EV__MEMORYCVW__BOOK15_MEASURES" hidden="1">"CUSTOMPER"</definedName>
    <definedName name="EV__MEMORYCVW__BOOK15_TIME" hidden="1">"2011.TOTAL"</definedName>
    <definedName name="EV__MEMORYCVW__BOOK2" hidden="1">"AIACONS"</definedName>
    <definedName name="EV__MEMORYCVW__BOOK2_C_ACCT" hidden="1">"IS_REPORTING"</definedName>
    <definedName name="EV__MEMORYCVW__BOOK2_C_CATEGORY" hidden="1">"ACTUAL"</definedName>
    <definedName name="EV__MEMORYCVW__BOOK2_C_DATASRC" hidden="1">"GAAP_TOTL"</definedName>
    <definedName name="EV__MEMORYCVW__BOOK2_CURRENCY" hidden="1">"USD"</definedName>
    <definedName name="EV__MEMORYCVW__BOOK2_ENTITY" hidden="1">"BN01"</definedName>
    <definedName name="EV__MEMORYCVW__BOOK2_FLOW" hidden="1">"FTOT"</definedName>
    <definedName name="EV__MEMORYCVW__BOOK2_FUND" hidden="1">"TOTALFUND"</definedName>
    <definedName name="EV__MEMORYCVW__BOOK2_GROUPS" hidden="1">"LOCAL"</definedName>
    <definedName name="EV__MEMORYCVW__BOOK2_INTCO" hidden="1">"I_023260"</definedName>
    <definedName name="EV__MEMORYCVW__BOOK2_LOB_HKICO" hidden="1">"TOTALICO"</definedName>
    <definedName name="EV__MEMORYCVW__BOOK2_LOB_IFRS" hidden="1">"TOTALIFRS"</definedName>
    <definedName name="EV__MEMORYCVW__BOOK2_LOB_MGMT" hidden="1">"AL"</definedName>
    <definedName name="EV__MEMORYCVW__BOOK2_MEASURES" hidden="1">"YTD"</definedName>
    <definedName name="EV__MEMORYCVW__BOOK2_TIME" hidden="1">"2009.NOV"</definedName>
    <definedName name="EV__MEMORYCVW__BOOK3" hidden="1">"AIACONS"</definedName>
    <definedName name="EV__MEMORYCVW__BOOK3_C_ACCT" hidden="1">"IS_REPORTING"</definedName>
    <definedName name="EV__MEMORYCVW__BOOK3_C_CATEGORY" hidden="1">"ACTUAL"</definedName>
    <definedName name="EV__MEMORYCVW__BOOK3_C_DATASRC" hidden="1">"IFRS_TOTL"</definedName>
    <definedName name="EV__MEMORYCVW__BOOK3_CURRENCY" hidden="1">"LC"</definedName>
    <definedName name="EV__MEMORYCVW__BOOK3_ENTITY" hidden="1">"ENTITY:RLEGAL"</definedName>
    <definedName name="EV__MEMORYCVW__BOOK3_FLOW" hidden="1">"FTOT"</definedName>
    <definedName name="EV__MEMORYCVW__BOOK3_FUND" hidden="1">"TOTALFUND"</definedName>
    <definedName name="EV__MEMORYCVW__BOOK3_GROUPS" hidden="1">"LOCAL"</definedName>
    <definedName name="EV__MEMORYCVW__BOOK3_INTCO" hidden="1">"TOTALINTCO"</definedName>
    <definedName name="EV__MEMORYCVW__BOOK3_LOB_HKICO" hidden="1">"TOTALICO"</definedName>
    <definedName name="EV__MEMORYCVW__BOOK3_LOB_IFRS" hidden="1">"TOTALIFRS"</definedName>
    <definedName name="EV__MEMORYCVW__BOOK3_LOB_MGMT" hidden="1">"AL"</definedName>
    <definedName name="EV__MEMORYCVW__BOOK3_MEASURES" hidden="1">"YTD"</definedName>
    <definedName name="EV__MEMORYCVW__BOOK3_TIME" hidden="1">"2005.TOTAL"</definedName>
    <definedName name="EV__MEMORYCVW__BOOK4" hidden="1">"AIACONS"</definedName>
    <definedName name="EV__MEMORYCVW__BOOK4_C_ACCT" hidden="1">"IS_REPORTING"</definedName>
    <definedName name="EV__MEMORYCVW__BOOK4_C_CATEGORY" hidden="1">"ACTUAL_BUD"</definedName>
    <definedName name="EV__MEMORYCVW__BOOK4_C_DATASRC" hidden="1">"IFRS_TOTL"</definedName>
    <definedName name="EV__MEMORYCVW__BOOK4_CURRENCY" hidden="1">"LC"</definedName>
    <definedName name="EV__MEMORYCVW__BOOK4_ENTITY" hidden="1">"ENTITY:RAHGR"</definedName>
    <definedName name="EV__MEMORYCVW__BOOK4_FLOW" hidden="1">"FTOT"</definedName>
    <definedName name="EV__MEMORYCVW__BOOK4_FUND" hidden="1">"TOTALFUND"</definedName>
    <definedName name="EV__MEMORYCVW__BOOK4_GROUPS" hidden="1">"LOCAL"</definedName>
    <definedName name="EV__MEMORYCVW__BOOK4_INTCO" hidden="1">"TOTALINTCO"</definedName>
    <definedName name="EV__MEMORYCVW__BOOK4_LOB_HKICO" hidden="1">"TOTALICO"</definedName>
    <definedName name="EV__MEMORYCVW__BOOK4_LOB_IFRS" hidden="1">"TOTALIFRS"</definedName>
    <definedName name="EV__MEMORYCVW__BOOK4_LOB_MGMT" hidden="1">"AL"</definedName>
    <definedName name="EV__MEMORYCVW__BOOK4_MEASURES" hidden="1">"YTD"</definedName>
    <definedName name="EV__MEMORYCVW__BOOK4_TIME" hidden="1">"2005.TOTAL"</definedName>
    <definedName name="EV__MEMORYCVW__BOOK5" hidden="1">"AIACONS"</definedName>
    <definedName name="EV__MEMORYCVW__BOOK5_C_ACCT" hidden="1">"NBY4100"</definedName>
    <definedName name="EV__MEMORYCVW__BOOK5_C_CATEGORY" hidden="1">"ACTUAL"</definedName>
    <definedName name="EV__MEMORYCVW__BOOK5_C_DATASRC" hidden="1">"GAAP_TOTL"</definedName>
    <definedName name="EV__MEMORYCVW__BOOK5_CURRENCY" hidden="1">"USD"</definedName>
    <definedName name="EV__MEMORYCVW__BOOK5_ENTITY" hidden="1">"ENTITY:RAIGH"</definedName>
    <definedName name="EV__MEMORYCVW__BOOK5_FLOW" hidden="1">"FTOT"</definedName>
    <definedName name="EV__MEMORYCVW__BOOK5_FUND" hidden="1">"TOTALFUND"</definedName>
    <definedName name="EV__MEMORYCVW__BOOK5_GROUPS" hidden="1">"USD_LEGAL"</definedName>
    <definedName name="EV__MEMORYCVW__BOOK5_INTCO" hidden="1">"TOTALINTCO"</definedName>
    <definedName name="EV__MEMORYCVW__BOOK5_LOB_HKICO" hidden="1">"TOTALICO"</definedName>
    <definedName name="EV__MEMORYCVW__BOOK5_LOB_IFRS" hidden="1">"TOTALIFRS"</definedName>
    <definedName name="EV__MEMORYCVW__BOOK5_LOB_MGMT" hidden="1">"AL"</definedName>
    <definedName name="EV__MEMORYCVW__BOOK5_MEASURES" hidden="1">"YTD"</definedName>
    <definedName name="EV__MEMORYCVW__BOOK5_TIME" hidden="1">"2007.DEC"</definedName>
    <definedName name="EV__MEMORYCVW__BOOK6" hidden="1">"AIACONS"</definedName>
    <definedName name="EV__MEMORYCVW__BOOK6_C_ACCT" hidden="1">"IS_REPORTING"</definedName>
    <definedName name="EV__MEMORYCVW__BOOK6_C_CATEGORY" hidden="1">"ACTUAL"</definedName>
    <definedName name="EV__MEMORYCVW__BOOK6_C_DATASRC" hidden="1">"IFRS_TOTL"</definedName>
    <definedName name="EV__MEMORYCVW__BOOK6_CURRENCY" hidden="1">"USD"</definedName>
    <definedName name="EV__MEMORYCVW__BOOK6_ENTITY" hidden="1">"ENTITY:RAIGH"</definedName>
    <definedName name="EV__MEMORYCVW__BOOK6_FLOW" hidden="1">"FTOT"</definedName>
    <definedName name="EV__MEMORYCVW__BOOK6_FUND" hidden="1">"TOTALFUND"</definedName>
    <definedName name="EV__MEMORYCVW__BOOK6_GROUPS" hidden="1">"USD_LEGAL"</definedName>
    <definedName name="EV__MEMORYCVW__BOOK6_INTCO" hidden="1">"TOTALINTCO"</definedName>
    <definedName name="EV__MEMORYCVW__BOOK6_LOB_HKICO" hidden="1">"TOTALICO"</definedName>
    <definedName name="EV__MEMORYCVW__BOOK6_LOB_IFRS" hidden="1">"TOTALIFRS"</definedName>
    <definedName name="EV__MEMORYCVW__BOOK6_LOB_MGMT" hidden="1">"AL"</definedName>
    <definedName name="EV__MEMORYCVW__BOOK6_MEASURES" hidden="1">"YTD"</definedName>
    <definedName name="EV__MEMORYCVW__BOOK6_TIME" hidden="1">"2009.MAY"</definedName>
    <definedName name="EV__MEMORYCVW__BOOK7" hidden="1">"AIACONS"</definedName>
    <definedName name="EV__MEMORYCVW__BOOK7_C_ACCT" hidden="1">"IS_REPORTING"</definedName>
    <definedName name="EV__MEMORYCVW__BOOK7_C_CATEGORY" hidden="1">"ACTUAL"</definedName>
    <definedName name="EV__MEMORYCVW__BOOK7_C_DATASRC" hidden="1">"GAAP_TOTL"</definedName>
    <definedName name="EV__MEMORYCVW__BOOK7_CURRENCY" hidden="1">"LC"</definedName>
    <definedName name="EV__MEMORYCVW__BOOK7_ENTITY" hidden="1">"ENTITY:RAIGH"</definedName>
    <definedName name="EV__MEMORYCVW__BOOK7_FLOW" hidden="1">"FTOT"</definedName>
    <definedName name="EV__MEMORYCVW__BOOK7_FUND" hidden="1">"TOTALFUND"</definedName>
    <definedName name="EV__MEMORYCVW__BOOK7_GROUPS" hidden="1">"LOCAL"</definedName>
    <definedName name="EV__MEMORYCVW__BOOK7_INTCO" hidden="1">"TOTALINTCO"</definedName>
    <definedName name="EV__MEMORYCVW__BOOK7_LOB_HKICO" hidden="1">"TOTALICO"</definedName>
    <definedName name="EV__MEMORYCVW__BOOK7_LOB_IFRS" hidden="1">"TOTALIFRS"</definedName>
    <definedName name="EV__MEMORYCVW__BOOK7_LOB_MGMT" hidden="1">"AL"</definedName>
    <definedName name="EV__MEMORYCVW__BOOK7_MEASURES" hidden="1">"YTD"</definedName>
    <definedName name="EV__MEMORYCVW__BOOK7_TIME" hidden="1">"2010.FEB"</definedName>
    <definedName name="EV__MEMORYCVW__BOOK9" hidden="1">"AIACONS"</definedName>
    <definedName name="EV__MEMORYCVW__BOOK9_C_ACCT" hidden="1">"IS_REPORTING"</definedName>
    <definedName name="EV__MEMORYCVW__BOOK9_C_CATEGORY" hidden="1">"ACTUAL"</definedName>
    <definedName name="EV__MEMORYCVW__BOOK9_C_DATASRC" hidden="1">"SCH_TOTL"</definedName>
    <definedName name="EV__MEMORYCVW__BOOK9_CURRENCY" hidden="1">"LC"</definedName>
    <definedName name="EV__MEMORYCVW__BOOK9_ENTITY" hidden="1">"ENTITY:RAHGR"</definedName>
    <definedName name="EV__MEMORYCVW__BOOK9_FLOW" hidden="1">"FTOT"</definedName>
    <definedName name="EV__MEMORYCVW__BOOK9_FUND" hidden="1">"LIFEFUND"</definedName>
    <definedName name="EV__MEMORYCVW__BOOK9_GROUPS" hidden="1">"LOCAL"</definedName>
    <definedName name="EV__MEMORYCVW__BOOK9_INTCO" hidden="1">"TOTALINTCO"</definedName>
    <definedName name="EV__MEMORYCVW__BOOK9_LOB_HKICO" hidden="1">"TOTALICO"</definedName>
    <definedName name="EV__MEMORYCVW__BOOK9_LOB_IFRS" hidden="1">"TOTALIFRS"</definedName>
    <definedName name="EV__MEMORYCVW__BOOK9_LOB_MGMT" hidden="1">"AL"</definedName>
    <definedName name="EV__MEMORYCVW__BOOK9_MEASURES" hidden="1">"YTD"</definedName>
    <definedName name="EV__MEMORYCVW__BOOK9_TIME" hidden="1">"2009.FEB"</definedName>
    <definedName name="EV__MEMORYCVW__BPC_DATA_CONVERSION_RESULT.XLS" hidden="1">"AIACONS"</definedName>
    <definedName name="EV__MEMORYCVW__BPC_DATA_CONVERSION_RESULT.XLS_C_ACCT" hidden="1">"IS_REPORTING"</definedName>
    <definedName name="EV__MEMORYCVW__BPC_DATA_CONVERSION_RESULT.XLS_C_CATEGORY" hidden="1">"ACTUAL"</definedName>
    <definedName name="EV__MEMORYCVW__BPC_DATA_CONVERSION_RESULT.XLS_C_DATASRC" hidden="1">"LGAAP_TOTL"</definedName>
    <definedName name="EV__MEMORYCVW__BPC_DATA_CONVERSION_RESULT.XLS_CURRENCY" hidden="1">"LC"</definedName>
    <definedName name="EV__MEMORYCVW__BPC_DATA_CONVERSION_RESULT.XLS_ENTITY" hidden="1">"ENTITY:RAHGR"</definedName>
    <definedName name="EV__MEMORYCVW__BPC_DATA_CONVERSION_RESULT.XLS_FLOW" hidden="1">"FTOT"</definedName>
    <definedName name="EV__MEMORYCVW__BPC_DATA_CONVERSION_RESULT.XLS_FUND" hidden="1">"TOTALFUND"</definedName>
    <definedName name="EV__MEMORYCVW__BPC_DATA_CONVERSION_RESULT.XLS_GROUPS" hidden="1">"USD_LEGAL"</definedName>
    <definedName name="EV__MEMORYCVW__BPC_DATA_CONVERSION_RESULT.XLS_INTCO" hidden="1">"TOTALINTCO"</definedName>
    <definedName name="EV__MEMORYCVW__BPC_DATA_CONVERSION_RESULT.XLS_LOB_HKICO" hidden="1">"TOTALICO"</definedName>
    <definedName name="EV__MEMORYCVW__BPC_DATA_CONVERSION_RESULT.XLS_LOB_IFRS" hidden="1">"TOTALIFRS"</definedName>
    <definedName name="EV__MEMORYCVW__BPC_DATA_CONVERSION_RESULT.XLS_LOB_MGMT" hidden="1">"AL"</definedName>
    <definedName name="EV__MEMORYCVW__BPC_DATA_CONVERSION_RESULT.XLS_MEASURES" hidden="1">"YTD"</definedName>
    <definedName name="EV__MEMORYCVW__BPC_DATA_CONVERSION_RESULT.XLS_TIME" hidden="1">"2010.FEB"</definedName>
    <definedName name="EV__MEMORYCVW__BPC_DATA_SOURECE_20100507.XLS" hidden="1">"AIACONS"</definedName>
    <definedName name="EV__MEMORYCVW__BPC_DATA_SOURECE_20100507.XLS_C_ACCT" hidden="1">"00000C"</definedName>
    <definedName name="EV__MEMORYCVW__BPC_DATA_SOURECE_20100507.XLS_C_CATEGORY" hidden="1">"ACTUAL"</definedName>
    <definedName name="EV__MEMORYCVW__BPC_DATA_SOURECE_20100507.XLS_C_DATASRC" hidden="1">"ALLO_MANJ"</definedName>
    <definedName name="EV__MEMORYCVW__BPC_DATA_SOURECE_20100507.XLS_CURRENCY" hidden="1">"USD"</definedName>
    <definedName name="EV__MEMORYCVW__BPC_DATA_SOURECE_20100507.XLS_ENTITY" hidden="1">"ENTITY:RAHGR"</definedName>
    <definedName name="EV__MEMORYCVW__BPC_DATA_SOURECE_20100507.XLS_FLOW" hidden="1">"FTOT"</definedName>
    <definedName name="EV__MEMORYCVW__BPC_DATA_SOURECE_20100507.XLS_FUND" hidden="1">"TOTALFUND"</definedName>
    <definedName name="EV__MEMORYCVW__BPC_DATA_SOURECE_20100507.XLS_GROUPS" hidden="1">"LOCAL"</definedName>
    <definedName name="EV__MEMORYCVW__BPC_DATA_SOURECE_20100507.XLS_INTCO" hidden="1">"TOTALINTCO"</definedName>
    <definedName name="EV__MEMORYCVW__BPC_DATA_SOURECE_20100507.XLS_LOB_HKICO" hidden="1">"TOTALICO"</definedName>
    <definedName name="EV__MEMORYCVW__BPC_DATA_SOURECE_20100507.XLS_LOB_IFRS" hidden="1">"TOTALIFRS"</definedName>
    <definedName name="EV__MEMORYCVW__BPC_DATA_SOURECE_20100507.XLS_LOB_MGMT" hidden="1">"AL"</definedName>
    <definedName name="EV__MEMORYCVW__BPC_DATA_SOURECE_20100507.XLS_MEASURES" hidden="1">"YTD"</definedName>
    <definedName name="EV__MEMORYCVW__BPC_DATA_SOURECE_20100507.XLS_TIME" hidden="1">"2010.FEB"</definedName>
    <definedName name="EV__MEMORYCVW__BPC_EXTRACT_DRILLDOWN.XLS" hidden="1">"AIACONS"</definedName>
    <definedName name="EV__MEMORYCVW__BPC_EXTRACT_DRILLDOWN.XLS_C_ACCT" hidden="1">"IS_REPORTING"</definedName>
    <definedName name="EV__MEMORYCVW__BPC_EXTRACT_DRILLDOWN.XLS_C_CATEGORY" hidden="1">"ACTUAL"</definedName>
    <definedName name="EV__MEMORYCVW__BPC_EXTRACT_DRILLDOWN.XLS_C_DATASRC" hidden="1">"HKICO_TOTL"</definedName>
    <definedName name="EV__MEMORYCVW__BPC_EXTRACT_DRILLDOWN.XLS_CURRENCY" hidden="1">"LC"</definedName>
    <definedName name="EV__MEMORYCVW__BPC_EXTRACT_DRILLDOWN.XLS_ENTITY" hidden="1">"ENTITY:RAIGH"</definedName>
    <definedName name="EV__MEMORYCVW__BPC_EXTRACT_DRILLDOWN.XLS_FLOW" hidden="1">"FTOT"</definedName>
    <definedName name="EV__MEMORYCVW__BPC_EXTRACT_DRILLDOWN.XLS_FUND" hidden="1">"TOTALFUND"</definedName>
    <definedName name="EV__MEMORYCVW__BPC_EXTRACT_DRILLDOWN.XLS_GROUPS" hidden="1">"LOCAL"</definedName>
    <definedName name="EV__MEMORYCVW__BPC_EXTRACT_DRILLDOWN.XLS_INTCO" hidden="1">"TOTALINTCO"</definedName>
    <definedName name="EV__MEMORYCVW__BPC_EXTRACT_DRILLDOWN.XLS_LOB_HKICO" hidden="1">"TOTALICO"</definedName>
    <definedName name="EV__MEMORYCVW__BPC_EXTRACT_DRILLDOWN.XLS_LOB_IFRS" hidden="1">"TOTALIFRS"</definedName>
    <definedName name="EV__MEMORYCVW__BPC_EXTRACT_DRILLDOWN.XLS_LOB_MGMT" hidden="1">"AL"</definedName>
    <definedName name="EV__MEMORYCVW__BPC_EXTRACT_DRILLDOWN.XLS_MEASURES" hidden="1">"YTD"</definedName>
    <definedName name="EV__MEMORYCVW__BPC_EXTRACT_DRILLDOWN.XLS_TIME" hidden="1">"2010.FEB"</definedName>
    <definedName name="EV__MEMORYCVW__BPC_RATE_CALC.XLS" hidden="1">"AIACONS"</definedName>
    <definedName name="EV__MEMORYCVW__BPC_RATE_CALC.XLS_C_ACCT" hidden="1">"IS_REPORTING"</definedName>
    <definedName name="EV__MEMORYCVW__BPC_RATE_CALC.XLS_C_CATEGORY" hidden="1">"ACTUAL"</definedName>
    <definedName name="EV__MEMORYCVW__BPC_RATE_CALC.XLS_C_DATASRC" hidden="1">"IFRS_TOTL"</definedName>
    <definedName name="EV__MEMORYCVW__BPC_RATE_CALC.XLS_CURRENCY" hidden="1">"USD"</definedName>
    <definedName name="EV__MEMORYCVW__BPC_RATE_CALC.XLS_ENTITY" hidden="1">"ENTITY:RAIGH"</definedName>
    <definedName name="EV__MEMORYCVW__BPC_RATE_CALC.XLS_FLOW" hidden="1">"FTOT"</definedName>
    <definedName name="EV__MEMORYCVW__BPC_RATE_CALC.XLS_FUND" hidden="1">"TOTALFUND"</definedName>
    <definedName name="EV__MEMORYCVW__BPC_RATE_CALC.XLS_GROUPS" hidden="1">"LOCAL"</definedName>
    <definedName name="EV__MEMORYCVW__BPC_RATE_CALC.XLS_INTCO" hidden="1">"TOTALINTCO"</definedName>
    <definedName name="EV__MEMORYCVW__BPC_RATE_CALC.XLS_LOB_HKICO" hidden="1">"TOTALICO"</definedName>
    <definedName name="EV__MEMORYCVW__BPC_RATE_CALC.XLS_LOB_IFRS" hidden="1">"TOTALIFRS"</definedName>
    <definedName name="EV__MEMORYCVW__BPC_RATE_CALC.XLS_LOB_MGMT" hidden="1">"AL"</definedName>
    <definedName name="EV__MEMORYCVW__BPC_RATE_CALC.XLS_MEASURES" hidden="1">"YTD"</definedName>
    <definedName name="EV__MEMORYCVW__BPC_RATE_CALC.XLS_TIME" hidden="1">"2010.JAN"</definedName>
    <definedName name="EV__MEMORYCVW__BPC_REPORT_BUILDING_PLAN_170302010.XLS" hidden="1">"AIACONS"</definedName>
    <definedName name="EV__MEMORYCVW__BPC_REPORT_BUILDING_PLAN_170302010.XLS_C_ACCT" hidden="1">"IS_REPORTING"</definedName>
    <definedName name="EV__MEMORYCVW__BPC_REPORT_BUILDING_PLAN_170302010.XLS_C_CATEGORY" hidden="1">"ACTUAL"</definedName>
    <definedName name="EV__MEMORYCVW__BPC_REPORT_BUILDING_PLAN_170302010.XLS_C_DATASRC" hidden="1">"IFRS_TOTL"</definedName>
    <definedName name="EV__MEMORYCVW__BPC_REPORT_BUILDING_PLAN_170302010.XLS_CURRENCY" hidden="1">"USD"</definedName>
    <definedName name="EV__MEMORYCVW__BPC_REPORT_BUILDING_PLAN_170302010.XLS_ENTITY" hidden="1">"ENTITY:RAIGH"</definedName>
    <definedName name="EV__MEMORYCVW__BPC_REPORT_BUILDING_PLAN_170302010.XLS_FLOW" hidden="1">"FTOT"</definedName>
    <definedName name="EV__MEMORYCVW__BPC_REPORT_BUILDING_PLAN_170302010.XLS_FUND" hidden="1">"TOTALFUND"</definedName>
    <definedName name="EV__MEMORYCVW__BPC_REPORT_BUILDING_PLAN_170302010.XLS_GROUPS" hidden="1">"LOCAL"</definedName>
    <definedName name="EV__MEMORYCVW__BPC_REPORT_BUILDING_PLAN_170302010.XLS_INTCO" hidden="1">"TOTALINTCO"</definedName>
    <definedName name="EV__MEMORYCVW__BPC_REPORT_BUILDING_PLAN_170302010.XLS_LOB_HKICO" hidden="1">"TOTALICO"</definedName>
    <definedName name="EV__MEMORYCVW__BPC_REPORT_BUILDING_PLAN_170302010.XLS_LOB_IFRS" hidden="1">"TOTALIFRS"</definedName>
    <definedName name="EV__MEMORYCVW__BPC_REPORT_BUILDING_PLAN_170302010.XLS_LOB_MGMT" hidden="1">"OTH"</definedName>
    <definedName name="EV__MEMORYCVW__BPC_REPORT_BUILDING_PLAN_170302010.XLS_MEASURES" hidden="1">"YTD"</definedName>
    <definedName name="EV__MEMORYCVW__BPC_REPORT_BUILDING_PLAN_170302010.XLS_TIME" hidden="1">"2010.JAN"</definedName>
    <definedName name="EV__MEMORYCVW__BPC_USER_PROFILE_DEFINITION_V7.XLS" hidden="1">"AIACONS"</definedName>
    <definedName name="EV__MEMORYCVW__BPC_USER_PROFILE_DEFINITION_V7.XLS_C_ACCT" hidden="1">"AA02375_01"</definedName>
    <definedName name="EV__MEMORYCVW__BPC_USER_PROFILE_DEFINITION_V7.XLS_C_CATEGORY" hidden="1">"ACTUAL"</definedName>
    <definedName name="EV__MEMORYCVW__BPC_USER_PROFILE_DEFINITION_V7.XLS_C_DATASRC" hidden="1">"GAAP_TOTL"</definedName>
    <definedName name="EV__MEMORYCVW__BPC_USER_PROFILE_DEFINITION_V7.XLS_CURRENCY" hidden="1">"LC"</definedName>
    <definedName name="EV__MEMORYCVW__BPC_USER_PROFILE_DEFINITION_V7.XLS_ENTITY" hidden="1">"ID01"</definedName>
    <definedName name="EV__MEMORYCVW__BPC_USER_PROFILE_DEFINITION_V7.XLS_FLOW" hidden="1">"FTOT"</definedName>
    <definedName name="EV__MEMORYCVW__BPC_USER_PROFILE_DEFINITION_V7.XLS_FUND" hidden="1">"TOTALFUND"</definedName>
    <definedName name="EV__MEMORYCVW__BPC_USER_PROFILE_DEFINITION_V7.XLS_GROUPS" hidden="1">"LOCAL"</definedName>
    <definedName name="EV__MEMORYCVW__BPC_USER_PROFILE_DEFINITION_V7.XLS_INTCO" hidden="1">"TOTALINTCO"</definedName>
    <definedName name="EV__MEMORYCVW__BPC_USER_PROFILE_DEFINITION_V7.XLS_LOB_HKICO" hidden="1">"TOTALICO"</definedName>
    <definedName name="EV__MEMORYCVW__BPC_USER_PROFILE_DEFINITION_V7.XLS_LOB_IFRS" hidden="1">"TOTALIFRS"</definedName>
    <definedName name="EV__MEMORYCVW__BPC_USER_PROFILE_DEFINITION_V7.XLS_LOB_MGMT" hidden="1">"AL"</definedName>
    <definedName name="EV__MEMORYCVW__BPC_USER_PROFILE_DEFINITION_V7.XLS_MEASURES" hidden="1">"YTD"</definedName>
    <definedName name="EV__MEMORYCVW__BPC_USER_PROFILE_DEFINITION_V7.XLS_TIME" hidden="1">"2010.AUG"</definedName>
    <definedName name="EV__MEMORYCVW__BYLINE_REVIEW_MONTHLY_ALL_OUTPUT_V000.XLS" hidden="1">"AIACONS"</definedName>
    <definedName name="EV__MEMORYCVW__BYLINE_REVIEW_MONTHLY_OUTPUT_V000.XLS" hidden="1">"AIACONS"</definedName>
    <definedName name="EV__MEMORYCVW__BYLINE_REVIEW_YTD_OUTPUT_V000.XLS" hidden="1">"AIACONS"</definedName>
    <definedName name="EV__MEMORYCVW__BYLINE_REVIEW_YTD_OUTPUT_V000_NEW.XLS" hidden="1">"AIACONS"</definedName>
    <definedName name="EV__MEMORYCVW__BYLINE_REVIEW_YTD_OUTPUT_V000_NEW2.XLS" hidden="1">"AIACONS"</definedName>
    <definedName name="EV__MEMORYCVW__BYLINE_REVIEW_YTD_OUTPUT_V001_NEW.XLS" hidden="1">"AIACONS"</definedName>
    <definedName name="EV__MEMORYCVW__COPY_OF_RECON_FILE_SI_MASTER_ENHANCED.XLS" hidden="1">"AIACONS"</definedName>
    <definedName name="EV__MEMORYCVW__COPY_OF_SI_WORKSHEET_W03_OUTPUT_V000.XLS" hidden="1">"AIACONS"</definedName>
    <definedName name="EV__MEMORYCVW__CP6.2.1.15_BYLINE_REVIEW_YTD_OUTPUT_V000.XLS" hidden="1">"AIACONS"</definedName>
    <definedName name="EV__MEMORYCVW__CP6.2.1.15_BYLINE_REVIEW_YTD_OUTPUT_V000.XLS_C_ACCT" hidden="1">"00000C"</definedName>
    <definedName name="EV__MEMORYCVW__CP6.2.1.15_BYLINE_REVIEW_YTD_OUTPUT_V000.XLS_C_CATEGORY" hidden="1">"ACTUAL"</definedName>
    <definedName name="EV__MEMORYCVW__CP6.2.1.15_BYLINE_REVIEW_YTD_OUTPUT_V000.XLS_C_DATASRC" hidden="1">"ALLO_MANJ"</definedName>
    <definedName name="EV__MEMORYCVW__CP6.2.1.15_BYLINE_REVIEW_YTD_OUTPUT_V000.XLS_CURRENCY" hidden="1">"LC"</definedName>
    <definedName name="EV__MEMORYCVW__CP6.2.1.15_BYLINE_REVIEW_YTD_OUTPUT_V000.XLS_ENTITY" hidden="1">"ENTITY:RAIGH"</definedName>
    <definedName name="EV__MEMORYCVW__CP6.2.1.15_BYLINE_REVIEW_YTD_OUTPUT_V000.XLS_FLOW" hidden="1">"FTOT"</definedName>
    <definedName name="EV__MEMORYCVW__CP6.2.1.15_BYLINE_REVIEW_YTD_OUTPUT_V000.XLS_FUND" hidden="1">"TOTALFUND"</definedName>
    <definedName name="EV__MEMORYCVW__CP6.2.1.15_BYLINE_REVIEW_YTD_OUTPUT_V000.XLS_GROUPS" hidden="1">"LOCAL"</definedName>
    <definedName name="EV__MEMORYCVW__CP6.2.1.15_BYLINE_REVIEW_YTD_OUTPUT_V000.XLS_INTCO" hidden="1">"TOTALINTCO"</definedName>
    <definedName name="EV__MEMORYCVW__CP6.2.1.15_BYLINE_REVIEW_YTD_OUTPUT_V000.XLS_LOB_HKICO" hidden="1">"TOTALICO"</definedName>
    <definedName name="EV__MEMORYCVW__CP6.2.1.15_BYLINE_REVIEW_YTD_OUTPUT_V000.XLS_LOB_IFRS" hidden="1">"TOTALIFRS"</definedName>
    <definedName name="EV__MEMORYCVW__CP6.2.1.15_BYLINE_REVIEW_YTD_OUTPUT_V000.XLS_LOB_MGMT" hidden="1">"AL"</definedName>
    <definedName name="EV__MEMORYCVW__CP6.2.1.15_BYLINE_REVIEW_YTD_OUTPUT_V000.XLS_MEASURES" hidden="1">"YTD"</definedName>
    <definedName name="EV__MEMORYCVW__CP6.2.1.15_BYLINE_REVIEW_YTD_OUTPUT_V000.XLS_TIME" hidden="1">"2010.FEB"</definedName>
    <definedName name="EV__MEMORYCVW__EXCEL_IN01_CY03.XLS" hidden="1">"AIACONS"</definedName>
    <definedName name="EV__MEMORYCVW__EXCEL_IN01_CY03.XLS_C_ACCT" hidden="1">"IS_REPORTING"</definedName>
    <definedName name="EV__MEMORYCVW__EXCEL_IN01_CY03.XLS_C_CATEGORY" hidden="1">"ACTUAL"</definedName>
    <definedName name="EV__MEMORYCVW__EXCEL_IN01_CY03.XLS_C_DATASRC" hidden="1">"GAAP_TOTL"</definedName>
    <definedName name="EV__MEMORYCVW__EXCEL_IN01_CY03.XLS_CURRENCY" hidden="1">"USD"</definedName>
    <definedName name="EV__MEMORYCVW__EXCEL_IN01_CY03.XLS_ENTITY" hidden="1">"ENTITY:RAIGH"</definedName>
    <definedName name="EV__MEMORYCVW__EXCEL_IN01_CY03.XLS_FLOW" hidden="1">"FTOT"</definedName>
    <definedName name="EV__MEMORYCVW__EXCEL_IN01_CY03.XLS_FUND" hidden="1">"L00"</definedName>
    <definedName name="EV__MEMORYCVW__EXCEL_IN01_CY03.XLS_GROUPS" hidden="1">"USD_LEGAL"</definedName>
    <definedName name="EV__MEMORYCVW__EXCEL_IN01_CY03.XLS_INTCO" hidden="1">"TOTALINTCO"</definedName>
    <definedName name="EV__MEMORYCVW__EXCEL_IN01_CY03.XLS_LOB_HKICO" hidden="1">"TOTALICO"</definedName>
    <definedName name="EV__MEMORYCVW__EXCEL_IN01_CY03.XLS_LOB_IFRS" hidden="1">"TOTALIFRS"</definedName>
    <definedName name="EV__MEMORYCVW__EXCEL_IN01_CY03.XLS_LOB_MGMT" hidden="1">"AL"</definedName>
    <definedName name="EV__MEMORYCVW__EXCEL_IN01_CY03.XLS_MEASURES" hidden="1">"YTD"</definedName>
    <definedName name="EV__MEMORYCVW__EXCEL_IN01_CY03.XLS_TIME" hidden="1">"2009.MAY"</definedName>
    <definedName name="EV__MEMORYCVW__EXCEL_KR01_CY01_GAAP.XLS" hidden="1">"AIACONS"</definedName>
    <definedName name="EV__MEMORYCVW__EXCEL_KR01_CY01_GAAP.XLS_C_ACCT" hidden="1">"IS_REPORTING"</definedName>
    <definedName name="EV__MEMORYCVW__EXCEL_KR01_CY01_GAAP.XLS_C_CATEGORY" hidden="1">"ACTUAL"</definedName>
    <definedName name="EV__MEMORYCVW__EXCEL_KR01_CY01_GAAP.XLS_C_DATASRC" hidden="1">"IFRS_TOTL"</definedName>
    <definedName name="EV__MEMORYCVW__EXCEL_KR01_CY01_GAAP.XLS_CURRENCY" hidden="1">"LC"</definedName>
    <definedName name="EV__MEMORYCVW__EXCEL_KR01_CY01_GAAP.XLS_ENTITY" hidden="1">"KR01"</definedName>
    <definedName name="EV__MEMORYCVW__EXCEL_KR01_CY01_GAAP.XLS_FLOW" hidden="1">"FTOT"</definedName>
    <definedName name="EV__MEMORYCVW__EXCEL_KR01_CY01_GAAP.XLS_FUND" hidden="1">"TOTALFUND"</definedName>
    <definedName name="EV__MEMORYCVW__EXCEL_KR01_CY01_GAAP.XLS_GROUPS" hidden="1">"LOCAL"</definedName>
    <definedName name="EV__MEMORYCVW__EXCEL_KR01_CY01_GAAP.XLS_INTCO" hidden="1">"TOTALINTCO"</definedName>
    <definedName name="EV__MEMORYCVW__EXCEL_KR01_CY01_GAAP.XLS_LOB_HKICO" hidden="1">"TOTALICO"</definedName>
    <definedName name="EV__MEMORYCVW__EXCEL_KR01_CY01_GAAP.XLS_LOB_IFRS" hidden="1">"TOTALIFRS"</definedName>
    <definedName name="EV__MEMORYCVW__EXCEL_KR01_CY01_GAAP.XLS_LOB_MGMT" hidden="1">"AL"</definedName>
    <definedName name="EV__MEMORYCVW__EXCEL_KR01_CY01_GAAP.XLS_MEASURES" hidden="1">"YTD"</definedName>
    <definedName name="EV__MEMORYCVW__EXCEL_KR01_CY01_GAAP.XLS_TIME" hidden="1">"2009.DEC"</definedName>
    <definedName name="EV__MEMORYCVW__IFRS_ANALYTICAL_REVIEW.XLS" hidden="1">"AIACONS"</definedName>
    <definedName name="EV__MEMORYCVW__IFRS_ANALYTICAL_REVIEW.XLS_C_ACCT" hidden="1">"IS_REPORTING"</definedName>
    <definedName name="EV__MEMORYCVW__IFRS_ANALYTICAL_REVIEW.XLS_C_CATEGORY" hidden="1">"ACTUAL"</definedName>
    <definedName name="EV__MEMORYCVW__IFRS_ANALYTICAL_REVIEW.XLS_C_DATASRC" hidden="1">"GAAP_TOTL"</definedName>
    <definedName name="EV__MEMORYCVW__IFRS_ANALYTICAL_REVIEW.XLS_CURRENCY" hidden="1">"USD"</definedName>
    <definedName name="EV__MEMORYCVW__IFRS_ANALYTICAL_REVIEW.XLS_ENTITY" hidden="1">"TW01"</definedName>
    <definedName name="EV__MEMORYCVW__IFRS_ANALYTICAL_REVIEW.XLS_FLOW" hidden="1">"FTOT"</definedName>
    <definedName name="EV__MEMORYCVW__IFRS_ANALYTICAL_REVIEW.XLS_FUND" hidden="1">"TOTALFUND"</definedName>
    <definedName name="EV__MEMORYCVW__IFRS_ANALYTICAL_REVIEW.XLS_GROUPS" hidden="1">"LOCAL"</definedName>
    <definedName name="EV__MEMORYCVW__IFRS_ANALYTICAL_REVIEW.XLS_INTCO" hidden="1">"TOTALINTCO"</definedName>
    <definedName name="EV__MEMORYCVW__IFRS_ANALYTICAL_REVIEW.XLS_LOB_HKICO" hidden="1">"TOTALICO"</definedName>
    <definedName name="EV__MEMORYCVW__IFRS_ANALYTICAL_REVIEW.XLS_LOB_IFRS" hidden="1">"TOTALIFRS"</definedName>
    <definedName name="EV__MEMORYCVW__IFRS_ANALYTICAL_REVIEW.XLS_LOB_MGMT" hidden="1">"AL"</definedName>
    <definedName name="EV__MEMORYCVW__IFRS_ANALYTICAL_REVIEW.XLS_MEASURES" hidden="1">"YTD"</definedName>
    <definedName name="EV__MEMORYCVW__IFRS_ANALYTICAL_REVIEW.XLS_TIME" hidden="1">"2010.JAN"</definedName>
    <definedName name="EV__MEMORYCVW__IFRS_LONGSHEET_.XLS" hidden="1">"AIACONS"</definedName>
    <definedName name="EV__MEMORYCVW__IFRS_LONGSHEET_.XLS_C_ACCT" hidden="1">"IS06001000"</definedName>
    <definedName name="EV__MEMORYCVW__IFRS_LONGSHEET_.XLS_C_CATEGORY" hidden="1">"ACTUAL_2007"</definedName>
    <definedName name="EV__MEMORYCVW__IFRS_LONGSHEET_.XLS_C_DATASRC" hidden="1">"IFRS"</definedName>
    <definedName name="EV__MEMORYCVW__IFRS_LONGSHEET_.XLS_CURRENCY" hidden="1">"LC"</definedName>
    <definedName name="EV__MEMORYCVW__IFRS_LONGSHEET_.XLS_ENTITY" hidden="1">"ENTITY:RAHGR"</definedName>
    <definedName name="EV__MEMORYCVW__IFRS_LONGSHEET_.XLS_FLOW" hidden="1">"FTOT"</definedName>
    <definedName name="EV__MEMORYCVW__IFRS_LONGSHEET_.XLS_FUND" hidden="1">"TOTALFUND"</definedName>
    <definedName name="EV__MEMORYCVW__IFRS_LONGSHEET_.XLS_GROUPS" hidden="1">"LOCAL"</definedName>
    <definedName name="EV__MEMORYCVW__IFRS_LONGSHEET_.XLS_INTCO" hidden="1">"TOTALINTCO"</definedName>
    <definedName name="EV__MEMORYCVW__IFRS_LONGSHEET_.XLS_LOB_HKICO" hidden="1">"TOTALICO"</definedName>
    <definedName name="EV__MEMORYCVW__IFRS_LONGSHEET_.XLS_LOB_IFRS" hidden="1">"TOTALIFRS"</definedName>
    <definedName name="EV__MEMORYCVW__IFRS_LONGSHEET_.XLS_LOB_MGMT" hidden="1">"AL"</definedName>
    <definedName name="EV__MEMORYCVW__IFRS_LONGSHEET_.XLS_MEASURES" hidden="1">"YTD"</definedName>
    <definedName name="EV__MEMORYCVW__IFRS_LONGSHEET_.XLS_TIME" hidden="1">"2010.JAN"</definedName>
    <definedName name="EV__MEMORYCVW__IFRS_WORKSHEET_W03A_OUTPUT_V000_FUND.XLS" hidden="1">"AIACONS"</definedName>
    <definedName name="EV__MEMORYCVW__IFRS_WORKSHEET_W03A_OUTPUT_V000_FUND.XLS_C_ACCT" hidden="1">"G000000"</definedName>
    <definedName name="EV__MEMORYCVW__IFRS_WORKSHEET_W03A_OUTPUT_V000_FUND.XLS_C_CATEGORY" hidden="1">"ACTUAL"</definedName>
    <definedName name="EV__MEMORYCVW__IFRS_WORKSHEET_W03A_OUTPUT_V000_FUND.XLS_C_DATASRC" hidden="1">"IFRS_TOTL"</definedName>
    <definedName name="EV__MEMORYCVW__IFRS_WORKSHEET_W03A_OUTPUT_V000_FUND.XLS_CURRENCY" hidden="1">"USD"</definedName>
    <definedName name="EV__MEMORYCVW__IFRS_WORKSHEET_W03A_OUTPUT_V000_FUND.XLS_ENTITY" hidden="1">"ENTITY:MGMT_ZZ"</definedName>
    <definedName name="EV__MEMORYCVW__IFRS_WORKSHEET_W03A_OUTPUT_V000_FUND.XLS_FLOW" hidden="1">"F999"</definedName>
    <definedName name="EV__MEMORYCVW__IFRS_WORKSHEET_W03A_OUTPUT_V000_FUND.XLS_FUND" hidden="1">"LIFEFUND"</definedName>
    <definedName name="EV__MEMORYCVW__IFRS_WORKSHEET_W03A_OUTPUT_V000_FUND.XLS_GROUPS" hidden="1">"USD_MGMT"</definedName>
    <definedName name="EV__MEMORYCVW__IFRS_WORKSHEET_W03A_OUTPUT_V000_FUND.XLS_INTCO" hidden="1">"TOTALINTCO"</definedName>
    <definedName name="EV__MEMORYCVW__IFRS_WORKSHEET_W03A_OUTPUT_V000_FUND.XLS_LOB_HKICO" hidden="1">"ICO_HKZZ"</definedName>
    <definedName name="EV__MEMORYCVW__IFRS_WORKSHEET_W03A_OUTPUT_V000_FUND.XLS_LOB_IFRS" hidden="1">"ISXXXX"</definedName>
    <definedName name="EV__MEMORYCVW__IFRS_WORKSHEET_W03A_OUTPUT_V000_FUND.XLS_LOB_MGMT" hidden="1">"ZZZZZ"</definedName>
    <definedName name="EV__MEMORYCVW__IFRS_WORKSHEET_W03A_OUTPUT_V000_FUND.XLS_MEASURES" hidden="1">"YTD"</definedName>
    <definedName name="EV__MEMORYCVW__IFRS_WORKSHEET_W03A_OUTPUT_V000_FUND.XLS_TIME" hidden="1">"2010.FEB"</definedName>
    <definedName name="EV__MEMORYCVW__INPUT_S_13.1.XLS" hidden="1">"AIACONS"</definedName>
    <definedName name="EV__MEMORYCVW__INPUT_S_13.1.XLS_C_ACCT" hidden="1">1</definedName>
    <definedName name="EV__MEMORYCVW__INPUT_S_13.1.XLS_C_CATEGORY" hidden="1">"ACTUAL_2007"</definedName>
    <definedName name="EV__MEMORYCVW__INPUT_S_13.1.XLS_C_DATASRC" hidden="1">"IFRS"</definedName>
    <definedName name="EV__MEMORYCVW__INPUT_S_13.1.XLS_ENTITY" hidden="1">"A000"</definedName>
    <definedName name="EV__MEMORYCVW__INPUT_S_13.1.XLS_FLOW" hidden="1">"FVST"</definedName>
    <definedName name="EV__MEMORYCVW__INPUT_S_13.1.XLS_FUND" hidden="1">"TOTALFUND"</definedName>
    <definedName name="EV__MEMORYCVW__INPUT_S_13.1.XLS_GROUPS" hidden="1">"FC"</definedName>
    <definedName name="EV__MEMORYCVW__INPUT_S_13.1.XLS_INTCO" hidden="1">"TOTALINTCO"</definedName>
    <definedName name="EV__MEMORYCVW__INPUT_S_13.1.XLS_LOB_HKICO" hidden="1">"TOTALICO"</definedName>
    <definedName name="EV__MEMORYCVW__INPUT_S_13.1.XLS_LOB_IFRS" hidden="1">"TOTALIFRS"</definedName>
    <definedName name="EV__MEMORYCVW__INPUT_S_13.1.XLS_LOB_MGMT" hidden="1">"AL"</definedName>
    <definedName name="EV__MEMORYCVW__INPUT_S_13.1.XLS_MEASURES" hidden="1">"YTD"</definedName>
    <definedName name="EV__MEMORYCVW__INPUT_S_13.1.XLS_TIME" hidden="1">"2006.TOTAL"</definedName>
    <definedName name="EV__MEMORYCVW__M01_OUTPUT_V000.XLS" hidden="1">"AIACONS"</definedName>
    <definedName name="EV__MEMORYCVW__PRODUCTION_DATA_CONVERSION_RESULT.XLS" hidden="1">"AIACONS"</definedName>
    <definedName name="EV__MEMORYCVW__PRODUCTION_DATA_CONVERSION_RESULT.XLS_C_ACCT" hidden="1">"DC_BY4331"</definedName>
    <definedName name="EV__MEMORYCVW__PRODUCTION_DATA_CONVERSION_RESULT.XLS_C_CATEGORY" hidden="1">"ACTUAL"</definedName>
    <definedName name="EV__MEMORYCVW__PRODUCTION_DATA_CONVERSION_RESULT.XLS_C_DATASRC" hidden="1">"IFRS_TOTL"</definedName>
    <definedName name="EV__MEMORYCVW__PRODUCTION_DATA_CONVERSION_RESULT.XLS_CURRENCY" hidden="1">"LC"</definedName>
    <definedName name="EV__MEMORYCVW__PRODUCTION_DATA_CONVERSION_RESULT.XLS_ENTITY" hidden="1">"ENTITY:RAIGH"</definedName>
    <definedName name="EV__MEMORYCVW__PRODUCTION_DATA_CONVERSION_RESULT.XLS_FLOW" hidden="1">"FTOT"</definedName>
    <definedName name="EV__MEMORYCVW__PRODUCTION_DATA_CONVERSION_RESULT.XLS_FUND" hidden="1">"TOTALFUND"</definedName>
    <definedName name="EV__MEMORYCVW__PRODUCTION_DATA_CONVERSION_RESULT.XLS_GROUPS" hidden="1">"LOCAL"</definedName>
    <definedName name="EV__MEMORYCVW__PRODUCTION_DATA_CONVERSION_RESULT.XLS_INTCO" hidden="1">"TOTALINTCO"</definedName>
    <definedName name="EV__MEMORYCVW__PRODUCTION_DATA_CONVERSION_RESULT.XLS_LOB_HKICO" hidden="1">"ICO_HK13"</definedName>
    <definedName name="EV__MEMORYCVW__PRODUCTION_DATA_CONVERSION_RESULT.XLS_LOB_IFRS" hidden="1">"TOTALIFRS"</definedName>
    <definedName name="EV__MEMORYCVW__PRODUCTION_DATA_CONVERSION_RESULT.XLS_LOB_MGMT" hidden="1">"AL"</definedName>
    <definedName name="EV__MEMORYCVW__PRODUCTION_DATA_CONVERSION_RESULT.XLS_MEASURES" hidden="1">"YTD"</definedName>
    <definedName name="EV__MEMORYCVW__PRODUCTION_DATA_CONVERSION_RESULT.XLS_TIME" hidden="1">"2005.TOTAL"</definedName>
    <definedName name="EV__MEMORYCVW__PROFILE_REVIEW.XLS" hidden="1">"AIACONS"</definedName>
    <definedName name="EV__MEMORYCVW__PROFILE_REVIEW.XLS_C_ACCT" hidden="1">"IS_REPORTING"</definedName>
    <definedName name="EV__MEMORYCVW__PROFILE_REVIEW.XLS_C_CATEGORY" hidden="1">"ACTUAL"</definedName>
    <definedName name="EV__MEMORYCVW__PROFILE_REVIEW.XLS_C_DATASRC" hidden="1">"IFRS_TOTL"</definedName>
    <definedName name="EV__MEMORYCVW__PROFILE_REVIEW.XLS_CURRENCY" hidden="1">"USD"</definedName>
    <definedName name="EV__MEMORYCVW__PROFILE_REVIEW.XLS_ENTITY" hidden="1">"ENTITY:RAIGH"</definedName>
    <definedName name="EV__MEMORYCVW__PROFILE_REVIEW.XLS_FLOW" hidden="1">"FTOT"</definedName>
    <definedName name="EV__MEMORYCVW__PROFILE_REVIEW.XLS_FUND" hidden="1">"TOTALFUND"</definedName>
    <definedName name="EV__MEMORYCVW__PROFILE_REVIEW.XLS_GROUPS" hidden="1">"USD_LEGAL"</definedName>
    <definedName name="EV__MEMORYCVW__PROFILE_REVIEW.XLS_INTCO" hidden="1">"TOTALINTCO"</definedName>
    <definedName name="EV__MEMORYCVW__PROFILE_REVIEW.XLS_LOB_HKICO" hidden="1">"TOTALICO"</definedName>
    <definedName name="EV__MEMORYCVW__PROFILE_REVIEW.XLS_LOB_IFRS" hidden="1">"TOTALIFRS"</definedName>
    <definedName name="EV__MEMORYCVW__PROFILE_REVIEW.XLS_LOB_MGMT" hidden="1">"AL"</definedName>
    <definedName name="EV__MEMORYCVW__PROFILE_REVIEW.XLS_MEASURES" hidden="1">"YTD"</definedName>
    <definedName name="EV__MEMORYCVW__PROFILE_REVIEW.XLS_TIME" hidden="1">"2012.NOV"</definedName>
    <definedName name="EV__MEMORYCVW__RECON_FILE_IFRS_MASTER_ENHANCED.XLS" hidden="1">"AIACONS"</definedName>
    <definedName name="EV__MEMORYCVW__RECON_FILE_IFRS_MASTER_ENHANCED.XLS_C_ACCT" hidden="1">"IS_REPORTING"</definedName>
    <definedName name="EV__MEMORYCVW__RECON_FILE_IFRS_MASTER_ENHANCED.XLS_C_CATEGORY" hidden="1">"ACTUAL"</definedName>
    <definedName name="EV__MEMORYCVW__RECON_FILE_IFRS_MASTER_ENHANCED.XLS_C_DATASRC" hidden="1">"IFRS_TOTL"</definedName>
    <definedName name="EV__MEMORYCVW__RECON_FILE_IFRS_MASTER_ENHANCED.XLS_CURRENCY" hidden="1">"USD"</definedName>
    <definedName name="EV__MEMORYCVW__RECON_FILE_IFRS_MASTER_ENHANCED.XLS_ENTITY" hidden="1">"ENTITY:RAIGH"</definedName>
    <definedName name="EV__MEMORYCVW__RECON_FILE_IFRS_MASTER_ENHANCED.XLS_FLOW" hidden="1">"FTOT"</definedName>
    <definedName name="EV__MEMORYCVW__RECON_FILE_IFRS_MASTER_ENHANCED.XLS_FUND" hidden="1">"TOTALFUND"</definedName>
    <definedName name="EV__MEMORYCVW__RECON_FILE_IFRS_MASTER_ENHANCED.XLS_GROUPS" hidden="1">"USD_LEGAL"</definedName>
    <definedName name="EV__MEMORYCVW__RECON_FILE_IFRS_MASTER_ENHANCED.XLS_INTCO" hidden="1">"TOTALINTCO"</definedName>
    <definedName name="EV__MEMORYCVW__RECON_FILE_IFRS_MASTER_ENHANCED.XLS_LOB_HKICO" hidden="1">"TOTALICO"</definedName>
    <definedName name="EV__MEMORYCVW__RECON_FILE_IFRS_MASTER_ENHANCED.XLS_LOB_IFRS" hidden="1">"TOTALIFRS"</definedName>
    <definedName name="EV__MEMORYCVW__RECON_FILE_IFRS_MASTER_ENHANCED.XLS_LOB_MGMT" hidden="1">"AL"</definedName>
    <definedName name="EV__MEMORYCVW__RECON_FILE_IFRS_MASTER_ENHANCED.XLS_MEASURES" hidden="1">"YTD"</definedName>
    <definedName name="EV__MEMORYCVW__RECON_FILE_IFRS_MASTER_ENHANCED.XLS_TIME" hidden="1">"2009.FEB"</definedName>
    <definedName name="EV__MEMORYCVW__RECON_FILE_SI_MASTER_ENHANCED.XLS" hidden="1">"AIACONS"</definedName>
    <definedName name="EV__MEMORYCVW__RECON_FILE_SI_WORKSHEET_W03_FUND.XLS" hidden="1">"AIACONS"</definedName>
    <definedName name="EV__MEMORYCVW__RECON_FILE_SI_WORKSHEET_W03_FUND_BN01.XLS" hidden="1">"AIACONS"</definedName>
    <definedName name="EV__MEMORYCVW__RECON_FILE_SI_WORKSHEET_W03_FUND_BN01.XLS_C_ACCT" hidden="1">"IS_REPORTING"</definedName>
    <definedName name="EV__MEMORYCVW__RECON_FILE_SI_WORKSHEET_W03_FUND_BN01.XLS_C_CATEGORY" hidden="1">"ACTUAL"</definedName>
    <definedName name="EV__MEMORYCVW__RECON_FILE_SI_WORKSHEET_W03_FUND_BN01.XLS_C_DATASRC" hidden="1">"HKICO_TOTL"</definedName>
    <definedName name="EV__MEMORYCVW__RECON_FILE_SI_WORKSHEET_W03_FUND_BN01.XLS_CURRENCY" hidden="1">"LC"</definedName>
    <definedName name="EV__MEMORYCVW__RECON_FILE_SI_WORKSHEET_W03_FUND_BN01.XLS_ENTITY" hidden="1">"ENTITY:RAIGH"</definedName>
    <definedName name="EV__MEMORYCVW__RECON_FILE_SI_WORKSHEET_W03_FUND_BN01.XLS_FLOW" hidden="1">"FTOT"</definedName>
    <definedName name="EV__MEMORYCVW__RECON_FILE_SI_WORKSHEET_W03_FUND_BN01.XLS_FUND" hidden="1">"TOTALFUND"</definedName>
    <definedName name="EV__MEMORYCVW__RECON_FILE_SI_WORKSHEET_W03_FUND_BN01.XLS_GROUPS" hidden="1">"LOCAL"</definedName>
    <definedName name="EV__MEMORYCVW__RECON_FILE_SI_WORKSHEET_W03_FUND_BN01.XLS_INTCO" hidden="1">"TOTALINTCO"</definedName>
    <definedName name="EV__MEMORYCVW__RECON_FILE_SI_WORKSHEET_W03_FUND_BN01.XLS_LOB_HKICO" hidden="1">"TOTALICO"</definedName>
    <definedName name="EV__MEMORYCVW__RECON_FILE_SI_WORKSHEET_W03_FUND_BN01.XLS_LOB_IFRS" hidden="1">"TOTALIFRS"</definedName>
    <definedName name="EV__MEMORYCVW__RECON_FILE_SI_WORKSHEET_W03_FUND_BN01.XLS_LOB_MGMT" hidden="1">"AL"</definedName>
    <definedName name="EV__MEMORYCVW__RECON_FILE_SI_WORKSHEET_W03_FUND_BN01.XLS_MEASURES" hidden="1">"YTD"</definedName>
    <definedName name="EV__MEMORYCVW__RECON_FILE_SI_WORKSHEET_W03_FUND_BN01.XLS_TIME" hidden="1">"2010.FEB"</definedName>
    <definedName name="EV__MEMORYCVW__RECON_FILE_SI_WORKSHEET_W03_FUND_CO01_FINAL.XLS" hidden="1">"AIACONS"</definedName>
    <definedName name="EV__MEMORYCVW__RECON_FILE_SI_WORKSHEET_W03_FUND_CO01_FINAL.XLS_C_ACCT" hidden="1">"IS_REPORTING"</definedName>
    <definedName name="EV__MEMORYCVW__RECON_FILE_SI_WORKSHEET_W03_FUND_CO01_FINAL.XLS_C_CATEGORY" hidden="1">"ACTUAL"</definedName>
    <definedName name="EV__MEMORYCVW__RECON_FILE_SI_WORKSHEET_W03_FUND_CO01_FINAL.XLS_C_DATASRC" hidden="1">"LGAAP_TOTL"</definedName>
    <definedName name="EV__MEMORYCVW__RECON_FILE_SI_WORKSHEET_W03_FUND_CO01_FINAL.XLS_CURRENCY" hidden="1">"LC"</definedName>
    <definedName name="EV__MEMORYCVW__RECON_FILE_SI_WORKSHEET_W03_FUND_CO01_FINAL.XLS_ENTITY" hidden="1">"ENTITY:RAHGR"</definedName>
    <definedName name="EV__MEMORYCVW__RECON_FILE_SI_WORKSHEET_W03_FUND_CO01_FINAL.XLS_FLOW" hidden="1">"FTOT"</definedName>
    <definedName name="EV__MEMORYCVW__RECON_FILE_SI_WORKSHEET_W03_FUND_CO01_FINAL.XLS_FUND" hidden="1">"TOTALFUND"</definedName>
    <definedName name="EV__MEMORYCVW__RECON_FILE_SI_WORKSHEET_W03_FUND_CO01_FINAL.XLS_GROUPS" hidden="1">"USD_LEGAL"</definedName>
    <definedName name="EV__MEMORYCVW__RECON_FILE_SI_WORKSHEET_W03_FUND_CO01_FINAL.XLS_INTCO" hidden="1">"TOTALINTCO"</definedName>
    <definedName name="EV__MEMORYCVW__RECON_FILE_SI_WORKSHEET_W03_FUND_CO01_FINAL.XLS_LOB_HKICO" hidden="1">"TOTALICO"</definedName>
    <definedName name="EV__MEMORYCVW__RECON_FILE_SI_WORKSHEET_W03_FUND_CO01_FINAL.XLS_LOB_IFRS" hidden="1">"TOTALIFRS"</definedName>
    <definedName name="EV__MEMORYCVW__RECON_FILE_SI_WORKSHEET_W03_FUND_CO01_FINAL.XLS_LOB_MGMT" hidden="1">"AL"</definedName>
    <definedName name="EV__MEMORYCVW__RECON_FILE_SI_WORKSHEET_W03_FUND_CO01_FINAL.XLS_MEASURES" hidden="1">"YTD"</definedName>
    <definedName name="EV__MEMORYCVW__RECON_FILE_SI_WORKSHEET_W03_FUND_CO01_FINAL.XLS_TIME" hidden="1">"2010.FEB"</definedName>
    <definedName name="EV__MEMORYCVW__RECON_FILE_SI_WORKSHEET_W03_FUND_CO02_FINAL.XLS" hidden="1">"AIACONS"</definedName>
    <definedName name="EV__MEMORYCVW__RECON_FILE_SI_WORKSHEET_W03_FUND_HKP5_LC.XLS" hidden="1">"AIACONS"</definedName>
    <definedName name="EV__MEMORYCVW__RECON_FILE_SI_WORKSHEET_W03_FUND_HKP5_LC.XLS_C_ACCT" hidden="1">"DC_B111655_B111670"</definedName>
    <definedName name="EV__MEMORYCVW__RECON_FILE_SI_WORKSHEET_W03_FUND_HKP5_LC.XLS_C_CATEGORY" hidden="1">"ACTUAL"</definedName>
    <definedName name="EV__MEMORYCVW__RECON_FILE_SI_WORKSHEET_W03_FUND_HKP5_LC.XLS_C_DATASRC" hidden="1">"AJ_ELIM"</definedName>
    <definedName name="EV__MEMORYCVW__RECON_FILE_SI_WORKSHEET_W03_FUND_HKP5_LC.XLS_CURRENCY" hidden="1">"LC"</definedName>
    <definedName name="EV__MEMORYCVW__RECON_FILE_SI_WORKSHEET_W03_FUND_HKP5_LC.XLS_ENTITY" hidden="1">"TH01"</definedName>
    <definedName name="EV__MEMORYCVW__RECON_FILE_SI_WORKSHEET_W03_FUND_HKP5_LC.XLS_FLOW" hidden="1">"F999"</definedName>
    <definedName name="EV__MEMORYCVW__RECON_FILE_SI_WORKSHEET_W03_FUND_HKP5_LC.XLS_FUND" hidden="1">"TOTALFUND"</definedName>
    <definedName name="EV__MEMORYCVW__RECON_FILE_SI_WORKSHEET_W03_FUND_HKP5_LC.XLS_GROUPS" hidden="1">"LOCAL"</definedName>
    <definedName name="EV__MEMORYCVW__RECON_FILE_SI_WORKSHEET_W03_FUND_HKP5_LC.XLS_INTCO" hidden="1">"TOTALINTCO"</definedName>
    <definedName name="EV__MEMORYCVW__RECON_FILE_SI_WORKSHEET_W03_FUND_HKP5_LC.XLS_LOB_HKICO" hidden="1">"TOTALICO"</definedName>
    <definedName name="EV__MEMORYCVW__RECON_FILE_SI_WORKSHEET_W03_FUND_HKP5_LC.XLS_LOB_IFRS" hidden="1">"TOTALIFRS"</definedName>
    <definedName name="EV__MEMORYCVW__RECON_FILE_SI_WORKSHEET_W03_FUND_HKP5_LC.XLS_LOB_MGMT" hidden="1">"AL"</definedName>
    <definedName name="EV__MEMORYCVW__RECON_FILE_SI_WORKSHEET_W03_FUND_HKP5_LC.XLS_MEASURES" hidden="1">"YTD_DRCR"</definedName>
    <definedName name="EV__MEMORYCVW__RECON_FILE_SI_WORKSHEET_W03_FUND_HKP5_LC.XLS_TIME" hidden="1">"2010.FEB"</definedName>
    <definedName name="EV__MEMORYCVW__RECON_FILE_SI_WORKSHEET_W03_FUND_MASTER_FINAL.XLS" hidden="1">"AIACONS"</definedName>
    <definedName name="EV__MEMORYCVW__RECON_FILE_SI_WORKSHEET_W03_FUND_SG01.XLS" hidden="1">"AIACONS"</definedName>
    <definedName name="EV__MEMORYCVW__SI_LONGSHEET_W02A_G_OUTPUT_V000.XLS" hidden="1">"AIACONS"</definedName>
    <definedName name="EV__MEMORYCVW__SI_LONGSHEET_W02A_G_OUTPUT_V000.XLS_C_ACCT" hidden="1">"IS06001000"</definedName>
    <definedName name="EV__MEMORYCVW__SI_LONGSHEET_W02A_G_OUTPUT_V000.XLS_C_CATEGORY" hidden="1">"ACTUAL_2007"</definedName>
    <definedName name="EV__MEMORYCVW__SI_LONGSHEET_W02A_G_OUTPUT_V000.XLS_C_DATASRC" hidden="1">"IFRS"</definedName>
    <definedName name="EV__MEMORYCVW__SI_LONGSHEET_W02A_G_OUTPUT_V000.XLS_CURRENCY" hidden="1">"LC"</definedName>
    <definedName name="EV__MEMORYCVW__SI_LONGSHEET_W02A_G_OUTPUT_V000.XLS_ENTITY" hidden="1">"ENTITY:RAHGR"</definedName>
    <definedName name="EV__MEMORYCVW__SI_LONGSHEET_W02A_G_OUTPUT_V000.XLS_FLOW" hidden="1">"FTOT"</definedName>
    <definedName name="EV__MEMORYCVW__SI_LONGSHEET_W02A_G_OUTPUT_V000.XLS_FUND" hidden="1">"TOTALFUND"</definedName>
    <definedName name="EV__MEMORYCVW__SI_LONGSHEET_W02A_G_OUTPUT_V000.XLS_GROUPS" hidden="1">"LOCAL"</definedName>
    <definedName name="EV__MEMORYCVW__SI_LONGSHEET_W02A_G_OUTPUT_V000.XLS_INTCO" hidden="1">"TOTALINTCO"</definedName>
    <definedName name="EV__MEMORYCVW__SI_LONGSHEET_W02A_G_OUTPUT_V000.XLS_LOB_HKICO" hidden="1">"TOTALICO"</definedName>
    <definedName name="EV__MEMORYCVW__SI_LONGSHEET_W02A_G_OUTPUT_V000.XLS_LOB_IFRS" hidden="1">"TOTALIFRS"</definedName>
    <definedName name="EV__MEMORYCVW__SI_LONGSHEET_W02A_G_OUTPUT_V000.XLS_LOB_MGMT" hidden="1">"AL"</definedName>
    <definedName name="EV__MEMORYCVW__SI_LONGSHEET_W02A_G_OUTPUT_V000.XLS_MEASURES" hidden="1">"YTD"</definedName>
    <definedName name="EV__MEMORYCVW__SI_LONGSHEET_W02A_G_OUTPUT_V000.XLS_TIME" hidden="1">"2010.JAN"</definedName>
    <definedName name="EV__MEMORYCVW__SI_LONGSHEET_W02A_G_OUTPUT_V000_NEW_ALAN.XLS" hidden="1">"AIACONS"</definedName>
    <definedName name="EV__MEMORYCVW__SI_WORKSHEET_W03_OUTPUT_V000.XLS" hidden="1">"AIACONS"</definedName>
    <definedName name="EV__MEMORYCVW__SI_WORKSHEET_W03_OUTPUT_V000_NEW.XLS" hidden="1">"AIACONS"</definedName>
    <definedName name="EV__MEMORYCVW__SI_WORKSHEET_W03_OUTPUT_V000_NEW.XLS_C_ACCT" hidden="1">"IS_REPORTING"</definedName>
    <definedName name="EV__MEMORYCVW__SI_WORKSHEET_W03_OUTPUT_V000_NEW.XLS_C_CATEGORY" hidden="1">"ACTUAL"</definedName>
    <definedName name="EV__MEMORYCVW__SI_WORKSHEET_W03_OUTPUT_V000_NEW.XLS_C_DATASRC" hidden="1">"HKICO_TOTL"</definedName>
    <definedName name="EV__MEMORYCVW__SI_WORKSHEET_W03_OUTPUT_V000_NEW.XLS_CURRENCY" hidden="1">"LC"</definedName>
    <definedName name="EV__MEMORYCVW__SI_WORKSHEET_W03_OUTPUT_V000_NEW.XLS_ENTITY" hidden="1">"SG01"</definedName>
    <definedName name="EV__MEMORYCVW__SI_WORKSHEET_W03_OUTPUT_V000_NEW.XLS_FLOW" hidden="1">"FTOT"</definedName>
    <definedName name="EV__MEMORYCVW__SI_WORKSHEET_W03_OUTPUT_V000_NEW.XLS_FUND" hidden="1">"TOTALFUND"</definedName>
    <definedName name="EV__MEMORYCVW__SI_WORKSHEET_W03_OUTPUT_V000_NEW.XLS_GROUPS" hidden="1">"LOCAL"</definedName>
    <definedName name="EV__MEMORYCVW__SI_WORKSHEET_W03_OUTPUT_V000_NEW.XLS_INTCO" hidden="1">"TOTALINTCO"</definedName>
    <definedName name="EV__MEMORYCVW__SI_WORKSHEET_W03_OUTPUT_V000_NEW.XLS_LOB_HKICO" hidden="1">"TOTALICO"</definedName>
    <definedName name="EV__MEMORYCVW__SI_WORKSHEET_W03_OUTPUT_V000_NEW.XLS_LOB_IFRS" hidden="1">"TOTALIFRS"</definedName>
    <definedName name="EV__MEMORYCVW__SI_WORKSHEET_W03_OUTPUT_V000_NEW.XLS_LOB_MGMT" hidden="1">"AL"</definedName>
    <definedName name="EV__MEMORYCVW__SI_WORKSHEET_W03_OUTPUT_V000_NEW.XLS_MEASURES" hidden="1">"YTD"</definedName>
    <definedName name="EV__MEMORYCVW__SI_WORKSHEET_W03_OUTPUT_V000_NEW.XLS_TIME" hidden="1">"2010.FEB"</definedName>
    <definedName name="EV__MEMORYCVW__SI_WORKSHEET_W03_OUTPUT_V000_NEW_ALAN_LS.XLS" hidden="1">"AIACONS"</definedName>
    <definedName name="EV__MEMORYCVW__SI_WORKSHEET_W03_OUTPUT_V000_NEW_FUND.XLS" hidden="1">"AIACONS"</definedName>
    <definedName name="EV__MEMORYCVW__SI_WORKSHEET_W04_BS_V000_NEW.XLS" hidden="1">"AIACONS"</definedName>
    <definedName name="EV__MEMORYCVW__SI_WORKSHEET_W04_BS_V000_NEW.XLS_C_ACCT" hidden="1">"IS_REPORTING"</definedName>
    <definedName name="EV__MEMORYCVW__SI_WORKSHEET_W04_BS_V000_NEW.XLS_C_CATEGORY" hidden="1">"ACTUAL"</definedName>
    <definedName name="EV__MEMORYCVW__SI_WORKSHEET_W04_BS_V000_NEW.XLS_C_DATASRC" hidden="1">"HKICO_TOTL"</definedName>
    <definedName name="EV__MEMORYCVW__SI_WORKSHEET_W04_BS_V000_NEW.XLS_CURRENCY" hidden="1">"LC"</definedName>
    <definedName name="EV__MEMORYCVW__SI_WORKSHEET_W04_BS_V000_NEW.XLS_ENTITY" hidden="1">"ENTITY:RAIGH"</definedName>
    <definedName name="EV__MEMORYCVW__SI_WORKSHEET_W04_BS_V000_NEW.XLS_FLOW" hidden="1">"FTOT"</definedName>
    <definedName name="EV__MEMORYCVW__SI_WORKSHEET_W04_BS_V000_NEW.XLS_FUND" hidden="1">"TOTALFUND"</definedName>
    <definedName name="EV__MEMORYCVW__SI_WORKSHEET_W04_BS_V000_NEW.XLS_GROUPS" hidden="1">"LOCAL"</definedName>
    <definedName name="EV__MEMORYCVW__SI_WORKSHEET_W04_BS_V000_NEW.XLS_INTCO" hidden="1">"TOTALINTCO"</definedName>
    <definedName name="EV__MEMORYCVW__SI_WORKSHEET_W04_BS_V000_NEW.XLS_LOB_HKICO" hidden="1">"TOTALICO"</definedName>
    <definedName name="EV__MEMORYCVW__SI_WORKSHEET_W04_BS_V000_NEW.XLS_LOB_IFRS" hidden="1">"TOTALIFRS"</definedName>
    <definedName name="EV__MEMORYCVW__SI_WORKSHEET_W04_BS_V000_NEW.XLS_LOB_MGMT" hidden="1">"AL"</definedName>
    <definedName name="EV__MEMORYCVW__SI_WORKSHEET_W04_BS_V000_NEW.XLS_MEASURES" hidden="1">"YTD"</definedName>
    <definedName name="EV__MEMORYCVW__SI_WORKSHEET_W04_BS_V000_NEW.XLS_TIME" hidden="1">"2010.FEB"</definedName>
    <definedName name="EV__MEMORYCVW__SI_WORKSHEETS.XLS" hidden="1">"AIACONS"</definedName>
    <definedName name="EV__MEMORYCVW__SI_WORKSHEETS.XLS_C_ACCT" hidden="1">1</definedName>
    <definedName name="EV__MEMORYCVW__SI_WORKSHEETS.XLS_C_CATEGORY" hidden="1">"ACTUAL_2007"</definedName>
    <definedName name="EV__MEMORYCVW__SI_WORKSHEETS.XLS_C_DATASRC" hidden="1">"IFRS"</definedName>
    <definedName name="EV__MEMORYCVW__SI_WORKSHEETS.XLS_ENTITY" hidden="1">"RAHGR"</definedName>
    <definedName name="EV__MEMORYCVW__SI_WORKSHEETS.XLS_FLOW" hidden="1">"FLOW:X_CF_090"</definedName>
    <definedName name="EV__MEMORYCVW__SI_WORKSHEETS.XLS_FUND" hidden="1">"TOTALFUND"</definedName>
    <definedName name="EV__MEMORYCVW__SI_WORKSHEETS.XLS_GROUPS" hidden="1">"FC"</definedName>
    <definedName name="EV__MEMORYCVW__SI_WORKSHEETS.XLS_INTCO" hidden="1">"TOTALINTCO"</definedName>
    <definedName name="EV__MEMORYCVW__SI_WORKSHEETS.XLS_LOB_HKICO" hidden="1">"TOTALICO"</definedName>
    <definedName name="EV__MEMORYCVW__SI_WORKSHEETS.XLS_LOB_IFRS" hidden="1">"ISUNAL"</definedName>
    <definedName name="EV__MEMORYCVW__SI_WORKSHEETS.XLS_LOB_MGMT" hidden="1">"AL"</definedName>
    <definedName name="EV__MEMORYCVW__SI_WORKSHEETS.XLS_MEASURES" hidden="1">"CUSTOMPER"</definedName>
    <definedName name="EV__MEMORYCVW__SI_WORKSHEETS.XLS_TIME" hidden="1">"2011.TOTAL"</definedName>
    <definedName name="EV__MEMORYCVW__STD_REPORTS_FOR_CREATION_IN_TRAINING.XLS" hidden="1">"AIACONS"</definedName>
    <definedName name="EV__MEMORYCVW__STD_REPORTS_FOR_CREATION_IN_TRAINING.XLS_C_ACCT" hidden="1">"BYLINE_NET_PROFIT"</definedName>
    <definedName name="EV__MEMORYCVW__STD_REPORTS_FOR_CREATION_IN_TRAINING.XLS_C_CATEGORY" hidden="1">"ACTUAL"</definedName>
    <definedName name="EV__MEMORYCVW__STD_REPORTS_FOR_CREATION_IN_TRAINING.XLS_C_DATASRC" hidden="1">"GAAP_TOTL"</definedName>
    <definedName name="EV__MEMORYCVW__STD_REPORTS_FOR_CREATION_IN_TRAINING.XLS_CURRENCY" hidden="1">"USD"</definedName>
    <definedName name="EV__MEMORYCVW__STD_REPORTS_FOR_CREATION_IN_TRAINING.XLS_ENTITY" hidden="1">"SG01"</definedName>
    <definedName name="EV__MEMORYCVW__STD_REPORTS_FOR_CREATION_IN_TRAINING.XLS_FLOW" hidden="1">"FTOT"</definedName>
    <definedName name="EV__MEMORYCVW__STD_REPORTS_FOR_CREATION_IN_TRAINING.XLS_FUND" hidden="1">"TOTALFUND"</definedName>
    <definedName name="EV__MEMORYCVW__STD_REPORTS_FOR_CREATION_IN_TRAINING.XLS_GROUPS" hidden="1">"LOCAL"</definedName>
    <definedName name="EV__MEMORYCVW__STD_REPORTS_FOR_CREATION_IN_TRAINING.XLS_INTCO" hidden="1">"TOTALINTCO"</definedName>
    <definedName name="EV__MEMORYCVW__STD_REPORTS_FOR_CREATION_IN_TRAINING.XLS_LOB_HKICO" hidden="1">"TOTALICO"</definedName>
    <definedName name="EV__MEMORYCVW__STD_REPORTS_FOR_CREATION_IN_TRAINING.XLS_LOB_IFRS" hidden="1">"TOTALIFRS"</definedName>
    <definedName name="EV__MEMORYCVW__STD_REPORTS_FOR_CREATION_IN_TRAINING.XLS_LOB_MGMT" hidden="1">"AL"</definedName>
    <definedName name="EV__MEMORYCVW__STD_REPORTS_FOR_CREATION_IN_TRAINING.XLS_MEASURES" hidden="1">"YTD"</definedName>
    <definedName name="EV__MEMORYCVW__STD_REPORTS_FOR_CREATION_IN_TRAINING.XLS_TIME" hidden="1">"2010.FEB"</definedName>
    <definedName name="EV__MEMORYCVW__SUNMASTER_2010.XLS" hidden="1">"AIACONS"</definedName>
    <definedName name="EV__MEMORYCVW__SUNMASTER_2010.XLS_C_ACCT" hidden="1">"IS_REPORTING"</definedName>
    <definedName name="EV__MEMORYCVW__SUNMASTER_2010.XLS_C_CATEGORY" hidden="1">"ACTUAL000"</definedName>
    <definedName name="EV__MEMORYCVW__SUNMASTER_2010.XLS_C_DATASRC" hidden="1">"GAAP_TOTL"</definedName>
    <definedName name="EV__MEMORYCVW__SUNMASTER_2010.XLS_CURRENCY" hidden="1">"LC"</definedName>
    <definedName name="EV__MEMORYCVW__SUNMASTER_2010.XLS_ENTITY" hidden="1">"CN01"</definedName>
    <definedName name="EV__MEMORYCVW__SUNMASTER_2010.XLS_FLOW" hidden="1">"FTOT"</definedName>
    <definedName name="EV__MEMORYCVW__SUNMASTER_2010.XLS_FUND" hidden="1">"TOTALFUND"</definedName>
    <definedName name="EV__MEMORYCVW__SUNMASTER_2010.XLS_GROUPS" hidden="1">"LOCAL"</definedName>
    <definedName name="EV__MEMORYCVW__SUNMASTER_2010.XLS_INTCO" hidden="1">"TOTALINTCO"</definedName>
    <definedName name="EV__MEMORYCVW__SUNMASTER_2010.XLS_LOB_HKICO" hidden="1">"TOTALICO"</definedName>
    <definedName name="EV__MEMORYCVW__SUNMASTER_2010.XLS_LOB_IFRS" hidden="1">"TOTALIFRS"</definedName>
    <definedName name="EV__MEMORYCVW__SUNMASTER_2010.XLS_LOB_MGMT" hidden="1">"AL"</definedName>
    <definedName name="EV__MEMORYCVW__SUNMASTER_2010.XLS_MEASURES" hidden="1">"YTD"</definedName>
    <definedName name="EV__MEMORYCVW__SUNMASTER_2010.XLS_TIME" hidden="1">"2010.AUG"</definedName>
    <definedName name="EV__MEMORYCVW__TEMPLATE_MASTER.XLS" hidden="1">"AIACONS"</definedName>
    <definedName name="EV__MEMORYCVW__TOPSIDE_GAAP_MY03.XLS" hidden="1">"AIACONS"</definedName>
    <definedName name="EV__MEMORYCVW__TOPSIDE_GAAP_MY03.XLS_C_ACCT" hidden="1">"DC_BY1311"</definedName>
    <definedName name="EV__MEMORYCVW__TOPSIDE_GAAP_MY03.XLS_C_CATEGORY" hidden="1">"ACTUAL"</definedName>
    <definedName name="EV__MEMORYCVW__TOPSIDE_GAAP_MY03.XLS_C_DATASRC" hidden="1">"GAAP_TOTL"</definedName>
    <definedName name="EV__MEMORYCVW__TOPSIDE_GAAP_MY03.XLS_CURRENCY" hidden="1">"USD"</definedName>
    <definedName name="EV__MEMORYCVW__TOPSIDE_GAAP_MY03.XLS_ENTITY" hidden="1">"AU01"</definedName>
    <definedName name="EV__MEMORYCVW__TOPSIDE_GAAP_MY03.XLS_FLOW" hidden="1">"FTOT"</definedName>
    <definedName name="EV__MEMORYCVW__TOPSIDE_GAAP_MY03.XLS_FUND" hidden="1">"TOTALFUND"</definedName>
    <definedName name="EV__MEMORYCVW__TOPSIDE_GAAP_MY03.XLS_GROUPS" hidden="1">"LOCAL"</definedName>
    <definedName name="EV__MEMORYCVW__TOPSIDE_GAAP_MY03.XLS_INTCO" hidden="1">"I_999999"</definedName>
    <definedName name="EV__MEMORYCVW__TOPSIDE_GAAP_MY03.XLS_LOB_HKICO" hidden="1">"TOTALICO"</definedName>
    <definedName name="EV__MEMORYCVW__TOPSIDE_GAAP_MY03.XLS_LOB_IFRS" hidden="1">"TOTALIFRS"</definedName>
    <definedName name="EV__MEMORYCVW__TOPSIDE_GAAP_MY03.XLS_LOB_MGMT" hidden="1">"SL999"</definedName>
    <definedName name="EV__MEMORYCVW__TOPSIDE_GAAP_MY03.XLS_MEASURES" hidden="1">"YTD"</definedName>
    <definedName name="EV__MEMORYCVW__TOPSIDE_GAAP_MY03.XLS_TIME" hidden="1">"2010.MAY"</definedName>
    <definedName name="EV__MEMORYCVW__TRADING_PARTNER_OUTPUT_V0001" hidden="1">"ICMATCHING"</definedName>
    <definedName name="EV__MEMORYCVW__TRADING_PARTNER_OUTPUT_V0001_C_CATEGORY" hidden="1">"ACTUAL"</definedName>
    <definedName name="EV__MEMORYCVW__TRADING_PARTNER_OUTPUT_V0001_CURRENCY" hidden="1">"LC"</definedName>
    <definedName name="EV__MEMORYCVW__TRADING_PARTNER_OUTPUT_V0001_ENTITY" hidden="1">"ENTITY:RAHGR"</definedName>
    <definedName name="EV__MEMORYCVW__TRADING_PARTNER_OUTPUT_V0001_FLOW" hidden="1">"FTOT"</definedName>
    <definedName name="EV__MEMORYCVW__TRADING_PARTNER_OUTPUT_V0001_GROUPS" hidden="1">"LOCAL"</definedName>
    <definedName name="EV__MEMORYCVW__TRADING_PARTNER_OUTPUT_V0001_IC_ACCT" hidden="1">"IC_DIFF_MR000"</definedName>
    <definedName name="EV__MEMORYCVW__TRADING_PARTNER_OUTPUT_V0001_IC_DATASRC" hidden="1">"ICDIFF"</definedName>
    <definedName name="EV__MEMORYCVW__TRADING_PARTNER_OUTPUT_V0001_INTCO" hidden="1">"TOTALINTCO"</definedName>
    <definedName name="EV__MEMORYCVW__TRADING_PARTNER_OUTPUT_V0001_MEASURES" hidden="1">"YTD"</definedName>
    <definedName name="EV__MEMORYCVW__TRADING_PARTNER_OUTPUT_V0001_TIME" hidden="1">"2005.TOTAL"</definedName>
    <definedName name="EV__MEMORYCVW__TW01_GAAP_CY06.XLS" hidden="1">"AIACONS"</definedName>
    <definedName name="EV__MEMORYCVW__TW01_GAAP_CY06.XLS_C_ACCT" hidden="1">"DC_BY1311"</definedName>
    <definedName name="EV__MEMORYCVW__TW01_GAAP_CY06.XLS_C_CATEGORY" hidden="1">"ACTUAL"</definedName>
    <definedName name="EV__MEMORYCVW__TW01_GAAP_CY06.XLS_C_DATASRC" hidden="1">"GAAP_TOTL"</definedName>
    <definedName name="EV__MEMORYCVW__TW01_GAAP_CY06.XLS_CURRENCY" hidden="1">"USD"</definedName>
    <definedName name="EV__MEMORYCVW__TW01_GAAP_CY06.XLS_ENTITY" hidden="1">"AU01"</definedName>
    <definedName name="EV__MEMORYCVW__TW01_GAAP_CY06.XLS_FLOW" hidden="1">"FTOT"</definedName>
    <definedName name="EV__MEMORYCVW__TW01_GAAP_CY06.XLS_FUND" hidden="1">"TOTALFUND"</definedName>
    <definedName name="EV__MEMORYCVW__TW01_GAAP_CY06.XLS_GROUPS" hidden="1">"LOCAL"</definedName>
    <definedName name="EV__MEMORYCVW__TW01_GAAP_CY06.XLS_INTCO" hidden="1">"I_999999"</definedName>
    <definedName name="EV__MEMORYCVW__TW01_GAAP_CY06.XLS_LOB_HKICO" hidden="1">"TOTALICO"</definedName>
    <definedName name="EV__MEMORYCVW__TW01_GAAP_CY06.XLS_LOB_IFRS" hidden="1">"TOTALIFRS"</definedName>
    <definedName name="EV__MEMORYCVW__TW01_GAAP_CY06.XLS_LOB_MGMT" hidden="1">"SL999"</definedName>
    <definedName name="EV__MEMORYCVW__TW01_GAAP_CY06.XLS_MEASURES" hidden="1">"YTD"</definedName>
    <definedName name="EV__MEMORYCVW__TW01_GAAP_CY06.XLS_TIME" hidden="1">"2010.MAY"</definedName>
    <definedName name="EV__MEMORYCVW__UAT_1.11_SI_ROLLUP.XLS" hidden="1">"AIACONS"</definedName>
    <definedName name="EV__MEMORYCVW__UAT_1.11_SI_ROLLUP.XLS_C_ACCT" hidden="1">"IS_REPORTING"</definedName>
    <definedName name="EV__MEMORYCVW__UAT_1.11_SI_ROLLUP.XLS_C_CATEGORY" hidden="1">"ACTUAL"</definedName>
    <definedName name="EV__MEMORYCVW__UAT_1.11_SI_ROLLUP.XLS_C_DATASRC" hidden="1">"HKICO_TOTL"</definedName>
    <definedName name="EV__MEMORYCVW__UAT_1.11_SI_ROLLUP.XLS_CURRENCY" hidden="1">"LC"</definedName>
    <definedName name="EV__MEMORYCVW__UAT_1.11_SI_ROLLUP.XLS_ENTITY" hidden="1">"SG01"</definedName>
    <definedName name="EV__MEMORYCVW__UAT_1.11_SI_ROLLUP.XLS_FLOW" hidden="1">"FTOT"</definedName>
    <definedName name="EV__MEMORYCVW__UAT_1.11_SI_ROLLUP.XLS_FUND" hidden="1">"TOTALFUND"</definedName>
    <definedName name="EV__MEMORYCVW__UAT_1.11_SI_ROLLUP.XLS_GROUPS" hidden="1">"LOCAL"</definedName>
    <definedName name="EV__MEMORYCVW__UAT_1.11_SI_ROLLUP.XLS_INTCO" hidden="1">"TOTALINTCO"</definedName>
    <definedName name="EV__MEMORYCVW__UAT_1.11_SI_ROLLUP.XLS_LOB_HKICO" hidden="1">"TOTALICO"</definedName>
    <definedName name="EV__MEMORYCVW__UAT_1.11_SI_ROLLUP.XLS_LOB_IFRS" hidden="1">"TOTALIFRS"</definedName>
    <definedName name="EV__MEMORYCVW__UAT_1.11_SI_ROLLUP.XLS_LOB_MGMT" hidden="1">"AL"</definedName>
    <definedName name="EV__MEMORYCVW__UAT_1.11_SI_ROLLUP.XLS_MEASURES" hidden="1">"YTD"</definedName>
    <definedName name="EV__MEMORYCVW__UAT_1.11_SI_ROLLUP.XLS_TIME" hidden="1">"2010.FEB"</definedName>
    <definedName name="EV__MEMORYCVW__UPLOAD_TEMPLATE_FOR_DC_ALAN.XLS" hidden="1">"AIACONS"</definedName>
    <definedName name="EV__MEMORYCVW__UPLOAD_TEMPLATE_FOR_DC_ALAN.XLS_C_ACCT" hidden="1">"DC_B102524"</definedName>
    <definedName name="EV__MEMORYCVW__UPLOAD_TEMPLATE_FOR_DC_ALAN.XLS_C_CATEGORY" hidden="1">"ACTUAL"</definedName>
    <definedName name="EV__MEMORYCVW__UPLOAD_TEMPLATE_FOR_DC_ALAN.XLS_C_DATASRC" hidden="1">"IFRS_TOTL"</definedName>
    <definedName name="EV__MEMORYCVW__UPLOAD_TEMPLATE_FOR_DC_ALAN.XLS_CURRENCY" hidden="1">"LC"</definedName>
    <definedName name="EV__MEMORYCVW__UPLOAD_TEMPLATE_FOR_DC_ALAN.XLS_ENTITY" hidden="1">"ENTITY:RAHGR"</definedName>
    <definedName name="EV__MEMORYCVW__UPLOAD_TEMPLATE_FOR_DC_ALAN.XLS_FLOW" hidden="1">"FTOT"</definedName>
    <definedName name="EV__MEMORYCVW__UPLOAD_TEMPLATE_FOR_DC_ALAN.XLS_FUND" hidden="1">"TOTALFUND"</definedName>
    <definedName name="EV__MEMORYCVW__UPLOAD_TEMPLATE_FOR_DC_ALAN.XLS_GROUPS" hidden="1">"LOCAL"</definedName>
    <definedName name="EV__MEMORYCVW__UPLOAD_TEMPLATE_FOR_DC_ALAN.XLS_INTCO" hidden="1">"TOTALINTCO"</definedName>
    <definedName name="EV__MEMORYCVW__UPLOAD_TEMPLATE_FOR_DC_ALAN.XLS_LOB_HKICO" hidden="1">"TOTALICO"</definedName>
    <definedName name="EV__MEMORYCVW__UPLOAD_TEMPLATE_FOR_DC_ALAN.XLS_LOB_IFRS" hidden="1">"TOTALIFRS"</definedName>
    <definedName name="EV__MEMORYCVW__UPLOAD_TEMPLATE_FOR_DC_ALAN.XLS_LOB_MGMT" hidden="1">"AL"</definedName>
    <definedName name="EV__MEMORYCVW__UPLOAD_TEMPLATE_FOR_DC_ALAN.XLS_MEASURES" hidden="1">"YTD"</definedName>
    <definedName name="EV__MEMORYCVW__UPLOAD_TEMPLATE_FOR_DC_ALAN.XLS_TIME" hidden="1">"2005.TOTAL"</definedName>
    <definedName name="EV__MEMORYCVW__UPLOAD_TEMPLATE_FOR_DC_AU01_IFRS.XLS" hidden="1">"AIACONS"</definedName>
    <definedName name="EV__MEMORYCVW__UPLOAD_TEMPLATE_FOR_DC_AU01_IFRS.XLS_C_ACCT" hidden="1">"DC_BY1311"</definedName>
    <definedName name="EV__MEMORYCVW__UPLOAD_TEMPLATE_FOR_DC_AU01_IFRS.XLS_C_CATEGORY" hidden="1">"ACTUAL"</definedName>
    <definedName name="EV__MEMORYCVW__UPLOAD_TEMPLATE_FOR_DC_AU01_IFRS.XLS_C_DATASRC" hidden="1">"GAAP_TOTL"</definedName>
    <definedName name="EV__MEMORYCVW__UPLOAD_TEMPLATE_FOR_DC_AU01_IFRS.XLS_CURRENCY" hidden="1">"USD"</definedName>
    <definedName name="EV__MEMORYCVW__UPLOAD_TEMPLATE_FOR_DC_AU01_IFRS.XLS_ENTITY" hidden="1">"ENTITY:RAIGH"</definedName>
    <definedName name="EV__MEMORYCVW__UPLOAD_TEMPLATE_FOR_DC_AU01_IFRS.XLS_FLOW" hidden="1">"FTOT"</definedName>
    <definedName name="EV__MEMORYCVW__UPLOAD_TEMPLATE_FOR_DC_AU01_IFRS.XLS_FUND" hidden="1">"TOTALFUND"</definedName>
    <definedName name="EV__MEMORYCVW__UPLOAD_TEMPLATE_FOR_DC_AU01_IFRS.XLS_GROUPS" hidden="1">"LOCAL"</definedName>
    <definedName name="EV__MEMORYCVW__UPLOAD_TEMPLATE_FOR_DC_AU01_IFRS.XLS_INTCO" hidden="1">"I_999999"</definedName>
    <definedName name="EV__MEMORYCVW__UPLOAD_TEMPLATE_FOR_DC_AU01_IFRS.XLS_LOB_HKICO" hidden="1">"TOTALICO"</definedName>
    <definedName name="EV__MEMORYCVW__UPLOAD_TEMPLATE_FOR_DC_AU01_IFRS.XLS_LOB_IFRS" hidden="1">"TOTALIFRS"</definedName>
    <definedName name="EV__MEMORYCVW__UPLOAD_TEMPLATE_FOR_DC_AU01_IFRS.XLS_LOB_MGMT" hidden="1">"SL999"</definedName>
    <definedName name="EV__MEMORYCVW__UPLOAD_TEMPLATE_FOR_DC_AU01_IFRS.XLS_MEASURES" hidden="1">"YTD"</definedName>
    <definedName name="EV__MEMORYCVW__UPLOAD_TEMPLATE_FOR_DC_AU01_IFRS.XLS_TIME" hidden="1">"2010.FEB"</definedName>
    <definedName name="EV__MEMORYCVW__UTOPSIDE_GAAP_CO02.XLS" hidden="1">"AIACONS"</definedName>
    <definedName name="EV__MEMORYCVW__UTOPSIDE_GAAP_CO02.XLS_C_ACCT" hidden="1">"IS_REPORTING"</definedName>
    <definedName name="EV__MEMORYCVW__UTOPSIDE_GAAP_CO02.XLS_C_CATEGORY" hidden="1">"ACTUAL"</definedName>
    <definedName name="EV__MEMORYCVW__UTOPSIDE_GAAP_CO02.XLS_C_DATASRC" hidden="1">"LGAAP_TOTL"</definedName>
    <definedName name="EV__MEMORYCVW__UTOPSIDE_GAAP_CO02.XLS_CURRENCY" hidden="1">"LC"</definedName>
    <definedName name="EV__MEMORYCVW__UTOPSIDE_GAAP_CO02.XLS_ENTITY" hidden="1">"ENTITY:RAHGR"</definedName>
    <definedName name="EV__MEMORYCVW__UTOPSIDE_GAAP_CO02.XLS_FLOW" hidden="1">"FTOT"</definedName>
    <definedName name="EV__MEMORYCVW__UTOPSIDE_GAAP_CO02.XLS_FUND" hidden="1">"TOTALFUND"</definedName>
    <definedName name="EV__MEMORYCVW__UTOPSIDE_GAAP_CO02.XLS_GROUPS" hidden="1">"USD_LEGAL"</definedName>
    <definedName name="EV__MEMORYCVW__UTOPSIDE_GAAP_CO02.XLS_INTCO" hidden="1">"TOTALINTCO"</definedName>
    <definedName name="EV__MEMORYCVW__UTOPSIDE_GAAP_CO02.XLS_LOB_HKICO" hidden="1">"TOTALICO"</definedName>
    <definedName name="EV__MEMORYCVW__UTOPSIDE_GAAP_CO02.XLS_LOB_IFRS" hidden="1">"TOTALIFRS"</definedName>
    <definedName name="EV__MEMORYCVW__UTOPSIDE_GAAP_CO02.XLS_LOB_MGMT" hidden="1">"AL"</definedName>
    <definedName name="EV__MEMORYCVW__UTOPSIDE_GAAP_CO02.XLS_MEASURES" hidden="1">"YTD"</definedName>
    <definedName name="EV__MEMORYCVW__UTOPSIDE_GAAP_CO02.XLS_TIME" hidden="1">"2010.FEB"</definedName>
    <definedName name="EV__MEMORYCVW__W006_IFRS_ANALYTICAL_REVIEW_ALAN2.XLS" hidden="1">"AIACONS"</definedName>
    <definedName name="EV__MEMORYCVW__W006_IFRS_ANALYTICAL_REVIEW_ALAN2.XLS_C_ACCT" hidden="1">"IS_REPORTING"</definedName>
    <definedName name="EV__MEMORYCVW__W006_IFRS_ANALYTICAL_REVIEW_ALAN2.XLS_C_CATEGORY" hidden="1">"ACTUAL"</definedName>
    <definedName name="EV__MEMORYCVW__W006_IFRS_ANALYTICAL_REVIEW_ALAN2.XLS_C_DATASRC" hidden="1">"GAAP_TOTL"</definedName>
    <definedName name="EV__MEMORYCVW__W006_IFRS_ANALYTICAL_REVIEW_ALAN2.XLS_CURRENCY" hidden="1">"USD"</definedName>
    <definedName name="EV__MEMORYCVW__W006_IFRS_ANALYTICAL_REVIEW_ALAN2.XLS_ENTITY" hidden="1">"ENTITY:MGMT_ZZ"</definedName>
    <definedName name="EV__MEMORYCVW__W006_IFRS_ANALYTICAL_REVIEW_ALAN2.XLS_FLOW" hidden="1">"FTOT"</definedName>
    <definedName name="EV__MEMORYCVW__W006_IFRS_ANALYTICAL_REVIEW_ALAN2.XLS_FUND" hidden="1">"TOTALFUND"</definedName>
    <definedName name="EV__MEMORYCVW__W006_IFRS_ANALYTICAL_REVIEW_ALAN2.XLS_GROUPS" hidden="1">"LOCAL"</definedName>
    <definedName name="EV__MEMORYCVW__W006_IFRS_ANALYTICAL_REVIEW_ALAN2.XLS_INTCO" hidden="1">"TOTALINTCO"</definedName>
    <definedName name="EV__MEMORYCVW__W006_IFRS_ANALYTICAL_REVIEW_ALAN2.XLS_LOB_HKICO" hidden="1">"TOTALICO"</definedName>
    <definedName name="EV__MEMORYCVW__W006_IFRS_ANALYTICAL_REVIEW_ALAN2.XLS_LOB_IFRS" hidden="1">"TOTALIFRS"</definedName>
    <definedName name="EV__MEMORYCVW__W006_IFRS_ANALYTICAL_REVIEW_ALAN2.XLS_LOB_MGMT" hidden="1">"AL"</definedName>
    <definedName name="EV__MEMORYCVW__W006_IFRS_ANALYTICAL_REVIEW_ALAN2.XLS_MEASURES" hidden="1">"YTD"</definedName>
    <definedName name="EV__MEMORYCVW__W006_IFRS_ANALYTICAL_REVIEW_ALAN2.XLS_TIME" hidden="1">"2009.DEC"</definedName>
    <definedName name="EV__MEMORYCVW__W02H_OUTPUT_V000.XLS" hidden="1">"AIACONS"</definedName>
    <definedName name="EV__MEMORYCVW__W02H_OUTPUT_V000.XLS_C_ACCT" hidden="1">"IS06001000"</definedName>
    <definedName name="EV__MEMORYCVW__W02H_OUTPUT_V000.XLS_C_CATEGORY" hidden="1">"ACTUAL_2007"</definedName>
    <definedName name="EV__MEMORYCVW__W02H_OUTPUT_V000.XLS_C_DATASRC" hidden="1">"IFRS"</definedName>
    <definedName name="EV__MEMORYCVW__W02H_OUTPUT_V000.XLS_CURRENCY" hidden="1">"LC"</definedName>
    <definedName name="EV__MEMORYCVW__W02H_OUTPUT_V000.XLS_ENTITY" hidden="1">"ENTITY:RAHGR"</definedName>
    <definedName name="EV__MEMORYCVW__W02H_OUTPUT_V000.XLS_FLOW" hidden="1">"FTOT"</definedName>
    <definedName name="EV__MEMORYCVW__W02H_OUTPUT_V000.XLS_FUND" hidden="1">"TOTALFUND"</definedName>
    <definedName name="EV__MEMORYCVW__W02H_OUTPUT_V000.XLS_GROUPS" hidden="1">"LOCAL"</definedName>
    <definedName name="EV__MEMORYCVW__W02H_OUTPUT_V000.XLS_INTCO" hidden="1">"TOTALINTCO"</definedName>
    <definedName name="EV__MEMORYCVW__W02H_OUTPUT_V000.XLS_LOB_HKICO" hidden="1">"TOTALICO"</definedName>
    <definedName name="EV__MEMORYCVW__W02H_OUTPUT_V000.XLS_LOB_IFRS" hidden="1">"TOTALIFRS"</definedName>
    <definedName name="EV__MEMORYCVW__W02H_OUTPUT_V000.XLS_LOB_MGMT" hidden="1">"AL"</definedName>
    <definedName name="EV__MEMORYCVW__W02H_OUTPUT_V000.XLS_MEASURES" hidden="1">"YTD"</definedName>
    <definedName name="EV__MEMORYCVW__W02H_OUTPUT_V000.XLS_TIME" hidden="1">"2010.JAN"</definedName>
    <definedName name="EV__MEMORYCVW__WORKSHEET_IN_BPCFRAMERCONTROL" hidden="1">"AIACONS"</definedName>
    <definedName name="EV__MEMORYCVW__WORKSHEET_IN_BPCFRAMERCONTROL_C_ACCT" hidden="1">"IS_REPORTING"</definedName>
    <definedName name="EV__MEMORYCVW__WORKSHEET_IN_BPCFRAMERCONTROL_C_CATEGORY" hidden="1">"ACTUAL000"</definedName>
    <definedName name="EV__MEMORYCVW__WORKSHEET_IN_BPCFRAMERCONTROL_C_DATASRC" hidden="1">"IFRS_TOTL"</definedName>
    <definedName name="EV__MEMORYCVW__WORKSHEET_IN_BPCFRAMERCONTROL_CURRENCY" hidden="1">"LC"</definedName>
    <definedName name="EV__MEMORYCVW__WORKSHEET_IN_BPCFRAMERCONTROL_ENTITY" hidden="1">"ENTITY:RHKGR"</definedName>
    <definedName name="EV__MEMORYCVW__WORKSHEET_IN_BPCFRAMERCONTROL_FLOW" hidden="1">"FTOT"</definedName>
    <definedName name="EV__MEMORYCVW__WORKSHEET_IN_BPCFRAMERCONTROL_FUND" hidden="1">"TOTALFUND"</definedName>
    <definedName name="EV__MEMORYCVW__WORKSHEET_IN_BPCFRAMERCONTROL_GROUPS" hidden="1">"LOCAL"</definedName>
    <definedName name="EV__MEMORYCVW__WORKSHEET_IN_BPCFRAMERCONTROL_INTCO" hidden="1">"TOTALINTCO"</definedName>
    <definedName name="EV__MEMORYCVW__WORKSHEET_IN_BPCFRAMERCONTROL_LOB_HKICO" hidden="1">"TOTALICO"</definedName>
    <definedName name="EV__MEMORYCVW__WORKSHEET_IN_BPCFRAMERCONTROL_LOB_IFRS" hidden="1">"TOTALIFRS"</definedName>
    <definedName name="EV__MEMORYCVW__WORKSHEET_IN_BPCFRAMERCONTROL_LOB_MGMT" hidden="1">"AL"</definedName>
    <definedName name="EV__MEMORYCVW__WORKSHEET_IN_BPCFRAMERCONTROL_MEASURES" hidden="1">"YTD"</definedName>
    <definedName name="EV__MEMORYCVW__WORKSHEET_IN_BPCFRAMERCONTROL_TIME" hidden="1">"2010.FEB"</definedName>
    <definedName name="EV__WBEVMODE__" hidden="1">0</definedName>
    <definedName name="EV__WBREFOPTIONS__" hidden="1">134217735</definedName>
    <definedName name="EV__WBVERSION__" hidden="1">0</definedName>
    <definedName name="EV__WSINFO__" hidden="1">"silver"</definedName>
    <definedName name="EVOLUTION_DES_ROI" localSheetId="1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localSheetId="9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_1" localSheetId="1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_1" localSheetId="9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_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wrgt" localSheetId="10" hidden="1">{"summary",#N/A,FALSE,"2000 vs 1999";"detail",#N/A,FALSE,"2000 vs 1999"}</definedName>
    <definedName name="ewrgt" localSheetId="9" hidden="1">{"summary",#N/A,FALSE,"2000 vs 1999";"detail",#N/A,FALSE,"2000 vs 1999"}</definedName>
    <definedName name="ewrgt" hidden="1">{"summary",#N/A,FALSE,"2000 vs 1999";"detail",#N/A,FALSE,"2000 vs 1999"}</definedName>
    <definedName name="ewrgt_1" localSheetId="10" hidden="1">{"summary",#N/A,FALSE,"2000 vs 1999";"detail",#N/A,FALSE,"2000 vs 1999"}</definedName>
    <definedName name="ewrgt_1" localSheetId="9" hidden="1">{"summary",#N/A,FALSE,"2000 vs 1999";"detail",#N/A,FALSE,"2000 vs 1999"}</definedName>
    <definedName name="ewrgt_1" hidden="1">{"summary",#N/A,FALSE,"2000 vs 1999";"detail",#N/A,FALSE,"2000 vs 1999"}</definedName>
    <definedName name="ewrt" localSheetId="10" hidden="1">{#N/A,#N/A,FALSE,"UNIT";#N/A,#N/A,FALSE,"UNIT";#N/A,#N/A,FALSE,"계정"}</definedName>
    <definedName name="ewrt" localSheetId="9" hidden="1">{#N/A,#N/A,FALSE,"UNIT";#N/A,#N/A,FALSE,"UNIT";#N/A,#N/A,FALSE,"계정"}</definedName>
    <definedName name="ewrt" hidden="1">{#N/A,#N/A,FALSE,"UNIT";#N/A,#N/A,FALSE,"UNIT";#N/A,#N/A,FALSE,"계정"}</definedName>
    <definedName name="ewrt_1" localSheetId="10" hidden="1">{#N/A,#N/A,FALSE,"UNIT";#N/A,#N/A,FALSE,"UNIT";#N/A,#N/A,FALSE,"계정"}</definedName>
    <definedName name="ewrt_1" localSheetId="9" hidden="1">{#N/A,#N/A,FALSE,"UNIT";#N/A,#N/A,FALSE,"UNIT";#N/A,#N/A,FALSE,"계정"}</definedName>
    <definedName name="ewrt_1" hidden="1">{#N/A,#N/A,FALSE,"UNIT";#N/A,#N/A,FALSE,"UNIT";#N/A,#N/A,FALSE,"계정"}</definedName>
    <definedName name="ewteert" localSheetId="10" hidden="1">{#N/A,#N/A,FALSE,"Summary";#N/A,#N/A,FALSE,"Instructions";#N/A,#N/A,FALSE,"Aero97 (Malaysia)";#N/A,#N/A,FALSE,"Caledonian";#N/A,#N/A,FALSE,"Celma";#N/A,#N/A,FALSE,"Dallas";#N/A,#N/A,FALSE,"Ontario";#N/A,#N/A,FALSE,"Strother";#N/A,#N/A,FALSE,"Varig";#N/A,#N/A,FALSE,"Wales";#N/A,#N/A,FALSE,"Xiamen";#N/A,#N/A,FALSE,"Delivery and Quality";#N/A,#N/A,FALSE,"Issue Resolution Process"}</definedName>
    <definedName name="ewteert" localSheetId="9" hidden="1">{#N/A,#N/A,FALSE,"Summary";#N/A,#N/A,FALSE,"Instructions";#N/A,#N/A,FALSE,"Aero97 (Malaysia)";#N/A,#N/A,FALSE,"Caledonian";#N/A,#N/A,FALSE,"Celma";#N/A,#N/A,FALSE,"Dallas";#N/A,#N/A,FALSE,"Ontario";#N/A,#N/A,FALSE,"Strother";#N/A,#N/A,FALSE,"Varig";#N/A,#N/A,FALSE,"Wales";#N/A,#N/A,FALSE,"Xiamen";#N/A,#N/A,FALSE,"Delivery and Quality";#N/A,#N/A,FALSE,"Issue Resolution Process"}</definedName>
    <definedName name="ewteert" hidden="1">{#N/A,#N/A,FALSE,"Summary";#N/A,#N/A,FALSE,"Instructions";#N/A,#N/A,FALSE,"Aero97 (Malaysia)";#N/A,#N/A,FALSE,"Caledonian";#N/A,#N/A,FALSE,"Celma";#N/A,#N/A,FALSE,"Dallas";#N/A,#N/A,FALSE,"Ontario";#N/A,#N/A,FALSE,"Strother";#N/A,#N/A,FALSE,"Varig";#N/A,#N/A,FALSE,"Wales";#N/A,#N/A,FALSE,"Xiamen";#N/A,#N/A,FALSE,"Delivery and Quality";#N/A,#N/A,FALSE,"Issue Resolution Process"}</definedName>
    <definedName name="ewteert_1" localSheetId="10" hidden="1">{#N/A,#N/A,FALSE,"Summary";#N/A,#N/A,FALSE,"Instructions";#N/A,#N/A,FALSE,"Aero97 (Malaysia)";#N/A,#N/A,FALSE,"Caledonian";#N/A,#N/A,FALSE,"Celma";#N/A,#N/A,FALSE,"Dallas";#N/A,#N/A,FALSE,"Ontario";#N/A,#N/A,FALSE,"Strother";#N/A,#N/A,FALSE,"Varig";#N/A,#N/A,FALSE,"Wales";#N/A,#N/A,FALSE,"Xiamen";#N/A,#N/A,FALSE,"Delivery and Quality";#N/A,#N/A,FALSE,"Issue Resolution Process"}</definedName>
    <definedName name="ewteert_1" localSheetId="9" hidden="1">{#N/A,#N/A,FALSE,"Summary";#N/A,#N/A,FALSE,"Instructions";#N/A,#N/A,FALSE,"Aero97 (Malaysia)";#N/A,#N/A,FALSE,"Caledonian";#N/A,#N/A,FALSE,"Celma";#N/A,#N/A,FALSE,"Dallas";#N/A,#N/A,FALSE,"Ontario";#N/A,#N/A,FALSE,"Strother";#N/A,#N/A,FALSE,"Varig";#N/A,#N/A,FALSE,"Wales";#N/A,#N/A,FALSE,"Xiamen";#N/A,#N/A,FALSE,"Delivery and Quality";#N/A,#N/A,FALSE,"Issue Resolution Process"}</definedName>
    <definedName name="ewteert_1" hidden="1">{#N/A,#N/A,FALSE,"Summary";#N/A,#N/A,FALSE,"Instructions";#N/A,#N/A,FALSE,"Aero97 (Malaysia)";#N/A,#N/A,FALSE,"Caledonian";#N/A,#N/A,FALSE,"Celma";#N/A,#N/A,FALSE,"Dallas";#N/A,#N/A,FALSE,"Ontario";#N/A,#N/A,FALSE,"Strother";#N/A,#N/A,FALSE,"Varig";#N/A,#N/A,FALSE,"Wales";#N/A,#N/A,FALSE,"Xiamen";#N/A,#N/A,FALSE,"Delivery and Quality";#N/A,#N/A,FALSE,"Issue Resolution Process"}</definedName>
    <definedName name="ewterwtre" localSheetId="10" hidden="1">{"summary",#N/A,FALSE,"2000 vs 1999";"detail",#N/A,FALSE,"2000 vs 1999"}</definedName>
    <definedName name="ewterwtre" localSheetId="9" hidden="1">{"summary",#N/A,FALSE,"2000 vs 1999";"detail",#N/A,FALSE,"2000 vs 1999"}</definedName>
    <definedName name="ewterwtre" hidden="1">{"summary",#N/A,FALSE,"2000 vs 1999";"detail",#N/A,FALSE,"2000 vs 1999"}</definedName>
    <definedName name="ewterwtre_1" localSheetId="10" hidden="1">{"summary",#N/A,FALSE,"2000 vs 1999";"detail",#N/A,FALSE,"2000 vs 1999"}</definedName>
    <definedName name="ewterwtre_1" localSheetId="9" hidden="1">{"summary",#N/A,FALSE,"2000 vs 1999";"detail",#N/A,FALSE,"2000 vs 1999"}</definedName>
    <definedName name="ewterwtre_1" hidden="1">{"summary",#N/A,FALSE,"2000 vs 1999";"detail",#N/A,FALSE,"2000 vs 1999"}</definedName>
    <definedName name="ewwe" localSheetId="10" hidden="1">{#N/A,#N/A,FALSE,"REPORT"}</definedName>
    <definedName name="ewwe" localSheetId="9" hidden="1">{#N/A,#N/A,FALSE,"REPORT"}</definedName>
    <definedName name="ewwe" hidden="1">{#N/A,#N/A,FALSE,"REPORT"}</definedName>
    <definedName name="ewweew" hidden="1">#N/A</definedName>
    <definedName name="ExactAddinConnection" hidden="1">"001"</definedName>
    <definedName name="ExactAddinConnection.001" hidden="1">"corp-es-db;001;mike.wolnik;1"</definedName>
    <definedName name="ExactAddinConnection.0012" hidden="1">"ATMSSV-MSQL01;100;ghoppenbrouwer;1"</definedName>
    <definedName name="ExactAddinConnection.002" hidden="1">"srv1;002;basilio;1"</definedName>
    <definedName name="ExactAddinConnection.010" hidden="1">"corp-es-db;001;gary.bristow;1"</definedName>
    <definedName name="ExactAddinConnection.050" hidden="1">"corp-es-db;050;gary.bristow;1"</definedName>
    <definedName name="ExactAddinConnection.100" hidden="1">"ATMSSV-MSQL01;100;DKorneev;1"</definedName>
    <definedName name="ExactAddinConnection.199" hidden="1">"ATMSSV-MSQL01;199;Ascudellari;1"</definedName>
    <definedName name="ExactAddinConnection.200" hidden="1">"ATMSSV-MSQL01;100;DKorneev;1"</definedName>
    <definedName name="ExactAddinConnection.299" hidden="1">"ATMSSV-MSQL01;299;tryan;1"</definedName>
    <definedName name="ExactAddinConnection.300" hidden="1">"ATMSSV-MSQL01;300;DKorneev;1"</definedName>
    <definedName name="ExactAddinConnection.301" hidden="1">"ATMSSV-MSQL01;300;TMurphy;1"</definedName>
    <definedName name="ExactAddinConnection.399" hidden="1">"ATMSSV-MSQL01;399;tryan;1"</definedName>
    <definedName name="ExactAddinConnection.400" hidden="1">"ATMSSV-MSQL01;400;pramey;1"</definedName>
    <definedName name="ExactAddinConnvection.201" hidden="1">"ATMSSV-MSQL01;200;TMurphy;1"</definedName>
    <definedName name="ExactAddinReports" hidden="1">1</definedName>
    <definedName name="EXT" localSheetId="10" hidden="1">{#N/A,#N/A,TRUE,"일정"}</definedName>
    <definedName name="EXT" localSheetId="9" hidden="1">{#N/A,#N/A,TRUE,"일정"}</definedName>
    <definedName name="EXT" hidden="1">{#N/A,#N/A,TRUE,"일정"}</definedName>
    <definedName name="EXTT" localSheetId="10" hidden="1">{#N/A,#N/A,TRUE,"일정"}</definedName>
    <definedName name="EXTT" localSheetId="9" hidden="1">{#N/A,#N/A,TRUE,"일정"}</definedName>
    <definedName name="EXTT" hidden="1">{#N/A,#N/A,TRUE,"일정"}</definedName>
    <definedName name="eydke" localSheetId="10" hidden="1">{#N/A,#N/A,FALSE,"970301";#N/A,#N/A,FALSE,"970302";#N/A,#N/A,FALSE,"970303";#N/A,#N/A,FALSE,"970304";#N/A,#N/A,FALSE,"COM1";#N/A,#N/A,FALSE,"COM2"}</definedName>
    <definedName name="eydke" localSheetId="9" hidden="1">{#N/A,#N/A,FALSE,"970301";#N/A,#N/A,FALSE,"970302";#N/A,#N/A,FALSE,"970303";#N/A,#N/A,FALSE,"970304";#N/A,#N/A,FALSE,"COM1";#N/A,#N/A,FALSE,"COM2"}</definedName>
    <definedName name="eydke" hidden="1">{#N/A,#N/A,FALSE,"970301";#N/A,#N/A,FALSE,"970302";#N/A,#N/A,FALSE,"970303";#N/A,#N/A,FALSE,"970304";#N/A,#N/A,FALSE,"COM1";#N/A,#N/A,FALSE,"COM2"}</definedName>
    <definedName name="eydke_1" localSheetId="10" hidden="1">{#N/A,#N/A,FALSE,"970301";#N/A,#N/A,FALSE,"970302";#N/A,#N/A,FALSE,"970303";#N/A,#N/A,FALSE,"970304";#N/A,#N/A,FALSE,"COM1";#N/A,#N/A,FALSE,"COM2"}</definedName>
    <definedName name="eydke_1" localSheetId="9" hidden="1">{#N/A,#N/A,FALSE,"970301";#N/A,#N/A,FALSE,"970302";#N/A,#N/A,FALSE,"970303";#N/A,#N/A,FALSE,"970304";#N/A,#N/A,FALSE,"COM1";#N/A,#N/A,FALSE,"COM2"}</definedName>
    <definedName name="eydke_1" hidden="1">{#N/A,#N/A,FALSE,"970301";#N/A,#N/A,FALSE,"970302";#N/A,#N/A,FALSE,"970303";#N/A,#N/A,FALSE,"970304";#N/A,#N/A,FALSE,"COM1";#N/A,#N/A,FALSE,"COM2"}</definedName>
    <definedName name="eyteyt" localSheetId="10" hidden="1">{#N/A,#N/A,FALSE,"CCTV"}</definedName>
    <definedName name="eyteyt" localSheetId="9" hidden="1">{#N/A,#N/A,FALSE,"CCTV"}</definedName>
    <definedName name="eyteyt" hidden="1">{#N/A,#N/A,FALSE,"CCTV"}</definedName>
    <definedName name="ｆ" hidden="1">"iQShowAnnual"</definedName>
    <definedName name="fasdf" hidden="1">#REF!</definedName>
    <definedName name="fasfew" localSheetId="10" hidden="1">{"summary",#N/A,FALSE,"2000 vs 1999";"detail",#N/A,FALSE,"2000 vs 1999"}</definedName>
    <definedName name="fasfew" localSheetId="9" hidden="1">{"summary",#N/A,FALSE,"2000 vs 1999";"detail",#N/A,FALSE,"2000 vs 1999"}</definedName>
    <definedName name="fasfew" hidden="1">{"summary",#N/A,FALSE,"2000 vs 1999";"detail",#N/A,FALSE,"2000 vs 1999"}</definedName>
    <definedName name="fasfew_1" localSheetId="10" hidden="1">{"summary",#N/A,FALSE,"2000 vs 1999";"detail",#N/A,FALSE,"2000 vs 1999"}</definedName>
    <definedName name="fasfew_1" localSheetId="9" hidden="1">{"summary",#N/A,FALSE,"2000 vs 1999";"detail",#N/A,FALSE,"2000 vs 1999"}</definedName>
    <definedName name="fasfew_1" hidden="1">{"summary",#N/A,FALSE,"2000 vs 1999";"detail",#N/A,FALSE,"2000 vs 1999"}</definedName>
    <definedName name="FASJFSLFJKLSF" localSheetId="10" hidden="1">{"'Jibu9811 (3)'!$B$1:$J$433"}</definedName>
    <definedName name="FASJFSLFJKLSF" localSheetId="9" hidden="1">{"'Jibu9811 (3)'!$B$1:$J$433"}</definedName>
    <definedName name="FASJFSLFJKLSF" hidden="1">{"'Jibu9811 (3)'!$B$1:$J$433"}</definedName>
    <definedName name="FCode" hidden="1">#REF!</definedName>
    <definedName name="fd" localSheetId="10" hidden="1">{#N/A,#N/A,FALSE,"Ocean";#N/A,#N/A,FALSE,"NewYork";#N/A,#N/A,FALSE,"Gateway";#N/A,#N/A,FALSE,"GVH";#N/A,#N/A,FALSE,"GVM";#N/A,#N/A,FALSE,"GVT"}</definedName>
    <definedName name="fd" localSheetId="9" hidden="1">{#N/A,#N/A,FALSE,"Ocean";#N/A,#N/A,FALSE,"NewYork";#N/A,#N/A,FALSE,"Gateway";#N/A,#N/A,FALSE,"GVH";#N/A,#N/A,FALSE,"GVM";#N/A,#N/A,FALSE,"GVT"}</definedName>
    <definedName name="fd" hidden="1">{#N/A,#N/A,FALSE,"Ocean";#N/A,#N/A,FALSE,"NewYork";#N/A,#N/A,FALSE,"Gateway";#N/A,#N/A,FALSE,"GVH";#N/A,#N/A,FALSE,"GVM";#N/A,#N/A,FALSE,"GVT"}</definedName>
    <definedName name="fd_1" localSheetId="10" hidden="1">{#N/A,#N/A,FALSE,"Ocean";#N/A,#N/A,FALSE,"NewYork";#N/A,#N/A,FALSE,"Gateway";#N/A,#N/A,FALSE,"GVH";#N/A,#N/A,FALSE,"GVM";#N/A,#N/A,FALSE,"GVT"}</definedName>
    <definedName name="fd_1" localSheetId="9" hidden="1">{#N/A,#N/A,FALSE,"Ocean";#N/A,#N/A,FALSE,"NewYork";#N/A,#N/A,FALSE,"Gateway";#N/A,#N/A,FALSE,"GVH";#N/A,#N/A,FALSE,"GVM";#N/A,#N/A,FALSE,"GVT"}</definedName>
    <definedName name="fd_1" hidden="1">{#N/A,#N/A,FALSE,"Ocean";#N/A,#N/A,FALSE,"NewYork";#N/A,#N/A,FALSE,"Gateway";#N/A,#N/A,FALSE,"GVH";#N/A,#N/A,FALSE,"GVM";#N/A,#N/A,FALSE,"GVT"}</definedName>
    <definedName name="FDC_0_0" hidden="1">"#"</definedName>
    <definedName name="FDC_1_0" hidden="1">"#"</definedName>
    <definedName name="FDC_10_0" hidden="1">"#"</definedName>
    <definedName name="FDC_10_1" hidden="1">"#"</definedName>
    <definedName name="FDC_10_2" hidden="1">"#"</definedName>
    <definedName name="FDC_10_3" hidden="1">"#"</definedName>
    <definedName name="FDC_11_0" hidden="1">"#"</definedName>
    <definedName name="FDC_11_1" hidden="1">"#"</definedName>
    <definedName name="FDC_11_2" hidden="1">"#"</definedName>
    <definedName name="FDC_11_3" hidden="1">"#"</definedName>
    <definedName name="FDC_12_0" hidden="1">"#"</definedName>
    <definedName name="FDC_12_1" hidden="1">"#"</definedName>
    <definedName name="FDC_12_2" hidden="1">"#"</definedName>
    <definedName name="FDC_12_3" hidden="1">"#"</definedName>
    <definedName name="FDC_13_0" hidden="1">"#"</definedName>
    <definedName name="FDC_13_1" hidden="1">"#"</definedName>
    <definedName name="FDC_13_2" hidden="1">"#"</definedName>
    <definedName name="FDC_13_3" hidden="1">"#"</definedName>
    <definedName name="FDC_14_0" hidden="1">"#"</definedName>
    <definedName name="FDC_14_1" hidden="1">"#"</definedName>
    <definedName name="FDC_14_2" hidden="1">"#"</definedName>
    <definedName name="FDC_14_3" hidden="1">"#"</definedName>
    <definedName name="FDC_15_0" hidden="1">"#"</definedName>
    <definedName name="FDC_16_0" hidden="1">"#"</definedName>
    <definedName name="FDC_17_0" hidden="1">"#"</definedName>
    <definedName name="FDC_18_0" hidden="1">"#"</definedName>
    <definedName name="FDC_19_0" hidden="1">"#"</definedName>
    <definedName name="FDC_19_1" hidden="1">"#"</definedName>
    <definedName name="FDC_19_2" hidden="1">"#"</definedName>
    <definedName name="FDC_19_3" hidden="1">"#"</definedName>
    <definedName name="FDC_2_0" hidden="1">"#"</definedName>
    <definedName name="FDC_20_0" hidden="1">"#"</definedName>
    <definedName name="FDC_21_0" hidden="1">"#"</definedName>
    <definedName name="FDC_21_1" hidden="1">"#"</definedName>
    <definedName name="FDC_21_2" hidden="1">"#"</definedName>
    <definedName name="FDC_21_3" hidden="1">"#"</definedName>
    <definedName name="FDC_22_0" hidden="1">"#"</definedName>
    <definedName name="FDC_23_0" hidden="1">"#"</definedName>
    <definedName name="FDC_24_0" hidden="1">"#"</definedName>
    <definedName name="FDC_25_0" hidden="1">"#"</definedName>
    <definedName name="FDC_25_1" hidden="1">"#"</definedName>
    <definedName name="FDC_25_2" hidden="1">"#"</definedName>
    <definedName name="FDC_25_3" hidden="1">"#"</definedName>
    <definedName name="FDC_26_0" hidden="1">"#"</definedName>
    <definedName name="FDC_26_1" hidden="1">"#"</definedName>
    <definedName name="FDC_26_2" hidden="1">"#"</definedName>
    <definedName name="FDC_26_3" hidden="1">"#"</definedName>
    <definedName name="FDC_27_0" hidden="1">"#"</definedName>
    <definedName name="FDC_28_0" hidden="1">"#"</definedName>
    <definedName name="FDC_28_1" hidden="1">"#"</definedName>
    <definedName name="FDC_28_2" hidden="1">"#"</definedName>
    <definedName name="FDC_28_3" hidden="1">"#"</definedName>
    <definedName name="FDC_29_0" hidden="1">"#"</definedName>
    <definedName name="FDC_29_1" hidden="1">"#"</definedName>
    <definedName name="FDC_29_2" hidden="1">"#"</definedName>
    <definedName name="FDC_29_3" hidden="1">"#"</definedName>
    <definedName name="FDC_3_0" hidden="1">"#"</definedName>
    <definedName name="FDC_30_0" hidden="1">"#"</definedName>
    <definedName name="FDC_31_0" hidden="1">"#"</definedName>
    <definedName name="FDC_32_0" hidden="1">"#"</definedName>
    <definedName name="FDC_33_0" hidden="1">"#"</definedName>
    <definedName name="FDC_34_0" hidden="1">"#"</definedName>
    <definedName name="FDC_35_0" hidden="1">"#"</definedName>
    <definedName name="FDC_36_0" hidden="1">"#"</definedName>
    <definedName name="FDC_37_0" hidden="1">"#"</definedName>
    <definedName name="FDC_38_0" hidden="1">"#"</definedName>
    <definedName name="FDC_39_0" hidden="1">"#"</definedName>
    <definedName name="FDC_4_0" hidden="1">"#"</definedName>
    <definedName name="FDC_40_0" hidden="1">"#"</definedName>
    <definedName name="FDC_41_0" hidden="1">"#"</definedName>
    <definedName name="FDC_41_1" hidden="1">"#"</definedName>
    <definedName name="FDC_41_2" hidden="1">"#"</definedName>
    <definedName name="FDC_41_3" hidden="1">"#"</definedName>
    <definedName name="FDC_42_0" hidden="1">"#"</definedName>
    <definedName name="FDC_42_1" hidden="1">"#"</definedName>
    <definedName name="FDC_42_2" hidden="1">"#"</definedName>
    <definedName name="FDC_42_3" hidden="1">"#"</definedName>
    <definedName name="FDC_43_0" hidden="1">"#"</definedName>
    <definedName name="FDC_43_1" hidden="1">"#"</definedName>
    <definedName name="FDC_43_2" hidden="1">"#"</definedName>
    <definedName name="FDC_43_3" hidden="1">"#"</definedName>
    <definedName name="FDC_44_0" hidden="1">"#"</definedName>
    <definedName name="FDC_45_0" hidden="1">"#"</definedName>
    <definedName name="FDC_45_1" hidden="1">"#"</definedName>
    <definedName name="FDC_45_2" hidden="1">"#"</definedName>
    <definedName name="FDC_45_3" hidden="1">"#"</definedName>
    <definedName name="FDC_46_0" hidden="1">"#"</definedName>
    <definedName name="FDC_46_1" hidden="1">"#"</definedName>
    <definedName name="FDC_46_2" hidden="1">"#"</definedName>
    <definedName name="FDC_46_3" hidden="1">"#"</definedName>
    <definedName name="FDC_47_0" hidden="1">"#"</definedName>
    <definedName name="FDC_47_1" hidden="1">"#"</definedName>
    <definedName name="FDC_47_2" hidden="1">"#"</definedName>
    <definedName name="FDC_47_3" hidden="1">"#"</definedName>
    <definedName name="FDC_48_0" hidden="1">"#"</definedName>
    <definedName name="FDC_48_1" hidden="1">"#"</definedName>
    <definedName name="FDC_48_2" hidden="1">"#"</definedName>
    <definedName name="FDC_48_3" hidden="1">"#"</definedName>
    <definedName name="FDC_49_0" hidden="1">"#"</definedName>
    <definedName name="FDC_49_1" hidden="1">"#"</definedName>
    <definedName name="FDC_49_2" hidden="1">"#"</definedName>
    <definedName name="FDC_49_3" hidden="1">"#"</definedName>
    <definedName name="FDC_5_0" hidden="1">"#"</definedName>
    <definedName name="FDC_5_1" hidden="1">"#"</definedName>
    <definedName name="FDC_5_2" hidden="1">"#"</definedName>
    <definedName name="FDC_5_3" hidden="1">"#"</definedName>
    <definedName name="FDC_50_0" hidden="1">"#"</definedName>
    <definedName name="FDC_50_1" hidden="1">"#"</definedName>
    <definedName name="FDC_50_2" hidden="1">"#"</definedName>
    <definedName name="FDC_50_3" hidden="1">"#"</definedName>
    <definedName name="FDC_51_0" hidden="1">"#"</definedName>
    <definedName name="FDC_51_1" hidden="1">"#"</definedName>
    <definedName name="FDC_51_2" hidden="1">"#"</definedName>
    <definedName name="FDC_51_3" hidden="1">"#"</definedName>
    <definedName name="FDC_52_0" hidden="1">"#"</definedName>
    <definedName name="FDC_52_1" hidden="1">"#"</definedName>
    <definedName name="FDC_52_2" hidden="1">"#"</definedName>
    <definedName name="FDC_52_3" hidden="1">"#"</definedName>
    <definedName name="FDC_53_0" hidden="1">"#"</definedName>
    <definedName name="FDC_53_1" hidden="1">"#"</definedName>
    <definedName name="FDC_53_2" hidden="1">"#"</definedName>
    <definedName name="FDC_53_3" hidden="1">"#"</definedName>
    <definedName name="FDC_54_0" hidden="1">"#"</definedName>
    <definedName name="FDC_54_1" hidden="1">"#"</definedName>
    <definedName name="FDC_54_2" hidden="1">"#"</definedName>
    <definedName name="FDC_54_3" hidden="1">"#"</definedName>
    <definedName name="FDC_55_0" hidden="1">"#"</definedName>
    <definedName name="FDC_55_1" hidden="1">"#"</definedName>
    <definedName name="FDC_55_2" hidden="1">"#"</definedName>
    <definedName name="FDC_55_3" hidden="1">"#"</definedName>
    <definedName name="FDC_56_0" hidden="1">"#"</definedName>
    <definedName name="FDC_57_0" hidden="1">"#"</definedName>
    <definedName name="FDC_58_0" hidden="1">"#"</definedName>
    <definedName name="FDC_58_1" hidden="1">"#"</definedName>
    <definedName name="FDC_58_10" hidden="1">"#"</definedName>
    <definedName name="FDC_58_100" hidden="1">"#"</definedName>
    <definedName name="FDC_58_101" hidden="1">"#"</definedName>
    <definedName name="FDC_58_102" hidden="1">"#"</definedName>
    <definedName name="FDC_58_103" hidden="1">"#"</definedName>
    <definedName name="FDC_58_104" hidden="1">"#"</definedName>
    <definedName name="FDC_58_105" hidden="1">"#"</definedName>
    <definedName name="FDC_58_106" hidden="1">"#"</definedName>
    <definedName name="FDC_58_107" hidden="1">"#"</definedName>
    <definedName name="FDC_58_108" hidden="1">"#"</definedName>
    <definedName name="FDC_58_109" hidden="1">"#"</definedName>
    <definedName name="FDC_58_11" hidden="1">"#"</definedName>
    <definedName name="FDC_58_110" hidden="1">"#"</definedName>
    <definedName name="FDC_58_111" hidden="1">"#"</definedName>
    <definedName name="FDC_58_112" hidden="1">"#"</definedName>
    <definedName name="FDC_58_113" hidden="1">"#"</definedName>
    <definedName name="FDC_58_114" hidden="1">"#"</definedName>
    <definedName name="FDC_58_115" hidden="1">"#"</definedName>
    <definedName name="FDC_58_116" hidden="1">"#"</definedName>
    <definedName name="FDC_58_117" hidden="1">"#"</definedName>
    <definedName name="FDC_58_118" hidden="1">"#"</definedName>
    <definedName name="FDC_58_119" hidden="1">"#"</definedName>
    <definedName name="FDC_58_12" hidden="1">"#"</definedName>
    <definedName name="FDC_58_120" hidden="1">"#"</definedName>
    <definedName name="FDC_58_121" hidden="1">"#"</definedName>
    <definedName name="FDC_58_122" hidden="1">"#"</definedName>
    <definedName name="FDC_58_123" hidden="1">"#"</definedName>
    <definedName name="FDC_58_124" hidden="1">"#"</definedName>
    <definedName name="FDC_58_125" hidden="1">"#"</definedName>
    <definedName name="FDC_58_126" hidden="1">"#"</definedName>
    <definedName name="FDC_58_127" hidden="1">"#"</definedName>
    <definedName name="FDC_58_128" hidden="1">"#"</definedName>
    <definedName name="FDC_58_129" hidden="1">"#"</definedName>
    <definedName name="FDC_58_13" hidden="1">"#"</definedName>
    <definedName name="FDC_58_130" hidden="1">"#"</definedName>
    <definedName name="FDC_58_131" hidden="1">"#"</definedName>
    <definedName name="FDC_58_132" hidden="1">"#"</definedName>
    <definedName name="FDC_58_133" hidden="1">"#"</definedName>
    <definedName name="FDC_58_134" hidden="1">"#"</definedName>
    <definedName name="FDC_58_135" hidden="1">"#"</definedName>
    <definedName name="FDC_58_136" hidden="1">"#"</definedName>
    <definedName name="FDC_58_137" hidden="1">"#"</definedName>
    <definedName name="FDC_58_138" hidden="1">"#"</definedName>
    <definedName name="FDC_58_139" hidden="1">"#"</definedName>
    <definedName name="FDC_58_14" hidden="1">"#"</definedName>
    <definedName name="FDC_58_140" hidden="1">"#"</definedName>
    <definedName name="FDC_58_141" hidden="1">"#"</definedName>
    <definedName name="FDC_58_142" hidden="1">"#"</definedName>
    <definedName name="FDC_58_143" hidden="1">"#"</definedName>
    <definedName name="FDC_58_144" hidden="1">"#"</definedName>
    <definedName name="FDC_58_145" hidden="1">"#"</definedName>
    <definedName name="FDC_58_146" hidden="1">"#"</definedName>
    <definedName name="FDC_58_147" hidden="1">"#"</definedName>
    <definedName name="FDC_58_148" hidden="1">"#"</definedName>
    <definedName name="FDC_58_149" hidden="1">"#"</definedName>
    <definedName name="FDC_58_15" hidden="1">"#"</definedName>
    <definedName name="FDC_58_150" hidden="1">"#"</definedName>
    <definedName name="FDC_58_151" hidden="1">"#"</definedName>
    <definedName name="FDC_58_152" hidden="1">"#"</definedName>
    <definedName name="FDC_58_153" hidden="1">"#"</definedName>
    <definedName name="FDC_58_154" hidden="1">"#"</definedName>
    <definedName name="FDC_58_155" hidden="1">"#"</definedName>
    <definedName name="FDC_58_156" hidden="1">"#"</definedName>
    <definedName name="FDC_58_157" hidden="1">"#"</definedName>
    <definedName name="FDC_58_158" hidden="1">"#"</definedName>
    <definedName name="FDC_58_159" hidden="1">"#"</definedName>
    <definedName name="FDC_58_16" hidden="1">"#"</definedName>
    <definedName name="FDC_58_160" hidden="1">"#"</definedName>
    <definedName name="FDC_58_161" hidden="1">"#"</definedName>
    <definedName name="FDC_58_162" hidden="1">"#"</definedName>
    <definedName name="FDC_58_163" hidden="1">"#"</definedName>
    <definedName name="FDC_58_164" hidden="1">"#"</definedName>
    <definedName name="FDC_58_165" hidden="1">"#"</definedName>
    <definedName name="FDC_58_166" hidden="1">"#"</definedName>
    <definedName name="FDC_58_167" hidden="1">"#"</definedName>
    <definedName name="FDC_58_168" hidden="1">"#"</definedName>
    <definedName name="FDC_58_169" hidden="1">"#"</definedName>
    <definedName name="FDC_58_17" hidden="1">"#"</definedName>
    <definedName name="FDC_58_170" hidden="1">"#"</definedName>
    <definedName name="FDC_58_171" hidden="1">"#"</definedName>
    <definedName name="FDC_58_172" hidden="1">"#"</definedName>
    <definedName name="FDC_58_173" hidden="1">"#"</definedName>
    <definedName name="FDC_58_174" hidden="1">"#"</definedName>
    <definedName name="FDC_58_175" hidden="1">"#"</definedName>
    <definedName name="FDC_58_176" hidden="1">"#"</definedName>
    <definedName name="FDC_58_177" hidden="1">"#"</definedName>
    <definedName name="FDC_58_178" hidden="1">"#"</definedName>
    <definedName name="FDC_58_179" hidden="1">"#"</definedName>
    <definedName name="FDC_58_18" hidden="1">"#"</definedName>
    <definedName name="FDC_58_180" hidden="1">"#"</definedName>
    <definedName name="FDC_58_181" hidden="1">"#"</definedName>
    <definedName name="FDC_58_182" hidden="1">"#"</definedName>
    <definedName name="FDC_58_183" hidden="1">"#"</definedName>
    <definedName name="FDC_58_184" hidden="1">"#"</definedName>
    <definedName name="FDC_58_185" hidden="1">"#"</definedName>
    <definedName name="FDC_58_186" hidden="1">"#"</definedName>
    <definedName name="FDC_58_187" hidden="1">"#"</definedName>
    <definedName name="FDC_58_188" hidden="1">"#"</definedName>
    <definedName name="FDC_58_189" hidden="1">"#"</definedName>
    <definedName name="FDC_58_19" hidden="1">"#"</definedName>
    <definedName name="FDC_58_190" hidden="1">"#"</definedName>
    <definedName name="FDC_58_191" hidden="1">"#"</definedName>
    <definedName name="FDC_58_192" hidden="1">"#"</definedName>
    <definedName name="FDC_58_193" hidden="1">"#"</definedName>
    <definedName name="FDC_58_194" hidden="1">"#"</definedName>
    <definedName name="FDC_58_195" hidden="1">"#"</definedName>
    <definedName name="FDC_58_196" hidden="1">"#"</definedName>
    <definedName name="FDC_58_197" hidden="1">"#"</definedName>
    <definedName name="FDC_58_198" hidden="1">"#"</definedName>
    <definedName name="FDC_58_199" hidden="1">"#"</definedName>
    <definedName name="FDC_58_2" hidden="1">"#"</definedName>
    <definedName name="FDC_58_20" hidden="1">"#"</definedName>
    <definedName name="FDC_58_200" hidden="1">"#"</definedName>
    <definedName name="FDC_58_201" hidden="1">"#"</definedName>
    <definedName name="FDC_58_202" hidden="1">"#"</definedName>
    <definedName name="FDC_58_203" hidden="1">"#"</definedName>
    <definedName name="FDC_58_204" hidden="1">"#"</definedName>
    <definedName name="FDC_58_205" hidden="1">"#"</definedName>
    <definedName name="FDC_58_206" hidden="1">"#"</definedName>
    <definedName name="FDC_58_207" hidden="1">"#"</definedName>
    <definedName name="FDC_58_208" hidden="1">"#"</definedName>
    <definedName name="FDC_58_209" hidden="1">"#"</definedName>
    <definedName name="FDC_58_21" hidden="1">"#"</definedName>
    <definedName name="FDC_58_210" hidden="1">"#"</definedName>
    <definedName name="FDC_58_211" hidden="1">"#"</definedName>
    <definedName name="FDC_58_212" hidden="1">"#"</definedName>
    <definedName name="FDC_58_213" hidden="1">"#"</definedName>
    <definedName name="FDC_58_214" hidden="1">"#"</definedName>
    <definedName name="FDC_58_215" hidden="1">"#"</definedName>
    <definedName name="FDC_58_216" hidden="1">"#"</definedName>
    <definedName name="FDC_58_217" hidden="1">"#"</definedName>
    <definedName name="FDC_58_218" hidden="1">"#"</definedName>
    <definedName name="FDC_58_219" hidden="1">"#"</definedName>
    <definedName name="FDC_58_22" hidden="1">"#"</definedName>
    <definedName name="FDC_58_220" hidden="1">"#"</definedName>
    <definedName name="FDC_58_221" hidden="1">"#"</definedName>
    <definedName name="FDC_58_222" hidden="1">"#"</definedName>
    <definedName name="FDC_58_223" hidden="1">"#"</definedName>
    <definedName name="FDC_58_224" hidden="1">"#"</definedName>
    <definedName name="FDC_58_225" hidden="1">"#"</definedName>
    <definedName name="FDC_58_226" hidden="1">"#"</definedName>
    <definedName name="FDC_58_227" hidden="1">"#"</definedName>
    <definedName name="FDC_58_228" hidden="1">"#"</definedName>
    <definedName name="FDC_58_229" hidden="1">"#"</definedName>
    <definedName name="FDC_58_23" hidden="1">"#"</definedName>
    <definedName name="FDC_58_230" hidden="1">"#"</definedName>
    <definedName name="FDC_58_231" hidden="1">"#"</definedName>
    <definedName name="FDC_58_232" hidden="1">"#"</definedName>
    <definedName name="FDC_58_233" hidden="1">"#"</definedName>
    <definedName name="FDC_58_234" hidden="1">"#"</definedName>
    <definedName name="FDC_58_235" hidden="1">"#"</definedName>
    <definedName name="FDC_58_236" hidden="1">"#"</definedName>
    <definedName name="FDC_58_237" hidden="1">"#"</definedName>
    <definedName name="FDC_58_238" hidden="1">"#"</definedName>
    <definedName name="FDC_58_239" hidden="1">"#"</definedName>
    <definedName name="FDC_58_24" hidden="1">"#"</definedName>
    <definedName name="FDC_58_240" hidden="1">"#"</definedName>
    <definedName name="FDC_58_241" hidden="1">"#"</definedName>
    <definedName name="FDC_58_242" hidden="1">"#"</definedName>
    <definedName name="FDC_58_243" hidden="1">"#"</definedName>
    <definedName name="FDC_58_244" hidden="1">"#"</definedName>
    <definedName name="FDC_58_245" hidden="1">"#"</definedName>
    <definedName name="FDC_58_246" hidden="1">"#"</definedName>
    <definedName name="FDC_58_247" hidden="1">"#"</definedName>
    <definedName name="FDC_58_248" hidden="1">"#"</definedName>
    <definedName name="FDC_58_249" hidden="1">"#"</definedName>
    <definedName name="FDC_58_25" hidden="1">"#"</definedName>
    <definedName name="FDC_58_250" hidden="1">"#"</definedName>
    <definedName name="FDC_58_251" hidden="1">"#"</definedName>
    <definedName name="FDC_58_252" hidden="1">"#"</definedName>
    <definedName name="FDC_58_253" hidden="1">"#"</definedName>
    <definedName name="FDC_58_254" hidden="1">"#"</definedName>
    <definedName name="FDC_58_255" hidden="1">"#"</definedName>
    <definedName name="FDC_58_256" hidden="1">"#"</definedName>
    <definedName name="FDC_58_257" hidden="1">"#"</definedName>
    <definedName name="FDC_58_258" hidden="1">"#"</definedName>
    <definedName name="FDC_58_259" hidden="1">"#"</definedName>
    <definedName name="FDC_58_26" hidden="1">"#"</definedName>
    <definedName name="FDC_58_260" hidden="1">"#"</definedName>
    <definedName name="FDC_58_261" hidden="1">"#"</definedName>
    <definedName name="FDC_58_27" hidden="1">"#"</definedName>
    <definedName name="FDC_58_28" hidden="1">"#"</definedName>
    <definedName name="FDC_58_29" hidden="1">"#"</definedName>
    <definedName name="FDC_58_3" hidden="1">"#"</definedName>
    <definedName name="FDC_58_30" hidden="1">"#"</definedName>
    <definedName name="FDC_58_31" hidden="1">"#"</definedName>
    <definedName name="FDC_58_32" hidden="1">"#"</definedName>
    <definedName name="FDC_58_33" hidden="1">"#"</definedName>
    <definedName name="FDC_58_34" hidden="1">"#"</definedName>
    <definedName name="FDC_58_35" hidden="1">"#"</definedName>
    <definedName name="FDC_58_36" hidden="1">"#"</definedName>
    <definedName name="FDC_58_37" hidden="1">"#"</definedName>
    <definedName name="FDC_58_38" hidden="1">"#"</definedName>
    <definedName name="FDC_58_39" hidden="1">"#"</definedName>
    <definedName name="FDC_58_4" hidden="1">"#"</definedName>
    <definedName name="FDC_58_40" hidden="1">"#"</definedName>
    <definedName name="FDC_58_41" hidden="1">"#"</definedName>
    <definedName name="FDC_58_42" hidden="1">"#"</definedName>
    <definedName name="FDC_58_43" hidden="1">"#"</definedName>
    <definedName name="FDC_58_44" hidden="1">"#"</definedName>
    <definedName name="FDC_58_45" hidden="1">"#"</definedName>
    <definedName name="FDC_58_46" hidden="1">"#"</definedName>
    <definedName name="FDC_58_47" hidden="1">"#"</definedName>
    <definedName name="FDC_58_48" hidden="1">"#"</definedName>
    <definedName name="FDC_58_49" hidden="1">"#"</definedName>
    <definedName name="FDC_58_5" hidden="1">"#"</definedName>
    <definedName name="FDC_58_50" hidden="1">"#"</definedName>
    <definedName name="FDC_58_51" hidden="1">"#"</definedName>
    <definedName name="FDC_58_52" hidden="1">"#"</definedName>
    <definedName name="FDC_58_53" hidden="1">"#"</definedName>
    <definedName name="FDC_58_54" hidden="1">"#"</definedName>
    <definedName name="FDC_58_55" hidden="1">"#"</definedName>
    <definedName name="FDC_58_56" hidden="1">"#"</definedName>
    <definedName name="FDC_58_57" hidden="1">"#"</definedName>
    <definedName name="FDC_58_58" hidden="1">"#"</definedName>
    <definedName name="FDC_58_59" hidden="1">"#"</definedName>
    <definedName name="FDC_58_6" hidden="1">"#"</definedName>
    <definedName name="FDC_58_60" hidden="1">"#"</definedName>
    <definedName name="FDC_58_61" hidden="1">"#"</definedName>
    <definedName name="FDC_58_62" hidden="1">"#"</definedName>
    <definedName name="FDC_58_63" hidden="1">"#"</definedName>
    <definedName name="FDC_58_64" hidden="1">"#"</definedName>
    <definedName name="FDC_58_65" hidden="1">"#"</definedName>
    <definedName name="FDC_58_66" hidden="1">"#"</definedName>
    <definedName name="FDC_58_67" hidden="1">"#"</definedName>
    <definedName name="FDC_58_68" hidden="1">"#"</definedName>
    <definedName name="FDC_58_69" hidden="1">"#"</definedName>
    <definedName name="FDC_58_7" hidden="1">"#"</definedName>
    <definedName name="FDC_58_70" hidden="1">"#"</definedName>
    <definedName name="FDC_58_71" hidden="1">"#"</definedName>
    <definedName name="FDC_58_72" hidden="1">"#"</definedName>
    <definedName name="FDC_58_73" hidden="1">"#"</definedName>
    <definedName name="FDC_58_74" hidden="1">"#"</definedName>
    <definedName name="FDC_58_75" hidden="1">"#"</definedName>
    <definedName name="FDC_58_76" hidden="1">"#"</definedName>
    <definedName name="FDC_58_77" hidden="1">"#"</definedName>
    <definedName name="FDC_58_78" hidden="1">"#"</definedName>
    <definedName name="FDC_58_79" hidden="1">"#"</definedName>
    <definedName name="FDC_58_8" hidden="1">"#"</definedName>
    <definedName name="FDC_58_80" hidden="1">"#"</definedName>
    <definedName name="FDC_58_81" hidden="1">"#"</definedName>
    <definedName name="FDC_58_82" hidden="1">"#"</definedName>
    <definedName name="FDC_58_83" hidden="1">"#"</definedName>
    <definedName name="FDC_58_84" hidden="1">"#"</definedName>
    <definedName name="FDC_58_85" hidden="1">"#"</definedName>
    <definedName name="FDC_58_86" hidden="1">"#"</definedName>
    <definedName name="FDC_58_87" hidden="1">"#"</definedName>
    <definedName name="FDC_58_88" hidden="1">"#"</definedName>
    <definedName name="FDC_58_89" hidden="1">"#"</definedName>
    <definedName name="FDC_58_9" hidden="1">"#"</definedName>
    <definedName name="FDC_58_90" hidden="1">"#"</definedName>
    <definedName name="FDC_58_91" hidden="1">"#"</definedName>
    <definedName name="FDC_58_92" hidden="1">"#"</definedName>
    <definedName name="FDC_58_93" hidden="1">"#"</definedName>
    <definedName name="FDC_58_94" hidden="1">"#"</definedName>
    <definedName name="FDC_58_95" hidden="1">"#"</definedName>
    <definedName name="FDC_58_96" hidden="1">"#"</definedName>
    <definedName name="FDC_58_97" hidden="1">"#"</definedName>
    <definedName name="FDC_58_98" hidden="1">"#"</definedName>
    <definedName name="FDC_58_99" hidden="1">"#"</definedName>
    <definedName name="FDC_59_0" hidden="1">"#"</definedName>
    <definedName name="FDC_59_1" hidden="1">"#"</definedName>
    <definedName name="FDC_59_10" hidden="1">"#"</definedName>
    <definedName name="FDC_59_100" hidden="1">"#"</definedName>
    <definedName name="FDC_59_101" hidden="1">"#"</definedName>
    <definedName name="FDC_59_102" hidden="1">"#"</definedName>
    <definedName name="FDC_59_103" hidden="1">"#"</definedName>
    <definedName name="FDC_59_104" hidden="1">"#"</definedName>
    <definedName name="FDC_59_105" hidden="1">"#"</definedName>
    <definedName name="FDC_59_106" hidden="1">"#"</definedName>
    <definedName name="FDC_59_107" hidden="1">"#"</definedName>
    <definedName name="FDC_59_108" hidden="1">"#"</definedName>
    <definedName name="FDC_59_109" hidden="1">"#"</definedName>
    <definedName name="FDC_59_11" hidden="1">"#"</definedName>
    <definedName name="FDC_59_110" hidden="1">"#"</definedName>
    <definedName name="FDC_59_111" hidden="1">"#"</definedName>
    <definedName name="FDC_59_112" hidden="1">"#"</definedName>
    <definedName name="FDC_59_113" hidden="1">"#"</definedName>
    <definedName name="FDC_59_114" hidden="1">"#"</definedName>
    <definedName name="FDC_59_115" hidden="1">"#"</definedName>
    <definedName name="FDC_59_116" hidden="1">"#"</definedName>
    <definedName name="FDC_59_117" hidden="1">"#"</definedName>
    <definedName name="FDC_59_118" hidden="1">"#"</definedName>
    <definedName name="FDC_59_119" hidden="1">"#"</definedName>
    <definedName name="FDC_59_12" hidden="1">"#"</definedName>
    <definedName name="FDC_59_120" hidden="1">"#"</definedName>
    <definedName name="FDC_59_121" hidden="1">"#"</definedName>
    <definedName name="FDC_59_122" hidden="1">"#"</definedName>
    <definedName name="FDC_59_123" hidden="1">"#"</definedName>
    <definedName name="FDC_59_124" hidden="1">"#"</definedName>
    <definedName name="FDC_59_125" hidden="1">"#"</definedName>
    <definedName name="FDC_59_126" hidden="1">"#"</definedName>
    <definedName name="FDC_59_127" hidden="1">"#"</definedName>
    <definedName name="FDC_59_128" hidden="1">"#"</definedName>
    <definedName name="FDC_59_129" hidden="1">"#"</definedName>
    <definedName name="FDC_59_13" hidden="1">"#"</definedName>
    <definedName name="FDC_59_130" hidden="1">"#"</definedName>
    <definedName name="FDC_59_131" hidden="1">"#"</definedName>
    <definedName name="FDC_59_132" hidden="1">"#"</definedName>
    <definedName name="FDC_59_133" hidden="1">"#"</definedName>
    <definedName name="FDC_59_134" hidden="1">"#"</definedName>
    <definedName name="FDC_59_135" hidden="1">"#"</definedName>
    <definedName name="FDC_59_136" hidden="1">"#"</definedName>
    <definedName name="FDC_59_137" hidden="1">"#"</definedName>
    <definedName name="FDC_59_138" hidden="1">"#"</definedName>
    <definedName name="FDC_59_139" hidden="1">"#"</definedName>
    <definedName name="FDC_59_14" hidden="1">"#"</definedName>
    <definedName name="FDC_59_140" hidden="1">"#"</definedName>
    <definedName name="FDC_59_141" hidden="1">"#"</definedName>
    <definedName name="FDC_59_142" hidden="1">"#"</definedName>
    <definedName name="FDC_59_143" hidden="1">"#"</definedName>
    <definedName name="FDC_59_144" hidden="1">"#"</definedName>
    <definedName name="FDC_59_145" hidden="1">"#"</definedName>
    <definedName name="FDC_59_146" hidden="1">"#"</definedName>
    <definedName name="FDC_59_147" hidden="1">"#"</definedName>
    <definedName name="FDC_59_148" hidden="1">"#"</definedName>
    <definedName name="FDC_59_149" hidden="1">"#"</definedName>
    <definedName name="FDC_59_15" hidden="1">"#"</definedName>
    <definedName name="FDC_59_150" hidden="1">"#"</definedName>
    <definedName name="FDC_59_151" hidden="1">"#"</definedName>
    <definedName name="FDC_59_152" hidden="1">"#"</definedName>
    <definedName name="FDC_59_153" hidden="1">"#"</definedName>
    <definedName name="FDC_59_154" hidden="1">"#"</definedName>
    <definedName name="FDC_59_155" hidden="1">"#"</definedName>
    <definedName name="FDC_59_156" hidden="1">"#"</definedName>
    <definedName name="FDC_59_157" hidden="1">"#"</definedName>
    <definedName name="FDC_59_158" hidden="1">"#"</definedName>
    <definedName name="FDC_59_159" hidden="1">"#"</definedName>
    <definedName name="FDC_59_16" hidden="1">"#"</definedName>
    <definedName name="FDC_59_160" hidden="1">"#"</definedName>
    <definedName name="FDC_59_161" hidden="1">"#"</definedName>
    <definedName name="FDC_59_162" hidden="1">"#"</definedName>
    <definedName name="FDC_59_163" hidden="1">"#"</definedName>
    <definedName name="FDC_59_164" hidden="1">"#"</definedName>
    <definedName name="FDC_59_165" hidden="1">"#"</definedName>
    <definedName name="FDC_59_166" hidden="1">"#"</definedName>
    <definedName name="FDC_59_167" hidden="1">"#"</definedName>
    <definedName name="FDC_59_168" hidden="1">"#"</definedName>
    <definedName name="FDC_59_169" hidden="1">"#"</definedName>
    <definedName name="FDC_59_17" hidden="1">"#"</definedName>
    <definedName name="FDC_59_170" hidden="1">"#"</definedName>
    <definedName name="FDC_59_171" hidden="1">"#"</definedName>
    <definedName name="FDC_59_172" hidden="1">"#"</definedName>
    <definedName name="FDC_59_173" hidden="1">"#"</definedName>
    <definedName name="FDC_59_174" hidden="1">"#"</definedName>
    <definedName name="FDC_59_175" hidden="1">"#"</definedName>
    <definedName name="FDC_59_176" hidden="1">"#"</definedName>
    <definedName name="FDC_59_177" hidden="1">"#"</definedName>
    <definedName name="FDC_59_178" hidden="1">"#"</definedName>
    <definedName name="FDC_59_179" hidden="1">"#"</definedName>
    <definedName name="FDC_59_18" hidden="1">"#"</definedName>
    <definedName name="FDC_59_180" hidden="1">"#"</definedName>
    <definedName name="FDC_59_181" hidden="1">"#"</definedName>
    <definedName name="FDC_59_182" hidden="1">"#"</definedName>
    <definedName name="FDC_59_183" hidden="1">"#"</definedName>
    <definedName name="FDC_59_184" hidden="1">"#"</definedName>
    <definedName name="FDC_59_185" hidden="1">"#"</definedName>
    <definedName name="FDC_59_186" hidden="1">"#"</definedName>
    <definedName name="FDC_59_187" hidden="1">"#"</definedName>
    <definedName name="FDC_59_188" hidden="1">"#"</definedName>
    <definedName name="FDC_59_189" hidden="1">"#"</definedName>
    <definedName name="FDC_59_19" hidden="1">"#"</definedName>
    <definedName name="FDC_59_190" hidden="1">"#"</definedName>
    <definedName name="FDC_59_191" hidden="1">"#"</definedName>
    <definedName name="FDC_59_192" hidden="1">"#"</definedName>
    <definedName name="FDC_59_193" hidden="1">"#"</definedName>
    <definedName name="FDC_59_194" hidden="1">"#"</definedName>
    <definedName name="FDC_59_195" hidden="1">"#"</definedName>
    <definedName name="FDC_59_196" hidden="1">"#"</definedName>
    <definedName name="FDC_59_197" hidden="1">"#"</definedName>
    <definedName name="FDC_59_198" hidden="1">"#"</definedName>
    <definedName name="FDC_59_199" hidden="1">"#"</definedName>
    <definedName name="FDC_59_2" hidden="1">"#"</definedName>
    <definedName name="FDC_59_20" hidden="1">"#"</definedName>
    <definedName name="FDC_59_200" hidden="1">"#"</definedName>
    <definedName name="FDC_59_201" hidden="1">"#"</definedName>
    <definedName name="FDC_59_202" hidden="1">"#"</definedName>
    <definedName name="FDC_59_203" hidden="1">"#"</definedName>
    <definedName name="FDC_59_204" hidden="1">"#"</definedName>
    <definedName name="FDC_59_205" hidden="1">"#"</definedName>
    <definedName name="FDC_59_206" hidden="1">"#"</definedName>
    <definedName name="FDC_59_207" hidden="1">"#"</definedName>
    <definedName name="FDC_59_208" hidden="1">"#"</definedName>
    <definedName name="FDC_59_209" hidden="1">"#"</definedName>
    <definedName name="FDC_59_21" hidden="1">"#"</definedName>
    <definedName name="FDC_59_210" hidden="1">"#"</definedName>
    <definedName name="FDC_59_211" hidden="1">"#"</definedName>
    <definedName name="FDC_59_212" hidden="1">"#"</definedName>
    <definedName name="FDC_59_213" hidden="1">"#"</definedName>
    <definedName name="FDC_59_214" hidden="1">"#"</definedName>
    <definedName name="FDC_59_215" hidden="1">"#"</definedName>
    <definedName name="FDC_59_216" hidden="1">"#"</definedName>
    <definedName name="FDC_59_217" hidden="1">"#"</definedName>
    <definedName name="FDC_59_218" hidden="1">"#"</definedName>
    <definedName name="FDC_59_219" hidden="1">"#"</definedName>
    <definedName name="FDC_59_22" hidden="1">"#"</definedName>
    <definedName name="FDC_59_220" hidden="1">"#"</definedName>
    <definedName name="FDC_59_221" hidden="1">"#"</definedName>
    <definedName name="FDC_59_222" hidden="1">"#"</definedName>
    <definedName name="FDC_59_223" hidden="1">"#"</definedName>
    <definedName name="FDC_59_224" hidden="1">"#"</definedName>
    <definedName name="FDC_59_225" hidden="1">"#"</definedName>
    <definedName name="FDC_59_226" hidden="1">"#"</definedName>
    <definedName name="FDC_59_227" hidden="1">"#"</definedName>
    <definedName name="FDC_59_228" hidden="1">"#"</definedName>
    <definedName name="FDC_59_229" hidden="1">"#"</definedName>
    <definedName name="FDC_59_23" hidden="1">"#"</definedName>
    <definedName name="FDC_59_230" hidden="1">"#"</definedName>
    <definedName name="FDC_59_231" hidden="1">"#"</definedName>
    <definedName name="FDC_59_232" hidden="1">"#"</definedName>
    <definedName name="FDC_59_233" hidden="1">"#"</definedName>
    <definedName name="FDC_59_234" hidden="1">"#"</definedName>
    <definedName name="FDC_59_235" hidden="1">"#"</definedName>
    <definedName name="FDC_59_236" hidden="1">"#"</definedName>
    <definedName name="FDC_59_237" hidden="1">"#"</definedName>
    <definedName name="FDC_59_238" hidden="1">"#"</definedName>
    <definedName name="FDC_59_239" hidden="1">"#"</definedName>
    <definedName name="FDC_59_24" hidden="1">"#"</definedName>
    <definedName name="FDC_59_240" hidden="1">"#"</definedName>
    <definedName name="FDC_59_241" hidden="1">"#"</definedName>
    <definedName name="FDC_59_242" hidden="1">"#"</definedName>
    <definedName name="FDC_59_243" hidden="1">"#"</definedName>
    <definedName name="FDC_59_244" hidden="1">"#"</definedName>
    <definedName name="FDC_59_245" hidden="1">"#"</definedName>
    <definedName name="FDC_59_246" hidden="1">"#"</definedName>
    <definedName name="FDC_59_247" hidden="1">"#"</definedName>
    <definedName name="FDC_59_248" hidden="1">"#"</definedName>
    <definedName name="FDC_59_249" hidden="1">"#"</definedName>
    <definedName name="FDC_59_25" hidden="1">"#"</definedName>
    <definedName name="FDC_59_250" hidden="1">"#"</definedName>
    <definedName name="FDC_59_251" hidden="1">"#"</definedName>
    <definedName name="FDC_59_252" hidden="1">"#"</definedName>
    <definedName name="FDC_59_253" hidden="1">"#"</definedName>
    <definedName name="FDC_59_254" hidden="1">"#"</definedName>
    <definedName name="FDC_59_255" hidden="1">"#"</definedName>
    <definedName name="FDC_59_256" hidden="1">"#"</definedName>
    <definedName name="FDC_59_257" hidden="1">"#"</definedName>
    <definedName name="FDC_59_258" hidden="1">"#"</definedName>
    <definedName name="FDC_59_259" hidden="1">"#"</definedName>
    <definedName name="FDC_59_26" hidden="1">"#"</definedName>
    <definedName name="FDC_59_260" hidden="1">"#"</definedName>
    <definedName name="FDC_59_261" hidden="1">"#"</definedName>
    <definedName name="FDC_59_27" hidden="1">"#"</definedName>
    <definedName name="FDC_59_28" hidden="1">"#"</definedName>
    <definedName name="FDC_59_29" hidden="1">"#"</definedName>
    <definedName name="FDC_59_3" hidden="1">"#"</definedName>
    <definedName name="FDC_59_30" hidden="1">"#"</definedName>
    <definedName name="FDC_59_31" hidden="1">"#"</definedName>
    <definedName name="FDC_59_32" hidden="1">"#"</definedName>
    <definedName name="FDC_59_33" hidden="1">"#"</definedName>
    <definedName name="FDC_59_34" hidden="1">"#"</definedName>
    <definedName name="FDC_59_35" hidden="1">"#"</definedName>
    <definedName name="FDC_59_36" hidden="1">"#"</definedName>
    <definedName name="FDC_59_37" hidden="1">"#"</definedName>
    <definedName name="FDC_59_38" hidden="1">"#"</definedName>
    <definedName name="FDC_59_39" hidden="1">"#"</definedName>
    <definedName name="FDC_59_4" hidden="1">"#"</definedName>
    <definedName name="FDC_59_40" hidden="1">"#"</definedName>
    <definedName name="FDC_59_41" hidden="1">"#"</definedName>
    <definedName name="FDC_59_42" hidden="1">"#"</definedName>
    <definedName name="FDC_59_43" hidden="1">"#"</definedName>
    <definedName name="FDC_59_44" hidden="1">"#"</definedName>
    <definedName name="FDC_59_45" hidden="1">"#"</definedName>
    <definedName name="FDC_59_46" hidden="1">"#"</definedName>
    <definedName name="FDC_59_47" hidden="1">"#"</definedName>
    <definedName name="FDC_59_48" hidden="1">"#"</definedName>
    <definedName name="FDC_59_49" hidden="1">"#"</definedName>
    <definedName name="FDC_59_5" hidden="1">"#"</definedName>
    <definedName name="FDC_59_50" hidden="1">"#"</definedName>
    <definedName name="FDC_59_51" hidden="1">"#"</definedName>
    <definedName name="FDC_59_52" hidden="1">"#"</definedName>
    <definedName name="FDC_59_53" hidden="1">"#"</definedName>
    <definedName name="FDC_59_54" hidden="1">"#"</definedName>
    <definedName name="FDC_59_55" hidden="1">"#"</definedName>
    <definedName name="FDC_59_56" hidden="1">"#"</definedName>
    <definedName name="FDC_59_57" hidden="1">"#"</definedName>
    <definedName name="FDC_59_58" hidden="1">"#"</definedName>
    <definedName name="FDC_59_59" hidden="1">"#"</definedName>
    <definedName name="FDC_59_6" hidden="1">"#"</definedName>
    <definedName name="FDC_59_60" hidden="1">"#"</definedName>
    <definedName name="FDC_59_61" hidden="1">"#"</definedName>
    <definedName name="FDC_59_62" hidden="1">"#"</definedName>
    <definedName name="FDC_59_63" hidden="1">"#"</definedName>
    <definedName name="FDC_59_64" hidden="1">"#"</definedName>
    <definedName name="FDC_59_65" hidden="1">"#"</definedName>
    <definedName name="FDC_59_66" hidden="1">"#"</definedName>
    <definedName name="FDC_59_67" hidden="1">"#"</definedName>
    <definedName name="FDC_59_68" hidden="1">"#"</definedName>
    <definedName name="FDC_59_69" hidden="1">"#"</definedName>
    <definedName name="FDC_59_7" hidden="1">"#"</definedName>
    <definedName name="FDC_59_70" hidden="1">"#"</definedName>
    <definedName name="FDC_59_71" hidden="1">"#"</definedName>
    <definedName name="FDC_59_72" hidden="1">"#"</definedName>
    <definedName name="FDC_59_73" hidden="1">"#"</definedName>
    <definedName name="FDC_59_74" hidden="1">"#"</definedName>
    <definedName name="FDC_59_75" hidden="1">"#"</definedName>
    <definedName name="FDC_59_76" hidden="1">"#"</definedName>
    <definedName name="FDC_59_77" hidden="1">"#"</definedName>
    <definedName name="FDC_59_78" hidden="1">"#"</definedName>
    <definedName name="FDC_59_79" hidden="1">"#"</definedName>
    <definedName name="FDC_59_8" hidden="1">"#"</definedName>
    <definedName name="FDC_59_80" hidden="1">"#"</definedName>
    <definedName name="FDC_59_81" hidden="1">"#"</definedName>
    <definedName name="FDC_59_82" hidden="1">"#"</definedName>
    <definedName name="FDC_59_83" hidden="1">"#"</definedName>
    <definedName name="FDC_59_84" hidden="1">"#"</definedName>
    <definedName name="FDC_59_85" hidden="1">"#"</definedName>
    <definedName name="FDC_59_86" hidden="1">"#"</definedName>
    <definedName name="FDC_59_87" hidden="1">"#"</definedName>
    <definedName name="FDC_59_88" hidden="1">"#"</definedName>
    <definedName name="FDC_59_89" hidden="1">"#"</definedName>
    <definedName name="FDC_59_9" hidden="1">"#"</definedName>
    <definedName name="FDC_59_90" hidden="1">"#"</definedName>
    <definedName name="FDC_59_91" hidden="1">"#"</definedName>
    <definedName name="FDC_59_92" hidden="1">"#"</definedName>
    <definedName name="FDC_59_93" hidden="1">"#"</definedName>
    <definedName name="FDC_59_94" hidden="1">"#"</definedName>
    <definedName name="FDC_59_95" hidden="1">"#"</definedName>
    <definedName name="FDC_59_96" hidden="1">"#"</definedName>
    <definedName name="FDC_59_97" hidden="1">"#"</definedName>
    <definedName name="FDC_59_98" hidden="1">"#"</definedName>
    <definedName name="FDC_59_99" hidden="1">"#"</definedName>
    <definedName name="FDC_6_0" hidden="1">"#"</definedName>
    <definedName name="FDC_6_1" hidden="1">"#"</definedName>
    <definedName name="FDC_6_2" hidden="1">"#"</definedName>
    <definedName name="FDC_6_3" hidden="1">"#"</definedName>
    <definedName name="FDC_60_0" hidden="1">"#"</definedName>
    <definedName name="FDC_60_1" hidden="1">"#"</definedName>
    <definedName name="FDC_60_10" hidden="1">"#"</definedName>
    <definedName name="FDC_60_100" hidden="1">"#"</definedName>
    <definedName name="FDC_60_101" hidden="1">"#"</definedName>
    <definedName name="FDC_60_102" hidden="1">"#"</definedName>
    <definedName name="FDC_60_103" hidden="1">"#"</definedName>
    <definedName name="FDC_60_104" hidden="1">"#"</definedName>
    <definedName name="FDC_60_105" hidden="1">"#"</definedName>
    <definedName name="FDC_60_106" hidden="1">"#"</definedName>
    <definedName name="FDC_60_107" hidden="1">"#"</definedName>
    <definedName name="FDC_60_108" hidden="1">"#"</definedName>
    <definedName name="FDC_60_109" hidden="1">"#"</definedName>
    <definedName name="FDC_60_11" hidden="1">"#"</definedName>
    <definedName name="FDC_60_110" hidden="1">"#"</definedName>
    <definedName name="FDC_60_111" hidden="1">"#"</definedName>
    <definedName name="FDC_60_112" hidden="1">"#"</definedName>
    <definedName name="FDC_60_113" hidden="1">"#"</definedName>
    <definedName name="FDC_60_114" hidden="1">"#"</definedName>
    <definedName name="FDC_60_115" hidden="1">"#"</definedName>
    <definedName name="FDC_60_116" hidden="1">"#"</definedName>
    <definedName name="FDC_60_117" hidden="1">"#"</definedName>
    <definedName name="FDC_60_118" hidden="1">"#"</definedName>
    <definedName name="FDC_60_119" hidden="1">"#"</definedName>
    <definedName name="FDC_60_12" hidden="1">"#"</definedName>
    <definedName name="FDC_60_120" hidden="1">"#"</definedName>
    <definedName name="FDC_60_121" hidden="1">"#"</definedName>
    <definedName name="FDC_60_122" hidden="1">"#"</definedName>
    <definedName name="FDC_60_123" hidden="1">"#"</definedName>
    <definedName name="FDC_60_124" hidden="1">"#"</definedName>
    <definedName name="FDC_60_125" hidden="1">"#"</definedName>
    <definedName name="FDC_60_126" hidden="1">"#"</definedName>
    <definedName name="FDC_60_127" hidden="1">"#"</definedName>
    <definedName name="FDC_60_128" hidden="1">"#"</definedName>
    <definedName name="FDC_60_129" hidden="1">"#"</definedName>
    <definedName name="FDC_60_13" hidden="1">"#"</definedName>
    <definedName name="FDC_60_130" hidden="1">"#"</definedName>
    <definedName name="FDC_60_131" hidden="1">"#"</definedName>
    <definedName name="FDC_60_132" hidden="1">"#"</definedName>
    <definedName name="FDC_60_133" hidden="1">"#"</definedName>
    <definedName name="FDC_60_134" hidden="1">"#"</definedName>
    <definedName name="FDC_60_135" hidden="1">"#"</definedName>
    <definedName name="FDC_60_136" hidden="1">"#"</definedName>
    <definedName name="FDC_60_137" hidden="1">"#"</definedName>
    <definedName name="FDC_60_138" hidden="1">"#"</definedName>
    <definedName name="FDC_60_139" hidden="1">"#"</definedName>
    <definedName name="FDC_60_14" hidden="1">"#"</definedName>
    <definedName name="FDC_60_140" hidden="1">"#"</definedName>
    <definedName name="FDC_60_141" hidden="1">"#"</definedName>
    <definedName name="FDC_60_142" hidden="1">"#"</definedName>
    <definedName name="FDC_60_143" hidden="1">"#"</definedName>
    <definedName name="FDC_60_144" hidden="1">"#"</definedName>
    <definedName name="FDC_60_145" hidden="1">"#"</definedName>
    <definedName name="FDC_60_146" hidden="1">"#"</definedName>
    <definedName name="FDC_60_147" hidden="1">"#"</definedName>
    <definedName name="FDC_60_148" hidden="1">"#"</definedName>
    <definedName name="FDC_60_149" hidden="1">"#"</definedName>
    <definedName name="FDC_60_15" hidden="1">"#"</definedName>
    <definedName name="FDC_60_150" hidden="1">"#"</definedName>
    <definedName name="FDC_60_151" hidden="1">"#"</definedName>
    <definedName name="FDC_60_152" hidden="1">"#"</definedName>
    <definedName name="FDC_60_153" hidden="1">"#"</definedName>
    <definedName name="FDC_60_154" hidden="1">"#"</definedName>
    <definedName name="FDC_60_155" hidden="1">"#"</definedName>
    <definedName name="FDC_60_156" hidden="1">"#"</definedName>
    <definedName name="FDC_60_157" hidden="1">"#"</definedName>
    <definedName name="FDC_60_158" hidden="1">"#"</definedName>
    <definedName name="FDC_60_159" hidden="1">"#"</definedName>
    <definedName name="FDC_60_16" hidden="1">"#"</definedName>
    <definedName name="FDC_60_160" hidden="1">"#"</definedName>
    <definedName name="FDC_60_161" hidden="1">"#"</definedName>
    <definedName name="FDC_60_162" hidden="1">"#"</definedName>
    <definedName name="FDC_60_163" hidden="1">"#"</definedName>
    <definedName name="FDC_60_164" hidden="1">"#"</definedName>
    <definedName name="FDC_60_165" hidden="1">"#"</definedName>
    <definedName name="FDC_60_166" hidden="1">"#"</definedName>
    <definedName name="FDC_60_167" hidden="1">"#"</definedName>
    <definedName name="FDC_60_168" hidden="1">"#"</definedName>
    <definedName name="FDC_60_169" hidden="1">"#"</definedName>
    <definedName name="FDC_60_17" hidden="1">"#"</definedName>
    <definedName name="FDC_60_170" hidden="1">"#"</definedName>
    <definedName name="FDC_60_171" hidden="1">"#"</definedName>
    <definedName name="FDC_60_172" hidden="1">"#"</definedName>
    <definedName name="FDC_60_173" hidden="1">"#"</definedName>
    <definedName name="FDC_60_174" hidden="1">"#"</definedName>
    <definedName name="FDC_60_175" hidden="1">"#"</definedName>
    <definedName name="FDC_60_176" hidden="1">"#"</definedName>
    <definedName name="FDC_60_177" hidden="1">"#"</definedName>
    <definedName name="FDC_60_178" hidden="1">"#"</definedName>
    <definedName name="FDC_60_179" hidden="1">"#"</definedName>
    <definedName name="FDC_60_18" hidden="1">"#"</definedName>
    <definedName name="FDC_60_180" hidden="1">"#"</definedName>
    <definedName name="FDC_60_181" hidden="1">"#"</definedName>
    <definedName name="FDC_60_182" hidden="1">"#"</definedName>
    <definedName name="FDC_60_183" hidden="1">"#"</definedName>
    <definedName name="FDC_60_184" hidden="1">"#"</definedName>
    <definedName name="FDC_60_185" hidden="1">"#"</definedName>
    <definedName name="FDC_60_186" hidden="1">"#"</definedName>
    <definedName name="FDC_60_187" hidden="1">"#"</definedName>
    <definedName name="FDC_60_188" hidden="1">"#"</definedName>
    <definedName name="FDC_60_189" hidden="1">"#"</definedName>
    <definedName name="FDC_60_19" hidden="1">"#"</definedName>
    <definedName name="FDC_60_190" hidden="1">"#"</definedName>
    <definedName name="FDC_60_191" hidden="1">"#"</definedName>
    <definedName name="FDC_60_192" hidden="1">"#"</definedName>
    <definedName name="FDC_60_193" hidden="1">"#"</definedName>
    <definedName name="FDC_60_194" hidden="1">"#"</definedName>
    <definedName name="FDC_60_195" hidden="1">"#"</definedName>
    <definedName name="FDC_60_196" hidden="1">"#"</definedName>
    <definedName name="FDC_60_197" hidden="1">"#"</definedName>
    <definedName name="FDC_60_198" hidden="1">"#"</definedName>
    <definedName name="FDC_60_199" hidden="1">"#"</definedName>
    <definedName name="FDC_60_2" hidden="1">"#"</definedName>
    <definedName name="FDC_60_20" hidden="1">"#"</definedName>
    <definedName name="FDC_60_200" hidden="1">"#"</definedName>
    <definedName name="FDC_60_201" hidden="1">"#"</definedName>
    <definedName name="FDC_60_202" hidden="1">"#"</definedName>
    <definedName name="FDC_60_203" hidden="1">"#"</definedName>
    <definedName name="FDC_60_204" hidden="1">"#"</definedName>
    <definedName name="FDC_60_205" hidden="1">"#"</definedName>
    <definedName name="FDC_60_206" hidden="1">"#"</definedName>
    <definedName name="FDC_60_207" hidden="1">"#"</definedName>
    <definedName name="FDC_60_208" hidden="1">"#"</definedName>
    <definedName name="FDC_60_209" hidden="1">"#"</definedName>
    <definedName name="FDC_60_21" hidden="1">"#"</definedName>
    <definedName name="FDC_60_210" hidden="1">"#"</definedName>
    <definedName name="FDC_60_211" hidden="1">"#"</definedName>
    <definedName name="FDC_60_212" hidden="1">"#"</definedName>
    <definedName name="FDC_60_213" hidden="1">"#"</definedName>
    <definedName name="FDC_60_214" hidden="1">"#"</definedName>
    <definedName name="FDC_60_215" hidden="1">"#"</definedName>
    <definedName name="FDC_60_216" hidden="1">"#"</definedName>
    <definedName name="FDC_60_217" hidden="1">"#"</definedName>
    <definedName name="FDC_60_218" hidden="1">"#"</definedName>
    <definedName name="FDC_60_219" hidden="1">"#"</definedName>
    <definedName name="FDC_60_22" hidden="1">"#"</definedName>
    <definedName name="FDC_60_220" hidden="1">"#"</definedName>
    <definedName name="FDC_60_221" hidden="1">"#"</definedName>
    <definedName name="FDC_60_222" hidden="1">"#"</definedName>
    <definedName name="FDC_60_223" hidden="1">"#"</definedName>
    <definedName name="FDC_60_224" hidden="1">"#"</definedName>
    <definedName name="FDC_60_225" hidden="1">"#"</definedName>
    <definedName name="FDC_60_226" hidden="1">"#"</definedName>
    <definedName name="FDC_60_227" hidden="1">"#"</definedName>
    <definedName name="FDC_60_228" hidden="1">"#"</definedName>
    <definedName name="FDC_60_229" hidden="1">"#"</definedName>
    <definedName name="FDC_60_23" hidden="1">"#"</definedName>
    <definedName name="FDC_60_230" hidden="1">"#"</definedName>
    <definedName name="FDC_60_231" hidden="1">"#"</definedName>
    <definedName name="FDC_60_232" hidden="1">"#"</definedName>
    <definedName name="FDC_60_233" hidden="1">"#"</definedName>
    <definedName name="FDC_60_234" hidden="1">"#"</definedName>
    <definedName name="FDC_60_235" hidden="1">"#"</definedName>
    <definedName name="FDC_60_236" hidden="1">"#"</definedName>
    <definedName name="FDC_60_237" hidden="1">"#"</definedName>
    <definedName name="FDC_60_238" hidden="1">"#"</definedName>
    <definedName name="FDC_60_239" hidden="1">"#"</definedName>
    <definedName name="FDC_60_24" hidden="1">"#"</definedName>
    <definedName name="FDC_60_240" hidden="1">"#"</definedName>
    <definedName name="FDC_60_241" hidden="1">"#"</definedName>
    <definedName name="FDC_60_242" hidden="1">"#"</definedName>
    <definedName name="FDC_60_243" hidden="1">"#"</definedName>
    <definedName name="FDC_60_244" hidden="1">"#"</definedName>
    <definedName name="FDC_60_245" hidden="1">"#"</definedName>
    <definedName name="FDC_60_246" hidden="1">"#"</definedName>
    <definedName name="FDC_60_247" hidden="1">"#"</definedName>
    <definedName name="FDC_60_248" hidden="1">"#"</definedName>
    <definedName name="FDC_60_249" hidden="1">"#"</definedName>
    <definedName name="FDC_60_25" hidden="1">"#"</definedName>
    <definedName name="FDC_60_250" hidden="1">"#"</definedName>
    <definedName name="FDC_60_251" hidden="1">"#"</definedName>
    <definedName name="FDC_60_252" hidden="1">"#"</definedName>
    <definedName name="FDC_60_253" hidden="1">"#"</definedName>
    <definedName name="FDC_60_254" hidden="1">"#"</definedName>
    <definedName name="FDC_60_255" hidden="1">"#"</definedName>
    <definedName name="FDC_60_256" hidden="1">"#"</definedName>
    <definedName name="FDC_60_257" hidden="1">"#"</definedName>
    <definedName name="FDC_60_258" hidden="1">"#"</definedName>
    <definedName name="FDC_60_259" hidden="1">"#"</definedName>
    <definedName name="FDC_60_26" hidden="1">"#"</definedName>
    <definedName name="FDC_60_260" hidden="1">"#"</definedName>
    <definedName name="FDC_60_261" hidden="1">"#"</definedName>
    <definedName name="FDC_60_27" hidden="1">"#"</definedName>
    <definedName name="FDC_60_28" hidden="1">"#"</definedName>
    <definedName name="FDC_60_29" hidden="1">"#"</definedName>
    <definedName name="FDC_60_3" hidden="1">"#"</definedName>
    <definedName name="FDC_60_30" hidden="1">"#"</definedName>
    <definedName name="FDC_60_31" hidden="1">"#"</definedName>
    <definedName name="FDC_60_32" hidden="1">"#"</definedName>
    <definedName name="FDC_60_33" hidden="1">"#"</definedName>
    <definedName name="FDC_60_34" hidden="1">"#"</definedName>
    <definedName name="FDC_60_35" hidden="1">"#"</definedName>
    <definedName name="FDC_60_36" hidden="1">"#"</definedName>
    <definedName name="FDC_60_37" hidden="1">"#"</definedName>
    <definedName name="FDC_60_38" hidden="1">"#"</definedName>
    <definedName name="FDC_60_39" hidden="1">"#"</definedName>
    <definedName name="FDC_60_4" hidden="1">"#"</definedName>
    <definedName name="FDC_60_40" hidden="1">"#"</definedName>
    <definedName name="FDC_60_41" hidden="1">"#"</definedName>
    <definedName name="FDC_60_42" hidden="1">"#"</definedName>
    <definedName name="FDC_60_43" hidden="1">"#"</definedName>
    <definedName name="FDC_60_44" hidden="1">"#"</definedName>
    <definedName name="FDC_60_45" hidden="1">"#"</definedName>
    <definedName name="FDC_60_46" hidden="1">"#"</definedName>
    <definedName name="FDC_60_47" hidden="1">"#"</definedName>
    <definedName name="FDC_60_48" hidden="1">"#"</definedName>
    <definedName name="FDC_60_49" hidden="1">"#"</definedName>
    <definedName name="FDC_60_5" hidden="1">"#"</definedName>
    <definedName name="FDC_60_50" hidden="1">"#"</definedName>
    <definedName name="FDC_60_51" hidden="1">"#"</definedName>
    <definedName name="FDC_60_52" hidden="1">"#"</definedName>
    <definedName name="FDC_60_53" hidden="1">"#"</definedName>
    <definedName name="FDC_60_54" hidden="1">"#"</definedName>
    <definedName name="FDC_60_55" hidden="1">"#"</definedName>
    <definedName name="FDC_60_56" hidden="1">"#"</definedName>
    <definedName name="FDC_60_57" hidden="1">"#"</definedName>
    <definedName name="FDC_60_58" hidden="1">"#"</definedName>
    <definedName name="FDC_60_59" hidden="1">"#"</definedName>
    <definedName name="FDC_60_6" hidden="1">"#"</definedName>
    <definedName name="FDC_60_60" hidden="1">"#"</definedName>
    <definedName name="FDC_60_61" hidden="1">"#"</definedName>
    <definedName name="FDC_60_62" hidden="1">"#"</definedName>
    <definedName name="FDC_60_63" hidden="1">"#"</definedName>
    <definedName name="FDC_60_64" hidden="1">"#"</definedName>
    <definedName name="FDC_60_65" hidden="1">"#"</definedName>
    <definedName name="FDC_60_66" hidden="1">"#"</definedName>
    <definedName name="FDC_60_67" hidden="1">"#"</definedName>
    <definedName name="FDC_60_68" hidden="1">"#"</definedName>
    <definedName name="FDC_60_69" hidden="1">"#"</definedName>
    <definedName name="FDC_60_7" hidden="1">"#"</definedName>
    <definedName name="FDC_60_70" hidden="1">"#"</definedName>
    <definedName name="FDC_60_71" hidden="1">"#"</definedName>
    <definedName name="FDC_60_72" hidden="1">"#"</definedName>
    <definedName name="FDC_60_73" hidden="1">"#"</definedName>
    <definedName name="FDC_60_74" hidden="1">"#"</definedName>
    <definedName name="FDC_60_75" hidden="1">"#"</definedName>
    <definedName name="FDC_60_76" hidden="1">"#"</definedName>
    <definedName name="FDC_60_77" hidden="1">"#"</definedName>
    <definedName name="FDC_60_78" hidden="1">"#"</definedName>
    <definedName name="FDC_60_79" hidden="1">"#"</definedName>
    <definedName name="FDC_60_8" hidden="1">"#"</definedName>
    <definedName name="FDC_60_80" hidden="1">"#"</definedName>
    <definedName name="FDC_60_81" hidden="1">"#"</definedName>
    <definedName name="FDC_60_82" hidden="1">"#"</definedName>
    <definedName name="FDC_60_83" hidden="1">"#"</definedName>
    <definedName name="FDC_60_84" hidden="1">"#"</definedName>
    <definedName name="FDC_60_85" hidden="1">"#"</definedName>
    <definedName name="FDC_60_86" hidden="1">"#"</definedName>
    <definedName name="FDC_60_87" hidden="1">"#"</definedName>
    <definedName name="FDC_60_88" hidden="1">"#"</definedName>
    <definedName name="FDC_60_89" hidden="1">"#"</definedName>
    <definedName name="FDC_60_9" hidden="1">"#"</definedName>
    <definedName name="FDC_60_90" hidden="1">"#"</definedName>
    <definedName name="FDC_60_91" hidden="1">"#"</definedName>
    <definedName name="FDC_60_92" hidden="1">"#"</definedName>
    <definedName name="FDC_60_93" hidden="1">"#"</definedName>
    <definedName name="FDC_60_94" hidden="1">"#"</definedName>
    <definedName name="FDC_60_95" hidden="1">"#"</definedName>
    <definedName name="FDC_60_96" hidden="1">"#"</definedName>
    <definedName name="FDC_60_97" hidden="1">"#"</definedName>
    <definedName name="FDC_60_98" hidden="1">"#"</definedName>
    <definedName name="FDC_60_99" hidden="1">"#"</definedName>
    <definedName name="FDC_61_0" hidden="1">"#"</definedName>
    <definedName name="FDC_62_0" hidden="1">"#"</definedName>
    <definedName name="FDC_62_1" hidden="1">"#"</definedName>
    <definedName name="FDC_62_10" hidden="1">"#"</definedName>
    <definedName name="FDC_62_100" hidden="1">"#"</definedName>
    <definedName name="FDC_62_101" hidden="1">"#"</definedName>
    <definedName name="FDC_62_102" hidden="1">"#"</definedName>
    <definedName name="FDC_62_103" hidden="1">"#"</definedName>
    <definedName name="FDC_62_104" hidden="1">"#"</definedName>
    <definedName name="FDC_62_105" hidden="1">"#"</definedName>
    <definedName name="FDC_62_106" hidden="1">"#"</definedName>
    <definedName name="FDC_62_107" hidden="1">"#"</definedName>
    <definedName name="FDC_62_108" hidden="1">"#"</definedName>
    <definedName name="FDC_62_109" hidden="1">"#"</definedName>
    <definedName name="FDC_62_11" hidden="1">"#"</definedName>
    <definedName name="FDC_62_110" hidden="1">"#"</definedName>
    <definedName name="FDC_62_111" hidden="1">"#"</definedName>
    <definedName name="FDC_62_112" hidden="1">"#"</definedName>
    <definedName name="FDC_62_113" hidden="1">"#"</definedName>
    <definedName name="FDC_62_114" hidden="1">"#"</definedName>
    <definedName name="FDC_62_115" hidden="1">"#"</definedName>
    <definedName name="FDC_62_116" hidden="1">"#"</definedName>
    <definedName name="FDC_62_117" hidden="1">"#"</definedName>
    <definedName name="FDC_62_118" hidden="1">"#"</definedName>
    <definedName name="FDC_62_119" hidden="1">"#"</definedName>
    <definedName name="FDC_62_12" hidden="1">"#"</definedName>
    <definedName name="FDC_62_120" hidden="1">"#"</definedName>
    <definedName name="FDC_62_121" hidden="1">"#"</definedName>
    <definedName name="FDC_62_122" hidden="1">"#"</definedName>
    <definedName name="FDC_62_123" hidden="1">"#"</definedName>
    <definedName name="FDC_62_124" hidden="1">"#"</definedName>
    <definedName name="FDC_62_125" hidden="1">"#"</definedName>
    <definedName name="FDC_62_126" hidden="1">"#"</definedName>
    <definedName name="FDC_62_127" hidden="1">"#"</definedName>
    <definedName name="FDC_62_128" hidden="1">"#"</definedName>
    <definedName name="FDC_62_129" hidden="1">"#"</definedName>
    <definedName name="FDC_62_13" hidden="1">"#"</definedName>
    <definedName name="FDC_62_130" hidden="1">"#"</definedName>
    <definedName name="FDC_62_131" hidden="1">"#"</definedName>
    <definedName name="FDC_62_132" hidden="1">"#"</definedName>
    <definedName name="FDC_62_133" hidden="1">"#"</definedName>
    <definedName name="FDC_62_134" hidden="1">"#"</definedName>
    <definedName name="FDC_62_135" hidden="1">"#"</definedName>
    <definedName name="FDC_62_136" hidden="1">"#"</definedName>
    <definedName name="FDC_62_137" hidden="1">"#"</definedName>
    <definedName name="FDC_62_138" hidden="1">"#"</definedName>
    <definedName name="FDC_62_139" hidden="1">"#"</definedName>
    <definedName name="FDC_62_14" hidden="1">"#"</definedName>
    <definedName name="FDC_62_140" hidden="1">"#"</definedName>
    <definedName name="FDC_62_141" hidden="1">"#"</definedName>
    <definedName name="FDC_62_142" hidden="1">"#"</definedName>
    <definedName name="FDC_62_143" hidden="1">"#"</definedName>
    <definedName name="FDC_62_144" hidden="1">"#"</definedName>
    <definedName name="FDC_62_145" hidden="1">"#"</definedName>
    <definedName name="FDC_62_146" hidden="1">"#"</definedName>
    <definedName name="FDC_62_147" hidden="1">"#"</definedName>
    <definedName name="FDC_62_148" hidden="1">"#"</definedName>
    <definedName name="FDC_62_149" hidden="1">"#"</definedName>
    <definedName name="FDC_62_15" hidden="1">"#"</definedName>
    <definedName name="FDC_62_150" hidden="1">"#"</definedName>
    <definedName name="FDC_62_151" hidden="1">"#"</definedName>
    <definedName name="FDC_62_152" hidden="1">"#"</definedName>
    <definedName name="FDC_62_153" hidden="1">"#"</definedName>
    <definedName name="FDC_62_154" hidden="1">"#"</definedName>
    <definedName name="FDC_62_155" hidden="1">"#"</definedName>
    <definedName name="FDC_62_156" hidden="1">"#"</definedName>
    <definedName name="FDC_62_157" hidden="1">"#"</definedName>
    <definedName name="FDC_62_158" hidden="1">"#"</definedName>
    <definedName name="FDC_62_159" hidden="1">"#"</definedName>
    <definedName name="FDC_62_16" hidden="1">"#"</definedName>
    <definedName name="FDC_62_160" hidden="1">"#"</definedName>
    <definedName name="FDC_62_161" hidden="1">"#"</definedName>
    <definedName name="FDC_62_162" hidden="1">"#"</definedName>
    <definedName name="FDC_62_163" hidden="1">"#"</definedName>
    <definedName name="FDC_62_164" hidden="1">"#"</definedName>
    <definedName name="FDC_62_165" hidden="1">"#"</definedName>
    <definedName name="FDC_62_166" hidden="1">"#"</definedName>
    <definedName name="FDC_62_167" hidden="1">"#"</definedName>
    <definedName name="FDC_62_168" hidden="1">"#"</definedName>
    <definedName name="FDC_62_169" hidden="1">"#"</definedName>
    <definedName name="FDC_62_17" hidden="1">"#"</definedName>
    <definedName name="FDC_62_170" hidden="1">"#"</definedName>
    <definedName name="FDC_62_171" hidden="1">"#"</definedName>
    <definedName name="FDC_62_172" hidden="1">"#"</definedName>
    <definedName name="FDC_62_173" hidden="1">"#"</definedName>
    <definedName name="FDC_62_174" hidden="1">"#"</definedName>
    <definedName name="FDC_62_175" hidden="1">"#"</definedName>
    <definedName name="FDC_62_176" hidden="1">"#"</definedName>
    <definedName name="FDC_62_177" hidden="1">"#"</definedName>
    <definedName name="FDC_62_178" hidden="1">"#"</definedName>
    <definedName name="FDC_62_179" hidden="1">"#"</definedName>
    <definedName name="FDC_62_18" hidden="1">"#"</definedName>
    <definedName name="FDC_62_180" hidden="1">"#"</definedName>
    <definedName name="FDC_62_181" hidden="1">"#"</definedName>
    <definedName name="FDC_62_182" hidden="1">"#"</definedName>
    <definedName name="FDC_62_183" hidden="1">"#"</definedName>
    <definedName name="FDC_62_184" hidden="1">"#"</definedName>
    <definedName name="FDC_62_185" hidden="1">"#"</definedName>
    <definedName name="FDC_62_186" hidden="1">"#"</definedName>
    <definedName name="FDC_62_187" hidden="1">"#"</definedName>
    <definedName name="FDC_62_188" hidden="1">"#"</definedName>
    <definedName name="FDC_62_189" hidden="1">"#"</definedName>
    <definedName name="FDC_62_19" hidden="1">"#"</definedName>
    <definedName name="FDC_62_190" hidden="1">"#"</definedName>
    <definedName name="FDC_62_191" hidden="1">"#"</definedName>
    <definedName name="FDC_62_192" hidden="1">"#"</definedName>
    <definedName name="FDC_62_193" hidden="1">"#"</definedName>
    <definedName name="FDC_62_194" hidden="1">"#"</definedName>
    <definedName name="FDC_62_195" hidden="1">"#"</definedName>
    <definedName name="FDC_62_196" hidden="1">"#"</definedName>
    <definedName name="FDC_62_197" hidden="1">"#"</definedName>
    <definedName name="FDC_62_198" hidden="1">"#"</definedName>
    <definedName name="FDC_62_199" hidden="1">"#"</definedName>
    <definedName name="FDC_62_2" hidden="1">"#"</definedName>
    <definedName name="FDC_62_20" hidden="1">"#"</definedName>
    <definedName name="FDC_62_200" hidden="1">"#"</definedName>
    <definedName name="FDC_62_201" hidden="1">"#"</definedName>
    <definedName name="FDC_62_202" hidden="1">"#"</definedName>
    <definedName name="FDC_62_203" hidden="1">"#"</definedName>
    <definedName name="FDC_62_204" hidden="1">"#"</definedName>
    <definedName name="FDC_62_205" hidden="1">"#"</definedName>
    <definedName name="FDC_62_206" hidden="1">"#"</definedName>
    <definedName name="FDC_62_207" hidden="1">"#"</definedName>
    <definedName name="FDC_62_208" hidden="1">"#"</definedName>
    <definedName name="FDC_62_209" hidden="1">"#"</definedName>
    <definedName name="FDC_62_21" hidden="1">"#"</definedName>
    <definedName name="FDC_62_210" hidden="1">"#"</definedName>
    <definedName name="FDC_62_211" hidden="1">"#"</definedName>
    <definedName name="FDC_62_212" hidden="1">"#"</definedName>
    <definedName name="FDC_62_213" hidden="1">"#"</definedName>
    <definedName name="FDC_62_214" hidden="1">"#"</definedName>
    <definedName name="FDC_62_215" hidden="1">"#"</definedName>
    <definedName name="FDC_62_216" hidden="1">"#"</definedName>
    <definedName name="FDC_62_217" hidden="1">"#"</definedName>
    <definedName name="FDC_62_218" hidden="1">"#"</definedName>
    <definedName name="FDC_62_219" hidden="1">"#"</definedName>
    <definedName name="FDC_62_22" hidden="1">"#"</definedName>
    <definedName name="FDC_62_220" hidden="1">"#"</definedName>
    <definedName name="FDC_62_221" hidden="1">"#"</definedName>
    <definedName name="FDC_62_222" hidden="1">"#"</definedName>
    <definedName name="FDC_62_223" hidden="1">"#"</definedName>
    <definedName name="FDC_62_224" hidden="1">"#"</definedName>
    <definedName name="FDC_62_225" hidden="1">"#"</definedName>
    <definedName name="FDC_62_226" hidden="1">"#"</definedName>
    <definedName name="FDC_62_227" hidden="1">"#"</definedName>
    <definedName name="FDC_62_228" hidden="1">"#"</definedName>
    <definedName name="FDC_62_229" hidden="1">"#"</definedName>
    <definedName name="FDC_62_23" hidden="1">"#"</definedName>
    <definedName name="FDC_62_230" hidden="1">"#"</definedName>
    <definedName name="FDC_62_231" hidden="1">"#"</definedName>
    <definedName name="FDC_62_232" hidden="1">"#"</definedName>
    <definedName name="FDC_62_233" hidden="1">"#"</definedName>
    <definedName name="FDC_62_234" hidden="1">"#"</definedName>
    <definedName name="FDC_62_235" hidden="1">"#"</definedName>
    <definedName name="FDC_62_236" hidden="1">"#"</definedName>
    <definedName name="FDC_62_237" hidden="1">"#"</definedName>
    <definedName name="FDC_62_238" hidden="1">"#"</definedName>
    <definedName name="FDC_62_239" hidden="1">"#"</definedName>
    <definedName name="FDC_62_24" hidden="1">"#"</definedName>
    <definedName name="FDC_62_240" hidden="1">"#"</definedName>
    <definedName name="FDC_62_241" hidden="1">"#"</definedName>
    <definedName name="FDC_62_242" hidden="1">"#"</definedName>
    <definedName name="FDC_62_243" hidden="1">"#"</definedName>
    <definedName name="FDC_62_244" hidden="1">"#"</definedName>
    <definedName name="FDC_62_245" hidden="1">"#"</definedName>
    <definedName name="FDC_62_246" hidden="1">"#"</definedName>
    <definedName name="FDC_62_247" hidden="1">"#"</definedName>
    <definedName name="FDC_62_248" hidden="1">"#"</definedName>
    <definedName name="FDC_62_249" hidden="1">"#"</definedName>
    <definedName name="FDC_62_25" hidden="1">"#"</definedName>
    <definedName name="FDC_62_250" hidden="1">"#"</definedName>
    <definedName name="FDC_62_251" hidden="1">"#"</definedName>
    <definedName name="FDC_62_252" hidden="1">"#"</definedName>
    <definedName name="FDC_62_253" hidden="1">"#"</definedName>
    <definedName name="FDC_62_254" hidden="1">"#"</definedName>
    <definedName name="FDC_62_255" hidden="1">"#"</definedName>
    <definedName name="FDC_62_256" hidden="1">"#"</definedName>
    <definedName name="FDC_62_257" hidden="1">"#"</definedName>
    <definedName name="FDC_62_258" hidden="1">"#"</definedName>
    <definedName name="FDC_62_259" hidden="1">"#"</definedName>
    <definedName name="FDC_62_26" hidden="1">"#"</definedName>
    <definedName name="FDC_62_260" hidden="1">"#"</definedName>
    <definedName name="FDC_62_261" hidden="1">"#"</definedName>
    <definedName name="FDC_62_27" hidden="1">"#"</definedName>
    <definedName name="FDC_62_28" hidden="1">"#"</definedName>
    <definedName name="FDC_62_29" hidden="1">"#"</definedName>
    <definedName name="FDC_62_3" hidden="1">"#"</definedName>
    <definedName name="FDC_62_30" hidden="1">"#"</definedName>
    <definedName name="FDC_62_31" hidden="1">"#"</definedName>
    <definedName name="FDC_62_32" hidden="1">"#"</definedName>
    <definedName name="FDC_62_33" hidden="1">"#"</definedName>
    <definedName name="FDC_62_34" hidden="1">"#"</definedName>
    <definedName name="FDC_62_35" hidden="1">"#"</definedName>
    <definedName name="FDC_62_36" hidden="1">"#"</definedName>
    <definedName name="FDC_62_37" hidden="1">"#"</definedName>
    <definedName name="FDC_62_38" hidden="1">"#"</definedName>
    <definedName name="FDC_62_39" hidden="1">"#"</definedName>
    <definedName name="FDC_62_4" hidden="1">"#"</definedName>
    <definedName name="FDC_62_40" hidden="1">"#"</definedName>
    <definedName name="FDC_62_41" hidden="1">"#"</definedName>
    <definedName name="FDC_62_42" hidden="1">"#"</definedName>
    <definedName name="FDC_62_43" hidden="1">"#"</definedName>
    <definedName name="FDC_62_44" hidden="1">"#"</definedName>
    <definedName name="FDC_62_45" hidden="1">"#"</definedName>
    <definedName name="FDC_62_46" hidden="1">"#"</definedName>
    <definedName name="FDC_62_47" hidden="1">"#"</definedName>
    <definedName name="FDC_62_48" hidden="1">"#"</definedName>
    <definedName name="FDC_62_49" hidden="1">"#"</definedName>
    <definedName name="FDC_62_5" hidden="1">"#"</definedName>
    <definedName name="FDC_62_50" hidden="1">"#"</definedName>
    <definedName name="FDC_62_51" hidden="1">"#"</definedName>
    <definedName name="FDC_62_52" hidden="1">"#"</definedName>
    <definedName name="FDC_62_53" hidden="1">"#"</definedName>
    <definedName name="FDC_62_54" hidden="1">"#"</definedName>
    <definedName name="FDC_62_55" hidden="1">"#"</definedName>
    <definedName name="FDC_62_56" hidden="1">"#"</definedName>
    <definedName name="FDC_62_57" hidden="1">"#"</definedName>
    <definedName name="FDC_62_58" hidden="1">"#"</definedName>
    <definedName name="FDC_62_59" hidden="1">"#"</definedName>
    <definedName name="FDC_62_6" hidden="1">"#"</definedName>
    <definedName name="FDC_62_60" hidden="1">"#"</definedName>
    <definedName name="FDC_62_61" hidden="1">"#"</definedName>
    <definedName name="FDC_62_62" hidden="1">"#"</definedName>
    <definedName name="FDC_62_63" hidden="1">"#"</definedName>
    <definedName name="FDC_62_64" hidden="1">"#"</definedName>
    <definedName name="FDC_62_65" hidden="1">"#"</definedName>
    <definedName name="FDC_62_66" hidden="1">"#"</definedName>
    <definedName name="FDC_62_67" hidden="1">"#"</definedName>
    <definedName name="FDC_62_68" hidden="1">"#"</definedName>
    <definedName name="FDC_62_69" hidden="1">"#"</definedName>
    <definedName name="FDC_62_7" hidden="1">"#"</definedName>
    <definedName name="FDC_62_70" hidden="1">"#"</definedName>
    <definedName name="FDC_62_71" hidden="1">"#"</definedName>
    <definedName name="FDC_62_72" hidden="1">"#"</definedName>
    <definedName name="FDC_62_73" hidden="1">"#"</definedName>
    <definedName name="FDC_62_74" hidden="1">"#"</definedName>
    <definedName name="FDC_62_75" hidden="1">"#"</definedName>
    <definedName name="FDC_62_76" hidden="1">"#"</definedName>
    <definedName name="FDC_62_77" hidden="1">"#"</definedName>
    <definedName name="FDC_62_78" hidden="1">"#"</definedName>
    <definedName name="FDC_62_79" hidden="1">"#"</definedName>
    <definedName name="FDC_62_8" hidden="1">"#"</definedName>
    <definedName name="FDC_62_80" hidden="1">"#"</definedName>
    <definedName name="FDC_62_81" hidden="1">"#"</definedName>
    <definedName name="FDC_62_82" hidden="1">"#"</definedName>
    <definedName name="FDC_62_83" hidden="1">"#"</definedName>
    <definedName name="FDC_62_84" hidden="1">"#"</definedName>
    <definedName name="FDC_62_85" hidden="1">"#"</definedName>
    <definedName name="FDC_62_86" hidden="1">"#"</definedName>
    <definedName name="FDC_62_87" hidden="1">"#"</definedName>
    <definedName name="FDC_62_88" hidden="1">"#"</definedName>
    <definedName name="FDC_62_89" hidden="1">"#"</definedName>
    <definedName name="FDC_62_9" hidden="1">"#"</definedName>
    <definedName name="FDC_62_90" hidden="1">"#"</definedName>
    <definedName name="FDC_62_91" hidden="1">"#"</definedName>
    <definedName name="FDC_62_92" hidden="1">"#"</definedName>
    <definedName name="FDC_62_93" hidden="1">"#"</definedName>
    <definedName name="FDC_62_94" hidden="1">"#"</definedName>
    <definedName name="FDC_62_95" hidden="1">"#"</definedName>
    <definedName name="FDC_62_96" hidden="1">"#"</definedName>
    <definedName name="FDC_62_97" hidden="1">"#"</definedName>
    <definedName name="FDC_62_98" hidden="1">"#"</definedName>
    <definedName name="FDC_62_99" hidden="1">"#"</definedName>
    <definedName name="FDC_63_0" hidden="1">"#"</definedName>
    <definedName name="FDC_63_1" hidden="1">"#"</definedName>
    <definedName name="FDC_63_10" hidden="1">"#"</definedName>
    <definedName name="FDC_63_100" hidden="1">"#"</definedName>
    <definedName name="FDC_63_101" hidden="1">"#"</definedName>
    <definedName name="FDC_63_102" hidden="1">"#"</definedName>
    <definedName name="FDC_63_103" hidden="1">"#"</definedName>
    <definedName name="FDC_63_104" hidden="1">"#"</definedName>
    <definedName name="FDC_63_105" hidden="1">"#"</definedName>
    <definedName name="FDC_63_106" hidden="1">"#"</definedName>
    <definedName name="FDC_63_107" hidden="1">"#"</definedName>
    <definedName name="FDC_63_108" hidden="1">"#"</definedName>
    <definedName name="FDC_63_109" hidden="1">"#"</definedName>
    <definedName name="FDC_63_11" hidden="1">"#"</definedName>
    <definedName name="FDC_63_110" hidden="1">"#"</definedName>
    <definedName name="FDC_63_111" hidden="1">"#"</definedName>
    <definedName name="FDC_63_112" hidden="1">"#"</definedName>
    <definedName name="FDC_63_113" hidden="1">"#"</definedName>
    <definedName name="FDC_63_114" hidden="1">"#"</definedName>
    <definedName name="FDC_63_115" hidden="1">"#"</definedName>
    <definedName name="FDC_63_116" hidden="1">"#"</definedName>
    <definedName name="FDC_63_117" hidden="1">"#"</definedName>
    <definedName name="FDC_63_118" hidden="1">"#"</definedName>
    <definedName name="FDC_63_119" hidden="1">"#"</definedName>
    <definedName name="FDC_63_12" hidden="1">"#"</definedName>
    <definedName name="FDC_63_120" hidden="1">"#"</definedName>
    <definedName name="FDC_63_121" hidden="1">"#"</definedName>
    <definedName name="FDC_63_122" hidden="1">"#"</definedName>
    <definedName name="FDC_63_123" hidden="1">"#"</definedName>
    <definedName name="FDC_63_124" hidden="1">"#"</definedName>
    <definedName name="FDC_63_125" hidden="1">"#"</definedName>
    <definedName name="FDC_63_126" hidden="1">"#"</definedName>
    <definedName name="FDC_63_127" hidden="1">"#"</definedName>
    <definedName name="FDC_63_128" hidden="1">"#"</definedName>
    <definedName name="FDC_63_129" hidden="1">"#"</definedName>
    <definedName name="FDC_63_13" hidden="1">"#"</definedName>
    <definedName name="FDC_63_130" hidden="1">"#"</definedName>
    <definedName name="FDC_63_131" hidden="1">"#"</definedName>
    <definedName name="FDC_63_132" hidden="1">"#"</definedName>
    <definedName name="FDC_63_133" hidden="1">"#"</definedName>
    <definedName name="FDC_63_134" hidden="1">"#"</definedName>
    <definedName name="FDC_63_135" hidden="1">"#"</definedName>
    <definedName name="FDC_63_136" hidden="1">"#"</definedName>
    <definedName name="FDC_63_137" hidden="1">"#"</definedName>
    <definedName name="FDC_63_138" hidden="1">"#"</definedName>
    <definedName name="FDC_63_139" hidden="1">"#"</definedName>
    <definedName name="FDC_63_14" hidden="1">"#"</definedName>
    <definedName name="FDC_63_140" hidden="1">"#"</definedName>
    <definedName name="FDC_63_141" hidden="1">"#"</definedName>
    <definedName name="FDC_63_142" hidden="1">"#"</definedName>
    <definedName name="FDC_63_143" hidden="1">"#"</definedName>
    <definedName name="FDC_63_144" hidden="1">"#"</definedName>
    <definedName name="FDC_63_145" hidden="1">"#"</definedName>
    <definedName name="FDC_63_146" hidden="1">"#"</definedName>
    <definedName name="FDC_63_147" hidden="1">"#"</definedName>
    <definedName name="FDC_63_148" hidden="1">"#"</definedName>
    <definedName name="FDC_63_149" hidden="1">"#"</definedName>
    <definedName name="FDC_63_15" hidden="1">"#"</definedName>
    <definedName name="FDC_63_150" hidden="1">"#"</definedName>
    <definedName name="FDC_63_151" hidden="1">"#"</definedName>
    <definedName name="FDC_63_152" hidden="1">"#"</definedName>
    <definedName name="FDC_63_153" hidden="1">"#"</definedName>
    <definedName name="FDC_63_154" hidden="1">"#"</definedName>
    <definedName name="FDC_63_155" hidden="1">"#"</definedName>
    <definedName name="FDC_63_156" hidden="1">"#"</definedName>
    <definedName name="FDC_63_157" hidden="1">"#"</definedName>
    <definedName name="FDC_63_158" hidden="1">"#"</definedName>
    <definedName name="FDC_63_159" hidden="1">"#"</definedName>
    <definedName name="FDC_63_16" hidden="1">"#"</definedName>
    <definedName name="FDC_63_160" hidden="1">"#"</definedName>
    <definedName name="FDC_63_161" hidden="1">"#"</definedName>
    <definedName name="FDC_63_162" hidden="1">"#"</definedName>
    <definedName name="FDC_63_163" hidden="1">"#"</definedName>
    <definedName name="FDC_63_164" hidden="1">"#"</definedName>
    <definedName name="FDC_63_165" hidden="1">"#"</definedName>
    <definedName name="FDC_63_166" hidden="1">"#"</definedName>
    <definedName name="FDC_63_167" hidden="1">"#"</definedName>
    <definedName name="FDC_63_168" hidden="1">"#"</definedName>
    <definedName name="FDC_63_169" hidden="1">"#"</definedName>
    <definedName name="FDC_63_17" hidden="1">"#"</definedName>
    <definedName name="FDC_63_170" hidden="1">"#"</definedName>
    <definedName name="FDC_63_171" hidden="1">"#"</definedName>
    <definedName name="FDC_63_172" hidden="1">"#"</definedName>
    <definedName name="FDC_63_173" hidden="1">"#"</definedName>
    <definedName name="FDC_63_174" hidden="1">"#"</definedName>
    <definedName name="FDC_63_175" hidden="1">"#"</definedName>
    <definedName name="FDC_63_176" hidden="1">"#"</definedName>
    <definedName name="FDC_63_177" hidden="1">"#"</definedName>
    <definedName name="FDC_63_178" hidden="1">"#"</definedName>
    <definedName name="FDC_63_179" hidden="1">"#"</definedName>
    <definedName name="FDC_63_18" hidden="1">"#"</definedName>
    <definedName name="FDC_63_180" hidden="1">"#"</definedName>
    <definedName name="FDC_63_181" hidden="1">"#"</definedName>
    <definedName name="FDC_63_182" hidden="1">"#"</definedName>
    <definedName name="FDC_63_183" hidden="1">"#"</definedName>
    <definedName name="FDC_63_184" hidden="1">"#"</definedName>
    <definedName name="FDC_63_185" hidden="1">"#"</definedName>
    <definedName name="FDC_63_186" hidden="1">"#"</definedName>
    <definedName name="FDC_63_187" hidden="1">"#"</definedName>
    <definedName name="FDC_63_188" hidden="1">"#"</definedName>
    <definedName name="FDC_63_189" hidden="1">"#"</definedName>
    <definedName name="FDC_63_19" hidden="1">"#"</definedName>
    <definedName name="FDC_63_190" hidden="1">"#"</definedName>
    <definedName name="FDC_63_191" hidden="1">"#"</definedName>
    <definedName name="FDC_63_192" hidden="1">"#"</definedName>
    <definedName name="FDC_63_193" hidden="1">"#"</definedName>
    <definedName name="FDC_63_194" hidden="1">"#"</definedName>
    <definedName name="FDC_63_195" hidden="1">"#"</definedName>
    <definedName name="FDC_63_196" hidden="1">"#"</definedName>
    <definedName name="FDC_63_197" hidden="1">"#"</definedName>
    <definedName name="FDC_63_198" hidden="1">"#"</definedName>
    <definedName name="FDC_63_199" hidden="1">"#"</definedName>
    <definedName name="FDC_63_2" hidden="1">"#"</definedName>
    <definedName name="FDC_63_20" hidden="1">"#"</definedName>
    <definedName name="FDC_63_200" hidden="1">"#"</definedName>
    <definedName name="FDC_63_201" hidden="1">"#"</definedName>
    <definedName name="FDC_63_202" hidden="1">"#"</definedName>
    <definedName name="FDC_63_203" hidden="1">"#"</definedName>
    <definedName name="FDC_63_204" hidden="1">"#"</definedName>
    <definedName name="FDC_63_205" hidden="1">"#"</definedName>
    <definedName name="FDC_63_206" hidden="1">"#"</definedName>
    <definedName name="FDC_63_207" hidden="1">"#"</definedName>
    <definedName name="FDC_63_208" hidden="1">"#"</definedName>
    <definedName name="FDC_63_209" hidden="1">"#"</definedName>
    <definedName name="FDC_63_21" hidden="1">"#"</definedName>
    <definedName name="FDC_63_210" hidden="1">"#"</definedName>
    <definedName name="FDC_63_211" hidden="1">"#"</definedName>
    <definedName name="FDC_63_212" hidden="1">"#"</definedName>
    <definedName name="FDC_63_213" hidden="1">"#"</definedName>
    <definedName name="FDC_63_214" hidden="1">"#"</definedName>
    <definedName name="FDC_63_215" hidden="1">"#"</definedName>
    <definedName name="FDC_63_216" hidden="1">"#"</definedName>
    <definedName name="FDC_63_217" hidden="1">"#"</definedName>
    <definedName name="FDC_63_218" hidden="1">"#"</definedName>
    <definedName name="FDC_63_219" hidden="1">"#"</definedName>
    <definedName name="FDC_63_22" hidden="1">"#"</definedName>
    <definedName name="FDC_63_220" hidden="1">"#"</definedName>
    <definedName name="FDC_63_221" hidden="1">"#"</definedName>
    <definedName name="FDC_63_222" hidden="1">"#"</definedName>
    <definedName name="FDC_63_223" hidden="1">"#"</definedName>
    <definedName name="FDC_63_224" hidden="1">"#"</definedName>
    <definedName name="FDC_63_225" hidden="1">"#"</definedName>
    <definedName name="FDC_63_226" hidden="1">"#"</definedName>
    <definedName name="FDC_63_227" hidden="1">"#"</definedName>
    <definedName name="FDC_63_228" hidden="1">"#"</definedName>
    <definedName name="FDC_63_229" hidden="1">"#"</definedName>
    <definedName name="FDC_63_23" hidden="1">"#"</definedName>
    <definedName name="FDC_63_230" hidden="1">"#"</definedName>
    <definedName name="FDC_63_231" hidden="1">"#"</definedName>
    <definedName name="FDC_63_232" hidden="1">"#"</definedName>
    <definedName name="FDC_63_233" hidden="1">"#"</definedName>
    <definedName name="FDC_63_234" hidden="1">"#"</definedName>
    <definedName name="FDC_63_235" hidden="1">"#"</definedName>
    <definedName name="FDC_63_236" hidden="1">"#"</definedName>
    <definedName name="FDC_63_237" hidden="1">"#"</definedName>
    <definedName name="FDC_63_238" hidden="1">"#"</definedName>
    <definedName name="FDC_63_239" hidden="1">"#"</definedName>
    <definedName name="FDC_63_24" hidden="1">"#"</definedName>
    <definedName name="FDC_63_240" hidden="1">"#"</definedName>
    <definedName name="FDC_63_241" hidden="1">"#"</definedName>
    <definedName name="FDC_63_242" hidden="1">"#"</definedName>
    <definedName name="FDC_63_243" hidden="1">"#"</definedName>
    <definedName name="FDC_63_244" hidden="1">"#"</definedName>
    <definedName name="FDC_63_245" hidden="1">"#"</definedName>
    <definedName name="FDC_63_246" hidden="1">"#"</definedName>
    <definedName name="FDC_63_247" hidden="1">"#"</definedName>
    <definedName name="FDC_63_248" hidden="1">"#"</definedName>
    <definedName name="FDC_63_249" hidden="1">"#"</definedName>
    <definedName name="FDC_63_25" hidden="1">"#"</definedName>
    <definedName name="FDC_63_250" hidden="1">"#"</definedName>
    <definedName name="FDC_63_251" hidden="1">"#"</definedName>
    <definedName name="FDC_63_252" hidden="1">"#"</definedName>
    <definedName name="FDC_63_253" hidden="1">"#"</definedName>
    <definedName name="FDC_63_254" hidden="1">"#"</definedName>
    <definedName name="FDC_63_255" hidden="1">"#"</definedName>
    <definedName name="FDC_63_256" hidden="1">"#"</definedName>
    <definedName name="FDC_63_257" hidden="1">"#"</definedName>
    <definedName name="FDC_63_258" hidden="1">"#"</definedName>
    <definedName name="FDC_63_259" hidden="1">"#"</definedName>
    <definedName name="FDC_63_26" hidden="1">"#"</definedName>
    <definedName name="FDC_63_260" hidden="1">"#"</definedName>
    <definedName name="FDC_63_261" hidden="1">"#"</definedName>
    <definedName name="FDC_63_27" hidden="1">"#"</definedName>
    <definedName name="FDC_63_28" hidden="1">"#"</definedName>
    <definedName name="FDC_63_29" hidden="1">"#"</definedName>
    <definedName name="FDC_63_3" hidden="1">"#"</definedName>
    <definedName name="FDC_63_30" hidden="1">"#"</definedName>
    <definedName name="FDC_63_31" hidden="1">"#"</definedName>
    <definedName name="FDC_63_32" hidden="1">"#"</definedName>
    <definedName name="FDC_63_33" hidden="1">"#"</definedName>
    <definedName name="FDC_63_34" hidden="1">"#"</definedName>
    <definedName name="FDC_63_35" hidden="1">"#"</definedName>
    <definedName name="FDC_63_36" hidden="1">"#"</definedName>
    <definedName name="FDC_63_37" hidden="1">"#"</definedName>
    <definedName name="FDC_63_38" hidden="1">"#"</definedName>
    <definedName name="FDC_63_39" hidden="1">"#"</definedName>
    <definedName name="FDC_63_4" hidden="1">"#"</definedName>
    <definedName name="FDC_63_40" hidden="1">"#"</definedName>
    <definedName name="FDC_63_41" hidden="1">"#"</definedName>
    <definedName name="FDC_63_42" hidden="1">"#"</definedName>
    <definedName name="FDC_63_43" hidden="1">"#"</definedName>
    <definedName name="FDC_63_44" hidden="1">"#"</definedName>
    <definedName name="FDC_63_45" hidden="1">"#"</definedName>
    <definedName name="FDC_63_46" hidden="1">"#"</definedName>
    <definedName name="FDC_63_47" hidden="1">"#"</definedName>
    <definedName name="FDC_63_48" hidden="1">"#"</definedName>
    <definedName name="FDC_63_49" hidden="1">"#"</definedName>
    <definedName name="FDC_63_5" hidden="1">"#"</definedName>
    <definedName name="FDC_63_50" hidden="1">"#"</definedName>
    <definedName name="FDC_63_51" hidden="1">"#"</definedName>
    <definedName name="FDC_63_52" hidden="1">"#"</definedName>
    <definedName name="FDC_63_53" hidden="1">"#"</definedName>
    <definedName name="FDC_63_54" hidden="1">"#"</definedName>
    <definedName name="FDC_63_55" hidden="1">"#"</definedName>
    <definedName name="FDC_63_56" hidden="1">"#"</definedName>
    <definedName name="FDC_63_57" hidden="1">"#"</definedName>
    <definedName name="FDC_63_58" hidden="1">"#"</definedName>
    <definedName name="FDC_63_59" hidden="1">"#"</definedName>
    <definedName name="FDC_63_6" hidden="1">"#"</definedName>
    <definedName name="FDC_63_60" hidden="1">"#"</definedName>
    <definedName name="FDC_63_61" hidden="1">"#"</definedName>
    <definedName name="FDC_63_62" hidden="1">"#"</definedName>
    <definedName name="FDC_63_63" hidden="1">"#"</definedName>
    <definedName name="FDC_63_64" hidden="1">"#"</definedName>
    <definedName name="FDC_63_65" hidden="1">"#"</definedName>
    <definedName name="FDC_63_66" hidden="1">"#"</definedName>
    <definedName name="FDC_63_67" hidden="1">"#"</definedName>
    <definedName name="FDC_63_68" hidden="1">"#"</definedName>
    <definedName name="FDC_63_69" hidden="1">"#"</definedName>
    <definedName name="FDC_63_7" hidden="1">"#"</definedName>
    <definedName name="FDC_63_70" hidden="1">"#"</definedName>
    <definedName name="FDC_63_71" hidden="1">"#"</definedName>
    <definedName name="FDC_63_72" hidden="1">"#"</definedName>
    <definedName name="FDC_63_73" hidden="1">"#"</definedName>
    <definedName name="FDC_63_74" hidden="1">"#"</definedName>
    <definedName name="FDC_63_75" hidden="1">"#"</definedName>
    <definedName name="FDC_63_76" hidden="1">"#"</definedName>
    <definedName name="FDC_63_77" hidden="1">"#"</definedName>
    <definedName name="FDC_63_78" hidden="1">"#"</definedName>
    <definedName name="FDC_63_79" hidden="1">"#"</definedName>
    <definedName name="FDC_63_8" hidden="1">"#"</definedName>
    <definedName name="FDC_63_80" hidden="1">"#"</definedName>
    <definedName name="FDC_63_81" hidden="1">"#"</definedName>
    <definedName name="FDC_63_82" hidden="1">"#"</definedName>
    <definedName name="FDC_63_83" hidden="1">"#"</definedName>
    <definedName name="FDC_63_84" hidden="1">"#"</definedName>
    <definedName name="FDC_63_85" hidden="1">"#"</definedName>
    <definedName name="FDC_63_86" hidden="1">"#"</definedName>
    <definedName name="FDC_63_87" hidden="1">"#"</definedName>
    <definedName name="FDC_63_88" hidden="1">"#"</definedName>
    <definedName name="FDC_63_89" hidden="1">"#"</definedName>
    <definedName name="FDC_63_9" hidden="1">"#"</definedName>
    <definedName name="FDC_63_90" hidden="1">"#"</definedName>
    <definedName name="FDC_63_91" hidden="1">"#"</definedName>
    <definedName name="FDC_63_92" hidden="1">"#"</definedName>
    <definedName name="FDC_63_93" hidden="1">"#"</definedName>
    <definedName name="FDC_63_94" hidden="1">"#"</definedName>
    <definedName name="FDC_63_95" hidden="1">"#"</definedName>
    <definedName name="FDC_63_96" hidden="1">"#"</definedName>
    <definedName name="FDC_63_97" hidden="1">"#"</definedName>
    <definedName name="FDC_63_98" hidden="1">"#"</definedName>
    <definedName name="FDC_63_99" hidden="1">"#"</definedName>
    <definedName name="FDC_64_0" hidden="1">"#"</definedName>
    <definedName name="FDC_64_1" hidden="1">"#"</definedName>
    <definedName name="FDC_64_10" hidden="1">"#"</definedName>
    <definedName name="FDC_64_100" hidden="1">"#"</definedName>
    <definedName name="FDC_64_101" hidden="1">"#"</definedName>
    <definedName name="FDC_64_102" hidden="1">"#"</definedName>
    <definedName name="FDC_64_103" hidden="1">"#"</definedName>
    <definedName name="FDC_64_104" hidden="1">"#"</definedName>
    <definedName name="FDC_64_105" hidden="1">"#"</definedName>
    <definedName name="FDC_64_106" hidden="1">"#"</definedName>
    <definedName name="FDC_64_107" hidden="1">"#"</definedName>
    <definedName name="FDC_64_108" hidden="1">"#"</definedName>
    <definedName name="FDC_64_109" hidden="1">"#"</definedName>
    <definedName name="FDC_64_11" hidden="1">"#"</definedName>
    <definedName name="FDC_64_110" hidden="1">"#"</definedName>
    <definedName name="FDC_64_111" hidden="1">"#"</definedName>
    <definedName name="FDC_64_112" hidden="1">"#"</definedName>
    <definedName name="FDC_64_113" hidden="1">"#"</definedName>
    <definedName name="FDC_64_114" hidden="1">"#"</definedName>
    <definedName name="FDC_64_115" hidden="1">"#"</definedName>
    <definedName name="FDC_64_116" hidden="1">"#"</definedName>
    <definedName name="FDC_64_117" hidden="1">"#"</definedName>
    <definedName name="FDC_64_118" hidden="1">"#"</definedName>
    <definedName name="FDC_64_119" hidden="1">"#"</definedName>
    <definedName name="FDC_64_12" hidden="1">"#"</definedName>
    <definedName name="FDC_64_120" hidden="1">"#"</definedName>
    <definedName name="FDC_64_121" hidden="1">"#"</definedName>
    <definedName name="FDC_64_122" hidden="1">"#"</definedName>
    <definedName name="FDC_64_123" hidden="1">"#"</definedName>
    <definedName name="FDC_64_124" hidden="1">"#"</definedName>
    <definedName name="FDC_64_125" hidden="1">"#"</definedName>
    <definedName name="FDC_64_126" hidden="1">"#"</definedName>
    <definedName name="FDC_64_127" hidden="1">"#"</definedName>
    <definedName name="FDC_64_128" hidden="1">"#"</definedName>
    <definedName name="FDC_64_129" hidden="1">"#"</definedName>
    <definedName name="FDC_64_13" hidden="1">"#"</definedName>
    <definedName name="FDC_64_130" hidden="1">"#"</definedName>
    <definedName name="FDC_64_131" hidden="1">"#"</definedName>
    <definedName name="FDC_64_132" hidden="1">"#"</definedName>
    <definedName name="FDC_64_133" hidden="1">"#"</definedName>
    <definedName name="FDC_64_134" hidden="1">"#"</definedName>
    <definedName name="FDC_64_135" hidden="1">"#"</definedName>
    <definedName name="FDC_64_136" hidden="1">"#"</definedName>
    <definedName name="FDC_64_137" hidden="1">"#"</definedName>
    <definedName name="FDC_64_138" hidden="1">"#"</definedName>
    <definedName name="FDC_64_139" hidden="1">"#"</definedName>
    <definedName name="FDC_64_14" hidden="1">"#"</definedName>
    <definedName name="FDC_64_140" hidden="1">"#"</definedName>
    <definedName name="FDC_64_141" hidden="1">"#"</definedName>
    <definedName name="FDC_64_142" hidden="1">"#"</definedName>
    <definedName name="FDC_64_143" hidden="1">"#"</definedName>
    <definedName name="FDC_64_144" hidden="1">"#"</definedName>
    <definedName name="FDC_64_145" hidden="1">"#"</definedName>
    <definedName name="FDC_64_146" hidden="1">"#"</definedName>
    <definedName name="FDC_64_147" hidden="1">"#"</definedName>
    <definedName name="FDC_64_148" hidden="1">"#"</definedName>
    <definedName name="FDC_64_149" hidden="1">"#"</definedName>
    <definedName name="FDC_64_15" hidden="1">"#"</definedName>
    <definedName name="FDC_64_150" hidden="1">"#"</definedName>
    <definedName name="FDC_64_151" hidden="1">"#"</definedName>
    <definedName name="FDC_64_152" hidden="1">"#"</definedName>
    <definedName name="FDC_64_153" hidden="1">"#"</definedName>
    <definedName name="FDC_64_154" hidden="1">"#"</definedName>
    <definedName name="FDC_64_155" hidden="1">"#"</definedName>
    <definedName name="FDC_64_156" hidden="1">"#"</definedName>
    <definedName name="FDC_64_157" hidden="1">"#"</definedName>
    <definedName name="FDC_64_158" hidden="1">"#"</definedName>
    <definedName name="FDC_64_159" hidden="1">"#"</definedName>
    <definedName name="FDC_64_16" hidden="1">"#"</definedName>
    <definedName name="FDC_64_160" hidden="1">"#"</definedName>
    <definedName name="FDC_64_161" hidden="1">"#"</definedName>
    <definedName name="FDC_64_162" hidden="1">"#"</definedName>
    <definedName name="FDC_64_163" hidden="1">"#"</definedName>
    <definedName name="FDC_64_164" hidden="1">"#"</definedName>
    <definedName name="FDC_64_165" hidden="1">"#"</definedName>
    <definedName name="FDC_64_166" hidden="1">"#"</definedName>
    <definedName name="FDC_64_167" hidden="1">"#"</definedName>
    <definedName name="FDC_64_168" hidden="1">"#"</definedName>
    <definedName name="FDC_64_169" hidden="1">"#"</definedName>
    <definedName name="FDC_64_17" hidden="1">"#"</definedName>
    <definedName name="FDC_64_170" hidden="1">"#"</definedName>
    <definedName name="FDC_64_171" hidden="1">"#"</definedName>
    <definedName name="FDC_64_172" hidden="1">"#"</definedName>
    <definedName name="FDC_64_173" hidden="1">"#"</definedName>
    <definedName name="FDC_64_174" hidden="1">"#"</definedName>
    <definedName name="FDC_64_175" hidden="1">"#"</definedName>
    <definedName name="FDC_64_176" hidden="1">"#"</definedName>
    <definedName name="FDC_64_177" hidden="1">"#"</definedName>
    <definedName name="FDC_64_178" hidden="1">"#"</definedName>
    <definedName name="FDC_64_179" hidden="1">"#"</definedName>
    <definedName name="FDC_64_18" hidden="1">"#"</definedName>
    <definedName name="FDC_64_180" hidden="1">"#"</definedName>
    <definedName name="FDC_64_181" hidden="1">"#"</definedName>
    <definedName name="FDC_64_182" hidden="1">"#"</definedName>
    <definedName name="FDC_64_183" hidden="1">"#"</definedName>
    <definedName name="FDC_64_184" hidden="1">"#"</definedName>
    <definedName name="FDC_64_185" hidden="1">"#"</definedName>
    <definedName name="FDC_64_186" hidden="1">"#"</definedName>
    <definedName name="FDC_64_187" hidden="1">"#"</definedName>
    <definedName name="FDC_64_188" hidden="1">"#"</definedName>
    <definedName name="FDC_64_189" hidden="1">"#"</definedName>
    <definedName name="FDC_64_19" hidden="1">"#"</definedName>
    <definedName name="FDC_64_190" hidden="1">"#"</definedName>
    <definedName name="FDC_64_191" hidden="1">"#"</definedName>
    <definedName name="FDC_64_192" hidden="1">"#"</definedName>
    <definedName name="FDC_64_193" hidden="1">"#"</definedName>
    <definedName name="FDC_64_194" hidden="1">"#"</definedName>
    <definedName name="FDC_64_195" hidden="1">"#"</definedName>
    <definedName name="FDC_64_196" hidden="1">"#"</definedName>
    <definedName name="FDC_64_197" hidden="1">"#"</definedName>
    <definedName name="FDC_64_198" hidden="1">"#"</definedName>
    <definedName name="FDC_64_199" hidden="1">"#"</definedName>
    <definedName name="FDC_64_2" hidden="1">"#"</definedName>
    <definedName name="FDC_64_20" hidden="1">"#"</definedName>
    <definedName name="FDC_64_200" hidden="1">"#"</definedName>
    <definedName name="FDC_64_201" hidden="1">"#"</definedName>
    <definedName name="FDC_64_202" hidden="1">"#"</definedName>
    <definedName name="FDC_64_203" hidden="1">"#"</definedName>
    <definedName name="FDC_64_204" hidden="1">"#"</definedName>
    <definedName name="FDC_64_205" hidden="1">"#"</definedName>
    <definedName name="FDC_64_206" hidden="1">"#"</definedName>
    <definedName name="FDC_64_207" hidden="1">"#"</definedName>
    <definedName name="FDC_64_208" hidden="1">"#"</definedName>
    <definedName name="FDC_64_209" hidden="1">"#"</definedName>
    <definedName name="FDC_64_21" hidden="1">"#"</definedName>
    <definedName name="FDC_64_210" hidden="1">"#"</definedName>
    <definedName name="FDC_64_211" hidden="1">"#"</definedName>
    <definedName name="FDC_64_212" hidden="1">"#"</definedName>
    <definedName name="FDC_64_213" hidden="1">"#"</definedName>
    <definedName name="FDC_64_214" hidden="1">"#"</definedName>
    <definedName name="FDC_64_215" hidden="1">"#"</definedName>
    <definedName name="FDC_64_216" hidden="1">"#"</definedName>
    <definedName name="FDC_64_217" hidden="1">"#"</definedName>
    <definedName name="FDC_64_218" hidden="1">"#"</definedName>
    <definedName name="FDC_64_219" hidden="1">"#"</definedName>
    <definedName name="FDC_64_22" hidden="1">"#"</definedName>
    <definedName name="FDC_64_220" hidden="1">"#"</definedName>
    <definedName name="FDC_64_221" hidden="1">"#"</definedName>
    <definedName name="FDC_64_222" hidden="1">"#"</definedName>
    <definedName name="FDC_64_223" hidden="1">"#"</definedName>
    <definedName name="FDC_64_224" hidden="1">"#"</definedName>
    <definedName name="FDC_64_225" hidden="1">"#"</definedName>
    <definedName name="FDC_64_226" hidden="1">"#"</definedName>
    <definedName name="FDC_64_227" hidden="1">"#"</definedName>
    <definedName name="FDC_64_228" hidden="1">"#"</definedName>
    <definedName name="FDC_64_229" hidden="1">"#"</definedName>
    <definedName name="FDC_64_23" hidden="1">"#"</definedName>
    <definedName name="FDC_64_230" hidden="1">"#"</definedName>
    <definedName name="FDC_64_231" hidden="1">"#"</definedName>
    <definedName name="FDC_64_232" hidden="1">"#"</definedName>
    <definedName name="FDC_64_233" hidden="1">"#"</definedName>
    <definedName name="FDC_64_234" hidden="1">"#"</definedName>
    <definedName name="FDC_64_235" hidden="1">"#"</definedName>
    <definedName name="FDC_64_236" hidden="1">"#"</definedName>
    <definedName name="FDC_64_237" hidden="1">"#"</definedName>
    <definedName name="FDC_64_238" hidden="1">"#"</definedName>
    <definedName name="FDC_64_239" hidden="1">"#"</definedName>
    <definedName name="FDC_64_24" hidden="1">"#"</definedName>
    <definedName name="FDC_64_240" hidden="1">"#"</definedName>
    <definedName name="FDC_64_241" hidden="1">"#"</definedName>
    <definedName name="FDC_64_242" hidden="1">"#"</definedName>
    <definedName name="FDC_64_243" hidden="1">"#"</definedName>
    <definedName name="FDC_64_244" hidden="1">"#"</definedName>
    <definedName name="FDC_64_245" hidden="1">"#"</definedName>
    <definedName name="FDC_64_246" hidden="1">"#"</definedName>
    <definedName name="FDC_64_247" hidden="1">"#"</definedName>
    <definedName name="FDC_64_248" hidden="1">"#"</definedName>
    <definedName name="FDC_64_249" hidden="1">"#"</definedName>
    <definedName name="FDC_64_25" hidden="1">"#"</definedName>
    <definedName name="FDC_64_250" hidden="1">"#"</definedName>
    <definedName name="FDC_64_251" hidden="1">"#"</definedName>
    <definedName name="FDC_64_252" hidden="1">"#"</definedName>
    <definedName name="FDC_64_253" hidden="1">"#"</definedName>
    <definedName name="FDC_64_254" hidden="1">"#"</definedName>
    <definedName name="FDC_64_255" hidden="1">"#"</definedName>
    <definedName name="FDC_64_256" hidden="1">"#"</definedName>
    <definedName name="FDC_64_257" hidden="1">"#"</definedName>
    <definedName name="FDC_64_258" hidden="1">"#"</definedName>
    <definedName name="FDC_64_259" hidden="1">"#"</definedName>
    <definedName name="FDC_64_26" hidden="1">"#"</definedName>
    <definedName name="FDC_64_260" hidden="1">"#"</definedName>
    <definedName name="FDC_64_261" hidden="1">"#"</definedName>
    <definedName name="FDC_64_27" hidden="1">"#"</definedName>
    <definedName name="FDC_64_28" hidden="1">"#"</definedName>
    <definedName name="FDC_64_29" hidden="1">"#"</definedName>
    <definedName name="FDC_64_3" hidden="1">"#"</definedName>
    <definedName name="FDC_64_30" hidden="1">"#"</definedName>
    <definedName name="FDC_64_31" hidden="1">"#"</definedName>
    <definedName name="FDC_64_32" hidden="1">"#"</definedName>
    <definedName name="FDC_64_33" hidden="1">"#"</definedName>
    <definedName name="FDC_64_34" hidden="1">"#"</definedName>
    <definedName name="FDC_64_35" hidden="1">"#"</definedName>
    <definedName name="FDC_64_36" hidden="1">"#"</definedName>
    <definedName name="FDC_64_37" hidden="1">"#"</definedName>
    <definedName name="FDC_64_38" hidden="1">"#"</definedName>
    <definedName name="FDC_64_39" hidden="1">"#"</definedName>
    <definedName name="FDC_64_4" hidden="1">"#"</definedName>
    <definedName name="FDC_64_40" hidden="1">"#"</definedName>
    <definedName name="FDC_64_41" hidden="1">"#"</definedName>
    <definedName name="FDC_64_42" hidden="1">"#"</definedName>
    <definedName name="FDC_64_43" hidden="1">"#"</definedName>
    <definedName name="FDC_64_44" hidden="1">"#"</definedName>
    <definedName name="FDC_64_45" hidden="1">"#"</definedName>
    <definedName name="FDC_64_46" hidden="1">"#"</definedName>
    <definedName name="FDC_64_47" hidden="1">"#"</definedName>
    <definedName name="FDC_64_48" hidden="1">"#"</definedName>
    <definedName name="FDC_64_49" hidden="1">"#"</definedName>
    <definedName name="FDC_64_5" hidden="1">"#"</definedName>
    <definedName name="FDC_64_50" hidden="1">"#"</definedName>
    <definedName name="FDC_64_51" hidden="1">"#"</definedName>
    <definedName name="FDC_64_52" hidden="1">"#"</definedName>
    <definedName name="FDC_64_53" hidden="1">"#"</definedName>
    <definedName name="FDC_64_54" hidden="1">"#"</definedName>
    <definedName name="FDC_64_55" hidden="1">"#"</definedName>
    <definedName name="FDC_64_56" hidden="1">"#"</definedName>
    <definedName name="FDC_64_57" hidden="1">"#"</definedName>
    <definedName name="FDC_64_58" hidden="1">"#"</definedName>
    <definedName name="FDC_64_59" hidden="1">"#"</definedName>
    <definedName name="FDC_64_6" hidden="1">"#"</definedName>
    <definedName name="FDC_64_60" hidden="1">"#"</definedName>
    <definedName name="FDC_64_61" hidden="1">"#"</definedName>
    <definedName name="FDC_64_62" hidden="1">"#"</definedName>
    <definedName name="FDC_64_63" hidden="1">"#"</definedName>
    <definedName name="FDC_64_64" hidden="1">"#"</definedName>
    <definedName name="FDC_64_65" hidden="1">"#"</definedName>
    <definedName name="FDC_64_66" hidden="1">"#"</definedName>
    <definedName name="FDC_64_67" hidden="1">"#"</definedName>
    <definedName name="FDC_64_68" hidden="1">"#"</definedName>
    <definedName name="FDC_64_69" hidden="1">"#"</definedName>
    <definedName name="FDC_64_7" hidden="1">"#"</definedName>
    <definedName name="FDC_64_70" hidden="1">"#"</definedName>
    <definedName name="FDC_64_71" hidden="1">"#"</definedName>
    <definedName name="FDC_64_72" hidden="1">"#"</definedName>
    <definedName name="FDC_64_73" hidden="1">"#"</definedName>
    <definedName name="FDC_64_74" hidden="1">"#"</definedName>
    <definedName name="FDC_64_75" hidden="1">"#"</definedName>
    <definedName name="FDC_64_76" hidden="1">"#"</definedName>
    <definedName name="FDC_64_77" hidden="1">"#"</definedName>
    <definedName name="FDC_64_78" hidden="1">"#"</definedName>
    <definedName name="FDC_64_79" hidden="1">"#"</definedName>
    <definedName name="FDC_64_8" hidden="1">"#"</definedName>
    <definedName name="FDC_64_80" hidden="1">"#"</definedName>
    <definedName name="FDC_64_81" hidden="1">"#"</definedName>
    <definedName name="FDC_64_82" hidden="1">"#"</definedName>
    <definedName name="FDC_64_83" hidden="1">"#"</definedName>
    <definedName name="FDC_64_84" hidden="1">"#"</definedName>
    <definedName name="FDC_64_85" hidden="1">"#"</definedName>
    <definedName name="FDC_64_86" hidden="1">"#"</definedName>
    <definedName name="FDC_64_87" hidden="1">"#"</definedName>
    <definedName name="FDC_64_88" hidden="1">"#"</definedName>
    <definedName name="FDC_64_89" hidden="1">"#"</definedName>
    <definedName name="FDC_64_9" hidden="1">"#"</definedName>
    <definedName name="FDC_64_90" hidden="1">"#"</definedName>
    <definedName name="FDC_64_91" hidden="1">"#"</definedName>
    <definedName name="FDC_64_92" hidden="1">"#"</definedName>
    <definedName name="FDC_64_93" hidden="1">"#"</definedName>
    <definedName name="FDC_64_94" hidden="1">"#"</definedName>
    <definedName name="FDC_64_95" hidden="1">"#"</definedName>
    <definedName name="FDC_64_96" hidden="1">"#"</definedName>
    <definedName name="FDC_64_97" hidden="1">"#"</definedName>
    <definedName name="FDC_64_98" hidden="1">"#"</definedName>
    <definedName name="FDC_64_99" hidden="1">"#"</definedName>
    <definedName name="FDC_65_0" hidden="1">"#"</definedName>
    <definedName name="FDC_7_0" hidden="1">"#"</definedName>
    <definedName name="FDC_7_1" hidden="1">"#"</definedName>
    <definedName name="FDC_7_2" hidden="1">"#"</definedName>
    <definedName name="FDC_7_3" hidden="1">"#"</definedName>
    <definedName name="FDC_8_0" hidden="1">"#"</definedName>
    <definedName name="FDC_8_1" hidden="1">"#"</definedName>
    <definedName name="FDC_8_2" hidden="1">"#"</definedName>
    <definedName name="FDC_8_3" hidden="1">"#"</definedName>
    <definedName name="FDC_9_0" hidden="1">"#"</definedName>
    <definedName name="FDC_9_1" hidden="1">"#"</definedName>
    <definedName name="FDC_9_2" hidden="1">"#"</definedName>
    <definedName name="FDC_9_3" hidden="1">"#"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_1" hidden="1">"A35795"</definedName>
    <definedName name="FDD_10_2" hidden="1">"A36160"</definedName>
    <definedName name="FDD_10_3" hidden="1">"E36525"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_1" hidden="1">"E35795"</definedName>
    <definedName name="FDD_11_2" hidden="1">"E36160"</definedName>
    <definedName name="FDD_11_3" hidden="1">"E36525"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_1" hidden="1">"E35795"</definedName>
    <definedName name="FDD_12_2" hidden="1">"E36160"</definedName>
    <definedName name="FDD_12_3" hidden="1">"E36525"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_1" hidden="1">"A35795"</definedName>
    <definedName name="FDD_19_2" hidden="1">"E36160"</definedName>
    <definedName name="FDD_19_3" hidden="1">"E36525"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_1" hidden="1">"U35795"</definedName>
    <definedName name="FDD_25_2" hidden="1">"U36160"</definedName>
    <definedName name="FDD_25_3" hidden="1">"U36525"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1_1" hidden="1">"A35795"</definedName>
    <definedName name="FDD_41_2" hidden="1">"E36160"</definedName>
    <definedName name="FDD_41_3" hidden="1">"E36525"</definedName>
    <definedName name="FDD_42_0" hidden="1">"U25569"</definedName>
    <definedName name="FDD_42_1" hidden="1">"U35795"</definedName>
    <definedName name="FDD_42_2" hidden="1">"U36160"</definedName>
    <definedName name="FDD_42_3" hidden="1">"U36525"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_1" hidden="1">"E35795"</definedName>
    <definedName name="FDD_5_2" hidden="1">"E36160"</definedName>
    <definedName name="FDD_5_3" hidden="1">"E36525"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00" hidden="1">"A35044"</definedName>
    <definedName name="FDD_58_101" hidden="1">"A35051"</definedName>
    <definedName name="FDD_58_102" hidden="1">"A35058"</definedName>
    <definedName name="FDD_58_103" hidden="1">"A35065"</definedName>
    <definedName name="FDD_58_104" hidden="1">"A35072"</definedName>
    <definedName name="FDD_58_105" hidden="1">"A35079"</definedName>
    <definedName name="FDD_58_106" hidden="1">"A35086"</definedName>
    <definedName name="FDD_58_107" hidden="1">"A35093"</definedName>
    <definedName name="FDD_58_108" hidden="1">"A35100"</definedName>
    <definedName name="FDD_58_109" hidden="1">"A35107"</definedName>
    <definedName name="FDD_58_11" hidden="1">"A34699"</definedName>
    <definedName name="FDD_58_110" hidden="1">"A35114"</definedName>
    <definedName name="FDD_58_111" hidden="1">"A35121"</definedName>
    <definedName name="FDD_58_112" hidden="1">"A35128"</definedName>
    <definedName name="FDD_58_113" hidden="1">"A35135"</definedName>
    <definedName name="FDD_58_114" hidden="1">"A35142"</definedName>
    <definedName name="FDD_58_115" hidden="1">"A35149"</definedName>
    <definedName name="FDD_58_116" hidden="1">"A35156"</definedName>
    <definedName name="FDD_58_117" hidden="1">"A35162"</definedName>
    <definedName name="FDD_58_118" hidden="1">"A35170"</definedName>
    <definedName name="FDD_58_119" hidden="1">"A35177"</definedName>
    <definedName name="FDD_58_12" hidden="1">"A35064"</definedName>
    <definedName name="FDD_58_120" hidden="1">"A35184"</definedName>
    <definedName name="FDD_58_121" hidden="1">"A35191"</definedName>
    <definedName name="FDD_58_122" hidden="1">"A35198"</definedName>
    <definedName name="FDD_58_123" hidden="1">"A35205"</definedName>
    <definedName name="FDD_58_124" hidden="1">"A35212"</definedName>
    <definedName name="FDD_58_125" hidden="1">"A35219"</definedName>
    <definedName name="FDD_58_126" hidden="1">"A35226"</definedName>
    <definedName name="FDD_58_127" hidden="1">"A35233"</definedName>
    <definedName name="FDD_58_128" hidden="1">"A35240"</definedName>
    <definedName name="FDD_58_129" hidden="1">"A35247"</definedName>
    <definedName name="FDD_58_13" hidden="1">"A35430"</definedName>
    <definedName name="FDD_58_130" hidden="1">"A35254"</definedName>
    <definedName name="FDD_58_131" hidden="1">"A35261"</definedName>
    <definedName name="FDD_58_132" hidden="1">"A35268"</definedName>
    <definedName name="FDD_58_133" hidden="1">"A35275"</definedName>
    <definedName name="FDD_58_134" hidden="1">"A35282"</definedName>
    <definedName name="FDD_58_135" hidden="1">"A35289"</definedName>
    <definedName name="FDD_58_136" hidden="1">"A35296"</definedName>
    <definedName name="FDD_58_137" hidden="1">"A35303"</definedName>
    <definedName name="FDD_58_138" hidden="1">"A35310"</definedName>
    <definedName name="FDD_58_139" hidden="1">"A35317"</definedName>
    <definedName name="FDD_58_14" hidden="1">"A35795"</definedName>
    <definedName name="FDD_58_140" hidden="1">"A35324"</definedName>
    <definedName name="FDD_58_141" hidden="1">"A35331"</definedName>
    <definedName name="FDD_58_142" hidden="1">"A35338"</definedName>
    <definedName name="FDD_58_143" hidden="1">"A35345"</definedName>
    <definedName name="FDD_58_144" hidden="1">"A35352"</definedName>
    <definedName name="FDD_58_145" hidden="1">"A35359"</definedName>
    <definedName name="FDD_58_146" hidden="1">"A35366"</definedName>
    <definedName name="FDD_58_147" hidden="1">"A35373"</definedName>
    <definedName name="FDD_58_148" hidden="1">"A35380"</definedName>
    <definedName name="FDD_58_149" hidden="1">"A35387"</definedName>
    <definedName name="FDD_58_15" hidden="1">"A34449"</definedName>
    <definedName name="FDD_58_150" hidden="1">"A35394"</definedName>
    <definedName name="FDD_58_151" hidden="1">"A35401"</definedName>
    <definedName name="FDD_58_152" hidden="1">"A35408"</definedName>
    <definedName name="FDD_58_153" hidden="1">"A35415"</definedName>
    <definedName name="FDD_58_154" hidden="1">"A35422"</definedName>
    <definedName name="FDD_58_155" hidden="1">"A35429"</definedName>
    <definedName name="FDD_58_156" hidden="1">"A35436"</definedName>
    <definedName name="FDD_58_157" hidden="1">"A35443"</definedName>
    <definedName name="FDD_58_158" hidden="1">"A35450"</definedName>
    <definedName name="FDD_58_159" hidden="1">"A35457"</definedName>
    <definedName name="FDD_58_16" hidden="1">"A34456"</definedName>
    <definedName name="FDD_58_160" hidden="1">"A35464"</definedName>
    <definedName name="FDD_58_161" hidden="1">"A35471"</definedName>
    <definedName name="FDD_58_162" hidden="1">"A35478"</definedName>
    <definedName name="FDD_58_163" hidden="1">"A35485"</definedName>
    <definedName name="FDD_58_164" hidden="1">"A35492"</definedName>
    <definedName name="FDD_58_165" hidden="1">"A35499"</definedName>
    <definedName name="FDD_58_166" hidden="1">"A35506"</definedName>
    <definedName name="FDD_58_167" hidden="1">"A35513"</definedName>
    <definedName name="FDD_58_168" hidden="1">"A35520"</definedName>
    <definedName name="FDD_58_169" hidden="1">"A35527"</definedName>
    <definedName name="FDD_58_17" hidden="1">"A34463"</definedName>
    <definedName name="FDD_58_170" hidden="1">"A35534"</definedName>
    <definedName name="FDD_58_171" hidden="1">"A35541"</definedName>
    <definedName name="FDD_58_172" hidden="1">"A35548"</definedName>
    <definedName name="FDD_58_173" hidden="1">"A35555"</definedName>
    <definedName name="FDD_58_174" hidden="1">"A35562"</definedName>
    <definedName name="FDD_58_175" hidden="1">"A35569"</definedName>
    <definedName name="FDD_58_176" hidden="1">"A35576"</definedName>
    <definedName name="FDD_58_177" hidden="1">"A35583"</definedName>
    <definedName name="FDD_58_178" hidden="1">"A35590"</definedName>
    <definedName name="FDD_58_179" hidden="1">"A35597"</definedName>
    <definedName name="FDD_58_18" hidden="1">"A34470"</definedName>
    <definedName name="FDD_58_180" hidden="1">"A35604"</definedName>
    <definedName name="FDD_58_181" hidden="1">"A35611"</definedName>
    <definedName name="FDD_58_182" hidden="1">"A35618"</definedName>
    <definedName name="FDD_58_183" hidden="1">"A35625"</definedName>
    <definedName name="FDD_58_184" hidden="1">"A35632"</definedName>
    <definedName name="FDD_58_185" hidden="1">"A35639"</definedName>
    <definedName name="FDD_58_186" hidden="1">"A35646"</definedName>
    <definedName name="FDD_58_187" hidden="1">"A35653"</definedName>
    <definedName name="FDD_58_188" hidden="1">"A35660"</definedName>
    <definedName name="FDD_58_189" hidden="1">"A35667"</definedName>
    <definedName name="FDD_58_19" hidden="1">"A34477"</definedName>
    <definedName name="FDD_58_190" hidden="1">"A35674"</definedName>
    <definedName name="FDD_58_191" hidden="1">"A35681"</definedName>
    <definedName name="FDD_58_192" hidden="1">"A35688"</definedName>
    <definedName name="FDD_58_193" hidden="1">"A35695"</definedName>
    <definedName name="FDD_58_194" hidden="1">"A35702"</definedName>
    <definedName name="FDD_58_195" hidden="1">"A35709"</definedName>
    <definedName name="FDD_58_196" hidden="1">"A35716"</definedName>
    <definedName name="FDD_58_197" hidden="1">"A35723"</definedName>
    <definedName name="FDD_58_198" hidden="1">"A35730"</definedName>
    <definedName name="FDD_58_199" hidden="1">"A35737"</definedName>
    <definedName name="FDD_58_2" hidden="1">"A31412"</definedName>
    <definedName name="FDD_58_20" hidden="1">"A34484"</definedName>
    <definedName name="FDD_58_200" hidden="1">"A35744"</definedName>
    <definedName name="FDD_58_201" hidden="1">"A35751"</definedName>
    <definedName name="FDD_58_202" hidden="1">"A35758"</definedName>
    <definedName name="FDD_58_203" hidden="1">"A35765"</definedName>
    <definedName name="FDD_58_204" hidden="1">"A35772"</definedName>
    <definedName name="FDD_58_205" hidden="1">"A35779"</definedName>
    <definedName name="FDD_58_206" hidden="1">"A35786"</definedName>
    <definedName name="FDD_58_207" hidden="1">"A35793"</definedName>
    <definedName name="FDD_58_208" hidden="1">"A35800"</definedName>
    <definedName name="FDD_58_209" hidden="1">"A35807"</definedName>
    <definedName name="FDD_58_21" hidden="1">"A34491"</definedName>
    <definedName name="FDD_58_210" hidden="1">"A35814"</definedName>
    <definedName name="FDD_58_211" hidden="1">"A35821"</definedName>
    <definedName name="FDD_58_212" hidden="1">"A35828"</definedName>
    <definedName name="FDD_58_213" hidden="1">"A35835"</definedName>
    <definedName name="FDD_58_214" hidden="1">"A35842"</definedName>
    <definedName name="FDD_58_215" hidden="1">"A35849"</definedName>
    <definedName name="FDD_58_216" hidden="1">"A35856"</definedName>
    <definedName name="FDD_58_217" hidden="1">"A35863"</definedName>
    <definedName name="FDD_58_218" hidden="1">"A35870"</definedName>
    <definedName name="FDD_58_219" hidden="1">"A35877"</definedName>
    <definedName name="FDD_58_22" hidden="1">"A34498"</definedName>
    <definedName name="FDD_58_220" hidden="1">"A35884"</definedName>
    <definedName name="FDD_58_221" hidden="1">"A35891"</definedName>
    <definedName name="FDD_58_222" hidden="1">"A35898"</definedName>
    <definedName name="FDD_58_223" hidden="1">"A35905"</definedName>
    <definedName name="FDD_58_224" hidden="1">"A35912"</definedName>
    <definedName name="FDD_58_225" hidden="1">"A35919"</definedName>
    <definedName name="FDD_58_226" hidden="1">"A35926"</definedName>
    <definedName name="FDD_58_227" hidden="1">"A35933"</definedName>
    <definedName name="FDD_58_228" hidden="1">"A35940"</definedName>
    <definedName name="FDD_58_229" hidden="1">"A35947"</definedName>
    <definedName name="FDD_58_23" hidden="1">"A34505"</definedName>
    <definedName name="FDD_58_230" hidden="1">"A35954"</definedName>
    <definedName name="FDD_58_231" hidden="1">"A35961"</definedName>
    <definedName name="FDD_58_232" hidden="1">"A35968"</definedName>
    <definedName name="FDD_58_233" hidden="1">"A35975"</definedName>
    <definedName name="FDD_58_234" hidden="1">"A35982"</definedName>
    <definedName name="FDD_58_235" hidden="1">"A35989"</definedName>
    <definedName name="FDD_58_236" hidden="1">"A35996"</definedName>
    <definedName name="FDD_58_237" hidden="1">"A36003"</definedName>
    <definedName name="FDD_58_238" hidden="1">"A36010"</definedName>
    <definedName name="FDD_58_239" hidden="1">"A36017"</definedName>
    <definedName name="FDD_58_24" hidden="1">"A34512"</definedName>
    <definedName name="FDD_58_240" hidden="1">"A36024"</definedName>
    <definedName name="FDD_58_241" hidden="1">"A36031"</definedName>
    <definedName name="FDD_58_242" hidden="1">"A36038"</definedName>
    <definedName name="FDD_58_243" hidden="1">"A36045"</definedName>
    <definedName name="FDD_58_244" hidden="1">"A36052"</definedName>
    <definedName name="FDD_58_245" hidden="1">"A36059"</definedName>
    <definedName name="FDD_58_246" hidden="1">"A36066"</definedName>
    <definedName name="FDD_58_247" hidden="1">"A36073"</definedName>
    <definedName name="FDD_58_248" hidden="1">"A36080"</definedName>
    <definedName name="FDD_58_249" hidden="1">"A36087"</definedName>
    <definedName name="FDD_58_25" hidden="1">"A34519"</definedName>
    <definedName name="FDD_58_250" hidden="1">"A36094"</definedName>
    <definedName name="FDD_58_251" hidden="1">"A36101"</definedName>
    <definedName name="FDD_58_252" hidden="1">"A36108"</definedName>
    <definedName name="FDD_58_253" hidden="1">"A36115"</definedName>
    <definedName name="FDD_58_254" hidden="1">"A36122"</definedName>
    <definedName name="FDD_58_255" hidden="1">"A36129"</definedName>
    <definedName name="FDD_58_256" hidden="1">"A36136"</definedName>
    <definedName name="FDD_58_257" hidden="1">"A36143"</definedName>
    <definedName name="FDD_58_258" hidden="1">"A36150"</definedName>
    <definedName name="FDD_58_259" hidden="1">"A36157"</definedName>
    <definedName name="FDD_58_26" hidden="1">"A34526"</definedName>
    <definedName name="FDD_58_260" hidden="1">"A36164"</definedName>
    <definedName name="FDD_58_27" hidden="1">"A34533"</definedName>
    <definedName name="FDD_58_28" hidden="1">"A34540"</definedName>
    <definedName name="FDD_58_29" hidden="1">"A34547"</definedName>
    <definedName name="FDD_58_3" hidden="1">"A31777"</definedName>
    <definedName name="FDD_58_30" hidden="1">"A34554"</definedName>
    <definedName name="FDD_58_31" hidden="1">"A34561"</definedName>
    <definedName name="FDD_58_32" hidden="1">"A34568"</definedName>
    <definedName name="FDD_58_33" hidden="1">"A34575"</definedName>
    <definedName name="FDD_58_34" hidden="1">"A34582"</definedName>
    <definedName name="FDD_58_35" hidden="1">"A34589"</definedName>
    <definedName name="FDD_58_36" hidden="1">"A34596"</definedName>
    <definedName name="FDD_58_37" hidden="1">"A34603"</definedName>
    <definedName name="FDD_58_38" hidden="1">"A34610"</definedName>
    <definedName name="FDD_58_39" hidden="1">"A34617"</definedName>
    <definedName name="FDD_58_4" hidden="1">"A32142"</definedName>
    <definedName name="FDD_58_40" hidden="1">"A34624"</definedName>
    <definedName name="FDD_58_41" hidden="1">"A34631"</definedName>
    <definedName name="FDD_58_42" hidden="1">"A34638"</definedName>
    <definedName name="FDD_58_43" hidden="1">"A34645"</definedName>
    <definedName name="FDD_58_44" hidden="1">"A34652"</definedName>
    <definedName name="FDD_58_45" hidden="1">"A34659"</definedName>
    <definedName name="FDD_58_46" hidden="1">"A34666"</definedName>
    <definedName name="FDD_58_47" hidden="1">"A34673"</definedName>
    <definedName name="FDD_58_48" hidden="1">"A34680"</definedName>
    <definedName name="FDD_58_49" hidden="1">"A34687"</definedName>
    <definedName name="FDD_58_5" hidden="1">"A32508"</definedName>
    <definedName name="FDD_58_50" hidden="1">"A34694"</definedName>
    <definedName name="FDD_58_51" hidden="1">"A34701"</definedName>
    <definedName name="FDD_58_52" hidden="1">"A34708"</definedName>
    <definedName name="FDD_58_53" hidden="1">"A34715"</definedName>
    <definedName name="FDD_58_54" hidden="1">"A34722"</definedName>
    <definedName name="FDD_58_55" hidden="1">"A34729"</definedName>
    <definedName name="FDD_58_56" hidden="1">"A34736"</definedName>
    <definedName name="FDD_58_57" hidden="1">"A34743"</definedName>
    <definedName name="FDD_58_58" hidden="1">"A34750"</definedName>
    <definedName name="FDD_58_59" hidden="1">"A34757"</definedName>
    <definedName name="FDD_58_6" hidden="1">"A32873"</definedName>
    <definedName name="FDD_58_60" hidden="1">"A34764"</definedName>
    <definedName name="FDD_58_61" hidden="1">"A34771"</definedName>
    <definedName name="FDD_58_62" hidden="1">"A34778"</definedName>
    <definedName name="FDD_58_63" hidden="1">"A34785"</definedName>
    <definedName name="FDD_58_64" hidden="1">"A34792"</definedName>
    <definedName name="FDD_58_65" hidden="1">"A34799"</definedName>
    <definedName name="FDD_58_66" hidden="1">"A34806"</definedName>
    <definedName name="FDD_58_67" hidden="1">"A34813"</definedName>
    <definedName name="FDD_58_68" hidden="1">"A34820"</definedName>
    <definedName name="FDD_58_69" hidden="1">"A34827"</definedName>
    <definedName name="FDD_58_7" hidden="1">"A33238"</definedName>
    <definedName name="FDD_58_70" hidden="1">"A34834"</definedName>
    <definedName name="FDD_58_71" hidden="1">"A34841"</definedName>
    <definedName name="FDD_58_72" hidden="1">"A34848"</definedName>
    <definedName name="FDD_58_73" hidden="1">"A34855"</definedName>
    <definedName name="FDD_58_74" hidden="1">"A34862"</definedName>
    <definedName name="FDD_58_75" hidden="1">"A34869"</definedName>
    <definedName name="FDD_58_76" hidden="1">"A34876"</definedName>
    <definedName name="FDD_58_77" hidden="1">"A34883"</definedName>
    <definedName name="FDD_58_78" hidden="1">"A34890"</definedName>
    <definedName name="FDD_58_79" hidden="1">"A34897"</definedName>
    <definedName name="FDD_58_8" hidden="1">"A33603"</definedName>
    <definedName name="FDD_58_80" hidden="1">"A34904"</definedName>
    <definedName name="FDD_58_81" hidden="1">"A34911"</definedName>
    <definedName name="FDD_58_82" hidden="1">"A34918"</definedName>
    <definedName name="FDD_58_83" hidden="1">"A34925"</definedName>
    <definedName name="FDD_58_84" hidden="1">"A34932"</definedName>
    <definedName name="FDD_58_85" hidden="1">"A34939"</definedName>
    <definedName name="FDD_58_86" hidden="1">"A34946"</definedName>
    <definedName name="FDD_58_87" hidden="1">"A34953"</definedName>
    <definedName name="FDD_58_88" hidden="1">"A34960"</definedName>
    <definedName name="FDD_58_89" hidden="1">"A34967"</definedName>
    <definedName name="FDD_58_9" hidden="1">"A33969"</definedName>
    <definedName name="FDD_58_90" hidden="1">"A34974"</definedName>
    <definedName name="FDD_58_91" hidden="1">"A34981"</definedName>
    <definedName name="FDD_58_92" hidden="1">"A34988"</definedName>
    <definedName name="FDD_58_93" hidden="1">"A34995"</definedName>
    <definedName name="FDD_58_94" hidden="1">"A35002"</definedName>
    <definedName name="FDD_58_95" hidden="1">"A35009"</definedName>
    <definedName name="FDD_58_96" hidden="1">"A35016"</definedName>
    <definedName name="FDD_58_97" hidden="1">"A35023"</definedName>
    <definedName name="FDD_58_98" hidden="1">"A35030"</definedName>
    <definedName name="FDD_58_99" hidden="1">"A35037"</definedName>
    <definedName name="FDD_59_0" hidden="1">"A30681"</definedName>
    <definedName name="FDD_59_1" hidden="1">"A31047"</definedName>
    <definedName name="FDD_59_10" hidden="1">"A34334"</definedName>
    <definedName name="FDD_59_100" hidden="1">"A35044"</definedName>
    <definedName name="FDD_59_101" hidden="1">"A35051"</definedName>
    <definedName name="FDD_59_102" hidden="1">"A35059"</definedName>
    <definedName name="FDD_59_103" hidden="1">"A35065"</definedName>
    <definedName name="FDD_59_104" hidden="1">"A35072"</definedName>
    <definedName name="FDD_59_105" hidden="1">"A35079"</definedName>
    <definedName name="FDD_59_106" hidden="1">"A35086"</definedName>
    <definedName name="FDD_59_107" hidden="1">"A35093"</definedName>
    <definedName name="FDD_59_108" hidden="1">"A35100"</definedName>
    <definedName name="FDD_59_109" hidden="1">"A35107"</definedName>
    <definedName name="FDD_59_11" hidden="1">"A34699"</definedName>
    <definedName name="FDD_59_110" hidden="1">"A35114"</definedName>
    <definedName name="FDD_59_111" hidden="1">"A35121"</definedName>
    <definedName name="FDD_59_112" hidden="1">"A35128"</definedName>
    <definedName name="FDD_59_113" hidden="1">"A35135"</definedName>
    <definedName name="FDD_59_114" hidden="1">"A35141"</definedName>
    <definedName name="FDD_59_115" hidden="1">"A35149"</definedName>
    <definedName name="FDD_59_116" hidden="1">"A35156"</definedName>
    <definedName name="FDD_59_117" hidden="1">"A35163"</definedName>
    <definedName name="FDD_59_118" hidden="1">"A35170"</definedName>
    <definedName name="FDD_59_119" hidden="1">"A35177"</definedName>
    <definedName name="FDD_59_12" hidden="1">"A35064"</definedName>
    <definedName name="FDD_59_120" hidden="1">"A35184"</definedName>
    <definedName name="FDD_59_121" hidden="1">"A35192"</definedName>
    <definedName name="FDD_59_122" hidden="1">"A35198"</definedName>
    <definedName name="FDD_59_123" hidden="1">"A35205"</definedName>
    <definedName name="FDD_59_124" hidden="1">"A35213"</definedName>
    <definedName name="FDD_59_125" hidden="1">"A35219"</definedName>
    <definedName name="FDD_59_126" hidden="1">"A35226"</definedName>
    <definedName name="FDD_59_127" hidden="1">"A35233"</definedName>
    <definedName name="FDD_59_128" hidden="1">"A35240"</definedName>
    <definedName name="FDD_59_129" hidden="1">"A35247"</definedName>
    <definedName name="FDD_59_13" hidden="1">"A35430"</definedName>
    <definedName name="FDD_59_130" hidden="1">"A35254"</definedName>
    <definedName name="FDD_59_131" hidden="1">"A35261"</definedName>
    <definedName name="FDD_59_132" hidden="1">"A35268"</definedName>
    <definedName name="FDD_59_133" hidden="1">"A35275"</definedName>
    <definedName name="FDD_59_134" hidden="1">"A35282"</definedName>
    <definedName name="FDD_59_135" hidden="1">"A35289"</definedName>
    <definedName name="FDD_59_136" hidden="1">"A35296"</definedName>
    <definedName name="FDD_59_137" hidden="1">"A35303"</definedName>
    <definedName name="FDD_59_138" hidden="1">"A35310"</definedName>
    <definedName name="FDD_59_139" hidden="1">"A35317"</definedName>
    <definedName name="FDD_59_14" hidden="1">"A35795"</definedName>
    <definedName name="FDD_59_140" hidden="1">"A35324"</definedName>
    <definedName name="FDD_59_141" hidden="1">"A35331"</definedName>
    <definedName name="FDD_59_142" hidden="1">"A35338"</definedName>
    <definedName name="FDD_59_143" hidden="1">"A35345"</definedName>
    <definedName name="FDD_59_144" hidden="1">"A35352"</definedName>
    <definedName name="FDD_59_145" hidden="1">"A35359"</definedName>
    <definedName name="FDD_59_146" hidden="1">"A35366"</definedName>
    <definedName name="FDD_59_147" hidden="1">"A35373"</definedName>
    <definedName name="FDD_59_148" hidden="1">"A35380"</definedName>
    <definedName name="FDD_59_149" hidden="1">"A35387"</definedName>
    <definedName name="FDD_59_15" hidden="1">"A34449"</definedName>
    <definedName name="FDD_59_150" hidden="1">"A35394"</definedName>
    <definedName name="FDD_59_151" hidden="1">"A35401"</definedName>
    <definedName name="FDD_59_152" hidden="1">"A35408"</definedName>
    <definedName name="FDD_59_153" hidden="1">"A35415"</definedName>
    <definedName name="FDD_59_154" hidden="1">"A35422"</definedName>
    <definedName name="FDD_59_155" hidden="1">"A35429"</definedName>
    <definedName name="FDD_59_156" hidden="1">"A35436"</definedName>
    <definedName name="FDD_59_157" hidden="1">"A35443"</definedName>
    <definedName name="FDD_59_158" hidden="1">"A35450"</definedName>
    <definedName name="FDD_59_159" hidden="1">"A35457"</definedName>
    <definedName name="FDD_59_16" hidden="1">"A34457"</definedName>
    <definedName name="FDD_59_160" hidden="1">"A35464"</definedName>
    <definedName name="FDD_59_161" hidden="1">"A35471"</definedName>
    <definedName name="FDD_59_162" hidden="1">"A35478"</definedName>
    <definedName name="FDD_59_163" hidden="1">"A35485"</definedName>
    <definedName name="FDD_59_164" hidden="1">"A35492"</definedName>
    <definedName name="FDD_59_165" hidden="1">"A35499"</definedName>
    <definedName name="FDD_59_166" hidden="1">"A35506"</definedName>
    <definedName name="FDD_59_167" hidden="1">"A35513"</definedName>
    <definedName name="FDD_59_168" hidden="1">"A35521"</definedName>
    <definedName name="FDD_59_169" hidden="1">"A35527"</definedName>
    <definedName name="FDD_59_17" hidden="1">"A34463"</definedName>
    <definedName name="FDD_59_170" hidden="1">"A35534"</definedName>
    <definedName name="FDD_59_171" hidden="1">"A35541"</definedName>
    <definedName name="FDD_59_172" hidden="1">"A35548"</definedName>
    <definedName name="FDD_59_173" hidden="1">"A35556"</definedName>
    <definedName name="FDD_59_174" hidden="1">"A35562"</definedName>
    <definedName name="FDD_59_175" hidden="1">"A35569"</definedName>
    <definedName name="FDD_59_176" hidden="1">"A35577"</definedName>
    <definedName name="FDD_59_177" hidden="1">"A35583"</definedName>
    <definedName name="FDD_59_178" hidden="1">"A35590"</definedName>
    <definedName name="FDD_59_179" hidden="1">"A35597"</definedName>
    <definedName name="FDD_59_18" hidden="1">"A34470"</definedName>
    <definedName name="FDD_59_180" hidden="1">"A35604"</definedName>
    <definedName name="FDD_59_181" hidden="1">"A35611"</definedName>
    <definedName name="FDD_59_182" hidden="1">"A35618"</definedName>
    <definedName name="FDD_59_183" hidden="1">"A35625"</definedName>
    <definedName name="FDD_59_184" hidden="1">"A35632"</definedName>
    <definedName name="FDD_59_185" hidden="1">"A35639"</definedName>
    <definedName name="FDD_59_186" hidden="1">"A35646"</definedName>
    <definedName name="FDD_59_187" hidden="1">"A35653"</definedName>
    <definedName name="FDD_59_188" hidden="1">"A35660"</definedName>
    <definedName name="FDD_59_189" hidden="1">"A35668"</definedName>
    <definedName name="FDD_59_19" hidden="1">"A34477"</definedName>
    <definedName name="FDD_59_190" hidden="1">"A35674"</definedName>
    <definedName name="FDD_59_191" hidden="1">"A35681"</definedName>
    <definedName name="FDD_59_192" hidden="1">"A35688"</definedName>
    <definedName name="FDD_59_193" hidden="1">"A35695"</definedName>
    <definedName name="FDD_59_194" hidden="1">"A35702"</definedName>
    <definedName name="FDD_59_195" hidden="1">"A35709"</definedName>
    <definedName name="FDD_59_196" hidden="1">"A35716"</definedName>
    <definedName name="FDD_59_197" hidden="1">"A35723"</definedName>
    <definedName name="FDD_59_198" hidden="1">"A35730"</definedName>
    <definedName name="FDD_59_199" hidden="1">"A35737"</definedName>
    <definedName name="FDD_59_2" hidden="1">"A31412"</definedName>
    <definedName name="FDD_59_20" hidden="1">"A34485"</definedName>
    <definedName name="FDD_59_200" hidden="1">"A35744"</definedName>
    <definedName name="FDD_59_201" hidden="1">"A35751"</definedName>
    <definedName name="FDD_59_202" hidden="1">"A35758"</definedName>
    <definedName name="FDD_59_203" hidden="1">"A35765"</definedName>
    <definedName name="FDD_59_204" hidden="1">"A35772"</definedName>
    <definedName name="FDD_59_205" hidden="1">"A35779"</definedName>
    <definedName name="FDD_59_206" hidden="1">"A35786"</definedName>
    <definedName name="FDD_59_207" hidden="1">"A35793"</definedName>
    <definedName name="FDD_59_208" hidden="1">"A35800"</definedName>
    <definedName name="FDD_59_209" hidden="1">"A35807"</definedName>
    <definedName name="FDD_59_21" hidden="1">"A34491"</definedName>
    <definedName name="FDD_59_210" hidden="1">"A35814"</definedName>
    <definedName name="FDD_59_211" hidden="1">"A35821"</definedName>
    <definedName name="FDD_59_212" hidden="1">"A35828"</definedName>
    <definedName name="FDD_59_213" hidden="1">"A35835"</definedName>
    <definedName name="FDD_59_214" hidden="1">"A35842"</definedName>
    <definedName name="FDD_59_215" hidden="1">"A35849"</definedName>
    <definedName name="FDD_59_216" hidden="1">"A35856"</definedName>
    <definedName name="FDD_59_217" hidden="1">"A35863"</definedName>
    <definedName name="FDD_59_218" hidden="1">"A35870"</definedName>
    <definedName name="FDD_59_219" hidden="1">"A35877"</definedName>
    <definedName name="FDD_59_22" hidden="1">"A34498"</definedName>
    <definedName name="FDD_59_220" hidden="1">"A35884"</definedName>
    <definedName name="FDD_59_221" hidden="1">"A35891"</definedName>
    <definedName name="FDD_59_222" hidden="1">"A35899"</definedName>
    <definedName name="FDD_59_223" hidden="1">"A35905"</definedName>
    <definedName name="FDD_59_224" hidden="1">"A35912"</definedName>
    <definedName name="FDD_59_225" hidden="1">"A35919"</definedName>
    <definedName name="FDD_59_226" hidden="1">"A35926"</definedName>
    <definedName name="FDD_59_227" hidden="1">"A35933"</definedName>
    <definedName name="FDD_59_228" hidden="1">"A35941"</definedName>
    <definedName name="FDD_59_229" hidden="1">"A35947"</definedName>
    <definedName name="FDD_59_23" hidden="1">"A34505"</definedName>
    <definedName name="FDD_59_230" hidden="1">"A35954"</definedName>
    <definedName name="FDD_59_231" hidden="1">"A35961"</definedName>
    <definedName name="FDD_59_232" hidden="1">"A35968"</definedName>
    <definedName name="FDD_59_233" hidden="1">"A35975"</definedName>
    <definedName name="FDD_59_234" hidden="1">"A35982"</definedName>
    <definedName name="FDD_59_235" hidden="1">"A35989"</definedName>
    <definedName name="FDD_59_236" hidden="1">"A35996"</definedName>
    <definedName name="FDD_59_237" hidden="1">"A36003"</definedName>
    <definedName name="FDD_59_238" hidden="1">"A36010"</definedName>
    <definedName name="FDD_59_239" hidden="1">"A36017"</definedName>
    <definedName name="FDD_59_24" hidden="1">"A34512"</definedName>
    <definedName name="FDD_59_240" hidden="1">"A36024"</definedName>
    <definedName name="FDD_59_241" hidden="1">"A36031"</definedName>
    <definedName name="FDD_59_242" hidden="1">"A36039"</definedName>
    <definedName name="FDD_59_243" hidden="1">"A36045"</definedName>
    <definedName name="FDD_59_244" hidden="1">"A36052"</definedName>
    <definedName name="FDD_59_245" hidden="1">"A36059"</definedName>
    <definedName name="FDD_59_246" hidden="1">"A36066"</definedName>
    <definedName name="FDD_59_247" hidden="1">"A36073"</definedName>
    <definedName name="FDD_59_248" hidden="1">"A36080"</definedName>
    <definedName name="FDD_59_249" hidden="1">"A36087"</definedName>
    <definedName name="FDD_59_25" hidden="1">"A34519"</definedName>
    <definedName name="FDD_59_250" hidden="1">"A36094"</definedName>
    <definedName name="FDD_59_251" hidden="1">"A36101"</definedName>
    <definedName name="FDD_59_252" hidden="1">"A36108"</definedName>
    <definedName name="FDD_59_253" hidden="1">"A36116"</definedName>
    <definedName name="FDD_59_254" hidden="1">"A36122"</definedName>
    <definedName name="FDD_59_255" hidden="1">"A36129"</definedName>
    <definedName name="FDD_59_256" hidden="1">"A36136"</definedName>
    <definedName name="FDD_59_257" hidden="1">"A36143"</definedName>
    <definedName name="FDD_59_258" hidden="1">"A36150"</definedName>
    <definedName name="FDD_59_259" hidden="1">"A36157"</definedName>
    <definedName name="FDD_59_26" hidden="1">"A34526"</definedName>
    <definedName name="FDD_59_260" hidden="1">"A36164"</definedName>
    <definedName name="FDD_59_27" hidden="1">"A34533"</definedName>
    <definedName name="FDD_59_28" hidden="1">"A34540"</definedName>
    <definedName name="FDD_59_29" hidden="1">"A34547"</definedName>
    <definedName name="FDD_59_3" hidden="1">"A31777"</definedName>
    <definedName name="FDD_59_30" hidden="1">"A34554"</definedName>
    <definedName name="FDD_59_31" hidden="1">"A34561"</definedName>
    <definedName name="FDD_59_32" hidden="1">"A34568"</definedName>
    <definedName name="FDD_59_33" hidden="1">"A34576"</definedName>
    <definedName name="FDD_59_34" hidden="1">"A34582"</definedName>
    <definedName name="FDD_59_35" hidden="1">"A34589"</definedName>
    <definedName name="FDD_59_36" hidden="1">"A34596"</definedName>
    <definedName name="FDD_59_37" hidden="1">"A34603"</definedName>
    <definedName name="FDD_59_38" hidden="1">"A34610"</definedName>
    <definedName name="FDD_59_39" hidden="1">"A34617"</definedName>
    <definedName name="FDD_59_4" hidden="1">"A32142"</definedName>
    <definedName name="FDD_59_40" hidden="1">"A34624"</definedName>
    <definedName name="FDD_59_41" hidden="1">"A34631"</definedName>
    <definedName name="FDD_59_42" hidden="1">"A34638"</definedName>
    <definedName name="FDD_59_43" hidden="1">"A34645"</definedName>
    <definedName name="FDD_59_44" hidden="1">"A34652"</definedName>
    <definedName name="FDD_59_45" hidden="1">"A34659"</definedName>
    <definedName name="FDD_59_46" hidden="1">"A34666"</definedName>
    <definedName name="FDD_59_47" hidden="1">"A34673"</definedName>
    <definedName name="FDD_59_48" hidden="1">"A34680"</definedName>
    <definedName name="FDD_59_49" hidden="1">"A34687"</definedName>
    <definedName name="FDD_59_5" hidden="1">"A32508"</definedName>
    <definedName name="FDD_59_50" hidden="1">"A34696"</definedName>
    <definedName name="FDD_59_51" hidden="1">"A34702"</definedName>
    <definedName name="FDD_59_52" hidden="1">"A34708"</definedName>
    <definedName name="FDD_59_53" hidden="1">"A34715"</definedName>
    <definedName name="FDD_59_54" hidden="1">"A34722"</definedName>
    <definedName name="FDD_59_55" hidden="1">"A34729"</definedName>
    <definedName name="FDD_59_56" hidden="1">"A34736"</definedName>
    <definedName name="FDD_59_57" hidden="1">"A34743"</definedName>
    <definedName name="FDD_59_58" hidden="1">"A34750"</definedName>
    <definedName name="FDD_59_59" hidden="1">"A34757"</definedName>
    <definedName name="FDD_59_6" hidden="1">"A32873"</definedName>
    <definedName name="FDD_59_60" hidden="1">"A34764"</definedName>
    <definedName name="FDD_59_61" hidden="1">"A34771"</definedName>
    <definedName name="FDD_59_62" hidden="1">"A34778"</definedName>
    <definedName name="FDD_59_63" hidden="1">"A34785"</definedName>
    <definedName name="FDD_59_64" hidden="1">"A34792"</definedName>
    <definedName name="FDD_59_65" hidden="1">"A34799"</definedName>
    <definedName name="FDD_59_66" hidden="1">"A34807"</definedName>
    <definedName name="FDD_59_67" hidden="1">"A34813"</definedName>
    <definedName name="FDD_59_68" hidden="1">"A34820"</definedName>
    <definedName name="FDD_59_69" hidden="1">"A34828"</definedName>
    <definedName name="FDD_59_7" hidden="1">"A33238"</definedName>
    <definedName name="FDD_59_70" hidden="1">"A34834"</definedName>
    <definedName name="FDD_59_71" hidden="1">"A34841"</definedName>
    <definedName name="FDD_59_72" hidden="1">"A34848"</definedName>
    <definedName name="FDD_59_73" hidden="1">"A34855"</definedName>
    <definedName name="FDD_59_74" hidden="1">"A34862"</definedName>
    <definedName name="FDD_59_75" hidden="1">"A34870"</definedName>
    <definedName name="FDD_59_76" hidden="1">"A34876"</definedName>
    <definedName name="FDD_59_77" hidden="1">"A34883"</definedName>
    <definedName name="FDD_59_78" hidden="1">"A34891"</definedName>
    <definedName name="FDD_59_79" hidden="1">"A34897"</definedName>
    <definedName name="FDD_59_8" hidden="1">"A33603"</definedName>
    <definedName name="FDD_59_80" hidden="1">"A34904"</definedName>
    <definedName name="FDD_59_81" hidden="1">"A34911"</definedName>
    <definedName name="FDD_59_82" hidden="1">"A34918"</definedName>
    <definedName name="FDD_59_83" hidden="1">"A34925"</definedName>
    <definedName name="FDD_59_84" hidden="1">"A34932"</definedName>
    <definedName name="FDD_59_85" hidden="1">"A34940"</definedName>
    <definedName name="FDD_59_86" hidden="1">"A34946"</definedName>
    <definedName name="FDD_59_87" hidden="1">"A34953"</definedName>
    <definedName name="FDD_59_88" hidden="1">"A34960"</definedName>
    <definedName name="FDD_59_89" hidden="1">"A34967"</definedName>
    <definedName name="FDD_59_9" hidden="1">"A33969"</definedName>
    <definedName name="FDD_59_90" hidden="1">"A34974"</definedName>
    <definedName name="FDD_59_91" hidden="1">"A34981"</definedName>
    <definedName name="FDD_59_92" hidden="1">"A34988"</definedName>
    <definedName name="FDD_59_93" hidden="1">"A34995"</definedName>
    <definedName name="FDD_59_94" hidden="1">"A35002"</definedName>
    <definedName name="FDD_59_95" hidden="1">"A35009"</definedName>
    <definedName name="FDD_59_96" hidden="1">"A35016"</definedName>
    <definedName name="FDD_59_97" hidden="1">"A35023"</definedName>
    <definedName name="FDD_59_98" hidden="1">"A35030"</definedName>
    <definedName name="FDD_59_99" hidden="1">"A35037"</definedName>
    <definedName name="FDD_6_0" hidden="1">"A25569"</definedName>
    <definedName name="FDD_6_1" hidden="1">"A35795"</definedName>
    <definedName name="FDD_6_2" hidden="1">"E36160"</definedName>
    <definedName name="FDD_6_3" hidden="1">"E36525"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_1" hidden="1">"E35795"</definedName>
    <definedName name="FDD_7_2" hidden="1">"E36160"</definedName>
    <definedName name="FDD_7_3" hidden="1">"E36525"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_1" hidden="1">"E35795"</definedName>
    <definedName name="FDD_8_2" hidden="1">"E36160"</definedName>
    <definedName name="FDD_8_3" hidden="1">"E36525"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_1" hidden="1">"E35795"</definedName>
    <definedName name="FDD_9_2" hidden="1">"E36160"</definedName>
    <definedName name="FDD_9_3" hidden="1">"E36525"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dfhdfhdgh" localSheetId="10" hidden="1">{#N/A,#N/A,FALSE,"CCTV"}</definedName>
    <definedName name="fddfhdfhdgh" localSheetId="9" hidden="1">{#N/A,#N/A,FALSE,"CCTV"}</definedName>
    <definedName name="fddfhdfhdgh" hidden="1">{#N/A,#N/A,FALSE,"CCTV"}</definedName>
    <definedName name="FDFD" localSheetId="10" hidden="1">{#N/A,#N/A,FALSE,"Pharm";#N/A,#N/A,FALSE,"WWCM"}</definedName>
    <definedName name="FDFD" localSheetId="9" hidden="1">{#N/A,#N/A,FALSE,"Pharm";#N/A,#N/A,FALSE,"WWCM"}</definedName>
    <definedName name="FDFD" hidden="1">{#N/A,#N/A,FALSE,"Pharm";#N/A,#N/A,FALSE,"WWCM"}</definedName>
    <definedName name="FDFDF" localSheetId="10" hidden="1">{#N/A,#N/A,FALSE,"CCTV"}</definedName>
    <definedName name="FDFDF" localSheetId="9" hidden="1">{#N/A,#N/A,FALSE,"CCTV"}</definedName>
    <definedName name="FDFDF" hidden="1">{#N/A,#N/A,FALSE,"CCTV"}</definedName>
    <definedName name="FDG" localSheetId="10" hidden="1">{"'Jibu9811 (3)'!$B$1:$J$433"}</definedName>
    <definedName name="FDG" localSheetId="9" hidden="1">{"'Jibu9811 (3)'!$B$1:$J$433"}</definedName>
    <definedName name="FDG" hidden="1">{"'Jibu9811 (3)'!$B$1:$J$433"}</definedName>
    <definedName name="fdgdfg" localSheetId="10" hidden="1">{"summary",#N/A,FALSE,"2000 vs 1999";"detail",#N/A,FALSE,"2000 vs 1999"}</definedName>
    <definedName name="fdgdfg" localSheetId="9" hidden="1">{"summary",#N/A,FALSE,"2000 vs 1999";"detail",#N/A,FALSE,"2000 vs 1999"}</definedName>
    <definedName name="fdgdfg" hidden="1">{"summary",#N/A,FALSE,"2000 vs 1999";"detail",#N/A,FALSE,"2000 vs 1999"}</definedName>
    <definedName name="fdgdfg_1" localSheetId="10" hidden="1">{"summary",#N/A,FALSE,"2000 vs 1999";"detail",#N/A,FALSE,"2000 vs 1999"}</definedName>
    <definedName name="fdgdfg_1" localSheetId="9" hidden="1">{"summary",#N/A,FALSE,"2000 vs 1999";"detail",#N/A,FALSE,"2000 vs 1999"}</definedName>
    <definedName name="fdgdfg_1" hidden="1">{"summary",#N/A,FALSE,"2000 vs 1999";"detail",#N/A,FALSE,"2000 vs 1999"}</definedName>
    <definedName name="FDP_0_1_aSrv" hidden="1">#REF!</definedName>
    <definedName name="FDP_0_1_aUrv" hidden="1">#REF!</definedName>
    <definedName name="FDP_1_1_aDrv" hidden="1">#REF!</definedName>
    <definedName name="FDP_1_1_aUrv" hidden="1">#REF!</definedName>
    <definedName name="FDP_10_1_aUrv" hidden="1">#REF!</definedName>
    <definedName name="FDP_100_1_aUrv" hidden="1">#REF!</definedName>
    <definedName name="FDP_101_1_aUrv" hidden="1">#REF!</definedName>
    <definedName name="FDP_102_1_aSrv" hidden="1">#REF!</definedName>
    <definedName name="FDP_102_1_aUrv" hidden="1">#REF!</definedName>
    <definedName name="FDP_103_1_aSrv" hidden="1">#REF!</definedName>
    <definedName name="FDP_103_1_aUrv" hidden="1">#REF!</definedName>
    <definedName name="FDP_104_1_aUrv" hidden="1">#REF!</definedName>
    <definedName name="FDP_105_1_aUrv" hidden="1">#REF!</definedName>
    <definedName name="FDP_106_1_aUrv" hidden="1">#REF!</definedName>
    <definedName name="FDP_107_1_aUrv" hidden="1">#REF!</definedName>
    <definedName name="FDP_108_1_aUrv" hidden="1">#REF!</definedName>
    <definedName name="FDP_109_1_aUrv" hidden="1">#REF!</definedName>
    <definedName name="FDP_11_1_aDrv" hidden="1">#REF!</definedName>
    <definedName name="FDP_11_1_aUrv" hidden="1">#REF!</definedName>
    <definedName name="FDP_110_1_aUrv" hidden="1">#REF!</definedName>
    <definedName name="FDP_111_1_aUrv" hidden="1">#REF!</definedName>
    <definedName name="FDP_112_1_aUrv" hidden="1">#REF!</definedName>
    <definedName name="FDP_113_1_aUrv" hidden="1">#REF!</definedName>
    <definedName name="FDP_114_1_aUrv" hidden="1">#REF!</definedName>
    <definedName name="FDP_115_1_aSrv" hidden="1">#REF!</definedName>
    <definedName name="FDP_115_1_aUrv" hidden="1">#REF!</definedName>
    <definedName name="FDP_116_1_aSrv" hidden="1">#REF!</definedName>
    <definedName name="FDP_116_1_aUrv" hidden="1">#REF!</definedName>
    <definedName name="FDP_117_1_aUrv" hidden="1">#REF!</definedName>
    <definedName name="FDP_118_1_aUrv" hidden="1">#REF!</definedName>
    <definedName name="FDP_119_1_aUrv" hidden="1">#REF!</definedName>
    <definedName name="FDP_12_1_aDrv" hidden="1">#REF!</definedName>
    <definedName name="FDP_12_1_aUrv" hidden="1">#REF!</definedName>
    <definedName name="FDP_120_1_aUrv" hidden="1">#REF!</definedName>
    <definedName name="FDP_121_1_aUrv" hidden="1">#REF!</definedName>
    <definedName name="FDP_122_1_aUrv" hidden="1">#REF!</definedName>
    <definedName name="FDP_123_1_aUrv" hidden="1">#REF!</definedName>
    <definedName name="FDP_124_1_aSrv" hidden="1">#REF!</definedName>
    <definedName name="FDP_124_1_aUrv" hidden="1">#REF!</definedName>
    <definedName name="FDP_125_1_aUrv" hidden="1">#REF!</definedName>
    <definedName name="FDP_126_1_aUrv" hidden="1">#REF!</definedName>
    <definedName name="FDP_127_1_aUrv" hidden="1">#REF!</definedName>
    <definedName name="FDP_128_1_aUrv" hidden="1">#REF!</definedName>
    <definedName name="FDP_129_1_aUrv" hidden="1">#REF!</definedName>
    <definedName name="FDP_13_1_aUrv" hidden="1">#REF!</definedName>
    <definedName name="FDP_130_1_aUrv" hidden="1">#REF!</definedName>
    <definedName name="FDP_131_1_aUrv" hidden="1">#REF!</definedName>
    <definedName name="FDP_132_1_aSrv" hidden="1">#REF!</definedName>
    <definedName name="FDP_132_1_aUrv" hidden="1">#REF!</definedName>
    <definedName name="FDP_133_1_aSrv" hidden="1">#REF!</definedName>
    <definedName name="FDP_133_1_aUrv" hidden="1">#REF!</definedName>
    <definedName name="FDP_134_1_aUrv" hidden="1">#REF!</definedName>
    <definedName name="FDP_135_1_aUrv" hidden="1">#REF!</definedName>
    <definedName name="FDP_136_1_aSrv" hidden="1">#REF!</definedName>
    <definedName name="FDP_136_1_aUrv" hidden="1">#REF!</definedName>
    <definedName name="FDP_137_1_aSrv" hidden="1">#REF!</definedName>
    <definedName name="FDP_137_1_aUrv" hidden="1">#REF!</definedName>
    <definedName name="FDP_138_1_aSrv" hidden="1">#REF!</definedName>
    <definedName name="FDP_138_1_aUrv" hidden="1">#REF!</definedName>
    <definedName name="FDP_139_1_aSrv" hidden="1">#REF!</definedName>
    <definedName name="FDP_139_1_aUrv" hidden="1">#REF!</definedName>
    <definedName name="FDP_14_1_aUrv" hidden="1">#REF!</definedName>
    <definedName name="FDP_140_1_aSrv" hidden="1">#REF!</definedName>
    <definedName name="FDP_140_1_aUrv" hidden="1">#REF!</definedName>
    <definedName name="FDP_141_1_aUrv" hidden="1">#REF!</definedName>
    <definedName name="FDP_142_1_aUrv" hidden="1">#REF!</definedName>
    <definedName name="FDP_143_1_aUrv" hidden="1">#REF!</definedName>
    <definedName name="FDP_144_1_aUrv" hidden="1">#REF!</definedName>
    <definedName name="FDP_145_1_aUrv" hidden="1">#REF!</definedName>
    <definedName name="FDP_146_1_aUrv" hidden="1">#REF!</definedName>
    <definedName name="FDP_147_1_aUrv" hidden="1">#REF!</definedName>
    <definedName name="FDP_148_1_aUrv" hidden="1">#REF!</definedName>
    <definedName name="FDP_149_1_aUrv" hidden="1">#REF!</definedName>
    <definedName name="FDP_15_1_aUrv" hidden="1">#REF!</definedName>
    <definedName name="FDP_150_1_aUrv" hidden="1">#REF!</definedName>
    <definedName name="FDP_151_1_aUrv" hidden="1">#REF!</definedName>
    <definedName name="FDP_152_1_aUrv" hidden="1">#REF!</definedName>
    <definedName name="FDP_153_1_aUrv" hidden="1">#REF!</definedName>
    <definedName name="FDP_154_1_aUrv" hidden="1">#REF!</definedName>
    <definedName name="FDP_155_1_aUrv" hidden="1">#REF!</definedName>
    <definedName name="FDP_156_1_aUrv" hidden="1">#REF!</definedName>
    <definedName name="FDP_157_1_aUrv" hidden="1">#REF!</definedName>
    <definedName name="FDP_158_1_aUrv" hidden="1">#REF!</definedName>
    <definedName name="FDP_159_1_aSrv" hidden="1">#REF!</definedName>
    <definedName name="FDP_16_1_aUrv" hidden="1">#REF!</definedName>
    <definedName name="FDP_160_1_aUrv" hidden="1">#REF!</definedName>
    <definedName name="FDP_161_1_aSrv" hidden="1">#REF!</definedName>
    <definedName name="FDP_162_1_aUrv" hidden="1">#REF!</definedName>
    <definedName name="FDP_163_1_aUrv" hidden="1">#REF!</definedName>
    <definedName name="FDP_164_1_aUrv" hidden="1">#REF!</definedName>
    <definedName name="FDP_165_1_aUrv" hidden="1">#REF!</definedName>
    <definedName name="FDP_166_1_aDrv" hidden="1">#REF!</definedName>
    <definedName name="FDP_166_1_aUrv" hidden="1">#REF!</definedName>
    <definedName name="FDP_167_1_aDrv" hidden="1">#REF!</definedName>
    <definedName name="FDP_167_1_aUrv" hidden="1">#REF!</definedName>
    <definedName name="FDP_168_1_aDrv" hidden="1">#REF!</definedName>
    <definedName name="FDP_168_1_aSrv" hidden="1">#REF!</definedName>
    <definedName name="FDP_169_1_aDrv" hidden="1">#REF!</definedName>
    <definedName name="FDP_169_1_aSrv" hidden="1">#REF!</definedName>
    <definedName name="FDP_169_1_aUrv" hidden="1">#REF!</definedName>
    <definedName name="FDP_17_1_aUrv" hidden="1">#REF!</definedName>
    <definedName name="FDP_170_1_aDrv" hidden="1">#REF!</definedName>
    <definedName name="FDP_170_1_aSrv" hidden="1">#REF!</definedName>
    <definedName name="FDP_170_1_aUrv" hidden="1">#REF!</definedName>
    <definedName name="FDP_171_1_aDrv" hidden="1">#REF!</definedName>
    <definedName name="FDP_171_1_aSrv" hidden="1">#REF!</definedName>
    <definedName name="FDP_171_1_aUrv" hidden="1">#REF!</definedName>
    <definedName name="FDP_172_1_aDrv" hidden="1">#REF!</definedName>
    <definedName name="FDP_172_1_aUrv" hidden="1">#REF!</definedName>
    <definedName name="FDP_173_1_aDrv" hidden="1">#REF!</definedName>
    <definedName name="FDP_173_1_aUrv" hidden="1">#REF!</definedName>
    <definedName name="FDP_174_1_aSrv" hidden="1">#REF!</definedName>
    <definedName name="FDP_175_1_aUrv" hidden="1">#REF!</definedName>
    <definedName name="FDP_176_1_aUrv" hidden="1">#REF!</definedName>
    <definedName name="FDP_177_1_aSrv" hidden="1">#REF!</definedName>
    <definedName name="FDP_178_1_aSrv" hidden="1">#REF!</definedName>
    <definedName name="FDP_178_1_aUrv" hidden="1">#REF!</definedName>
    <definedName name="FDP_179_1_aSrv" hidden="1">#REF!</definedName>
    <definedName name="FDP_179_1_aUrv" hidden="1">#REF!</definedName>
    <definedName name="FDP_18_1_aUrv" hidden="1">#REF!</definedName>
    <definedName name="FDP_18_1_rUrv" hidden="1">#REF!</definedName>
    <definedName name="FDP_180_1_aSrv" hidden="1">#REF!</definedName>
    <definedName name="FDP_181_1_aUrv" hidden="1">#REF!</definedName>
    <definedName name="FDP_182_1_aSrv" hidden="1">#REF!</definedName>
    <definedName name="FDP_183_1_aSrv" hidden="1">#REF!</definedName>
    <definedName name="FDP_183_1_aUrv" hidden="1">#REF!</definedName>
    <definedName name="FDP_184_1_aUrv" hidden="1">#REF!</definedName>
    <definedName name="FDP_185_1_aSrv" hidden="1">#REF!</definedName>
    <definedName name="FDP_185_1_aUdv" hidden="1">#REF!</definedName>
    <definedName name="FDP_186_1_aUdv" hidden="1">#REF!</definedName>
    <definedName name="FDP_186_1_aUrv" hidden="1">#REF!</definedName>
    <definedName name="FDP_187_1_aSrv" hidden="1">#REF!</definedName>
    <definedName name="FDP_187_1_aUdv" hidden="1">#REF!</definedName>
    <definedName name="FDP_187_1_aUrv" hidden="1">#REF!</definedName>
    <definedName name="FDP_188_1_aUdv" hidden="1">#REF!</definedName>
    <definedName name="FDP_188_1_aUrv" hidden="1">#REF!</definedName>
    <definedName name="FDP_189_1_aUdv" hidden="1">#REF!</definedName>
    <definedName name="FDP_189_1_aUrv" hidden="1">#REF!</definedName>
    <definedName name="FDP_19_1_aUrv" hidden="1">#REF!</definedName>
    <definedName name="FDP_190_1_aUdv" hidden="1">#REF!</definedName>
    <definedName name="FDP_190_1_aUrv" hidden="1">#REF!</definedName>
    <definedName name="FDP_191_1_aUdv" hidden="1">#REF!</definedName>
    <definedName name="FDP_191_1_aUrv" hidden="1">#REF!</definedName>
    <definedName name="FDP_192_1_aSrv" hidden="1">#REF!</definedName>
    <definedName name="FDP_192_1_aUdv" hidden="1">#REF!</definedName>
    <definedName name="FDP_192_1_aUrv" hidden="1">#REF!</definedName>
    <definedName name="FDP_193_1_aUdv" hidden="1">#REF!</definedName>
    <definedName name="FDP_193_1_aUrv" hidden="1">#REF!</definedName>
    <definedName name="FDP_194_1_aUdv" hidden="1">#REF!</definedName>
    <definedName name="FDP_194_1_aUrv" hidden="1">#REF!</definedName>
    <definedName name="FDP_195_1_aUdv" hidden="1">#REF!</definedName>
    <definedName name="FDP_195_1_aUrv" hidden="1">#REF!</definedName>
    <definedName name="FDP_196_1_aSrv" hidden="1">#REF!</definedName>
    <definedName name="FDP_196_1_aUdv" hidden="1">#REF!</definedName>
    <definedName name="FDP_196_1_aUrv" hidden="1">#REF!</definedName>
    <definedName name="FDP_197_1_aSrv" hidden="1">#REF!</definedName>
    <definedName name="FDP_197_1_aUdv" hidden="1">#REF!</definedName>
    <definedName name="FDP_197_1_aUrv" hidden="1">#REF!</definedName>
    <definedName name="FDP_198_1_aSrv" hidden="1">#REF!</definedName>
    <definedName name="FDP_198_1_aUdv" hidden="1">#REF!</definedName>
    <definedName name="FDP_198_1_aUrv" hidden="1">#REF!</definedName>
    <definedName name="FDP_199_1_aUdv" hidden="1">#REF!</definedName>
    <definedName name="FDP_199_1_aUrv" hidden="1">#REF!</definedName>
    <definedName name="FDP_2_1_aUrv" hidden="1">#REF!</definedName>
    <definedName name="FDP_20_1_aUrv" hidden="1">#REF!</definedName>
    <definedName name="FDP_200_1_aUrv" hidden="1">#REF!</definedName>
    <definedName name="FDP_201_1_aUrv" hidden="1">#REF!</definedName>
    <definedName name="FDP_202_1_aUrv" hidden="1">#REF!</definedName>
    <definedName name="FDP_203_1_aSrv" hidden="1">#REF!</definedName>
    <definedName name="FDP_203_1_aUrv" hidden="1">#REF!</definedName>
    <definedName name="FDP_204_1_aUrv" hidden="1">#REF!</definedName>
    <definedName name="FDP_205_1_aUrv" hidden="1">#REF!</definedName>
    <definedName name="FDP_206_1_aUrv" hidden="1">#REF!</definedName>
    <definedName name="FDP_207_1_aUrv" hidden="1">#REF!</definedName>
    <definedName name="FDP_208_1_aSrv" hidden="1">#REF!</definedName>
    <definedName name="FDP_208_1_aUrv" hidden="1">#REF!</definedName>
    <definedName name="FDP_209_1_aUrv" hidden="1">#REF!</definedName>
    <definedName name="FDP_21_1_aUrv" hidden="1">#REF!</definedName>
    <definedName name="FDP_210_1_aUrv" hidden="1">#REF!</definedName>
    <definedName name="FDP_211_1_aUrv" hidden="1">#REF!</definedName>
    <definedName name="FDP_212_1_aUrv" hidden="1">#REF!</definedName>
    <definedName name="FDP_213_1_aSrv" hidden="1">#REF!</definedName>
    <definedName name="FDP_213_1_aUrv" hidden="1">#REF!</definedName>
    <definedName name="FDP_214_1_aUrv" hidden="1">#REF!</definedName>
    <definedName name="FDP_215_1_aUrv" hidden="1">#REF!</definedName>
    <definedName name="FDP_216_1_aSrv" hidden="1">#REF!</definedName>
    <definedName name="FDP_216_1_aUrv" hidden="1">#REF!</definedName>
    <definedName name="FDP_217_1_aUrv" hidden="1">#REF!</definedName>
    <definedName name="FDP_218_1_aSrv" hidden="1">#REF!</definedName>
    <definedName name="FDP_218_1_aUrv" hidden="1">#REF!</definedName>
    <definedName name="FDP_219_1_aSrv" hidden="1">#REF!</definedName>
    <definedName name="FDP_219_1_aUrv" hidden="1">#REF!</definedName>
    <definedName name="FDP_22_1_aUrv" hidden="1">#REF!</definedName>
    <definedName name="FDP_220_1_aSrv" hidden="1">#REF!</definedName>
    <definedName name="FDP_220_1_aUrv" hidden="1">#REF!</definedName>
    <definedName name="FDP_221_1_aSrv" hidden="1">#REF!</definedName>
    <definedName name="FDP_221_1_aUrv" hidden="1">#REF!</definedName>
    <definedName name="FDP_222_1_aSrv" hidden="1">#REF!</definedName>
    <definedName name="FDP_222_1_aUrv" hidden="1">#REF!</definedName>
    <definedName name="FDP_223_1_aSrv" hidden="1">#REF!</definedName>
    <definedName name="FDP_223_1_aUrv" hidden="1">#REF!</definedName>
    <definedName name="FDP_224_1_aSrv" hidden="1">#REF!</definedName>
    <definedName name="FDP_224_1_aUrv" hidden="1">#REF!</definedName>
    <definedName name="FDP_225_1_aSrv" hidden="1">#REF!</definedName>
    <definedName name="FDP_225_1_aUrv" hidden="1">#REF!</definedName>
    <definedName name="FDP_226_1_aSrv" hidden="1">#REF!</definedName>
    <definedName name="FDP_226_1_aUrv" hidden="1">#REF!</definedName>
    <definedName name="FDP_227_1_aSrv" hidden="1">#REF!</definedName>
    <definedName name="FDP_227_1_aUrv" hidden="1">#REF!</definedName>
    <definedName name="FDP_228_1_aSrv" hidden="1">#REF!</definedName>
    <definedName name="FDP_229_1_aSrv" hidden="1">#REF!</definedName>
    <definedName name="FDP_23_1_aDrv" hidden="1">#REF!</definedName>
    <definedName name="FDP_23_1_aUrv" hidden="1">#REF!</definedName>
    <definedName name="FDP_230_1_aSrv" hidden="1">#REF!</definedName>
    <definedName name="FDP_231_1_aSrv" hidden="1">#REF!</definedName>
    <definedName name="FDP_232_1_aSrv" hidden="1">#REF!</definedName>
    <definedName name="FDP_233_1_aSrv" hidden="1">#REF!</definedName>
    <definedName name="FDP_234_1_aSrv" hidden="1">#REF!</definedName>
    <definedName name="FDP_234_1_aUrv" hidden="1">#REF!</definedName>
    <definedName name="FDP_235_1_aSrv" hidden="1">#REF!</definedName>
    <definedName name="FDP_235_1_aUrv" hidden="1">#REF!</definedName>
    <definedName name="FDP_236_1_aSrv" hidden="1">#REF!</definedName>
    <definedName name="FDP_236_1_aUrv" hidden="1">#REF!</definedName>
    <definedName name="FDP_237_1_aSrv" hidden="1">#REF!</definedName>
    <definedName name="FDP_237_1_aUrv" hidden="1">#REF!</definedName>
    <definedName name="FDP_238_1_aSrv" hidden="1">#REF!</definedName>
    <definedName name="FDP_239_1_aSrv" hidden="1">#REF!</definedName>
    <definedName name="FDP_24_1_aSrv" hidden="1">#REF!</definedName>
    <definedName name="FDP_240_1_aSrv" hidden="1">#REF!</definedName>
    <definedName name="FDP_241_1_aSrv" hidden="1">#REF!</definedName>
    <definedName name="FDP_242_1_aSrv" hidden="1">#REF!</definedName>
    <definedName name="FDP_243_1_aSrv" hidden="1">#REF!</definedName>
    <definedName name="FDP_244_1_aSrv" hidden="1">#REF!</definedName>
    <definedName name="FDP_245_1_aSrv" hidden="1">#REF!</definedName>
    <definedName name="FDP_246_1_aSrv" hidden="1">#REF!</definedName>
    <definedName name="FDP_247_1_aSrv" hidden="1">#REF!</definedName>
    <definedName name="FDP_248_1_aSrv" hidden="1">#REF!</definedName>
    <definedName name="FDP_249_1_aSrv" hidden="1">#REF!</definedName>
    <definedName name="FDP_25_1_aUrv" hidden="1">#REF!</definedName>
    <definedName name="FDP_250_1_aSrv" hidden="1">#REF!</definedName>
    <definedName name="FDP_251_1_aSrv" hidden="1">#REF!</definedName>
    <definedName name="FDP_252_1_aSrv" hidden="1">#REF!</definedName>
    <definedName name="FDP_253_1_aSrv" hidden="1">#REF!</definedName>
    <definedName name="FDP_254_1_aSrv" hidden="1">#REF!</definedName>
    <definedName name="FDP_255_1_aSrv" hidden="1">#REF!</definedName>
    <definedName name="FDP_256_1_aSrv" hidden="1">#REF!</definedName>
    <definedName name="FDP_257_1_aSrv" hidden="1">#REF!</definedName>
    <definedName name="FDP_258_1_aSrv" hidden="1">#REF!</definedName>
    <definedName name="FDP_259_1_aSrv" hidden="1">#REF!</definedName>
    <definedName name="FDP_26_1_aUrv" hidden="1">#REF!</definedName>
    <definedName name="FDP_260_1_aSrv" hidden="1">#REF!</definedName>
    <definedName name="FDP_261_1_aSrv" hidden="1">#REF!</definedName>
    <definedName name="FDP_262_1_aSrv" hidden="1">#REF!</definedName>
    <definedName name="FDP_263_1_aSrv" hidden="1">#REF!</definedName>
    <definedName name="FDP_264_1_aSrv" hidden="1">#REF!</definedName>
    <definedName name="FDP_264_1_aUrv" hidden="1">#REF!</definedName>
    <definedName name="FDP_265_1_aSrv" hidden="1">#REF!</definedName>
    <definedName name="FDP_265_1_aUrv" hidden="1">#REF!</definedName>
    <definedName name="FDP_266_1_aSrv" hidden="1">#REF!</definedName>
    <definedName name="FDP_266_1_aUrv" hidden="1">#REF!</definedName>
    <definedName name="FDP_267_1_aSrv" hidden="1">#REF!</definedName>
    <definedName name="FDP_267_1_aUrv" hidden="1">#REF!</definedName>
    <definedName name="FDP_268_1_aSrv" hidden="1">#REF!</definedName>
    <definedName name="FDP_268_1_aUrv" hidden="1">#REF!</definedName>
    <definedName name="FDP_269_1_aSrv" hidden="1">#REF!</definedName>
    <definedName name="FDP_269_1_aUrv" hidden="1">#REF!</definedName>
    <definedName name="FDP_27_1_aUrv" hidden="1">#REF!</definedName>
    <definedName name="FDP_270_1_aSrv" hidden="1">#REF!</definedName>
    <definedName name="FDP_270_1_aUrv" hidden="1">#REF!</definedName>
    <definedName name="FDP_271_1_aSrv" hidden="1">#REF!</definedName>
    <definedName name="FDP_271_1_aUrv" hidden="1">#REF!</definedName>
    <definedName name="FDP_272_1_aSrv" hidden="1">#REF!</definedName>
    <definedName name="FDP_272_1_aUrv" hidden="1">#REF!</definedName>
    <definedName name="FDP_273_1_aSrv" hidden="1">#REF!</definedName>
    <definedName name="FDP_273_1_aUrv" hidden="1">#REF!</definedName>
    <definedName name="FDP_274_1_aSrv" hidden="1">#REF!</definedName>
    <definedName name="FDP_274_1_aUrv" hidden="1">#REF!</definedName>
    <definedName name="FDP_275_1_aSrv" hidden="1">#REF!</definedName>
    <definedName name="FDP_275_1_aUrv" hidden="1">#REF!</definedName>
    <definedName name="FDP_276_1_aSrv" hidden="1">#REF!</definedName>
    <definedName name="FDP_276_1_aUrv" hidden="1">#REF!</definedName>
    <definedName name="FDP_277_1_aSrv" hidden="1">#REF!</definedName>
    <definedName name="FDP_277_1_aUrv" hidden="1">#REF!</definedName>
    <definedName name="FDP_278_1_aSrv" hidden="1">#REF!</definedName>
    <definedName name="FDP_278_1_aUrv" hidden="1">#REF!</definedName>
    <definedName name="FDP_279_1_aSrv" hidden="1">#REF!</definedName>
    <definedName name="FDP_28_1_aUrv" hidden="1">#REF!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P_284_1_aSrv" hidden="1">#REF!</definedName>
    <definedName name="FDP_285_1_aSrv" hidden="1">#REF!</definedName>
    <definedName name="FDP_286_1_aSrv" hidden="1">#REF!</definedName>
    <definedName name="FDP_287_1_aSrv" hidden="1">#REF!</definedName>
    <definedName name="FDP_288_1_aSrv" hidden="1">#REF!</definedName>
    <definedName name="FDP_289_1_aSrv" hidden="1">#REF!</definedName>
    <definedName name="FDP_29_1_aUrv" hidden="1">#REF!</definedName>
    <definedName name="FDP_290_1_aSrv" hidden="1">#REF!</definedName>
    <definedName name="FDP_291_1_aSrv" hidden="1">#REF!</definedName>
    <definedName name="FDP_292_1_aSrv" hidden="1">#REF!</definedName>
    <definedName name="FDP_293_1_aSrv" hidden="1">#REF!</definedName>
    <definedName name="FDP_294_1_aSrv" hidden="1">#REF!</definedName>
    <definedName name="FDP_295_1_aSrv" hidden="1">#REF!</definedName>
    <definedName name="FDP_296_1_aSrv" hidden="1">#REF!</definedName>
    <definedName name="FDP_297_1_aSrv" hidden="1">#REF!</definedName>
    <definedName name="FDP_298_1_aSrv" hidden="1">#REF!</definedName>
    <definedName name="FDP_299_1_aSrv" hidden="1">#REF!</definedName>
    <definedName name="FDP_3_1_aUrv" hidden="1">#REF!</definedName>
    <definedName name="FDP_30_1_aSrv" hidden="1">#REF!</definedName>
    <definedName name="FDP_30_1_aUrv" hidden="1">#REF!</definedName>
    <definedName name="FDP_300_1_aSrv" hidden="1">#REF!</definedName>
    <definedName name="FDP_301_1_aSrv" hidden="1">#REF!</definedName>
    <definedName name="FDP_302_1_aSrv" hidden="1">#REF!</definedName>
    <definedName name="FDP_303_1_aSrv" hidden="1">#REF!</definedName>
    <definedName name="FDP_304_1_aSrv" hidden="1">#REF!</definedName>
    <definedName name="FDP_305_1_aSrv" hidden="1">#REF!</definedName>
    <definedName name="FDP_306_1_aSrv" hidden="1">#REF!</definedName>
    <definedName name="FDP_307_1_aSrv" hidden="1">#REF!</definedName>
    <definedName name="FDP_308_1_aSrv" hidden="1">#REF!</definedName>
    <definedName name="FDP_309_1_aSrv" hidden="1">#REF!</definedName>
    <definedName name="FDP_31_1_aSrv" hidden="1">#REF!</definedName>
    <definedName name="FDP_31_1_aUrv" hidden="1">#REF!</definedName>
    <definedName name="FDP_310_1_aSrv" hidden="1">#REF!</definedName>
    <definedName name="FDP_311_1_aSrv" hidden="1">#REF!</definedName>
    <definedName name="FDP_312_1_aSrv" hidden="1">#REF!</definedName>
    <definedName name="FDP_313_1_aSrv" hidden="1">#REF!</definedName>
    <definedName name="FDP_314_1_aSrv" hidden="1">#REF!</definedName>
    <definedName name="FDP_315_1_aSrv" hidden="1">#REF!</definedName>
    <definedName name="FDP_316_1_aSrv" hidden="1">#REF!</definedName>
    <definedName name="FDP_317_1_aSrv" hidden="1">#REF!</definedName>
    <definedName name="FDP_32_1_aUrv" hidden="1">#REF!</definedName>
    <definedName name="FDP_33_1_aUrv" hidden="1">#REF!</definedName>
    <definedName name="FDP_34_1_aUrv" hidden="1">#REF!</definedName>
    <definedName name="FDP_35_1_aUrv" hidden="1">#REF!</definedName>
    <definedName name="FDP_36_1_aUrv" hidden="1">#REF!</definedName>
    <definedName name="FDP_37_1_aSrv" hidden="1">#REF!</definedName>
    <definedName name="FDP_37_1_aUrv" hidden="1">#REF!</definedName>
    <definedName name="FDP_38_1_aUrv" hidden="1">#REF!</definedName>
    <definedName name="FDP_39_1_aUrv" hidden="1">#REF!</definedName>
    <definedName name="FDP_4_1_aUrv" hidden="1">#REF!</definedName>
    <definedName name="FDP_40_1_aUrv" hidden="1">#REF!</definedName>
    <definedName name="FDP_41_1_aUrv" hidden="1">#REF!</definedName>
    <definedName name="FDP_42_1_aUrv" hidden="1">#REF!</definedName>
    <definedName name="FDP_43_1_aUrv" hidden="1">#REF!</definedName>
    <definedName name="FDP_44_1_aUrv" hidden="1">#REF!</definedName>
    <definedName name="FDP_45_1_aUrv" hidden="1">#REF!</definedName>
    <definedName name="FDP_455_1_aSrv" hidden="1">#REF!</definedName>
    <definedName name="FDP_456_1_aSrv" hidden="1">#REF!</definedName>
    <definedName name="FDP_457_1_aSrv" hidden="1">#REF!</definedName>
    <definedName name="FDP_458_1_aSrv" hidden="1">#REF!</definedName>
    <definedName name="FDP_459_1_aSrv" hidden="1">#REF!</definedName>
    <definedName name="FDP_46_1_aUrv" hidden="1">#REF!</definedName>
    <definedName name="FDP_460_1_aSrv" hidden="1">#REF!</definedName>
    <definedName name="FDP_461_1_aSrv" hidden="1">#REF!</definedName>
    <definedName name="FDP_462_1_aSrv" hidden="1">#REF!</definedName>
    <definedName name="FDP_463_1_aSrv" hidden="1">#REF!</definedName>
    <definedName name="FDP_464_1_aSrv" hidden="1">#REF!</definedName>
    <definedName name="FDP_465_1_aSrv" hidden="1">#REF!</definedName>
    <definedName name="FDP_466_1_aSrv" hidden="1">#REF!</definedName>
    <definedName name="FDP_467_1_aSrv" hidden="1">#REF!</definedName>
    <definedName name="FDP_468_1_aSrv" hidden="1">#REF!</definedName>
    <definedName name="FDP_469_1_aSrv" hidden="1">#REF!</definedName>
    <definedName name="FDP_47_1_aUrv" hidden="1">#REF!</definedName>
    <definedName name="FDP_470_1_aSrv" hidden="1">#REF!</definedName>
    <definedName name="FDP_471_1_aSrv" hidden="1">#REF!</definedName>
    <definedName name="FDP_472_1_aSrv" hidden="1">#REF!</definedName>
    <definedName name="FDP_473_1_aSrv" hidden="1">#REF!</definedName>
    <definedName name="FDP_474_1_aSrv" hidden="1">#REF!</definedName>
    <definedName name="FDP_475_1_aSrv" hidden="1">#REF!</definedName>
    <definedName name="FDP_476_1_aSrv" hidden="1">#REF!</definedName>
    <definedName name="FDP_477_1_aSrv" hidden="1">#REF!</definedName>
    <definedName name="FDP_478_1_aSrv" hidden="1">#REF!</definedName>
    <definedName name="FDP_479_1_aSrv" hidden="1">#REF!</definedName>
    <definedName name="FDP_48_1_aUrv" hidden="1">#REF!</definedName>
    <definedName name="FDP_480_1_aSrv" hidden="1">#REF!</definedName>
    <definedName name="FDP_481_1_aSrv" hidden="1">#REF!</definedName>
    <definedName name="FDP_482_1_aSrv" hidden="1">#REF!</definedName>
    <definedName name="FDP_483_1_aSrv" hidden="1">#REF!</definedName>
    <definedName name="FDP_484_1_aSrv" hidden="1">#REF!</definedName>
    <definedName name="FDP_485_1_aSrv" hidden="1">#REF!</definedName>
    <definedName name="FDP_486_1_aSrv" hidden="1">#REF!</definedName>
    <definedName name="FDP_487_1_aSrv" hidden="1">#REF!</definedName>
    <definedName name="FDP_488_1_aSrv" hidden="1">#REF!</definedName>
    <definedName name="FDP_489_1_aSrv" hidden="1">#REF!</definedName>
    <definedName name="FDP_49_1_aUrv" hidden="1">#REF!</definedName>
    <definedName name="FDP_490_1_aSrv" hidden="1">#REF!</definedName>
    <definedName name="FDP_491_1_aSrv" hidden="1">#REF!</definedName>
    <definedName name="FDP_492_1_aSrv" hidden="1">#REF!</definedName>
    <definedName name="FDP_493_1_aSrv" hidden="1">#REF!</definedName>
    <definedName name="FDP_494_1_aSrv" hidden="1">#REF!</definedName>
    <definedName name="FDP_495_1_aSrv" hidden="1">#REF!</definedName>
    <definedName name="FDP_496_1_aSrv" hidden="1">#REF!</definedName>
    <definedName name="FDP_497_1_aSrv" hidden="1">#REF!</definedName>
    <definedName name="FDP_498_1_aSrv" hidden="1">#REF!</definedName>
    <definedName name="FDP_499_1_aSrv" hidden="1">#REF!</definedName>
    <definedName name="FDP_5_1_aUrv" hidden="1">#REF!</definedName>
    <definedName name="FDP_50_1_aSrv" hidden="1">#REF!</definedName>
    <definedName name="FDP_50_1_aUrv" hidden="1">#REF!</definedName>
    <definedName name="FDP_500_1_aSrv" hidden="1">#REF!</definedName>
    <definedName name="FDP_501_1_aSrv" hidden="1">#REF!</definedName>
    <definedName name="FDP_502_1_aSrv" hidden="1">#REF!</definedName>
    <definedName name="FDP_503_1_aSrv" hidden="1">#REF!</definedName>
    <definedName name="FDP_504_1_aSrv" hidden="1">#REF!</definedName>
    <definedName name="FDP_505_1_aSrv" hidden="1">#REF!</definedName>
    <definedName name="FDP_506_1_aSrv" hidden="1">#REF!</definedName>
    <definedName name="FDP_507_1_aSrv" hidden="1">#REF!</definedName>
    <definedName name="FDP_508_1_aSrv" hidden="1">#REF!</definedName>
    <definedName name="FDP_509_1_aSrv" hidden="1">#REF!</definedName>
    <definedName name="FDP_51_1_aSrv" hidden="1">#REF!</definedName>
    <definedName name="FDP_51_1_aUrv" hidden="1">#REF!</definedName>
    <definedName name="FDP_510_1_aSrv" hidden="1">#REF!</definedName>
    <definedName name="FDP_511_1_aSrv" hidden="1">#REF!</definedName>
    <definedName name="FDP_512_1_aSrv" hidden="1">#REF!</definedName>
    <definedName name="FDP_513_1_aSrv" hidden="1">#REF!</definedName>
    <definedName name="FDP_514_1_aSrv" hidden="1">#REF!</definedName>
    <definedName name="FDP_515_1_aSrv" hidden="1">#REF!</definedName>
    <definedName name="FDP_516_1_aSrv" hidden="1">#REF!</definedName>
    <definedName name="FDP_517_1_aSrv" hidden="1">#REF!</definedName>
    <definedName name="FDP_518_1_aSrv" hidden="1">#REF!</definedName>
    <definedName name="FDP_519_1_aSrv" hidden="1">#REF!</definedName>
    <definedName name="FDP_52_1_aUrv" hidden="1">#REF!</definedName>
    <definedName name="FDP_520_1_aSrv" hidden="1">#REF!</definedName>
    <definedName name="FDP_521_1_aSrv" hidden="1">#REF!</definedName>
    <definedName name="FDP_522_1_aSrv" hidden="1">#REF!</definedName>
    <definedName name="FDP_523_1_aSrv" hidden="1">#REF!</definedName>
    <definedName name="FDP_524_1_aSrv" hidden="1">#REF!</definedName>
    <definedName name="FDP_525_1_aSrv" hidden="1">#REF!</definedName>
    <definedName name="FDP_526_1_aSrv" hidden="1">#REF!</definedName>
    <definedName name="FDP_527_1_aSrv" hidden="1">#REF!</definedName>
    <definedName name="FDP_528_1_aSrv" hidden="1">#REF!</definedName>
    <definedName name="FDP_529_1_aSrv" hidden="1">#REF!</definedName>
    <definedName name="FDP_53_1_aUrv" hidden="1">#REF!</definedName>
    <definedName name="FDP_530_1_aSrv" hidden="1">#REF!</definedName>
    <definedName name="FDP_531_1_aSrv" hidden="1">#REF!</definedName>
    <definedName name="FDP_532_1_aSrv" hidden="1">#REF!</definedName>
    <definedName name="FDP_533_1_aSrv" hidden="1">#REF!</definedName>
    <definedName name="FDP_534_1_aSrv" hidden="1">#REF!</definedName>
    <definedName name="FDP_535_1_aSrv" hidden="1">#REF!</definedName>
    <definedName name="FDP_536_1_aSrv" hidden="1">#REF!</definedName>
    <definedName name="FDP_537_1_aSrv" hidden="1">#REF!</definedName>
    <definedName name="FDP_538_1_aSrv" hidden="1">#REF!</definedName>
    <definedName name="FDP_539_1_aSrv" hidden="1">#REF!</definedName>
    <definedName name="FDP_54_1_aUrv" hidden="1">#REF!</definedName>
    <definedName name="FDP_540_1_aSrv" hidden="1">#REF!</definedName>
    <definedName name="FDP_541_1_aSrv" hidden="1">#REF!</definedName>
    <definedName name="FDP_542_1_aSrv" hidden="1">#REF!</definedName>
    <definedName name="FDP_543_1_aSrv" hidden="1">#REF!</definedName>
    <definedName name="FDP_544_1_aSrv" hidden="1">#REF!</definedName>
    <definedName name="FDP_545_1_aSrv" hidden="1">#REF!</definedName>
    <definedName name="FDP_546_1_aSrv" hidden="1">#REF!</definedName>
    <definedName name="FDP_547_1_aSrv" hidden="1">#REF!</definedName>
    <definedName name="FDP_548_1_aSrv" hidden="1">#REF!</definedName>
    <definedName name="FDP_549_1_aUrv" hidden="1">#REF!</definedName>
    <definedName name="FDP_55_1_aUrv" hidden="1">#REF!</definedName>
    <definedName name="FDP_550_1_aUrv" hidden="1">#REF!</definedName>
    <definedName name="FDP_551_1_aUrv" hidden="1">#REF!</definedName>
    <definedName name="FDP_552_1_aUrv" hidden="1">#REF!</definedName>
    <definedName name="FDP_553_1_aUrv" hidden="1">#REF!</definedName>
    <definedName name="FDP_554_1_aUrv" hidden="1">#REF!</definedName>
    <definedName name="FDP_56_1_aUrv" hidden="1">#REF!</definedName>
    <definedName name="FDP_57_1_aSrv" hidden="1">#REF!</definedName>
    <definedName name="FDP_57_1_aUrv" hidden="1">#REF!</definedName>
    <definedName name="FDP_58_1_aUrv" hidden="1">#REF!</definedName>
    <definedName name="FDP_59_1_aSrv" hidden="1">#REF!</definedName>
    <definedName name="FDP_59_1_aUrv" hidden="1">#REF!</definedName>
    <definedName name="FDP_6_1_aUrv" hidden="1">#REF!</definedName>
    <definedName name="FDP_60_1_aUrv" hidden="1">#REF!</definedName>
    <definedName name="FDP_608_1_aUrv" hidden="1">#REF!</definedName>
    <definedName name="FDP_609_1_aSrv" hidden="1">#REF!</definedName>
    <definedName name="FDP_61_1_aUrv" hidden="1">#REF!</definedName>
    <definedName name="FDP_610_1_aSrv" hidden="1">#REF!</definedName>
    <definedName name="FDP_612_1_aSrv" hidden="1">#REF!</definedName>
    <definedName name="FDP_613_1_aSrv" hidden="1">#REF!</definedName>
    <definedName name="FDP_614_1_aSrv" hidden="1">#REF!</definedName>
    <definedName name="FDP_615_1_aSrv" hidden="1">#REF!</definedName>
    <definedName name="FDP_616_1_aSrv" hidden="1">#REF!</definedName>
    <definedName name="FDP_617_1_aSrv" hidden="1">#REF!</definedName>
    <definedName name="FDP_618_1_aSrv" hidden="1">#REF!</definedName>
    <definedName name="FDP_619_1_aSrv" hidden="1">#REF!</definedName>
    <definedName name="FDP_62_1_aUrv" hidden="1">#REF!</definedName>
    <definedName name="FDP_620_1_aSrv" hidden="1">#REF!</definedName>
    <definedName name="FDP_63_1_aUrv" hidden="1">#REF!</definedName>
    <definedName name="FDP_64_1_aUrv" hidden="1">#REF!</definedName>
    <definedName name="FDP_65_1_aSrv" hidden="1">#REF!</definedName>
    <definedName name="FDP_66_1_aUrv" hidden="1">#REF!</definedName>
    <definedName name="FDP_67_1_aSrv" hidden="1">#REF!</definedName>
    <definedName name="FDP_67_1_aUrv" hidden="1">#REF!</definedName>
    <definedName name="FDP_68_1_aUrv" hidden="1">#REF!</definedName>
    <definedName name="FDP_69_1_aSrv" hidden="1">#REF!</definedName>
    <definedName name="FDP_7_1_aUrv" hidden="1">#REF!</definedName>
    <definedName name="FDP_70_1_aSrv" hidden="1">#REF!</definedName>
    <definedName name="FDP_71_1_aUrv" hidden="1">#REF!</definedName>
    <definedName name="FDP_72_1_aUrv" hidden="1">#REF!</definedName>
    <definedName name="FDP_73_1_aSrv" hidden="1">#REF!</definedName>
    <definedName name="FDP_74_1_aSrv" hidden="1">#REF!</definedName>
    <definedName name="FDP_75_1_aUrv" hidden="1">#REF!</definedName>
    <definedName name="FDP_76_1_aSrv" hidden="1">#REF!</definedName>
    <definedName name="FDP_77_1_aSrv" hidden="1">#REF!</definedName>
    <definedName name="FDP_77_1_aUrv" hidden="1">#REF!</definedName>
    <definedName name="FDP_78_1_aUrv" hidden="1">#REF!</definedName>
    <definedName name="FDP_79_1_aUrv" hidden="1">#REF!</definedName>
    <definedName name="FDP_8_1_aUrv" hidden="1">#REF!</definedName>
    <definedName name="FDP_80_1_aUrv" hidden="1">#REF!</definedName>
    <definedName name="FDP_81_1_aUrv" hidden="1">#REF!</definedName>
    <definedName name="FDP_82_1_aUrv" hidden="1">#REF!</definedName>
    <definedName name="FDP_83_1_aUrv" hidden="1">#REF!</definedName>
    <definedName name="FDP_84_1_aUrv" hidden="1">#REF!</definedName>
    <definedName name="FDP_85_1_aUrv" hidden="1">#REF!</definedName>
    <definedName name="FDP_86_1_aUrv" hidden="1">#REF!</definedName>
    <definedName name="FDP_87_1_aUrv" hidden="1">#REF!</definedName>
    <definedName name="FDP_88_1_aUrv" hidden="1">#REF!</definedName>
    <definedName name="FDP_89_1_aUrv" hidden="1">#REF!</definedName>
    <definedName name="FDP_9_1_aUrv" hidden="1">#REF!</definedName>
    <definedName name="FDP_90_1_aUrv" hidden="1">#REF!</definedName>
    <definedName name="FDP_91_1_aUrv" hidden="1">#REF!</definedName>
    <definedName name="FDP_92_1_aSrv" hidden="1">#REF!</definedName>
    <definedName name="FDP_92_1_aUrv" hidden="1">#REF!</definedName>
    <definedName name="FDP_93_1_aUrv" hidden="1">#REF!</definedName>
    <definedName name="FDP_94_1_aUrv" hidden="1">#REF!</definedName>
    <definedName name="FDP_95_1_aUrv" hidden="1">#REF!</definedName>
    <definedName name="FDP_96_1_aUrv" hidden="1">#REF!</definedName>
    <definedName name="FDP_97_1_aUrv" hidden="1">#REF!</definedName>
    <definedName name="FDP_98_1_aUrv" hidden="1">#REF!</definedName>
    <definedName name="FDP_99_1_aUrv" hidden="1">#REF!</definedName>
    <definedName name="fds" localSheetId="10" hidden="1">{"'下期集計（10.27迄・速報値）'!$Q$16"}</definedName>
    <definedName name="fds" localSheetId="9" hidden="1">{"'下期集計（10.27迄・速報値）'!$Q$16"}</definedName>
    <definedName name="fds" hidden="1">{"'下期集計（10.27迄・速報値）'!$Q$16"}</definedName>
    <definedName name="fds_1" localSheetId="10" hidden="1">{"'下期集計（10.27迄・速報値）'!$Q$16"}</definedName>
    <definedName name="fds_1" localSheetId="9" hidden="1">{"'下期集計（10.27迄・速報値）'!$Q$16"}</definedName>
    <definedName name="fds_1" hidden="1">{"'下期集計（10.27迄・速報値）'!$Q$16"}</definedName>
    <definedName name="fe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e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e_1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e_1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e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eew" localSheetId="10" hidden="1">{"summary",#N/A,FALSE,"2000 vs 1999";"detail",#N/A,FALSE,"2000 vs 1999"}</definedName>
    <definedName name="feew" localSheetId="9" hidden="1">{"summary",#N/A,FALSE,"2000 vs 1999";"detail",#N/A,FALSE,"2000 vs 1999"}</definedName>
    <definedName name="feew" hidden="1">{"summary",#N/A,FALSE,"2000 vs 1999";"detail",#N/A,FALSE,"2000 vs 1999"}</definedName>
    <definedName name="feew_1" localSheetId="10" hidden="1">{"summary",#N/A,FALSE,"2000 vs 1999";"detail",#N/A,FALSE,"2000 vs 1999"}</definedName>
    <definedName name="feew_1" localSheetId="9" hidden="1">{"summary",#N/A,FALSE,"2000 vs 1999";"detail",#N/A,FALSE,"2000 vs 1999"}</definedName>
    <definedName name="feew_1" hidden="1">{"summary",#N/A,FALSE,"2000 vs 1999";"detail",#N/A,FALSE,"2000 vs 1999"}</definedName>
    <definedName name="ffefe" localSheetId="10" hidden="1">{"adj95mult",#N/A,FALSE,"COMPCO";"adj95est",#N/A,FALSE,"COMPCO"}</definedName>
    <definedName name="ffefe" localSheetId="9" hidden="1">{"adj95mult",#N/A,FALSE,"COMPCO";"adj95est",#N/A,FALSE,"COMPCO"}</definedName>
    <definedName name="ffefe" hidden="1">{"adj95mult",#N/A,FALSE,"COMPCO";"adj95est",#N/A,FALSE,"COMPCO"}</definedName>
    <definedName name="fff" localSheetId="10" hidden="1">{"summary",#N/A,FALSE,"2000 vs 1999";"detail",#N/A,FALSE,"2000 vs 1999"}</definedName>
    <definedName name="fff" localSheetId="9" hidden="1">{"summary",#N/A,FALSE,"2000 vs 1999";"detail",#N/A,FALSE,"2000 vs 1999"}</definedName>
    <definedName name="fff" hidden="1">{"summary",#N/A,FALSE,"2000 vs 1999";"detail",#N/A,FALSE,"2000 vs 1999"}</definedName>
    <definedName name="fff_1" localSheetId="10" hidden="1">{"summary",#N/A,FALSE,"2000 vs 1999";"detail",#N/A,FALSE,"2000 vs 1999"}</definedName>
    <definedName name="fff_1" localSheetId="9" hidden="1">{"summary",#N/A,FALSE,"2000 vs 1999";"detail",#N/A,FALSE,"2000 vs 1999"}</definedName>
    <definedName name="fff_1" hidden="1">{"summary",#N/A,FALSE,"2000 vs 1999";"detail",#N/A,FALSE,"2000 vs 1999"}</definedName>
    <definedName name="ffffff" localSheetId="10" hidden="1">{#N/A,#N/A,FALSE,"CCTV"}</definedName>
    <definedName name="ffffff" localSheetId="9" hidden="1">{#N/A,#N/A,FALSE,"CCTV"}</definedName>
    <definedName name="ffffff" hidden="1">{#N/A,#N/A,FALSE,"CCTV"}</definedName>
    <definedName name="fffffff" localSheetId="10" hidden="1">{#N/A,#N/A,FALSE,"Pharm";#N/A,#N/A,FALSE,"WWCM"}</definedName>
    <definedName name="fffffff" localSheetId="9" hidden="1">{#N/A,#N/A,FALSE,"Pharm";#N/A,#N/A,FALSE,"WWCM"}</definedName>
    <definedName name="fffffff" hidden="1">{#N/A,#N/A,FALSE,"Pharm";#N/A,#N/A,FALSE,"WWCM"}</definedName>
    <definedName name="ffwefrhj2ljw" localSheetId="10" hidden="1">{"'Jibu9811 (3)'!$B$1:$J$433"}</definedName>
    <definedName name="ffwefrhj2ljw" localSheetId="9" hidden="1">{"'Jibu9811 (3)'!$B$1:$J$433"}</definedName>
    <definedName name="ffwefrhj2ljw" hidden="1">{"'Jibu9811 (3)'!$B$1:$J$433"}</definedName>
    <definedName name="FGF" localSheetId="10" hidden="1">{#N/A,#N/A,FALSE,"CCTV"}</definedName>
    <definedName name="FGF" localSheetId="9" hidden="1">{#N/A,#N/A,FALSE,"CCTV"}</definedName>
    <definedName name="FGF" hidden="1">{#N/A,#N/A,FALSE,"CCTV"}</definedName>
    <definedName name="fgfdfgd" localSheetId="10" hidden="1">{"summary",#N/A,FALSE,"2000 vs 1999";"detail",#N/A,FALSE,"2000 vs 1999"}</definedName>
    <definedName name="fgfdfgd" localSheetId="9" hidden="1">{"summary",#N/A,FALSE,"2000 vs 1999";"detail",#N/A,FALSE,"2000 vs 1999"}</definedName>
    <definedName name="fgfdfgd" hidden="1">{"summary",#N/A,FALSE,"2000 vs 1999";"detail",#N/A,FALSE,"2000 vs 1999"}</definedName>
    <definedName name="fgfdfgd_1" localSheetId="10" hidden="1">{"summary",#N/A,FALSE,"2000 vs 1999";"detail",#N/A,FALSE,"2000 vs 1999"}</definedName>
    <definedName name="fgfdfgd_1" localSheetId="9" hidden="1">{"summary",#N/A,FALSE,"2000 vs 1999";"detail",#N/A,FALSE,"2000 vs 1999"}</definedName>
    <definedName name="fgfdfgd_1" hidden="1">{"summary",#N/A,FALSE,"2000 vs 1999";"detail",#N/A,FALSE,"2000 vs 1999"}</definedName>
    <definedName name="fgkjkh" localSheetId="10" hidden="1">{#N/A,#N/A,FALSE,"REPORT"}</definedName>
    <definedName name="fgkjkh" localSheetId="9" hidden="1">{#N/A,#N/A,FALSE,"REPORT"}</definedName>
    <definedName name="fgkjkh" hidden="1">{#N/A,#N/A,FALSE,"REPORT"}</definedName>
    <definedName name="fhgjfghfghgf" localSheetId="10" hidden="1">{#N/A,#N/A,FALSE,"CCTV"}</definedName>
    <definedName name="fhgjfghfghgf" localSheetId="9" hidden="1">{#N/A,#N/A,FALSE,"CCTV"}</definedName>
    <definedName name="fhgjfghfghgf" hidden="1">{#N/A,#N/A,FALSE,"CCTV"}</definedName>
    <definedName name="FILL2" hidden="1">#REF!</definedName>
    <definedName name="Fina" hidden="1">#REF!</definedName>
    <definedName name="final" hidden="1">#REF!</definedName>
    <definedName name="Finale" hidden="1">#REF!</definedName>
    <definedName name="Find" localSheetId="1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ind" localSheetId="9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in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J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J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J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J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J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JD" localSheetId="10" hidden="1">{#N/A,#N/A,FALSE,"단축1";#N/A,#N/A,FALSE,"단축2";#N/A,#N/A,FALSE,"단축3";#N/A,#N/A,FALSE,"장축";#N/A,#N/A,FALSE,"4WD"}</definedName>
    <definedName name="FJD" localSheetId="9" hidden="1">{#N/A,#N/A,FALSE,"단축1";#N/A,#N/A,FALSE,"단축2";#N/A,#N/A,FALSE,"단축3";#N/A,#N/A,FALSE,"장축";#N/A,#N/A,FALSE,"4WD"}</definedName>
    <definedName name="FJD" hidden="1">{#N/A,#N/A,FALSE,"단축1";#N/A,#N/A,FALSE,"단축2";#N/A,#N/A,FALSE,"단축3";#N/A,#N/A,FALSE,"장축";#N/A,#N/A,FALSE,"4WD"}</definedName>
    <definedName name="fjEFIEHFHF" localSheetId="1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fjEFIEHFHF" localSheetId="9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fjEFIEHFHF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FJEZK" localSheetId="10" hidden="1">{#N/A,#N/A,FALSE,"Pharm";#N/A,#N/A,FALSE,"WWCM"}</definedName>
    <definedName name="FJEZK" localSheetId="9" hidden="1">{#N/A,#N/A,FALSE,"Pharm";#N/A,#N/A,FALSE,"WWCM"}</definedName>
    <definedName name="FJEZK" hidden="1">{#N/A,#N/A,FALSE,"Pharm";#N/A,#N/A,FALSE,"WWCM"}</definedName>
    <definedName name="FJFGJJH" localSheetId="10" hidden="1">{"summary",#N/A,FALSE,"2000 vs 1999";"detail",#N/A,FALSE,"2000 vs 1999"}</definedName>
    <definedName name="FJFGJJH" localSheetId="9" hidden="1">{"summary",#N/A,FALSE,"2000 vs 1999";"detail",#N/A,FALSE,"2000 vs 1999"}</definedName>
    <definedName name="FJFGJJH" hidden="1">{"summary",#N/A,FALSE,"2000 vs 1999";"detail",#N/A,FALSE,"2000 vs 1999"}</definedName>
    <definedName name="FJFGJJH_1" localSheetId="10" hidden="1">{"summary",#N/A,FALSE,"2000 vs 1999";"detail",#N/A,FALSE,"2000 vs 1999"}</definedName>
    <definedName name="FJFGJJH_1" localSheetId="9" hidden="1">{"summary",#N/A,FALSE,"2000 vs 1999";"detail",#N/A,FALSE,"2000 vs 1999"}</definedName>
    <definedName name="FJFGJJH_1" hidden="1">{"summary",#N/A,FALSE,"2000 vs 1999";"detail",#N/A,FALSE,"2000 vs 1999"}</definedName>
    <definedName name="FK" localSheetId="10" hidden="1">{"'용역비'!$A$4:$C$8"}</definedName>
    <definedName name="FK" localSheetId="9" hidden="1">{"'용역비'!$A$4:$C$8"}</definedName>
    <definedName name="FK" hidden="1">{"'용역비'!$A$4:$C$8"}</definedName>
    <definedName name="FLEXIBLE.T.L" localSheetId="10" hidden="1">{#N/A,#N/A,FALSE,"단축1";#N/A,#N/A,FALSE,"단축2";#N/A,#N/A,FALSE,"단축3";#N/A,#N/A,FALSE,"장축";#N/A,#N/A,FALSE,"4WD"}</definedName>
    <definedName name="FLEXIBLE.T.L" localSheetId="9" hidden="1">{#N/A,#N/A,FALSE,"단축1";#N/A,#N/A,FALSE,"단축2";#N/A,#N/A,FALSE,"단축3";#N/A,#N/A,FALSE,"장축";#N/A,#N/A,FALSE,"4WD"}</definedName>
    <definedName name="FLEXIBLE.T.L" hidden="1">{#N/A,#N/A,FALSE,"단축1";#N/A,#N/A,FALSE,"단축2";#N/A,#N/A,FALSE,"단축3";#N/A,#N/A,FALSE,"장축";#N/A,#N/A,FALSE,"4WD"}</definedName>
    <definedName name="forecast" localSheetId="10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" localSheetId="9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xcel1" hidden="1">#REF!</definedName>
    <definedName name="Formatted" localSheetId="10" hidden="1">{"'Sheet1'!$A$1:$F$101"}</definedName>
    <definedName name="Formatted" localSheetId="9" hidden="1">{"'Sheet1'!$A$1:$F$101"}</definedName>
    <definedName name="Formatted" hidden="1">{"'Sheet1'!$A$1:$F$101"}</definedName>
    <definedName name="Formatted_1" localSheetId="10" hidden="1">{"'Sheet1'!$A$1:$F$101"}</definedName>
    <definedName name="Formatted_1" localSheetId="9" hidden="1">{"'Sheet1'!$A$1:$F$101"}</definedName>
    <definedName name="Formatted_1" hidden="1">{"'Sheet1'!$A$1:$F$101"}</definedName>
    <definedName name="freya" localSheetId="10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freya" localSheetId="9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freya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FRF" localSheetId="10" hidden="1">{#N/A,#N/A,FALSE,"1";#N/A,#N/A,FALSE,"2";#N/A,#N/A,FALSE,"16 - 17";#N/A,#N/A,FALSE,"18 - 19";#N/A,#N/A,FALSE,"26";#N/A,#N/A,FALSE,"27";#N/A,#N/A,FALSE,"28"}</definedName>
    <definedName name="FRF" localSheetId="9" hidden="1">{#N/A,#N/A,FALSE,"1";#N/A,#N/A,FALSE,"2";#N/A,#N/A,FALSE,"16 - 17";#N/A,#N/A,FALSE,"18 - 19";#N/A,#N/A,FALSE,"26";#N/A,#N/A,FALSE,"27";#N/A,#N/A,FALSE,"28"}</definedName>
    <definedName name="FRF" hidden="1">{#N/A,#N/A,FALSE,"1";#N/A,#N/A,FALSE,"2";#N/A,#N/A,FALSE,"16 - 17";#N/A,#N/A,FALSE,"18 - 19";#N/A,#N/A,FALSE,"26";#N/A,#N/A,FALSE,"27";#N/A,#N/A,FALSE,"28"}</definedName>
    <definedName name="FRFERFE" localSheetId="10" hidden="1">{#N/A,#N/A,FALSE,"Pharm";#N/A,#N/A,FALSE,"WWCM"}</definedName>
    <definedName name="FRFERFE" localSheetId="9" hidden="1">{#N/A,#N/A,FALSE,"Pharm";#N/A,#N/A,FALSE,"WWCM"}</definedName>
    <definedName name="FRFERFE" hidden="1">{#N/A,#N/A,FALSE,"Pharm";#N/A,#N/A,FALSE,"WWCM"}</definedName>
    <definedName name="FS" localSheetId="10" hidden="1">{#N/A,#N/A,FALSE,"BS";#N/A,#N/A,FALSE,"PL";#N/A,#N/A,FALSE,"처분";#N/A,#N/A,FALSE,"현금";#N/A,#N/A,FALSE,"매출";#N/A,#N/A,FALSE,"원가";#N/A,#N/A,FALSE,"경영"}</definedName>
    <definedName name="FS" localSheetId="9" hidden="1">{#N/A,#N/A,FALSE,"BS";#N/A,#N/A,FALSE,"PL";#N/A,#N/A,FALSE,"처분";#N/A,#N/A,FALSE,"현금";#N/A,#N/A,FALSE,"매출";#N/A,#N/A,FALSE,"원가";#N/A,#N/A,FALSE,"경영"}</definedName>
    <definedName name="FS" hidden="1">{#N/A,#N/A,FALSE,"BS";#N/A,#N/A,FALSE,"PL";#N/A,#N/A,FALSE,"처분";#N/A,#N/A,FALSE,"현금";#N/A,#N/A,FALSE,"매출";#N/A,#N/A,FALSE,"원가";#N/A,#N/A,FALSE,"경영"}</definedName>
    <definedName name="FS_1" localSheetId="10" hidden="1">{#N/A,#N/A,FALSE,"BS";#N/A,#N/A,FALSE,"PL";#N/A,#N/A,FALSE,"처분";#N/A,#N/A,FALSE,"현금";#N/A,#N/A,FALSE,"매출";#N/A,#N/A,FALSE,"원가";#N/A,#N/A,FALSE,"경영"}</definedName>
    <definedName name="FS_1" localSheetId="9" hidden="1">{#N/A,#N/A,FALSE,"BS";#N/A,#N/A,FALSE,"PL";#N/A,#N/A,FALSE,"처분";#N/A,#N/A,FALSE,"현금";#N/A,#N/A,FALSE,"매출";#N/A,#N/A,FALSE,"원가";#N/A,#N/A,FALSE,"경영"}</definedName>
    <definedName name="FS_1" hidden="1">{#N/A,#N/A,FALSE,"BS";#N/A,#N/A,FALSE,"PL";#N/A,#N/A,FALSE,"처분";#N/A,#N/A,FALSE,"현금";#N/A,#N/A,FALSE,"매출";#N/A,#N/A,FALSE,"원가";#N/A,#N/A,FALSE,"경영"}</definedName>
    <definedName name="fsd" hidden="1">#REF!</definedName>
    <definedName name="fsdfwe" localSheetId="10" hidden="1">{"comp1",#N/A,FALSE,"COMPS";"footnotes",#N/A,FALSE,"COMPS"}</definedName>
    <definedName name="fsdfwe" localSheetId="9" hidden="1">{"comp1",#N/A,FALSE,"COMPS";"footnotes",#N/A,FALSE,"COMPS"}</definedName>
    <definedName name="fsdfwe" hidden="1">{"comp1",#N/A,FALSE,"COMPS";"footnotes",#N/A,FALSE,"COMPS"}</definedName>
    <definedName name="fsg" localSheetId="10" hidden="1">{#N/A,#N/A,TRUE,"Cover His T";#N/A,#N/A,TRUE,"P&amp;L";#N/A,#N/A,TRUE,"BS";#N/A,#N/A,TRUE,"Depreciation";#N/A,#N/A,TRUE,"GRAPHS";#N/A,#N/A,TRUE,"DCF EBITDA Multiple";#N/A,#N/A,TRUE,"DCF Perpetual Growth"}</definedName>
    <definedName name="fsg" localSheetId="9" hidden="1">{#N/A,#N/A,TRUE,"Cover His T";#N/A,#N/A,TRUE,"P&amp;L";#N/A,#N/A,TRUE,"BS";#N/A,#N/A,TRUE,"Depreciation";#N/A,#N/A,TRUE,"GRAPHS";#N/A,#N/A,TRUE,"DCF EBITDA Multiple";#N/A,#N/A,TRUE,"DCF Perpetual Growth"}</definedName>
    <definedName name="fsg" hidden="1">{#N/A,#N/A,TRUE,"Cover His T";#N/A,#N/A,TRUE,"P&amp;L";#N/A,#N/A,TRUE,"BS";#N/A,#N/A,TRUE,"Depreciation";#N/A,#N/A,TRUE,"GRAPHS";#N/A,#N/A,TRUE,"DCF EBITDA Multiple";#N/A,#N/A,TRUE,"DCF Perpetual Growth"}</definedName>
    <definedName name="FSoPacific" localSheetId="10" hidden="1">{"BS",#N/A,FALSE,"USA"}</definedName>
    <definedName name="FSoPacific" localSheetId="9" hidden="1">{"BS",#N/A,FALSE,"USA"}</definedName>
    <definedName name="FSoPacific" hidden="1">{"BS",#N/A,FALSE,"USA"}</definedName>
    <definedName name="ft" localSheetId="10" hidden="1">{"china1",#N/A,FALSE,"輸format_Asia";"China2",#N/A,FALSE,"輸format_Asia";"Hongkong1",#N/A,FALSE,"輸format_Asia";"indonesia",#N/A,FALSE,"輸format_Asia";"indonesia2",#N/A,FALSE,"輸format_Asia";"Philippines2",#N/A,FALSE,"輸format_Asia";"philippines3",#N/A,FALSE,"輸format_Asia";"Phillipppines",#N/A,FALSE,"輸format_Asia";"taiwan",#N/A,FALSE,"輸format_Asia";"taiwan2",#N/A,FALSE,"輸format_Asia";"thailand",#N/A,FALSE,"輸format_Asia";"thailand2",#N/A,FALSE,"輸format_Asia"}</definedName>
    <definedName name="ft" localSheetId="9" hidden="1">{"china1",#N/A,FALSE,"輸format_Asia";"China2",#N/A,FALSE,"輸format_Asia";"Hongkong1",#N/A,FALSE,"輸format_Asia";"indonesia",#N/A,FALSE,"輸format_Asia";"indonesia2",#N/A,FALSE,"輸format_Asia";"Philippines2",#N/A,FALSE,"輸format_Asia";"philippines3",#N/A,FALSE,"輸format_Asia";"Phillipppines",#N/A,FALSE,"輸format_Asia";"taiwan",#N/A,FALSE,"輸format_Asia";"taiwan2",#N/A,FALSE,"輸format_Asia";"thailand",#N/A,FALSE,"輸format_Asia";"thailand2",#N/A,FALSE,"輸format_Asia"}</definedName>
    <definedName name="ft" hidden="1">{"china1",#N/A,FALSE,"輸format_Asia";"China2",#N/A,FALSE,"輸format_Asia";"Hongkong1",#N/A,FALSE,"輸format_Asia";"indonesia",#N/A,FALSE,"輸format_Asia";"indonesia2",#N/A,FALSE,"輸format_Asia";"Philippines2",#N/A,FALSE,"輸format_Asia";"philippines3",#N/A,FALSE,"輸format_Asia";"Phillipppines",#N/A,FALSE,"輸format_Asia";"taiwan",#N/A,FALSE,"輸format_Asia";"taiwan2",#N/A,FALSE,"輸format_Asia";"thailand",#N/A,FALSE,"輸format_Asia";"thailand2",#N/A,FALSE,"輸format_Asia"}</definedName>
    <definedName name="FVG" localSheetId="10" hidden="1">{#N/A,#N/A,FALSE,"Pharm";#N/A,#N/A,FALSE,"WWCM"}</definedName>
    <definedName name="FVG" localSheetId="9" hidden="1">{#N/A,#N/A,FALSE,"Pharm";#N/A,#N/A,FALSE,"WWCM"}</definedName>
    <definedName name="FVG" hidden="1">{#N/A,#N/A,FALSE,"Pharm";#N/A,#N/A,FALSE,"WWCM"}</definedName>
    <definedName name="FY" hidden="1">41379.5438773148</definedName>
    <definedName name="ｇ" localSheetId="10" hidden="1">{"'下期集計（10.27迄・速報値）'!$Q$16"}</definedName>
    <definedName name="ｇ" localSheetId="9" hidden="1">{"'下期集計（10.27迄・速報値）'!$Q$16"}</definedName>
    <definedName name="ｇ" hidden="1">{"'下期集計（10.27迄・速報値）'!$Q$16"}</definedName>
    <definedName name="ｇ_1" localSheetId="10" hidden="1">{"'下期集計（10.27迄・速報値）'!$Q$16"}</definedName>
    <definedName name="ｇ_1" localSheetId="9" hidden="1">{"'下期集計（10.27迄・速報値）'!$Q$16"}</definedName>
    <definedName name="ｇ_1" hidden="1">{"'下期集計（10.27迄・速報値）'!$Q$16"}</definedName>
    <definedName name="gd" localSheetId="10" hidden="1">{"'下期集計（10.27迄・速報値）'!$Q$16"}</definedName>
    <definedName name="gd" localSheetId="9" hidden="1">{"'下期集計（10.27迄・速報値）'!$Q$16"}</definedName>
    <definedName name="gd" hidden="1">{"'下期集計（10.27迄・速報値）'!$Q$16"}</definedName>
    <definedName name="gd_1" localSheetId="10" hidden="1">{"'下期集計（10.27迄・速報値）'!$Q$16"}</definedName>
    <definedName name="gd_1" localSheetId="9" hidden="1">{"'下期集計（10.27迄・速報値）'!$Q$16"}</definedName>
    <definedName name="gd_1" hidden="1">{"'下期集計（10.27迄・速報値）'!$Q$16"}</definedName>
    <definedName name="gda" localSheetId="10" hidden="1">{"'下期集計（10.27迄・速報値）'!$Q$16"}</definedName>
    <definedName name="gda" localSheetId="9" hidden="1">{"'下期集計（10.27迄・速報値）'!$Q$16"}</definedName>
    <definedName name="gda" hidden="1">{"'下期集計（10.27迄・速報値）'!$Q$16"}</definedName>
    <definedName name="gda_1" localSheetId="10" hidden="1">{"'下期集計（10.27迄・速報値）'!$Q$16"}</definedName>
    <definedName name="gda_1" localSheetId="9" hidden="1">{"'下期集計（10.27迄・速報値）'!$Q$16"}</definedName>
    <definedName name="gda_1" hidden="1">{"'下期集計（10.27迄・速報値）'!$Q$16"}</definedName>
    <definedName name="gde" localSheetId="1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de" localSheetId="9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d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dfgdf" localSheetId="10" hidden="1">{#N/A,#N/A,FALSE,"Pharm";#N/A,#N/A,FALSE,"WWCM"}</definedName>
    <definedName name="gdfgdf" localSheetId="9" hidden="1">{#N/A,#N/A,FALSE,"Pharm";#N/A,#N/A,FALSE,"WWCM"}</definedName>
    <definedName name="gdfgdf" hidden="1">{#N/A,#N/A,FALSE,"Pharm";#N/A,#N/A,FALSE,"WWCM"}</definedName>
    <definedName name="gdk" hidden="1">#REF!</definedName>
    <definedName name="gdsa" localSheetId="10" hidden="1">{"'下期集計（10.27迄・速報値）'!$Q$16"}</definedName>
    <definedName name="gdsa" localSheetId="9" hidden="1">{"'下期集計（10.27迄・速報値）'!$Q$16"}</definedName>
    <definedName name="gdsa" hidden="1">{"'下期集計（10.27迄・速報値）'!$Q$16"}</definedName>
    <definedName name="gdsa_1" localSheetId="10" hidden="1">{"'下期集計（10.27迄・速報値）'!$Q$16"}</definedName>
    <definedName name="gdsa_1" localSheetId="9" hidden="1">{"'下期集計（10.27迄・速報値）'!$Q$16"}</definedName>
    <definedName name="gdsa_1" hidden="1">{"'下期集計（10.27迄・速報値）'!$Q$16"}</definedName>
    <definedName name="GEMCO" hidden="1">#REF!</definedName>
    <definedName name="general" hidden="1">#REF!</definedName>
    <definedName name="Geography_Label" hidden="1">#REF!</definedName>
    <definedName name="gfdjhjh" localSheetId="10" hidden="1">{#N/A,#N/A,FALSE,"Pharm";#N/A,#N/A,FALSE,"WWCM"}</definedName>
    <definedName name="gfdjhjh" localSheetId="9" hidden="1">{#N/A,#N/A,FALSE,"Pharm";#N/A,#N/A,FALSE,"WWCM"}</definedName>
    <definedName name="gfdjhjh" hidden="1">{#N/A,#N/A,FALSE,"Pharm";#N/A,#N/A,FALSE,"WWCM"}</definedName>
    <definedName name="gfjgfh" localSheetId="10" hidden="1">{#N/A,#N/A,FALSE,"CCTV"}</definedName>
    <definedName name="gfjgfh" localSheetId="9" hidden="1">{#N/A,#N/A,FALSE,"CCTV"}</definedName>
    <definedName name="gfjgfh" hidden="1">{#N/A,#N/A,FALSE,"CCTV"}</definedName>
    <definedName name="gfjgfhfg" localSheetId="10" hidden="1">{#N/A,#N/A,FALSE,"CCTV"}</definedName>
    <definedName name="gfjgfhfg" localSheetId="9" hidden="1">{#N/A,#N/A,FALSE,"CCTV"}</definedName>
    <definedName name="gfjgfhfg" hidden="1">{#N/A,#N/A,FALSE,"CCTV"}</definedName>
    <definedName name="gg" localSheetId="10" hidden="1">{#N/A,#N/A,FALSE,"UNIT";#N/A,#N/A,FALSE,"UNIT";#N/A,#N/A,FALSE,"계정"}</definedName>
    <definedName name="gg" localSheetId="9" hidden="1">{#N/A,#N/A,FALSE,"UNIT";#N/A,#N/A,FALSE,"UNIT";#N/A,#N/A,FALSE,"계정"}</definedName>
    <definedName name="gg" hidden="1">{#N/A,#N/A,FALSE,"UNIT";#N/A,#N/A,FALSE,"UNIT";#N/A,#N/A,FALSE,"계정"}</definedName>
    <definedName name="gg_1" localSheetId="10" hidden="1">{#N/A,#N/A,FALSE,"UNIT";#N/A,#N/A,FALSE,"UNIT";#N/A,#N/A,FALSE,"계정"}</definedName>
    <definedName name="gg_1" localSheetId="9" hidden="1">{#N/A,#N/A,FALSE,"UNIT";#N/A,#N/A,FALSE,"UNIT";#N/A,#N/A,FALSE,"계정"}</definedName>
    <definedName name="gg_1" hidden="1">{#N/A,#N/A,FALSE,"UNIT";#N/A,#N/A,FALSE,"UNIT";#N/A,#N/A,FALSE,"계정"}</definedName>
    <definedName name="GGG" localSheetId="10" hidden="1">{"quartfin",#N/A,FALSE,"quartfin"}</definedName>
    <definedName name="GGG" localSheetId="9" hidden="1">{"quartfin",#N/A,FALSE,"quartfin"}</definedName>
    <definedName name="GGG" hidden="1">{"quartfin",#N/A,FALSE,"quartfin"}</definedName>
    <definedName name="ggggg" localSheetId="10" hidden="1">{"summary",#N/A,FALSE,"2000 vs 1999";"detail",#N/A,FALSE,"2000 vs 1999"}</definedName>
    <definedName name="ggggg" localSheetId="9" hidden="1">{"summary",#N/A,FALSE,"2000 vs 1999";"detail",#N/A,FALSE,"2000 vs 1999"}</definedName>
    <definedName name="ggggg" hidden="1">{"summary",#N/A,FALSE,"2000 vs 1999";"detail",#N/A,FALSE,"2000 vs 1999"}</definedName>
    <definedName name="ggggg_1" localSheetId="10" hidden="1">{"summary",#N/A,FALSE,"2000 vs 1999";"detail",#N/A,FALSE,"2000 vs 1999"}</definedName>
    <definedName name="ggggg_1" localSheetId="9" hidden="1">{"summary",#N/A,FALSE,"2000 vs 1999";"detail",#N/A,FALSE,"2000 vs 1999"}</definedName>
    <definedName name="ggggg_1" hidden="1">{"summary",#N/A,FALSE,"2000 vs 1999";"detail",#N/A,FALSE,"2000 vs 1999"}</definedName>
    <definedName name="ggggggggggggg" localSheetId="10" hidden="1">{"Ergebnisbericht_UBA",#N/A,FALSE,"MB"}</definedName>
    <definedName name="ggggggggggggg" localSheetId="9" hidden="1">{"Ergebnisbericht_UBA",#N/A,FALSE,"MB"}</definedName>
    <definedName name="ggggggggggggg" hidden="1">{"Ergebnisbericht_UBA",#N/A,FALSE,"MB"}</definedName>
    <definedName name="ggggggggggggg_1" localSheetId="10" hidden="1">{"Ergebnisbericht_UBA",#N/A,FALSE,"MB"}</definedName>
    <definedName name="ggggggggggggg_1" localSheetId="9" hidden="1">{"Ergebnisbericht_UBA",#N/A,FALSE,"MB"}</definedName>
    <definedName name="ggggggggggggg_1" hidden="1">{"Ergebnisbericht_UBA",#N/A,FALSE,"MB"}</definedName>
    <definedName name="GHE" localSheetId="10" hidden="1">{#N/A,#N/A,FALSE,"이정표"}</definedName>
    <definedName name="GHE" localSheetId="9" hidden="1">{#N/A,#N/A,FALSE,"이정표"}</definedName>
    <definedName name="GHE" hidden="1">{#N/A,#N/A,FALSE,"이정표"}</definedName>
    <definedName name="ghjggjh" localSheetId="10" hidden="1">{#N/A,#N/A,FALSE,"Pharm";#N/A,#N/A,FALSE,"WWCM"}</definedName>
    <definedName name="ghjggjh" localSheetId="9" hidden="1">{#N/A,#N/A,FALSE,"Pharm";#N/A,#N/A,FALSE,"WWCM"}</definedName>
    <definedName name="ghjggjh" hidden="1">{#N/A,#N/A,FALSE,"Pharm";#N/A,#N/A,FALSE,"WWCM"}</definedName>
    <definedName name="giovanna" localSheetId="10" hidden="1">{"china1",#N/A,FALSE,"輸format_Asia";"China2",#N/A,FALSE,"輸format_Asia";"Hongkong1",#N/A,FALSE,"輸format_Asia";"indonesia",#N/A,FALSE,"輸format_Asia";"indonesia2",#N/A,FALSE,"輸format_Asia";"Philippines2",#N/A,FALSE,"輸format_Asia";"philippines3",#N/A,FALSE,"輸format_Asia";"Phillipppines",#N/A,FALSE,"輸format_Asia";"taiwan",#N/A,FALSE,"輸format_Asia";"taiwan2",#N/A,FALSE,"輸format_Asia";"thailand",#N/A,FALSE,"輸format_Asia";"thailand2",#N/A,FALSE,"輸format_Asia"}</definedName>
    <definedName name="giovanna" localSheetId="9" hidden="1">{"china1",#N/A,FALSE,"輸format_Asia";"China2",#N/A,FALSE,"輸format_Asia";"Hongkong1",#N/A,FALSE,"輸format_Asia";"indonesia",#N/A,FALSE,"輸format_Asia";"indonesia2",#N/A,FALSE,"輸format_Asia";"Philippines2",#N/A,FALSE,"輸format_Asia";"philippines3",#N/A,FALSE,"輸format_Asia";"Phillipppines",#N/A,FALSE,"輸format_Asia";"taiwan",#N/A,FALSE,"輸format_Asia";"taiwan2",#N/A,FALSE,"輸format_Asia";"thailand",#N/A,FALSE,"輸format_Asia";"thailand2",#N/A,FALSE,"輸format_Asia"}</definedName>
    <definedName name="giovanna" hidden="1">{"china1",#N/A,FALSE,"輸format_Asia";"China2",#N/A,FALSE,"輸format_Asia";"Hongkong1",#N/A,FALSE,"輸format_Asia";"indonesia",#N/A,FALSE,"輸format_Asia";"indonesia2",#N/A,FALSE,"輸format_Asia";"Philippines2",#N/A,FALSE,"輸format_Asia";"philippines3",#N/A,FALSE,"輸format_Asia";"Phillipppines",#N/A,FALSE,"輸format_Asia";"taiwan",#N/A,FALSE,"輸format_Asia";"taiwan2",#N/A,FALSE,"輸format_Asia";"thailand",#N/A,FALSE,"輸format_Asia";"thailand2",#N/A,FALSE,"輸format_Asia"}</definedName>
    <definedName name="GJIEQ" localSheetId="10" hidden="1">{#N/A,#N/A,FALSE,"기안지";#N/A,#N/A,FALSE,"통신지"}</definedName>
    <definedName name="GJIEQ" localSheetId="9" hidden="1">{#N/A,#N/A,FALSE,"기안지";#N/A,#N/A,FALSE,"통신지"}</definedName>
    <definedName name="GJIEQ" hidden="1">{#N/A,#N/A,FALSE,"기안지";#N/A,#N/A,FALSE,"통신지"}</definedName>
    <definedName name="gkduvhsjkf" localSheetId="10" hidden="1">{"'Jibu9811 (3)'!$B$1:$J$433"}</definedName>
    <definedName name="gkduvhsjkf" localSheetId="9" hidden="1">{"'Jibu9811 (3)'!$B$1:$J$433"}</definedName>
    <definedName name="gkduvhsjkf" hidden="1">{"'Jibu9811 (3)'!$B$1:$J$433"}</definedName>
    <definedName name="gksmdgjs" localSheetId="1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gksmdgjs" localSheetId="9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gksmdgjs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GL" localSheetId="10" hidden="1">{#N/A,#N/A,FALSE,"단축1";#N/A,#N/A,FALSE,"단축2";#N/A,#N/A,FALSE,"단축3";#N/A,#N/A,FALSE,"장축";#N/A,#N/A,FALSE,"4WD"}</definedName>
    <definedName name="GL" localSheetId="9" hidden="1">{#N/A,#N/A,FALSE,"단축1";#N/A,#N/A,FALSE,"단축2";#N/A,#N/A,FALSE,"단축3";#N/A,#N/A,FALSE,"장축";#N/A,#N/A,FALSE,"4WD"}</definedName>
    <definedName name="GL" hidden="1">{#N/A,#N/A,FALSE,"단축1";#N/A,#N/A,FALSE,"단축2";#N/A,#N/A,FALSE,"단축3";#N/A,#N/A,FALSE,"장축";#N/A,#N/A,FALSE,"4WD"}</definedName>
    <definedName name="GlideChartMarker" hidden="1">"Chart!A1"</definedName>
    <definedName name="GlideDataMarker" hidden="1">"Data!A1"</definedName>
    <definedName name="GlideHiddenMarker" hidden="1">"Costcurvedata!A1"</definedName>
    <definedName name="GlideMaxCharts" hidden="1">7</definedName>
    <definedName name="Global1" localSheetId="10" hidden="1">{#N/A,#N/A,FALSE,"Pharm";#N/A,#N/A,FALSE,"WWCM"}</definedName>
    <definedName name="Global1" localSheetId="9" hidden="1">{#N/A,#N/A,FALSE,"Pharm";#N/A,#N/A,FALSE,"WWCM"}</definedName>
    <definedName name="Global1" hidden="1">{#N/A,#N/A,FALSE,"Pharm";#N/A,#N/A,FALSE,"WWCM"}</definedName>
    <definedName name="gls_ADMIN" hidden="1">#REF!</definedName>
    <definedName name="gls_ALLOW_BOTH_PC" hidden="1">#REF!</definedName>
    <definedName name="gls_ALLOW_PARENT_OR_CONSOLIDATED" hidden="1">#REF!</definedName>
    <definedName name="gls_ALLOW_PUBLISH" hidden="1">#REF!</definedName>
    <definedName name="gls_CF_BEGINS" hidden="1">#REF!</definedName>
    <definedName name="gls_CFD_CHANGEACT" hidden="1">#REF!</definedName>
    <definedName name="gls_CFD_CHANGEEST" hidden="1">#REF!</definedName>
    <definedName name="gls_CFD_FIRSTAVAIL" hidden="1">#REF!</definedName>
    <definedName name="gls_CFD_LISTAVAIL" hidden="1">#REF!</definedName>
    <definedName name="gls_CFD_SELECTED" hidden="1">#REF!</definedName>
    <definedName name="gls_CHANGED_NAMES" hidden="1">#REF!</definedName>
    <definedName name="gls_CHG_KEY_USER" hidden="1">#REF!</definedName>
    <definedName name="gls_CHG_SEL_ONLY" hidden="1">#REF!</definedName>
    <definedName name="gls_COMPANY_WORKBOOK_ID" hidden="1">#REF!</definedName>
    <definedName name="gls_DELETED_PERIODS" hidden="1">#REF!</definedName>
    <definedName name="gls_EXC_NOT_EXT" hidden="1">#REF!</definedName>
    <definedName name="gls_EXISTING_PERIODS" hidden="1">#REF!</definedName>
    <definedName name="gls_EXT_BELOW_PBT" hidden="1">#REF!</definedName>
    <definedName name="gls_EXT_LINK_GLOSS" hidden="1">#REF!</definedName>
    <definedName name="gls_GenAdditionalInfo" hidden="1">#REF!</definedName>
    <definedName name="gls_GenComments" hidden="1">#REF!</definedName>
    <definedName name="gls_GenEPSComment" hidden="1">#REF!</definedName>
    <definedName name="gls_GenHomeRegion" hidden="1">#REF!</definedName>
    <definedName name="gls_GenNoteComment" hidden="1">#REF!</definedName>
    <definedName name="gls_GenSaleslineInfo" hidden="1">#REF!</definedName>
    <definedName name="gls_GenSalesSplitByRegion" hidden="1">#REF!</definedName>
    <definedName name="gls_GenSalesSplitHeading" hidden="1">#REF!</definedName>
    <definedName name="gls_GLOSS_MONTHS" hidden="1">#REF!</definedName>
    <definedName name="gls_GW_IN" hidden="1">#REF!</definedName>
    <definedName name="gls_IIAA_IN" hidden="1">#REF!</definedName>
    <definedName name="gls_InterimValue" hidden="1">#REF!</definedName>
    <definedName name="gls_LANGUAGE" hidden="1">#REF!</definedName>
    <definedName name="gls_NEXT_PK" hidden="1">#REF!</definedName>
    <definedName name="gls_PROFILE_NAME" hidden="1">#REF!</definedName>
    <definedName name="gls_SASS5HistEPSGrowth" hidden="1">#REF!</definedName>
    <definedName name="gls_SASS5ProjEPSGrowth" hidden="1">#REF!</definedName>
    <definedName name="gls_SASSDirectorHoldings" hidden="1">#REF!</definedName>
    <definedName name="gls_SASSEPS45AGR" hidden="1">#REF!</definedName>
    <definedName name="gls_SASSIsInterimLastAnnounce" hidden="1">#REF!</definedName>
    <definedName name="gls_SASSLastAnnounce" hidden="1">#REF!</definedName>
    <definedName name="gls_SASSNETDIV45AGR" hidden="1">#REF!</definedName>
    <definedName name="gls_SaveBeforePublish" hidden="1">#REF!</definedName>
    <definedName name="gls_SaveWkbForNewPeriodCodes" hidden="1">#REF!</definedName>
    <definedName name="gls_SHOW_CONTROL_VALUE" hidden="1">#REF!</definedName>
    <definedName name="gls_SHOW_KEY_VAL_COLUMN" hidden="1">#REF!</definedName>
    <definedName name="gls_SHOW_KEY_VALUES" hidden="1">#REF!</definedName>
    <definedName name="gls_SHOW_LINKED_ITEMS" hidden="1">#REF!</definedName>
    <definedName name="gls_SHOW_LOCAL_NAMES" hidden="1">#REF!</definedName>
    <definedName name="gls_SHOW_MULTIPLIERS" hidden="1">#REF!</definedName>
    <definedName name="gls_SHOW_PK_COLUMN" hidden="1">#REF!</definedName>
    <definedName name="gls_SHOW_STATUS_INFORMATION" hidden="1">#REF!</definedName>
    <definedName name="gls_SHOW_UNITS" hidden="1">#REF!</definedName>
    <definedName name="gls_SPECIAL_DIALOG" hidden="1">#REF!</definedName>
    <definedName name="gls_StockTicker" hidden="1">#REF!</definedName>
    <definedName name="gls_THISWORKBOOK_NAME" hidden="1">#REF!</definedName>
    <definedName name="gls_UNUSUAL_POS" hidden="1">#REF!</definedName>
    <definedName name="gls_USER_CELL_FORMAT" hidden="1">#REF!</definedName>
    <definedName name="gls_USING_CONSOLIDATED" hidden="1">#REF!</definedName>
    <definedName name="gls_YetToRunStartupWizard" hidden="1">#REF!</definedName>
    <definedName name="GPRC" localSheetId="1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GPRC" localSheetId="9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GPRC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grafici" localSheetId="10" hidden="1">{#N/A,#N/A,FALSE,"SAFILOR"}</definedName>
    <definedName name="grafici" localSheetId="9" hidden="1">{#N/A,#N/A,FALSE,"SAFILOR"}</definedName>
    <definedName name="grafici" hidden="1">{#N/A,#N/A,FALSE,"SAFILOR"}</definedName>
    <definedName name="graph" localSheetId="10" hidden="1">{#N/A,#N/A,FALSE,"REPORT"}</definedName>
    <definedName name="graph" localSheetId="9" hidden="1">{#N/A,#N/A,FALSE,"REPORT"}</definedName>
    <definedName name="graph" hidden="1">{#N/A,#N/A,FALSE,"REPORT"}</definedName>
    <definedName name="gre" localSheetId="10" hidden="1">{"summary",#N/A,FALSE,"2000 vs 1999";"detail",#N/A,FALSE,"2000 vs 1999"}</definedName>
    <definedName name="gre" localSheetId="9" hidden="1">{"summary",#N/A,FALSE,"2000 vs 1999";"detail",#N/A,FALSE,"2000 vs 1999"}</definedName>
    <definedName name="gre" hidden="1">{"summary",#N/A,FALSE,"2000 vs 1999";"detail",#N/A,FALSE,"2000 vs 1999"}</definedName>
    <definedName name="gre_1" localSheetId="10" hidden="1">{"summary",#N/A,FALSE,"2000 vs 1999";"detail",#N/A,FALSE,"2000 vs 1999"}</definedName>
    <definedName name="gre_1" localSheetId="9" hidden="1">{"summary",#N/A,FALSE,"2000 vs 1999";"detail",#N/A,FALSE,"2000 vs 1999"}</definedName>
    <definedName name="gre_1" hidden="1">{"summary",#N/A,FALSE,"2000 vs 1999";"detail",#N/A,FALSE,"2000 vs 1999"}</definedName>
    <definedName name="guidance" localSheetId="1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uidance" localSheetId="9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uidanc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uide" localSheetId="1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uide" localSheetId="9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uid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uide2" localSheetId="1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uide2" localSheetId="9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uide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VMacauOct11" hidden="1">#REF!</definedName>
    <definedName name="gy" localSheetId="10" hidden="1">{#N/A,#N/A,FALSE,"Ocean";#N/A,#N/A,FALSE,"NewYork";#N/A,#N/A,FALSE,"Gateway";#N/A,#N/A,FALSE,"GVH";#N/A,#N/A,FALSE,"GVM";#N/A,#N/A,FALSE,"GVT"}</definedName>
    <definedName name="gy" localSheetId="9" hidden="1">{#N/A,#N/A,FALSE,"Ocean";#N/A,#N/A,FALSE,"NewYork";#N/A,#N/A,FALSE,"Gateway";#N/A,#N/A,FALSE,"GVH";#N/A,#N/A,FALSE,"GVM";#N/A,#N/A,FALSE,"GVT"}</definedName>
    <definedName name="gy" hidden="1">{#N/A,#N/A,FALSE,"Ocean";#N/A,#N/A,FALSE,"NewYork";#N/A,#N/A,FALSE,"Gateway";#N/A,#N/A,FALSE,"GVH";#N/A,#N/A,FALSE,"GVM";#N/A,#N/A,FALSE,"GVT"}</definedName>
    <definedName name="gy_1" localSheetId="10" hidden="1">{#N/A,#N/A,FALSE,"Ocean";#N/A,#N/A,FALSE,"NewYork";#N/A,#N/A,FALSE,"Gateway";#N/A,#N/A,FALSE,"GVH";#N/A,#N/A,FALSE,"GVM";#N/A,#N/A,FALSE,"GVT"}</definedName>
    <definedName name="gy_1" localSheetId="9" hidden="1">{#N/A,#N/A,FALSE,"Ocean";#N/A,#N/A,FALSE,"NewYork";#N/A,#N/A,FALSE,"Gateway";#N/A,#N/A,FALSE,"GVH";#N/A,#N/A,FALSE,"GVM";#N/A,#N/A,FALSE,"GVT"}</definedName>
    <definedName name="gy_1" hidden="1">{#N/A,#N/A,FALSE,"Ocean";#N/A,#N/A,FALSE,"NewYork";#N/A,#N/A,FALSE,"Gateway";#N/A,#N/A,FALSE,"GVH";#N/A,#N/A,FALSE,"GVM";#N/A,#N/A,FALSE,"GVT"}</definedName>
    <definedName name="ｈ" localSheetId="10" hidden="1">{"'下期集計（10.27迄・速報値）'!$Q$16"}</definedName>
    <definedName name="ｈ" localSheetId="9" hidden="1">{"'下期集計（10.27迄・速報値）'!$Q$16"}</definedName>
    <definedName name="ｈ" hidden="1">{"'下期集計（10.27迄・速報値）'!$Q$16"}</definedName>
    <definedName name="H16･1速報" localSheetId="10" hidden="1">{"'コメント'!$A$1:$C$37"}</definedName>
    <definedName name="H16･1速報" localSheetId="9" hidden="1">{"'コメント'!$A$1:$C$37"}</definedName>
    <definedName name="H16･1速報" hidden="1">{"'コメント'!$A$1:$C$37"}</definedName>
    <definedName name="H16･1速報_1" localSheetId="10" hidden="1">{"'コメント'!$A$1:$C$37"}</definedName>
    <definedName name="H16･1速報_1" localSheetId="9" hidden="1">{"'コメント'!$A$1:$C$37"}</definedName>
    <definedName name="H16･1速報_1" hidden="1">{"'コメント'!$A$1:$C$37"}</definedName>
    <definedName name="hardwar" hidden="1">#REF!</definedName>
    <definedName name="hbs" localSheetId="10" hidden="1">{"'TRXAllergyVolume'!$A$1:$I$47"}</definedName>
    <definedName name="hbs" localSheetId="9" hidden="1">{"'TRXAllergyVolume'!$A$1:$I$47"}</definedName>
    <definedName name="hbs" hidden="1">{"'TRXAllergyVolume'!$A$1:$I$47"}</definedName>
    <definedName name="hbs_1" localSheetId="10" hidden="1">{"'TRXAllergyVolume'!$A$1:$I$47"}</definedName>
    <definedName name="hbs_1" localSheetId="9" hidden="1">{"'TRXAllergyVolume'!$A$1:$I$47"}</definedName>
    <definedName name="hbs_1" hidden="1">{"'TRXAllergyVolume'!$A$1:$I$47"}</definedName>
    <definedName name="HC" localSheetId="9" hidden="1">{#N/A,#N/A,FALSE,"YTD ,99"}</definedName>
    <definedName name="HC" hidden="1">{#N/A,#N/A,FALSE,"YTD ,99"}</definedName>
    <definedName name="hdsg" localSheetId="10" hidden="1">{0,0,0,0;0,0,0,FALSE;0,0,0,0}</definedName>
    <definedName name="hdsg" localSheetId="9" hidden="1">{0,0,0,0;0,0,0,FALSE;0,0,0,0}</definedName>
    <definedName name="hdsg" hidden="1">{0,0,0,0;0,0,0,FALSE;0,0,0,0}</definedName>
    <definedName name="hdsg_1" localSheetId="10" hidden="1">{0,0,0,0;0,0,0,FALSE;0,0,0,0}</definedName>
    <definedName name="hdsg_1" localSheetId="9" hidden="1">{0,0,0,0;0,0,0,FALSE;0,0,0,0}</definedName>
    <definedName name="hdsg_1" hidden="1">{0,0,0,0;0,0,0,FALSE;0,0,0,0}</definedName>
    <definedName name="HDY" localSheetId="1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HDY" localSheetId="9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HDY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henry" localSheetId="10" hidden="1">{#N/A,#N/A,FALSE,"Ocean";#N/A,#N/A,FALSE,"NewYork";#N/A,#N/A,FALSE,"Gateway";#N/A,#N/A,FALSE,"GVH";#N/A,#N/A,FALSE,"GVM";#N/A,#N/A,FALSE,"GVT"}</definedName>
    <definedName name="henry" localSheetId="9" hidden="1">{#N/A,#N/A,FALSE,"Ocean";#N/A,#N/A,FALSE,"NewYork";#N/A,#N/A,FALSE,"Gateway";#N/A,#N/A,FALSE,"GVH";#N/A,#N/A,FALSE,"GVM";#N/A,#N/A,FALSE,"GVT"}</definedName>
    <definedName name="henry" hidden="1">{#N/A,#N/A,FALSE,"Ocean";#N/A,#N/A,FALSE,"NewYork";#N/A,#N/A,FALSE,"Gateway";#N/A,#N/A,FALSE,"GVH";#N/A,#N/A,FALSE,"GVM";#N/A,#N/A,FALSE,"GVT"}</definedName>
    <definedName name="henry_1" localSheetId="10" hidden="1">{#N/A,#N/A,FALSE,"Ocean";#N/A,#N/A,FALSE,"NewYork";#N/A,#N/A,FALSE,"Gateway";#N/A,#N/A,FALSE,"GVH";#N/A,#N/A,FALSE,"GVM";#N/A,#N/A,FALSE,"GVT"}</definedName>
    <definedName name="henry_1" localSheetId="9" hidden="1">{#N/A,#N/A,FALSE,"Ocean";#N/A,#N/A,FALSE,"NewYork";#N/A,#N/A,FALSE,"Gateway";#N/A,#N/A,FALSE,"GVH";#N/A,#N/A,FALSE,"GVM";#N/A,#N/A,FALSE,"GVT"}</definedName>
    <definedName name="henry_1" hidden="1">{#N/A,#N/A,FALSE,"Ocean";#N/A,#N/A,FALSE,"NewYork";#N/A,#N/A,FALSE,"Gateway";#N/A,#N/A,FALSE,"GVH";#N/A,#N/A,FALSE,"GVM";#N/A,#N/A,FALSE,"GVT"}</definedName>
    <definedName name="hfdgfdg" localSheetId="10" hidden="1">{#N/A,#N/A,FALSE,"CCTV"}</definedName>
    <definedName name="hfdgfdg" localSheetId="9" hidden="1">{#N/A,#N/A,FALSE,"CCTV"}</definedName>
    <definedName name="hfdgfdg" hidden="1">{#N/A,#N/A,FALSE,"CCTV"}</definedName>
    <definedName name="HFinGraph" localSheetId="10" hidden="1">{#N/A,#N/A,FALSE,"Pharm";#N/A,#N/A,FALSE,"WWCM"}</definedName>
    <definedName name="HFinGraph" localSheetId="9" hidden="1">{#N/A,#N/A,FALSE,"Pharm";#N/A,#N/A,FALSE,"WWCM"}</definedName>
    <definedName name="HFinGraph" hidden="1">{#N/A,#N/A,FALSE,"Pharm";#N/A,#N/A,FALSE,"WWCM"}</definedName>
    <definedName name="hfjhhjj" localSheetId="10" hidden="1">{#N/A,#N/A,FALSE,"CCTV"}</definedName>
    <definedName name="hfjhhjj" localSheetId="9" hidden="1">{#N/A,#N/A,FALSE,"CCTV"}</definedName>
    <definedName name="hfjhhjj" hidden="1">{#N/A,#N/A,FALSE,"CCTV"}</definedName>
    <definedName name="hgjfgh" localSheetId="10" hidden="1">{#N/A,#N/A,FALSE,"CCTV"}</definedName>
    <definedName name="hgjfgh" localSheetId="9" hidden="1">{#N/A,#N/A,FALSE,"CCTV"}</definedName>
    <definedName name="hgjfgh" hidden="1">{#N/A,#N/A,FALSE,"CCTV"}</definedName>
    <definedName name="hgjgfhgh" localSheetId="10" hidden="1">{#N/A,#N/A,FALSE,"CCTV"}</definedName>
    <definedName name="hgjgfhgh" localSheetId="9" hidden="1">{#N/A,#N/A,FALSE,"CCTV"}</definedName>
    <definedName name="hgjgfhgh" hidden="1">{#N/A,#N/A,FALSE,"CCTV"}</definedName>
    <definedName name="hh" localSheetId="10" hidden="1">{#N/A,#N/A,FALSE,"UNIT";#N/A,#N/A,FALSE,"UNIT";#N/A,#N/A,FALSE,"계정"}</definedName>
    <definedName name="hh" localSheetId="9" hidden="1">{#N/A,#N/A,FALSE,"UNIT";#N/A,#N/A,FALSE,"UNIT";#N/A,#N/A,FALSE,"계정"}</definedName>
    <definedName name="hh" hidden="1">{#N/A,#N/A,FALSE,"UNIT";#N/A,#N/A,FALSE,"UNIT";#N/A,#N/A,FALSE,"계정"}</definedName>
    <definedName name="hh_1" localSheetId="10" hidden="1">{#N/A,#N/A,FALSE,"UNIT";#N/A,#N/A,FALSE,"UNIT";#N/A,#N/A,FALSE,"계정"}</definedName>
    <definedName name="hh_1" localSheetId="9" hidden="1">{#N/A,#N/A,FALSE,"UNIT";#N/A,#N/A,FALSE,"UNIT";#N/A,#N/A,FALSE,"계정"}</definedName>
    <definedName name="hh_1" hidden="1">{#N/A,#N/A,FALSE,"UNIT";#N/A,#N/A,FALSE,"UNIT";#N/A,#N/A,FALSE,"계정"}</definedName>
    <definedName name="hhh" localSheetId="10" hidden="1">{#N/A,#N/A,TRUE,"Overall";#N/A,#N/A,TRUE,"Region Wise ";#N/A,#N/A,TRUE,"Client Wise"}</definedName>
    <definedName name="hhh" localSheetId="9" hidden="1">{#N/A,#N/A,TRUE,"Overall";#N/A,#N/A,TRUE,"Region Wise ";#N/A,#N/A,TRUE,"Client Wise"}</definedName>
    <definedName name="hhh" hidden="1">{#N/A,#N/A,TRUE,"Overall";#N/A,#N/A,TRUE,"Region Wise ";#N/A,#N/A,TRUE,"Client Wise"}</definedName>
    <definedName name="hhh_1" localSheetId="10" hidden="1">{#N/A,#N/A,TRUE,"Overall";#N/A,#N/A,TRUE,"Region Wise ";#N/A,#N/A,TRUE,"Client Wise"}</definedName>
    <definedName name="hhh_1" localSheetId="9" hidden="1">{#N/A,#N/A,TRUE,"Overall";#N/A,#N/A,TRUE,"Region Wise ";#N/A,#N/A,TRUE,"Client Wise"}</definedName>
    <definedName name="hhh_1" hidden="1">{#N/A,#N/A,TRUE,"Overall";#N/A,#N/A,TRUE,"Region Wise ";#N/A,#N/A,TRUE,"Client Wise"}</definedName>
    <definedName name="hhhhh" localSheetId="10" hidden="1">{"summary",#N/A,FALSE,"2000 vs 1999";"detail",#N/A,FALSE,"2000 vs 1999"}</definedName>
    <definedName name="hhhhh" localSheetId="9" hidden="1">{"summary",#N/A,FALSE,"2000 vs 1999";"detail",#N/A,FALSE,"2000 vs 1999"}</definedName>
    <definedName name="hhhhh" hidden="1">{"summary",#N/A,FALSE,"2000 vs 1999";"detail",#N/A,FALSE,"2000 vs 1999"}</definedName>
    <definedName name="hhhhh_1" localSheetId="10" hidden="1">{"summary",#N/A,FALSE,"2000 vs 1999";"detail",#N/A,FALSE,"2000 vs 1999"}</definedName>
    <definedName name="hhhhh_1" localSheetId="9" hidden="1">{"summary",#N/A,FALSE,"2000 vs 1999";"detail",#N/A,FALSE,"2000 vs 1999"}</definedName>
    <definedName name="hhhhh_1" hidden="1">{"summary",#N/A,FALSE,"2000 vs 1999";"detail",#N/A,FALSE,"2000 vs 1999"}</definedName>
    <definedName name="HHIhs" localSheetId="10" hidden="1">{"short1",#N/A,FALSE,"masmode";"short2",#N/A,FALSE,"masmode";"qtrres",#N/A,FALSE,"QTR. RES.";"sales",#N/A,FALSE,"Sales &amp; Market Share"}</definedName>
    <definedName name="HHIhs" localSheetId="9" hidden="1">{"short1",#N/A,FALSE,"masmode";"short2",#N/A,FALSE,"masmode";"qtrres",#N/A,FALSE,"QTR. RES.";"sales",#N/A,FALSE,"Sales &amp; Market Share"}</definedName>
    <definedName name="HHIhs" hidden="1">{"short1",#N/A,FALSE,"masmode";"short2",#N/A,FALSE,"masmode";"qtrres",#N/A,FALSE,"QTR. RES.";"sales",#N/A,FALSE,"Sales &amp; Market Share"}</definedName>
    <definedName name="Hibh" localSheetId="10" hidden="1">{#N/A,#N/A,FALSE,"Pharm";#N/A,#N/A,FALSE,"WWCM"}</definedName>
    <definedName name="Hibh" localSheetId="9" hidden="1">{#N/A,#N/A,FALSE,"Pharm";#N/A,#N/A,FALSE,"WWCM"}</definedName>
    <definedName name="Hibh" hidden="1">{#N/A,#N/A,FALSE,"Pharm";#N/A,#N/A,FALSE,"WWCM"}</definedName>
    <definedName name="HiddenRows" hidden="1">#REF!</definedName>
    <definedName name="hjhjffukfuk" localSheetId="10" hidden="1">{#N/A,#N/A,FALSE,"Pharm";#N/A,#N/A,FALSE,"WWCM"}</definedName>
    <definedName name="hjhjffukfuk" localSheetId="9" hidden="1">{#N/A,#N/A,FALSE,"Pharm";#N/A,#N/A,FALSE,"WWCM"}</definedName>
    <definedName name="hjhjffukfuk" hidden="1">{#N/A,#N/A,FALSE,"Pharm";#N/A,#N/A,FALSE,"WWCM"}</definedName>
    <definedName name="hjhjfkfukywrte" localSheetId="10" hidden="1">{#N/A,#N/A,FALSE,"Pharm";#N/A,#N/A,FALSE,"WWCM"}</definedName>
    <definedName name="hjhjfkfukywrte" localSheetId="9" hidden="1">{#N/A,#N/A,FALSE,"Pharm";#N/A,#N/A,FALSE,"WWCM"}</definedName>
    <definedName name="hjhjfkfukywrte" hidden="1">{#N/A,#N/A,FALSE,"Pharm";#N/A,#N/A,FALSE,"WWCM"}</definedName>
    <definedName name="hjhkjkl" localSheetId="10" hidden="1">{#N/A,#N/A,FALSE,"Pharm";#N/A,#N/A,FALSE,"WWCM"}</definedName>
    <definedName name="hjhkjkl" localSheetId="9" hidden="1">{#N/A,#N/A,FALSE,"Pharm";#N/A,#N/A,FALSE,"WWCM"}</definedName>
    <definedName name="hjhkjkl" hidden="1">{#N/A,#N/A,FALSE,"Pharm";#N/A,#N/A,FALSE,"WWCM"}</definedName>
    <definedName name="hjjjkk" localSheetId="10" hidden="1">{#N/A,#N/A,FALSE,"REPORT"}</definedName>
    <definedName name="hjjjkk" localSheetId="9" hidden="1">{#N/A,#N/A,FALSE,"REPORT"}</definedName>
    <definedName name="hjjjkk" hidden="1">{#N/A,#N/A,FALSE,"REPORT"}</definedName>
    <definedName name="hjjkk" localSheetId="10" hidden="1">{#N/A,#N/A,FALSE,"Pharm";#N/A,#N/A,FALSE,"WWCM"}</definedName>
    <definedName name="hjjkk" localSheetId="9" hidden="1">{#N/A,#N/A,FALSE,"Pharm";#N/A,#N/A,FALSE,"WWCM"}</definedName>
    <definedName name="hjjkk" hidden="1">{#N/A,#N/A,FALSE,"Pharm";#N/A,#N/A,FALSE,"WWCM"}</definedName>
    <definedName name="HJK" localSheetId="10" hidden="1">{#N/A,#N/A,FALSE,"이태원철근"}</definedName>
    <definedName name="HJK" localSheetId="9" hidden="1">{#N/A,#N/A,FALSE,"이태원철근"}</definedName>
    <definedName name="HJK" hidden="1">{#N/A,#N/A,FALSE,"이태원철근"}</definedName>
    <definedName name="hjkk" localSheetId="10" hidden="1">{#N/A,#N/A,FALSE,"Pharm";#N/A,#N/A,FALSE,"WWCM"}</definedName>
    <definedName name="hjkk" localSheetId="9" hidden="1">{#N/A,#N/A,FALSE,"Pharm";#N/A,#N/A,FALSE,"WWCM"}</definedName>
    <definedName name="hjkk" hidden="1">{#N/A,#N/A,FALSE,"Pharm";#N/A,#N/A,FALSE,"WWCM"}</definedName>
    <definedName name="HKSH" localSheetId="10" hidden="1">{#N/A,#N/A,FALSE,"REPORT"}</definedName>
    <definedName name="HKSH" localSheetId="9" hidden="1">{#N/A,#N/A,FALSE,"REPORT"}</definedName>
    <definedName name="HKSH" hidden="1">{#N/A,#N/A,FALSE,"REPORT"}</definedName>
    <definedName name="HL_Err_Chk_2" hidden="1">#REF!</definedName>
    <definedName name="HMG" localSheetId="10" hidden="1">{#N/A,#N/A,FALSE,"REPORT"}</definedName>
    <definedName name="HMG" localSheetId="9" hidden="1">{#N/A,#N/A,FALSE,"REPORT"}</definedName>
    <definedName name="HMG" hidden="1">{#N/A,#N/A,FALSE,"REPORT"}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Z_MultByFXRates" hidden="1">#REF!,#REF!,#REF!,#REF!</definedName>
    <definedName name="hn.dz_ThouToMil" hidden="1">#REF!,#REF!,#REF!,#REF!,#REF!</definedName>
    <definedName name="hn.ExtDb" hidden="1">FALSE</definedName>
    <definedName name="hn.LTM_CS" hidden="1">#REF!,#REF!,#REF!,#REF!,#REF!,#REF!</definedName>
    <definedName name="hn.LTM_Misc" hidden="1">#REF!,#REF!,#REF!</definedName>
    <definedName name="hn.LTM_MultByFXRates" hidden="1">#REF!,#REF!,#REF!,#REF!,#REF!,#REF!,#REF!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RolledForward" hidden="1">FALSE</definedName>
    <definedName name="hn.YearLabel" hidden="1">#REF!</definedName>
    <definedName name="HTM_Control" localSheetId="10" hidden="1">{"'下期集計（10.27迄・速報値）'!$Q$16"}</definedName>
    <definedName name="HTM_Control" localSheetId="9" hidden="1">{"'下期集計（10.27迄・速報値）'!$Q$16"}</definedName>
    <definedName name="HTM_Control" hidden="1">{"'下期集計（10.27迄・速報値）'!$Q$16"}</definedName>
    <definedName name="HTM_Control_1" localSheetId="10" hidden="1">{"'下期集計（10.27迄・速報値）'!$Q$16"}</definedName>
    <definedName name="HTM_Control_1" localSheetId="9" hidden="1">{"'下期集計（10.27迄・速報値）'!$Q$16"}</definedName>
    <definedName name="HTM_Control_1" hidden="1">{"'下期集計（10.27迄・速報値）'!$Q$16"}</definedName>
    <definedName name="ＨＴＭＬ" localSheetId="10" hidden="1">{"'コメント'!$A$1:$C$37"}</definedName>
    <definedName name="ＨＴＭＬ" localSheetId="9" hidden="1">{"'コメント'!$A$1:$C$37"}</definedName>
    <definedName name="ＨＴＭＬ" hidden="1">{"'コメント'!$A$1:$C$37"}</definedName>
    <definedName name="ＨＴＭＬ_1" localSheetId="10" hidden="1">{"'コメント'!$A$1:$C$37"}</definedName>
    <definedName name="ＨＴＭＬ_1" localSheetId="9" hidden="1">{"'コメント'!$A$1:$C$37"}</definedName>
    <definedName name="ＨＴＭＬ_1" hidden="1">{"'コメント'!$A$1:$C$37"}</definedName>
    <definedName name="HTML_CodePage" hidden="1">1252</definedName>
    <definedName name="HTML_Control" localSheetId="10" hidden="1">{"'Demand Units'!$Z$2:$AF$53"}</definedName>
    <definedName name="HTML_Control" localSheetId="9" hidden="1">{"'Demand Units'!$Z$2:$AF$53"}</definedName>
    <definedName name="HTML_Control" hidden="1">{"'Demand Units'!$Z$2:$AF$53"}</definedName>
    <definedName name="HTML_Control_1" localSheetId="10" hidden="1">{"'Demand Units'!$Z$2:$AF$53"}</definedName>
    <definedName name="HTML_Control_1" localSheetId="9" hidden="1">{"'Demand Units'!$Z$2:$AF$53"}</definedName>
    <definedName name="HTML_Control_1" hidden="1">{"'Demand Units'!$Z$2:$AF$53"}</definedName>
    <definedName name="HTML_Control_1_1" localSheetId="10" hidden="1">{"'보고양식'!$A$58:$K$111"}</definedName>
    <definedName name="HTML_Control_1_1" localSheetId="9" hidden="1">{"'보고양식'!$A$58:$K$111"}</definedName>
    <definedName name="HTML_Control_1_1" hidden="1">{"'보고양식'!$A$58:$K$111"}</definedName>
    <definedName name="HTML_Control_1_1_1" localSheetId="10" hidden="1">{"'보고양식'!$A$58:$K$111"}</definedName>
    <definedName name="HTML_Control_1_1_1" localSheetId="9" hidden="1">{"'보고양식'!$A$58:$K$111"}</definedName>
    <definedName name="HTML_Control_1_1_1" hidden="1">{"'보고양식'!$A$58:$K$111"}</definedName>
    <definedName name="HTML_Control_1_2" localSheetId="10" hidden="1">{"'보고양식'!$A$58:$K$111"}</definedName>
    <definedName name="HTML_Control_1_2" localSheetId="9" hidden="1">{"'보고양식'!$A$58:$K$111"}</definedName>
    <definedName name="HTML_Control_1_2" hidden="1">{"'보고양식'!$A$58:$K$111"}</definedName>
    <definedName name="HTML_Control_1_3" localSheetId="10" hidden="1">{"'보고양식'!$A$58:$K$111"}</definedName>
    <definedName name="HTML_Control_1_3" localSheetId="9" hidden="1">{"'보고양식'!$A$58:$K$111"}</definedName>
    <definedName name="HTML_Control_1_3" hidden="1">{"'보고양식'!$A$58:$K$111"}</definedName>
    <definedName name="HTML_Control_1_4" localSheetId="10" hidden="1">{"'보고양식'!$A$58:$K$111"}</definedName>
    <definedName name="HTML_Control_1_4" localSheetId="9" hidden="1">{"'보고양식'!$A$58:$K$111"}</definedName>
    <definedName name="HTML_Control_1_4" hidden="1">{"'보고양식'!$A$58:$K$111"}</definedName>
    <definedName name="HTML_Control_2_1" localSheetId="10" hidden="1">{"'보고양식'!$A$58:$K$111"}</definedName>
    <definedName name="HTML_Control_2_1" localSheetId="9" hidden="1">{"'보고양식'!$A$58:$K$111"}</definedName>
    <definedName name="HTML_Control_2_1" hidden="1">{"'보고양식'!$A$58:$K$111"}</definedName>
    <definedName name="HTML_Control_2_2" localSheetId="10" hidden="1">{"'보고양식'!$A$58:$K$111"}</definedName>
    <definedName name="HTML_Control_2_2" localSheetId="9" hidden="1">{"'보고양식'!$A$58:$K$111"}</definedName>
    <definedName name="HTML_Control_2_2" hidden="1">{"'보고양식'!$A$58:$K$111"}</definedName>
    <definedName name="HTML_Control_2_3" localSheetId="10" hidden="1">{"'보고양식'!$A$58:$K$111"}</definedName>
    <definedName name="HTML_Control_2_3" localSheetId="9" hidden="1">{"'보고양식'!$A$58:$K$111"}</definedName>
    <definedName name="HTML_Control_2_3" hidden="1">{"'보고양식'!$A$58:$K$111"}</definedName>
    <definedName name="HTML_Control_2_4" localSheetId="10" hidden="1">{"'보고양식'!$A$58:$K$111"}</definedName>
    <definedName name="HTML_Control_2_4" localSheetId="9" hidden="1">{"'보고양식'!$A$58:$K$111"}</definedName>
    <definedName name="HTML_Control_2_4" hidden="1">{"'보고양식'!$A$58:$K$111"}</definedName>
    <definedName name="HTML_Control_3" localSheetId="10" hidden="1">{"'보고양식'!$A$58:$K$111"}</definedName>
    <definedName name="HTML_Control_3" localSheetId="9" hidden="1">{"'보고양식'!$A$58:$K$111"}</definedName>
    <definedName name="HTML_Control_3" hidden="1">{"'보고양식'!$A$58:$K$111"}</definedName>
    <definedName name="HTML_Control_3_1" localSheetId="10" hidden="1">{"'보고양식'!$A$58:$K$111"}</definedName>
    <definedName name="HTML_Control_3_1" localSheetId="9" hidden="1">{"'보고양식'!$A$58:$K$111"}</definedName>
    <definedName name="HTML_Control_3_1" hidden="1">{"'보고양식'!$A$58:$K$111"}</definedName>
    <definedName name="HTML_Control_3_2" localSheetId="10" hidden="1">{"'보고양식'!$A$58:$K$111"}</definedName>
    <definedName name="HTML_Control_3_2" localSheetId="9" hidden="1">{"'보고양식'!$A$58:$K$111"}</definedName>
    <definedName name="HTML_Control_3_2" hidden="1">{"'보고양식'!$A$58:$K$111"}</definedName>
    <definedName name="HTML_Control_3_3" localSheetId="10" hidden="1">{"'보고양식'!$A$58:$K$111"}</definedName>
    <definedName name="HTML_Control_3_3" localSheetId="9" hidden="1">{"'보고양식'!$A$58:$K$111"}</definedName>
    <definedName name="HTML_Control_3_3" hidden="1">{"'보고양식'!$A$58:$K$111"}</definedName>
    <definedName name="HTML_Control_3_4" localSheetId="10" hidden="1">{"'보고양식'!$A$58:$K$111"}</definedName>
    <definedName name="HTML_Control_3_4" localSheetId="9" hidden="1">{"'보고양식'!$A$58:$K$111"}</definedName>
    <definedName name="HTML_Control_3_4" hidden="1">{"'보고양식'!$A$58:$K$111"}</definedName>
    <definedName name="HTML_Control_4" localSheetId="10" hidden="1">{"'보고양식'!$A$58:$K$111"}</definedName>
    <definedName name="HTML_Control_4" localSheetId="9" hidden="1">{"'보고양식'!$A$58:$K$111"}</definedName>
    <definedName name="HTML_Control_4" hidden="1">{"'보고양식'!$A$58:$K$111"}</definedName>
    <definedName name="HTML_Control_4_1" localSheetId="10" hidden="1">{"'보고양식'!$A$58:$K$111"}</definedName>
    <definedName name="HTML_Control_4_1" localSheetId="9" hidden="1">{"'보고양식'!$A$58:$K$111"}</definedName>
    <definedName name="HTML_Control_4_1" hidden="1">{"'보고양식'!$A$58:$K$111"}</definedName>
    <definedName name="HTML_Control_4_2" localSheetId="10" hidden="1">{"'보고양식'!$A$58:$K$111"}</definedName>
    <definedName name="HTML_Control_4_2" localSheetId="9" hidden="1">{"'보고양식'!$A$58:$K$111"}</definedName>
    <definedName name="HTML_Control_4_2" hidden="1">{"'보고양식'!$A$58:$K$111"}</definedName>
    <definedName name="HTML_Control_4_3" localSheetId="10" hidden="1">{"'보고양식'!$A$58:$K$111"}</definedName>
    <definedName name="HTML_Control_4_3" localSheetId="9" hidden="1">{"'보고양식'!$A$58:$K$111"}</definedName>
    <definedName name="HTML_Control_4_3" hidden="1">{"'보고양식'!$A$58:$K$111"}</definedName>
    <definedName name="HTML_Control_4_4" localSheetId="10" hidden="1">{"'보고양식'!$A$58:$K$111"}</definedName>
    <definedName name="HTML_Control_4_4" localSheetId="9" hidden="1">{"'보고양식'!$A$58:$K$111"}</definedName>
    <definedName name="HTML_Control_4_4" hidden="1">{"'보고양식'!$A$58:$K$111"}</definedName>
    <definedName name="HTML_Control_5" localSheetId="10" hidden="1">{"'보고양식'!$A$58:$K$111"}</definedName>
    <definedName name="HTML_Control_5" localSheetId="9" hidden="1">{"'보고양식'!$A$58:$K$111"}</definedName>
    <definedName name="HTML_Control_5" hidden="1">{"'보고양식'!$A$58:$K$111"}</definedName>
    <definedName name="HTML_Control_5_1" localSheetId="10" hidden="1">{"'보고양식'!$A$58:$K$111"}</definedName>
    <definedName name="HTML_Control_5_1" localSheetId="9" hidden="1">{"'보고양식'!$A$58:$K$111"}</definedName>
    <definedName name="HTML_Control_5_1" hidden="1">{"'보고양식'!$A$58:$K$111"}</definedName>
    <definedName name="HTML_Control_5_2" localSheetId="10" hidden="1">{"'보고양식'!$A$58:$K$111"}</definedName>
    <definedName name="HTML_Control_5_2" localSheetId="9" hidden="1">{"'보고양식'!$A$58:$K$111"}</definedName>
    <definedName name="HTML_Control_5_2" hidden="1">{"'보고양식'!$A$58:$K$111"}</definedName>
    <definedName name="HTML_Control_5_3" localSheetId="10" hidden="1">{"'보고양식'!$A$58:$K$111"}</definedName>
    <definedName name="HTML_Control_5_3" localSheetId="9" hidden="1">{"'보고양식'!$A$58:$K$111"}</definedName>
    <definedName name="HTML_Control_5_3" hidden="1">{"'보고양식'!$A$58:$K$111"}</definedName>
    <definedName name="HTML_Control_5_4" localSheetId="10" hidden="1">{"'보고양식'!$A$58:$K$111"}</definedName>
    <definedName name="HTML_Control_5_4" localSheetId="9" hidden="1">{"'보고양식'!$A$58:$K$111"}</definedName>
    <definedName name="HTML_Control_5_4" hidden="1">{"'보고양식'!$A$58:$K$111"}</definedName>
    <definedName name="HTML_Controla" localSheetId="10" hidden="1">{"'FXRates AUD'!$AH$586"}</definedName>
    <definedName name="HTML_Controla" localSheetId="9" hidden="1">{"'FXRates AUD'!$AH$586"}</definedName>
    <definedName name="HTML_Controla" hidden="1">{"'FXRates AUD'!$AH$586"}</definedName>
    <definedName name="HTML_Controla_1" localSheetId="10" hidden="1">{"'FXRates AUD'!$AH$586"}</definedName>
    <definedName name="HTML_Controla_1" localSheetId="9" hidden="1">{"'FXRates AUD'!$AH$586"}</definedName>
    <definedName name="HTML_Controla_1" hidden="1">{"'FXRates AUD'!$AH$586"}</definedName>
    <definedName name="HTML_Description" hidden="1">""</definedName>
    <definedName name="HTML_Email" hidden="1">""</definedName>
    <definedName name="HTML_Header" hidden="1">""</definedName>
    <definedName name="HTML_LastUpdate" hidden="1">"5/11/98"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"u:\MyHTML6.htm"</definedName>
    <definedName name="HTML_PathFileMac" hidden="1">"Macintosh HD:HomePageStuff:pc:datasets:implprem.html"</definedName>
    <definedName name="HTML_PathTemplate" hidden="1">"C:\WINNT\Profiles\Andrew_Mason\Desktop\MyHTML.htm"</definedName>
    <definedName name="HTML_Title" hidden="1">""</definedName>
    <definedName name="HTML1_1" hidden="1">"'[$Isrs609.xls]Sheet2'!$A$3:$G$31"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"Weekly Antihistamine Volume Report"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"7/13/98"</definedName>
    <definedName name="HTML10_9" hidden="1">"James Grote"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"Weekly New Prescription Report"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"6/5/98"</definedName>
    <definedName name="HTML11_9" hidden="1">"James Grote"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"Weekly Total Prescription Report"</definedName>
    <definedName name="HTML12_4" hidden="1">" "</definedName>
    <definedName name="HTML12_5" hidden="1">""</definedName>
    <definedName name="HTML12_6" hidden="1">-4146</definedName>
    <definedName name="HTML12_7" hidden="1">-4146</definedName>
    <definedName name="HTML12_8" hidden="1">"7/6/98"</definedName>
    <definedName name="HTML12_9" hidden="1">"James Grote"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"Weekly New Prescription Report"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"7/6/98"</definedName>
    <definedName name="HTML13_9" hidden="1">"James Grote"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"Weekly TRx Volume"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"6/19/98"</definedName>
    <definedName name="HTML14_9" hidden="1">"James Grote"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"Weekly TRx Volume"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"7/13/98"</definedName>
    <definedName name="HTML15_9" hidden="1">"James Grote"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"Weekly Antihistamine NRx Volume"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"7/6/98"</definedName>
    <definedName name="HTML16_9" hidden="1">"James Grote"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"Weekly NRx Page"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"7/13/98"</definedName>
    <definedName name="HTML17_9" hidden="1">"James Grote"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"Weekly TRx Page"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"7/13/98"</definedName>
    <definedName name="HTML18_9" hidden="1">"James Grote"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"Weekly Total Prescription Summary"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"7/17/98"</definedName>
    <definedName name="HTML19_9" hidden="1">"James Grote"</definedName>
    <definedName name="HTML2_1" hidden="1">"'[$Isrs609.xls]Sheet2'!$A$4:$E$62"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"Weekly New Prescription Page"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"8/3/98"</definedName>
    <definedName name="HTML20_9" hidden="1">"James Grote"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"Weekly Total Prescription Page"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"8/3/98"</definedName>
    <definedName name="HTML21_9" hidden="1">"James Grote"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"Weekly Antihistamine NRx Volume"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"8/3/98"</definedName>
    <definedName name="HTML22_9" hidden="1">"James Grote"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"Weekly Antihistamine TRx Volume"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"8/3/98"</definedName>
    <definedName name="HTML23_9" hidden="1">"James Grote"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"Weekly NRx Report"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"8/10/98"</definedName>
    <definedName name="HTML24_9" hidden="1">"James Grote"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"Weekly TRx Report"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"8/10/98"</definedName>
    <definedName name="HTML25_9" hidden="1">"James Grote"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"Weekly New Antihistamine Volume"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"9/7/98"</definedName>
    <definedName name="HTML26_9" hidden="1">"James Grote"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"Weekly Total Antihistamine Volume"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"9/7/98"</definedName>
    <definedName name="HTML27_9" hidden="1">"James Grote"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"Weekly TRx Report"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"8/10/98"</definedName>
    <definedName name="HTML28_9" hidden="1">"James Grote"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"Weekly NRx Report"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"8/10/98"</definedName>
    <definedName name="HTML29_9" hidden="1">"James Grote"</definedName>
    <definedName name="HTML3_1" hidden="1">"'[$Isrs609.xls]Sheet2'!$A$1:$F$66"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"Weekly TRx Report"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"8/10/98"</definedName>
    <definedName name="HTML30_9" hidden="1">"James Grote"</definedName>
    <definedName name="HTML31_1" hidden="1">"[전화번호부.xls]FAX번호!$A$3:$F$20"</definedName>
    <definedName name="HTML31_10" hidden="1">""</definedName>
    <definedName name="HTML31_11" hidden="1">1</definedName>
    <definedName name="HTML31_12" hidden="1">"C:\My Documents\tel\FAX번호.htm"</definedName>
    <definedName name="HTML31_2" hidden="1">1</definedName>
    <definedName name="HTML31_3" hidden="1">"Weekly NRx Page"</definedName>
    <definedName name="HTML31_4" hidden="1">""</definedName>
    <definedName name="HTML31_5" hidden="1">""</definedName>
    <definedName name="HTML31_6" hidden="1">-4146</definedName>
    <definedName name="HTML31_7" hidden="1">-4146</definedName>
    <definedName name="HTML31_8" hidden="1">"9/7/98"</definedName>
    <definedName name="HTML31_9" hidden="1">"James Grote"</definedName>
    <definedName name="HTML32_1" hidden="1">"[전화번호부.xls]사출공장!$A$2:$F$56"</definedName>
    <definedName name="HTML32_10" hidden="1">""</definedName>
    <definedName name="HTML32_11" hidden="1">1</definedName>
    <definedName name="HTML32_12" hidden="1">"C:\My Documents\tel\전화번호(사출).htm"</definedName>
    <definedName name="HTML32_2" hidden="1">1</definedName>
    <definedName name="HTML32_3" hidden="1">"Weekly TRx Page"</definedName>
    <definedName name="HTML32_4" hidden="1">""</definedName>
    <definedName name="HTML32_5" hidden="1">""</definedName>
    <definedName name="HTML32_6" hidden="1">-4146</definedName>
    <definedName name="HTML32_7" hidden="1">-4146</definedName>
    <definedName name="HTML32_8" hidden="1">"9/7/98"</definedName>
    <definedName name="HTML32_9" hidden="1">"James Grote"</definedName>
    <definedName name="HTML33_1" hidden="1">"[전화번호부.xls]전용회선!$A$1:$F$38"</definedName>
    <definedName name="HTML33_10" hidden="1">""</definedName>
    <definedName name="HTML33_11" hidden="1">1</definedName>
    <definedName name="HTML33_12" hidden="1">"C:\My Documents\tel\전용회선.htm"</definedName>
    <definedName name="HTML33_2" hidden="1">1</definedName>
    <definedName name="HTML33_3" hidden="1">"전화번호부.xls"</definedName>
    <definedName name="HTML33_4" hidden="1">"전용회선"</definedName>
    <definedName name="HTML33_5" hidden="1">""</definedName>
    <definedName name="HTML33_6" hidden="1">-4146</definedName>
    <definedName name="HTML33_7" hidden="1">-4146</definedName>
    <definedName name="HTML33_8" hidden="1">"99-01-09"</definedName>
    <definedName name="HTML33_9" hidden="1">"LG chem"</definedName>
    <definedName name="HTML34_1" hidden="1">"[전화번호부.xls]카렌다공장!$A$2:$I$65"</definedName>
    <definedName name="HTML34_10" hidden="1">""</definedName>
    <definedName name="HTML34_11" hidden="1">1</definedName>
    <definedName name="HTML34_12" hidden="1">"C:\My Documents\tel\전화번호(카렌다).htm"</definedName>
    <definedName name="HTML34_2" hidden="1">1</definedName>
    <definedName name="HTML34_3" hidden="1">"전화번호부.xls"</definedName>
    <definedName name="HTML34_4" hidden="1">"카렌다공장"</definedName>
    <definedName name="HTML34_5" hidden="1">""</definedName>
    <definedName name="HTML34_6" hidden="1">-4146</definedName>
    <definedName name="HTML34_7" hidden="1">-4146</definedName>
    <definedName name="HTML34_8" hidden="1">"99-02-08"</definedName>
    <definedName name="HTML34_9" hidden="1">"LG chem"</definedName>
    <definedName name="HTML35_1" hidden="1">"[전화번호부.xls]사출공장!$A$2:$F$55"</definedName>
    <definedName name="HTML35_10" hidden="1">""</definedName>
    <definedName name="HTML35_11" hidden="1">1</definedName>
    <definedName name="HTML35_12" hidden="1">"C:\My Documents\tel\전화번호(사출).htm"</definedName>
    <definedName name="HTML35_2" hidden="1">1</definedName>
    <definedName name="HTML35_3" hidden="1">"전화번호부.xls"</definedName>
    <definedName name="HTML35_4" hidden="1">"사출공장"</definedName>
    <definedName name="HTML35_5" hidden="1">""</definedName>
    <definedName name="HTML35_6" hidden="1">-4146</definedName>
    <definedName name="HTML35_7" hidden="1">-4146</definedName>
    <definedName name="HTML35_8" hidden="1">"99-02-08"</definedName>
    <definedName name="HTML35_9" hidden="1">"LG chem"</definedName>
    <definedName name="HTML36_1" hidden="1">"[전화번호부.xls]카렌다공장!$A$2:$I$66"</definedName>
    <definedName name="HTML36_10" hidden="1">""</definedName>
    <definedName name="HTML36_11" hidden="1">1</definedName>
    <definedName name="HTML36_12" hidden="1">"C:\My Documents\tel\전화번호(카렌다).htm"</definedName>
    <definedName name="HTML36_2" hidden="1">1</definedName>
    <definedName name="HTML36_3" hidden="1">"전화번호부.xls"</definedName>
    <definedName name="HTML36_4" hidden="1">"카렌다공장"</definedName>
    <definedName name="HTML36_5" hidden="1">""</definedName>
    <definedName name="HTML36_6" hidden="1">-4146</definedName>
    <definedName name="HTML36_7" hidden="1">-4146</definedName>
    <definedName name="HTML36_8" hidden="1">"99-02-22"</definedName>
    <definedName name="HTML36_9" hidden="1">"LG chem"</definedName>
    <definedName name="HTML37_1" hidden="1">"[전화번호부.xls]지원.공통!$A$2:$I$62"</definedName>
    <definedName name="HTML37_10" hidden="1">""</definedName>
    <definedName name="HTML37_11" hidden="1">1</definedName>
    <definedName name="HTML37_12" hidden="1">"C:\My Documents\tel\전화번호(공통).htm"</definedName>
    <definedName name="HTML37_2" hidden="1">1</definedName>
    <definedName name="HTML37_3" hidden="1">"전화번호부.xls"</definedName>
    <definedName name="HTML37_4" hidden="1">"지원.공통"</definedName>
    <definedName name="HTML37_5" hidden="1">""</definedName>
    <definedName name="HTML37_6" hidden="1">-4146</definedName>
    <definedName name="HTML37_7" hidden="1">-4146</definedName>
    <definedName name="HTML37_8" hidden="1">"99-02-22"</definedName>
    <definedName name="HTML37_9" hidden="1">"LG chem"</definedName>
    <definedName name="HTML38_1" hidden="1">"[전화번호부.xls]사출공장!$A$2:$F$61"</definedName>
    <definedName name="HTML38_10" hidden="1">""</definedName>
    <definedName name="HTML38_11" hidden="1">1</definedName>
    <definedName name="HTML38_12" hidden="1">"C:\My Documents\tel\전화번호(사출).htm"</definedName>
    <definedName name="HTML38_2" hidden="1">1</definedName>
    <definedName name="HTML38_3" hidden="1">"전화번호부.xls"</definedName>
    <definedName name="HTML38_4" hidden="1">"사출공장"</definedName>
    <definedName name="HTML38_5" hidden="1">""</definedName>
    <definedName name="HTML38_6" hidden="1">-4146</definedName>
    <definedName name="HTML38_7" hidden="1">-4146</definedName>
    <definedName name="HTML38_8" hidden="1">"99-02-12"</definedName>
    <definedName name="HTML38_9" hidden="1">"LG chem"</definedName>
    <definedName name="HTML39_1" hidden="1">"[전화번호부.xls]사출공장!$A$2:$F$60"</definedName>
    <definedName name="HTML39_10" hidden="1">""</definedName>
    <definedName name="HTML39_11" hidden="1">1</definedName>
    <definedName name="HTML39_12" hidden="1">"C:\My Documents\tel\전화번호(사출).htm"</definedName>
    <definedName name="HTML39_2" hidden="1">1</definedName>
    <definedName name="HTML39_3" hidden="1">"전화번호부.xls"</definedName>
    <definedName name="HTML39_4" hidden="1">"사출공장"</definedName>
    <definedName name="HTML39_5" hidden="1">""</definedName>
    <definedName name="HTML39_6" hidden="1">-4146</definedName>
    <definedName name="HTML39_7" hidden="1">-4146</definedName>
    <definedName name="HTML39_8" hidden="1">"99-02-22"</definedName>
    <definedName name="HTML39_9" hidden="1">"LG chem"</definedName>
    <definedName name="HTML4_1" hidden="1">"'[$Isrs609.xls]Sheet2'!$A$1:$D$62"</definedName>
    <definedName name="HTML40_1" hidden="1">"[전화번호부.xls]온산공장!$A$2:$I$58"</definedName>
    <definedName name="HTML40_10" hidden="1">""</definedName>
    <definedName name="HTML40_11" hidden="1">1</definedName>
    <definedName name="HTML40_12" hidden="1">"C:\My Documents\tel\전화번호(온산공장).htm"</definedName>
    <definedName name="HTML40_2" hidden="1">1</definedName>
    <definedName name="HTML40_3" hidden="1">"전화번호부.xls"</definedName>
    <definedName name="HTML40_4" hidden="1">"온산공장"</definedName>
    <definedName name="HTML40_5" hidden="1">""</definedName>
    <definedName name="HTML40_6" hidden="1">-4146</definedName>
    <definedName name="HTML40_7" hidden="1">-4146</definedName>
    <definedName name="HTML40_8" hidden="1">"99-02-22"</definedName>
    <definedName name="HTML40_9" hidden="1">"LG chem"</definedName>
    <definedName name="HTML41_1" hidden="1">"[전화번호.xls]지원.공통!$A$2:$I$63"</definedName>
    <definedName name="HTML41_10" hidden="1">""</definedName>
    <definedName name="HTML41_11" hidden="1">1</definedName>
    <definedName name="HTML41_12" hidden="1">"C:\My Documents\tel\전화번호(공통).htm"</definedName>
    <definedName name="HTML41_2" hidden="1">1</definedName>
    <definedName name="HTML41_3" hidden="1">"전화번호.xls"</definedName>
    <definedName name="HTML41_4" hidden="1">"지원.공통"</definedName>
    <definedName name="HTML41_5" hidden="1">""</definedName>
    <definedName name="HTML41_6" hidden="1">-4146</definedName>
    <definedName name="HTML41_7" hidden="1">-4146</definedName>
    <definedName name="HTML41_8" hidden="1">"2000-01-18"</definedName>
    <definedName name="HTML41_9" hidden="1">"LG chem"</definedName>
    <definedName name="HTML42_1" hidden="1">"[전화번호.xls]카렌다공장!$A$2:$I$66"</definedName>
    <definedName name="HTML42_10" hidden="1">""</definedName>
    <definedName name="HTML42_11" hidden="1">1</definedName>
    <definedName name="HTML42_12" hidden="1">"C:\My Documents\tel\전화번호(카렌다).htm"</definedName>
    <definedName name="HTML42_2" hidden="1">1</definedName>
    <definedName name="HTML42_3" hidden="1">"전화번호.xls"</definedName>
    <definedName name="HTML42_4" hidden="1">"카렌다공장"</definedName>
    <definedName name="HTML42_5" hidden="1">""</definedName>
    <definedName name="HTML42_6" hidden="1">-4146</definedName>
    <definedName name="HTML42_7" hidden="1">-4146</definedName>
    <definedName name="HTML42_8" hidden="1">"99-08-18"</definedName>
    <definedName name="HTML42_9" hidden="1">"LG chem"</definedName>
    <definedName name="HTML43_1" hidden="1">"[전화번호.xls]사출공장!$A$2:$F$60"</definedName>
    <definedName name="HTML43_10" hidden="1">""</definedName>
    <definedName name="HTML43_11" hidden="1">1</definedName>
    <definedName name="HTML43_12" hidden="1">"C:\My Documents\tel\전화번호(사출).htm"</definedName>
    <definedName name="HTML43_2" hidden="1">1</definedName>
    <definedName name="HTML43_3" hidden="1">"전화번호.xls"</definedName>
    <definedName name="HTML43_4" hidden="1">"사출공장"</definedName>
    <definedName name="HTML43_5" hidden="1">""</definedName>
    <definedName name="HTML43_6" hidden="1">-4146</definedName>
    <definedName name="HTML43_7" hidden="1">-4146</definedName>
    <definedName name="HTML43_8" hidden="1">"99-04-12"</definedName>
    <definedName name="HTML43_9" hidden="1">"LG chem"</definedName>
    <definedName name="HTML44_1" hidden="1">"[전화번호.xls]생활공장!$A$2:$F$46"</definedName>
    <definedName name="HTML44_10" hidden="1">""</definedName>
    <definedName name="HTML44_11" hidden="1">1</definedName>
    <definedName name="HTML44_12" hidden="1">"C:\My Documents\tel\전화번호(생활).htm"</definedName>
    <definedName name="HTML44_2" hidden="1">1</definedName>
    <definedName name="HTML44_3" hidden="1">"전화번호.xls"</definedName>
    <definedName name="HTML44_4" hidden="1">"생활공장"</definedName>
    <definedName name="HTML44_5" hidden="1">""</definedName>
    <definedName name="HTML44_6" hidden="1">-4146</definedName>
    <definedName name="HTML44_7" hidden="1">-4146</definedName>
    <definedName name="HTML44_8" hidden="1">"2000-01-17"</definedName>
    <definedName name="HTML44_9" hidden="1">"LG chem"</definedName>
    <definedName name="HTML45_1" hidden="1">"[전화번호.xls]온산공장!$A$2:$I$58"</definedName>
    <definedName name="HTML45_10" hidden="1">""</definedName>
    <definedName name="HTML45_11" hidden="1">1</definedName>
    <definedName name="HTML45_12" hidden="1">"C:\My Documents\tel\전화번호(온산공장).htm"</definedName>
    <definedName name="HTML45_2" hidden="1">1</definedName>
    <definedName name="HTML45_3" hidden="1">"전화번호.xls"</definedName>
    <definedName name="HTML45_4" hidden="1">"온산공장"</definedName>
    <definedName name="HTML45_5" hidden="1">""</definedName>
    <definedName name="HTML45_6" hidden="1">-4146</definedName>
    <definedName name="HTML45_7" hidden="1">-4146</definedName>
    <definedName name="HTML45_8" hidden="1">"99-04-12"</definedName>
    <definedName name="HTML45_9" hidden="1">"LG chem"</definedName>
    <definedName name="HTML46_1" hidden="1">"[전화번호.xls]FAX번호!$A$2:$F$19"</definedName>
    <definedName name="HTML46_10" hidden="1">""</definedName>
    <definedName name="HTML46_11" hidden="1">1</definedName>
    <definedName name="HTML46_12" hidden="1">"C:\My Documents\tel\FAX번호.htm"</definedName>
    <definedName name="HTML46_2" hidden="1">1</definedName>
    <definedName name="HTML46_3" hidden="1">"전화번호.xls"</definedName>
    <definedName name="HTML46_4" hidden="1">"FAX번호"</definedName>
    <definedName name="HTML46_5" hidden="1">""</definedName>
    <definedName name="HTML46_6" hidden="1">-4146</definedName>
    <definedName name="HTML46_7" hidden="1">-4146</definedName>
    <definedName name="HTML46_8" hidden="1">"2000-02-16"</definedName>
    <definedName name="HTML46_9" hidden="1">"LG chem"</definedName>
    <definedName name="HTML47_1" hidden="1">"[전화번호.xls]협력업체!$A$2:$F$11"</definedName>
    <definedName name="HTML47_10" hidden="1">""</definedName>
    <definedName name="HTML47_11" hidden="1">1</definedName>
    <definedName name="HTML47_12" hidden="1">"C:\My Documents\tel\협력업체.htm"</definedName>
    <definedName name="HTML47_2" hidden="1">1</definedName>
    <definedName name="HTML47_3" hidden="1">"전화번호.xls"</definedName>
    <definedName name="HTML47_4" hidden="1">"협력업체"</definedName>
    <definedName name="HTML47_5" hidden="1">""</definedName>
    <definedName name="HTML47_6" hidden="1">-4146</definedName>
    <definedName name="HTML47_7" hidden="1">-4146</definedName>
    <definedName name="HTML47_8" hidden="1">"99-11-09"</definedName>
    <definedName name="HTML47_9" hidden="1">"LG chem"</definedName>
    <definedName name="HTML48_1" hidden="1">"[전화번호.xls]지원.공통!$A$1:$I$63"</definedName>
    <definedName name="HTML48_10" hidden="1">""</definedName>
    <definedName name="HTML48_11" hidden="1">1</definedName>
    <definedName name="HTML48_12" hidden="1">"C:\My Documents\tel\전화번호(공통).htm"</definedName>
    <definedName name="HTML48_2" hidden="1">1</definedName>
    <definedName name="HTML48_3" hidden="1">"전화번호.xls"</definedName>
    <definedName name="HTML48_4" hidden="1">"지원.공통"</definedName>
    <definedName name="HTML48_5" hidden="1">""</definedName>
    <definedName name="HTML48_6" hidden="1">-4146</definedName>
    <definedName name="HTML48_7" hidden="1">-4146</definedName>
    <definedName name="HTML48_8" hidden="1">"2000-01-17"</definedName>
    <definedName name="HTML48_9" hidden="1">"LG CHEM"</definedName>
    <definedName name="HTML49_1" hidden="1">"[전화번호.xls]카렌다공장!$A$1:$I$66"</definedName>
    <definedName name="HTML49_10" hidden="1">""</definedName>
    <definedName name="HTML49_11" hidden="1">1</definedName>
    <definedName name="HTML49_12" hidden="1">"C:\My Documents\tel\전화번호(카렌다).htm"</definedName>
    <definedName name="HTML49_2" hidden="1">1</definedName>
    <definedName name="HTML49_3" hidden="1">"전화번호.xls"</definedName>
    <definedName name="HTML49_4" hidden="1">"카렌다공장"</definedName>
    <definedName name="HTML49_5" hidden="1">""</definedName>
    <definedName name="HTML49_6" hidden="1">-4146</definedName>
    <definedName name="HTML49_7" hidden="1">-4146</definedName>
    <definedName name="HTML49_8" hidden="1">"99-07-15"</definedName>
    <definedName name="HTML49_9" hidden="1">"LG CHEM"</definedName>
    <definedName name="HTML5_1" hidden="1">"'[$Isrs609.xls]Sheet2'!$A$1:$D$66"</definedName>
    <definedName name="HTML50_1" hidden="1">"[전화번호.xls]사출공장!$A$1:$F$60"</definedName>
    <definedName name="HTML50_10" hidden="1">""</definedName>
    <definedName name="HTML50_11" hidden="1">1</definedName>
    <definedName name="HTML50_12" hidden="1">"C:\My Documents\tel\전화번호(사출).htm"</definedName>
    <definedName name="HTML50_2" hidden="1">1</definedName>
    <definedName name="HTML50_3" hidden="1">"전화번호.xls"</definedName>
    <definedName name="HTML50_4" hidden="1">"사출공장"</definedName>
    <definedName name="HTML50_5" hidden="1">""</definedName>
    <definedName name="HTML50_6" hidden="1">-4146</definedName>
    <definedName name="HTML50_7" hidden="1">-4146</definedName>
    <definedName name="HTML50_8" hidden="1">"99-07-15"</definedName>
    <definedName name="HTML50_9" hidden="1">"LG CHEM"</definedName>
    <definedName name="HTML51_1" hidden="1">"[전화번호.xls]생활공장!$A$1:$F$46"</definedName>
    <definedName name="HTML51_10" hidden="1">""</definedName>
    <definedName name="HTML51_11" hidden="1">1</definedName>
    <definedName name="HTML51_12" hidden="1">"C:\My Documents\tel\전화번호(생활).htm"</definedName>
    <definedName name="HTML51_2" hidden="1">1</definedName>
    <definedName name="HTML51_3" hidden="1">"전화번호.xls"</definedName>
    <definedName name="HTML51_4" hidden="1">"생활공장"</definedName>
    <definedName name="HTML51_5" hidden="1">""</definedName>
    <definedName name="HTML51_6" hidden="1">-4146</definedName>
    <definedName name="HTML51_7" hidden="1">-4146</definedName>
    <definedName name="HTML51_8" hidden="1">"99-07-15"</definedName>
    <definedName name="HTML51_9" hidden="1">"LG CHEM"</definedName>
    <definedName name="HTML52_1" hidden="1">"[전화번호.xls]온산공장!$A$1:$I$59"</definedName>
    <definedName name="HTML52_10" hidden="1">""</definedName>
    <definedName name="HTML52_11" hidden="1">1</definedName>
    <definedName name="HTML52_12" hidden="1">"C:\My Documents\tel\전화번호(온산공장).htm"</definedName>
    <definedName name="HTML52_2" hidden="1">1</definedName>
    <definedName name="HTML52_3" hidden="1">"전화번호.xls"</definedName>
    <definedName name="HTML52_4" hidden="1">"온산공장"</definedName>
    <definedName name="HTML52_5" hidden="1">""</definedName>
    <definedName name="HTML52_6" hidden="1">-4146</definedName>
    <definedName name="HTML52_7" hidden="1">-4146</definedName>
    <definedName name="HTML52_8" hidden="1">"99-07-15"</definedName>
    <definedName name="HTML52_9" hidden="1">"LG CHEM"</definedName>
    <definedName name="HTML53_1" hidden="1">"[전화번호.xls]카렌다공장!$A$2:$I$69"</definedName>
    <definedName name="HTML53_10" hidden="1">""</definedName>
    <definedName name="HTML53_11" hidden="1">1</definedName>
    <definedName name="HTML53_12" hidden="1">"C:\My Documents\tel\전화번호(카렌다).htm"</definedName>
    <definedName name="HTML53_2" hidden="1">1</definedName>
    <definedName name="HTML53_3" hidden="1">"전화번호.xls"</definedName>
    <definedName name="HTML53_4" hidden="1">"카렌다공장"</definedName>
    <definedName name="HTML53_5" hidden="1">""</definedName>
    <definedName name="HTML53_6" hidden="1">-4146</definedName>
    <definedName name="HTML53_7" hidden="1">-4146</definedName>
    <definedName name="HTML53_8" hidden="1">"99-08-21"</definedName>
    <definedName name="HTML53_9" hidden="1">"LG CHEM"</definedName>
    <definedName name="HTML54_1" hidden="1">"[전화번호.xls]사출공장!$A$2:$F$61"</definedName>
    <definedName name="HTML54_10" hidden="1">""</definedName>
    <definedName name="HTML54_11" hidden="1">1</definedName>
    <definedName name="HTML54_12" hidden="1">"C:\My Documents\tel\전화번호(사출).htm"</definedName>
    <definedName name="HTML54_2" hidden="1">1</definedName>
    <definedName name="HTML54_3" hidden="1">"전화번호.xls"</definedName>
    <definedName name="HTML54_4" hidden="1">"사출공장"</definedName>
    <definedName name="HTML54_5" hidden="1">""</definedName>
    <definedName name="HTML54_6" hidden="1">-4146</definedName>
    <definedName name="HTML54_7" hidden="1">-4146</definedName>
    <definedName name="HTML54_8" hidden="1">"99-11-05"</definedName>
    <definedName name="HTML54_9" hidden="1">"LG CHEM"</definedName>
    <definedName name="HTML55_1" hidden="1">"[전화번호.xls]온산공장!$A$2:$I$61"</definedName>
    <definedName name="HTML55_10" hidden="1">""</definedName>
    <definedName name="HTML55_11" hidden="1">1</definedName>
    <definedName name="HTML55_12" hidden="1">"C:\My Documents\tel\전화번호(온산공장).htm"</definedName>
    <definedName name="HTML55_2" hidden="1">1</definedName>
    <definedName name="HTML55_3" hidden="1">"전화번호.xls"</definedName>
    <definedName name="HTML55_4" hidden="1">"온산공장"</definedName>
    <definedName name="HTML55_5" hidden="1">""</definedName>
    <definedName name="HTML55_6" hidden="1">-4146</definedName>
    <definedName name="HTML55_7" hidden="1">-4146</definedName>
    <definedName name="HTML55_8" hidden="1">"2000-01-19"</definedName>
    <definedName name="HTML55_9" hidden="1">"LG CHEM"</definedName>
    <definedName name="HTML56_1" hidden="1">"[전화번호.xls]전용회선!$A$2:$F$38"</definedName>
    <definedName name="HTML56_10" hidden="1">""</definedName>
    <definedName name="HTML56_11" hidden="1">1</definedName>
    <definedName name="HTML56_12" hidden="1">"C:\My Documents\tel\전용회선.htm"</definedName>
    <definedName name="HTML56_2" hidden="1">1</definedName>
    <definedName name="HTML56_3" hidden="1">"전화번호.xls"</definedName>
    <definedName name="HTML56_4" hidden="1">"전용회선"</definedName>
    <definedName name="HTML56_5" hidden="1">""</definedName>
    <definedName name="HTML56_6" hidden="1">-4146</definedName>
    <definedName name="HTML56_7" hidden="1">-4146</definedName>
    <definedName name="HTML56_8" hidden="1">"99-08-21"</definedName>
    <definedName name="HTML56_9" hidden="1">"LG CHEM"</definedName>
    <definedName name="HTML57_1" hidden="1">"[전화번호.xls]카렌다공장!$A$2:$I$70"</definedName>
    <definedName name="HTML57_10" hidden="1">""</definedName>
    <definedName name="HTML57_11" hidden="1">1</definedName>
    <definedName name="HTML57_12" hidden="1">"C:\My Documents\tel\전화번호(카렌다).htm"</definedName>
    <definedName name="HTML57_2" hidden="1">1</definedName>
    <definedName name="HTML57_3" hidden="1">"전화번호.xls"</definedName>
    <definedName name="HTML57_4" hidden="1">"카렌다공장"</definedName>
    <definedName name="HTML57_5" hidden="1">""</definedName>
    <definedName name="HTML57_6" hidden="1">-4146</definedName>
    <definedName name="HTML57_7" hidden="1">-4146</definedName>
    <definedName name="HTML57_8" hidden="1">"99-08-24"</definedName>
    <definedName name="HTML57_9" hidden="1">"LG CHEM"</definedName>
    <definedName name="HTML58_1" hidden="1">"[전화번호.xls]전용회선!$A$2:$F$16"</definedName>
    <definedName name="HTML58_10" hidden="1">""</definedName>
    <definedName name="HTML58_11" hidden="1">1</definedName>
    <definedName name="HTML58_12" hidden="1">"C:\My Documents\tel\전용회선.htm"</definedName>
    <definedName name="HTML58_2" hidden="1">1</definedName>
    <definedName name="HTML58_3" hidden="1">"전화번호.xls"</definedName>
    <definedName name="HTML58_4" hidden="1">"전용회선"</definedName>
    <definedName name="HTML58_5" hidden="1">""</definedName>
    <definedName name="HTML58_6" hidden="1">-4146</definedName>
    <definedName name="HTML58_7" hidden="1">-4146</definedName>
    <definedName name="HTML58_8" hidden="1">"99-08-21"</definedName>
    <definedName name="HTML58_9" hidden="1">"LG CHEM"</definedName>
    <definedName name="HTML59_1" hidden="1">"[전화번호.xls]카렌다공장!$A$2:$I$73"</definedName>
    <definedName name="HTML59_10" hidden="1">""</definedName>
    <definedName name="HTML59_11" hidden="1">1</definedName>
    <definedName name="HTML59_12" hidden="1">"C:\My Documents\tel\전화번호(카렌다).htm"</definedName>
    <definedName name="HTML59_2" hidden="1">1</definedName>
    <definedName name="HTML59_3" hidden="1">"전화번호.xls"</definedName>
    <definedName name="HTML59_4" hidden="1">"카렌다공장"</definedName>
    <definedName name="HTML59_5" hidden="1">""</definedName>
    <definedName name="HTML59_6" hidden="1">-4146</definedName>
    <definedName name="HTML59_7" hidden="1">-4146</definedName>
    <definedName name="HTML59_8" hidden="1">"99-10-05"</definedName>
    <definedName name="HTML59_9" hidden="1">"LG CHEM"</definedName>
    <definedName name="HTML6_1" hidden="1">"'[$Isrs609.xls]Sheet2'!$A$1:$D$65"</definedName>
    <definedName name="HTML60_1" hidden="1">"[전화번호.xls]카렌다공장!$A$2:$I$75"</definedName>
    <definedName name="HTML60_10" hidden="1">""</definedName>
    <definedName name="HTML60_11" hidden="1">1</definedName>
    <definedName name="HTML60_12" hidden="1">"C:\My Documents\tel\전화번호(카렌다).htm"</definedName>
    <definedName name="HTML60_2" hidden="1">1</definedName>
    <definedName name="HTML60_3" hidden="1">"전화번호.xls"</definedName>
    <definedName name="HTML60_4" hidden="1">"카렌다공장"</definedName>
    <definedName name="HTML60_5" hidden="1">""</definedName>
    <definedName name="HTML60_6" hidden="1">-4146</definedName>
    <definedName name="HTML60_7" hidden="1">-4146</definedName>
    <definedName name="HTML60_8" hidden="1">"2000-02-01"</definedName>
    <definedName name="HTML60_9" hidden="1">"LG CHEM"</definedName>
    <definedName name="HTML61_1" hidden="1">"[전화번호.xls]사출공장!$A$2:$F$62"</definedName>
    <definedName name="HTML61_10" hidden="1">""</definedName>
    <definedName name="HTML61_11" hidden="1">1</definedName>
    <definedName name="HTML61_12" hidden="1">"C:\My Documents\tel\전화번호(사출).htm"</definedName>
    <definedName name="HTML61_2" hidden="1">1</definedName>
    <definedName name="HTML61_3" hidden="1">"전화번호.xls"</definedName>
    <definedName name="HTML61_4" hidden="1">"사출공장"</definedName>
    <definedName name="HTML61_5" hidden="1">""</definedName>
    <definedName name="HTML61_6" hidden="1">-4146</definedName>
    <definedName name="HTML61_7" hidden="1">-4146</definedName>
    <definedName name="HTML61_8" hidden="1">"2000-01-03"</definedName>
    <definedName name="HTML61_9" hidden="1">"LG CHEM"</definedName>
    <definedName name="HTML62_1" hidden="1">"[전화번호.xls]FAX번호!$A$1:$F$19"</definedName>
    <definedName name="HTML62_10" hidden="1">""</definedName>
    <definedName name="HTML62_11" hidden="1">1</definedName>
    <definedName name="HTML62_12" hidden="1">"C:\My Documents\tel\FAX번호.htm"</definedName>
    <definedName name="HTML62_2" hidden="1">1</definedName>
    <definedName name="HTML62_3" hidden="1">"전화번호.xls"</definedName>
    <definedName name="HTML62_4" hidden="1">"FAX번호"</definedName>
    <definedName name="HTML62_5" hidden="1">""</definedName>
    <definedName name="HTML62_6" hidden="1">-4146</definedName>
    <definedName name="HTML62_7" hidden="1">-4146</definedName>
    <definedName name="HTML62_8" hidden="1">"2000-01-11"</definedName>
    <definedName name="HTML62_9" hidden="1">"LG CHEM"</definedName>
    <definedName name="HTML63_1" hidden="1">"[전화번호.xls]온산공장!$A$1:$I$61"</definedName>
    <definedName name="HTML63_10" hidden="1">""</definedName>
    <definedName name="HTML63_11" hidden="1">1</definedName>
    <definedName name="HTML63_12" hidden="1">"C:\My Documents\tel\전화번호(온산공장).htm"</definedName>
    <definedName name="HTML63_2" hidden="1">1</definedName>
    <definedName name="HTML63_3" hidden="1">"전화번호.xls"</definedName>
    <definedName name="HTML63_4" hidden="1">"온산공장"</definedName>
    <definedName name="HTML63_5" hidden="1">""</definedName>
    <definedName name="HTML63_6" hidden="1">-4146</definedName>
    <definedName name="HTML63_7" hidden="1">-4146</definedName>
    <definedName name="HTML63_8" hidden="1">"2000-01-15"</definedName>
    <definedName name="HTML63_9" hidden="1">"LG CHEM"</definedName>
    <definedName name="HTML64_1" hidden="1">"[전화번호.xls]카렌다공장!$A$1:$I$75"</definedName>
    <definedName name="HTML64_10" hidden="1">""</definedName>
    <definedName name="HTML64_11" hidden="1">1</definedName>
    <definedName name="HTML64_12" hidden="1">"C:\My Documents\tel\전화번호(카렌다).htm"</definedName>
    <definedName name="HTML64_2" hidden="1">1</definedName>
    <definedName name="HTML64_3" hidden="1">"전화번호.xls"</definedName>
    <definedName name="HTML64_4" hidden="1">"카렌다공장"</definedName>
    <definedName name="HTML64_5" hidden="1">""</definedName>
    <definedName name="HTML64_6" hidden="1">-4146</definedName>
    <definedName name="HTML64_7" hidden="1">-4146</definedName>
    <definedName name="HTML64_8" hidden="1">"2000-02-01"</definedName>
    <definedName name="HTML64_9" hidden="1">"LG CHEM"</definedName>
    <definedName name="HTML65_1" hidden="1">"[전화번호.xls]사출공장!$A$1:$F$63"</definedName>
    <definedName name="HTML65_10" hidden="1">""</definedName>
    <definedName name="HTML65_11" hidden="1">1</definedName>
    <definedName name="HTML65_12" hidden="1">"C:\My Documents\tel\전화번호(사출).htm"</definedName>
    <definedName name="HTML65_2" hidden="1">1</definedName>
    <definedName name="HTML65_3" hidden="1">"전화번호.xls"</definedName>
    <definedName name="HTML65_4" hidden="1">"사출공장"</definedName>
    <definedName name="HTML65_5" hidden="1">""</definedName>
    <definedName name="HTML65_6" hidden="1">-4146</definedName>
    <definedName name="HTML65_7" hidden="1">-4146</definedName>
    <definedName name="HTML65_8" hidden="1">"2000-01-17"</definedName>
    <definedName name="HTML65_9" hidden="1">"LG CHEM"</definedName>
    <definedName name="HTML66_1" hidden="1">"[전화번호.xls]사출공장!$A$2:$F$63"</definedName>
    <definedName name="HTML66_10" hidden="1">""</definedName>
    <definedName name="HTML66_11" hidden="1">1</definedName>
    <definedName name="HTML66_12" hidden="1">"C:\My Documents\tel\전화번호(사출).htm"</definedName>
    <definedName name="HTML66_2" hidden="1">1</definedName>
    <definedName name="HTML66_3" hidden="1">"전화번호.xls"</definedName>
    <definedName name="HTML66_4" hidden="1">"사출공장"</definedName>
    <definedName name="HTML66_5" hidden="1">""</definedName>
    <definedName name="HTML66_6" hidden="1">-4146</definedName>
    <definedName name="HTML66_7" hidden="1">-4146</definedName>
    <definedName name="HTML66_8" hidden="1">"2000-01-24"</definedName>
    <definedName name="HTML66_9" hidden="1">"LG CHEM"</definedName>
    <definedName name="HTML7_1" hidden="1">"'[mitforum.xls]Double Entry Primer'!$A$1:$X$17"</definedName>
    <definedName name="HTML7_10" hidden="1">""</definedName>
    <definedName name="HTML7_11" hidden="1">1</definedName>
    <definedName name="HTML7_12" hidden="1">"C:\My Documents\DoubleEntry.htm"</definedName>
    <definedName name="HTML7_2" hidden="1">1</definedName>
    <definedName name="HTML7_3" hidden="1">"Double Entry Primer"</definedName>
    <definedName name="HTML7_4" hidden="1">"Double Entry Primer"</definedName>
    <definedName name="HTML7_5" hidden="1">"Financial model by Charlie Tillett of Frontier Software (charlie@frontier.com)"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"Weekly Antihistamine Volume Data"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"6/5/98"</definedName>
    <definedName name="HTML8_9" hidden="1">"James Grote"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"Weekly Antihistamine Volme Report"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"6/8/98"</definedName>
    <definedName name="HTML9_9" hidden="1">"James Grote"</definedName>
    <definedName name="HTR" localSheetId="10" hidden="1">{#N/A,#N/A,FALSE,"이태원철근"}</definedName>
    <definedName name="HTR" localSheetId="9" hidden="1">{#N/A,#N/A,FALSE,"이태원철근"}</definedName>
    <definedName name="HTR" hidden="1">{#N/A,#N/A,FALSE,"이태원철근"}</definedName>
    <definedName name="htyuityuiotio" localSheetId="10" hidden="1">{#N/A,#N/A,FALSE,"REPORT"}</definedName>
    <definedName name="htyuityuiotio" localSheetId="9" hidden="1">{#N/A,#N/A,FALSE,"REPORT"}</definedName>
    <definedName name="htyuityuiotio" hidden="1">{#N/A,#N/A,FALSE,"REPORT"}</definedName>
    <definedName name="huy" localSheetId="10" hidden="1">{"'Sheet1'!$L$16"}</definedName>
    <definedName name="huy" localSheetId="9" hidden="1">{"'Sheet1'!$L$16"}</definedName>
    <definedName name="huy" hidden="1">{"'Sheet1'!$L$16"}</definedName>
    <definedName name="huy_1" localSheetId="10" hidden="1">{"'Sheet1'!$L$16"}</definedName>
    <definedName name="huy_1" localSheetId="9" hidden="1">{"'Sheet1'!$L$16"}</definedName>
    <definedName name="huy_1" hidden="1">{"'Sheet1'!$L$16"}</definedName>
    <definedName name="hwld" localSheetId="10" hidden="1">{"Monthly6Q",#N/A,FALSE,"0614ESL"}</definedName>
    <definedName name="hwld" localSheetId="9" hidden="1">{"Monthly6Q",#N/A,FALSE,"0614ESL"}</definedName>
    <definedName name="hwld" hidden="1">{"Monthly6Q",#N/A,FALSE,"0614ESL"}</definedName>
    <definedName name="hwld_1" localSheetId="10" hidden="1">{"Monthly6Q",#N/A,FALSE,"0614ESL"}</definedName>
    <definedName name="hwld_1" localSheetId="9" hidden="1">{"Monthly6Q",#N/A,FALSE,"0614ESL"}</definedName>
    <definedName name="hwld_1" hidden="1">{"Monthly6Q",#N/A,FALSE,"0614ESL"}</definedName>
    <definedName name="HYP" hidden="1">#REF!</definedName>
    <definedName name="Hypertention" localSheetId="10" hidden="1">{#N/A,#N/A,FALSE,"Pharm";#N/A,#N/A,FALSE,"WWCM"}</definedName>
    <definedName name="Hypertention" localSheetId="9" hidden="1">{#N/A,#N/A,FALSE,"Pharm";#N/A,#N/A,FALSE,"WWCM"}</definedName>
    <definedName name="Hypertention" hidden="1">{#N/A,#N/A,FALSE,"Pharm";#N/A,#N/A,FALSE,"WWCM"}</definedName>
    <definedName name="hypo" localSheetId="10" hidden="1">{#N/A,#N/A,FALSE,"Pharm";#N/A,#N/A,FALSE,"WWCM"}</definedName>
    <definedName name="hypo" localSheetId="9" hidden="1">{#N/A,#N/A,FALSE,"Pharm";#N/A,#N/A,FALSE,"WWCM"}</definedName>
    <definedName name="hypo" hidden="1">{#N/A,#N/A,FALSE,"Pharm";#N/A,#N/A,FALSE,"WWCM"}</definedName>
    <definedName name="ibv" hidden="1">#REF!</definedName>
    <definedName name="ii" localSheetId="10" hidden="1">{#N/A,#N/A,FALSE,"OffAdvance";#N/A,#N/A,FALSE,"OffExpRprt";#N/A,#N/A,FALSE,"Entertmnt";#N/A,#N/A,FALSE,"Promotion";#N/A,#N/A,FALSE,"Travelling"}</definedName>
    <definedName name="ii" localSheetId="9" hidden="1">{#N/A,#N/A,FALSE,"OffAdvance";#N/A,#N/A,FALSE,"OffExpRprt";#N/A,#N/A,FALSE,"Entertmnt";#N/A,#N/A,FALSE,"Promotion";#N/A,#N/A,FALSE,"Travelling"}</definedName>
    <definedName name="ii" hidden="1">{#N/A,#N/A,FALSE,"OffAdvance";#N/A,#N/A,FALSE,"OffExpRprt";#N/A,#N/A,FALSE,"Entertmnt";#N/A,#N/A,FALSE,"Promotion";#N/A,#N/A,FALSE,"Travelling"}</definedName>
    <definedName name="iii" localSheetId="10" hidden="1">{#N/A,#N/A,TRUE,"Overall";#N/A,#N/A,TRUE,"Region Wise ";#N/A,#N/A,TRUE,"Client Wise"}</definedName>
    <definedName name="iii" localSheetId="9" hidden="1">{#N/A,#N/A,TRUE,"Overall";#N/A,#N/A,TRUE,"Region Wise ";#N/A,#N/A,TRUE,"Client Wise"}</definedName>
    <definedName name="iii" hidden="1">{#N/A,#N/A,TRUE,"Overall";#N/A,#N/A,TRUE,"Region Wise ";#N/A,#N/A,TRUE,"Client Wise"}</definedName>
    <definedName name="iii_1" localSheetId="10" hidden="1">{#N/A,#N/A,TRUE,"Overall";#N/A,#N/A,TRUE,"Region Wise ";#N/A,#N/A,TRUE,"Client Wise"}</definedName>
    <definedName name="iii_1" localSheetId="9" hidden="1">{#N/A,#N/A,TRUE,"Overall";#N/A,#N/A,TRUE,"Region Wise ";#N/A,#N/A,TRUE,"Client Wise"}</definedName>
    <definedName name="iii_1" hidden="1">{#N/A,#N/A,TRUE,"Overall";#N/A,#N/A,TRUE,"Region Wise ";#N/A,#N/A,TRUE,"Client Wise"}</definedName>
    <definedName name="iiouolkll" localSheetId="10" hidden="1">{#N/A,#N/A,FALSE,"CCTV"}</definedName>
    <definedName name="iiouolkll" localSheetId="9" hidden="1">{#N/A,#N/A,FALSE,"CCTV"}</definedName>
    <definedName name="iiouolkll" hidden="1">{#N/A,#N/A,FALSE,"CCTV"}</definedName>
    <definedName name="Img_ML_1a9i6f1a" hidden="1">"IMG_11"</definedName>
    <definedName name="Img_ML_1c3d1n6n" hidden="1">"IMG_6"</definedName>
    <definedName name="Img_ML_1e1k9n5y" hidden="1">"IMG_10"</definedName>
    <definedName name="Img_ML_1k4g9u7k" hidden="1">"IMG_18"</definedName>
    <definedName name="Img_ML_1t5s6u1f" hidden="1">"IMG_6"</definedName>
    <definedName name="Img_ML_1y7a6c1t" hidden="1">"IMG_6"</definedName>
    <definedName name="Img_ML_2b1a1a6f" hidden="1">"IMG_4"</definedName>
    <definedName name="Img_ML_2b2b8h8h" hidden="1">"IMG_10"</definedName>
    <definedName name="Img_ML_2b5e9i4d" hidden="1">"IMG_4"</definedName>
    <definedName name="Img_ML_2e1r5p2m" hidden="1">"IMG_10"</definedName>
    <definedName name="Img_ML_2i4d6c2r" hidden="1">"IMG_10"</definedName>
    <definedName name="Img_ML_2j4h5d5y" hidden="1">"IMG_11"</definedName>
    <definedName name="Img_ML_2j6i5k6b" hidden="1">"IMG_10"</definedName>
    <definedName name="Img_ML_2m9t4m5q" hidden="1">"IMG_10"</definedName>
    <definedName name="Img_ML_2v6s9i5c" hidden="1">"IMG_6"</definedName>
    <definedName name="Img_ML_2x1b8j5c" hidden="1">"IMG_11"</definedName>
    <definedName name="Img_ML_2x8r4a2e" hidden="1">"IMG_10"</definedName>
    <definedName name="Img_ML_3b3j3x9k" hidden="1">"IMG_6"</definedName>
    <definedName name="Img_ML_3b5m6a3d" hidden="1">"IMG_18"</definedName>
    <definedName name="Img_ML_3c6e9c4g" hidden="1">"IMG_6"</definedName>
    <definedName name="Img_ML_3c7g1a7g" hidden="1">"IMG_3"</definedName>
    <definedName name="Img_ML_3e2q4k7i" hidden="1">"IMG_6"</definedName>
    <definedName name="Img_ML_3h2n3p4v" hidden="1">"IMG_6"</definedName>
    <definedName name="Img_ML_3p2b9c6w" hidden="1">"IMG_10"</definedName>
    <definedName name="Img_ML_3p5d9q5j" hidden="1">"IMG_6"</definedName>
    <definedName name="Img_ML_3r4u7k1k" hidden="1">"IMG_11"</definedName>
    <definedName name="Img_ML_3x8m5t8j" hidden="1">"IMG_10"</definedName>
    <definedName name="Img_ML_3y1j4m2m" hidden="1">"IMG_6"</definedName>
    <definedName name="Img_ML_4d2b6f6f" hidden="1">"IMG_12"</definedName>
    <definedName name="Img_ML_4d4d7g3c" hidden="1">"IMG_4"</definedName>
    <definedName name="Img_ML_4k8k7q4x" hidden="1">"IMG_6"</definedName>
    <definedName name="Img_ML_4m3p5r8j" hidden="1">"IMG_12"</definedName>
    <definedName name="Img_ML_4s4r5e3c" hidden="1">"IMG_18"</definedName>
    <definedName name="Img_ML_5d3i8b5s" hidden="1">"IMG_12"</definedName>
    <definedName name="Img_ML_5e1a1a7g" hidden="1">"IMG_11"</definedName>
    <definedName name="Img_ML_5e6f9i8h" hidden="1">"IMG_4"</definedName>
    <definedName name="Img_ML_5e7g5e5e" hidden="1">"IMG_10"</definedName>
    <definedName name="Img_ML_5e7s6t2u" hidden="1">"IMG_6"</definedName>
    <definedName name="Img_ML_5e9i9i2b" hidden="1">"IMG_11"</definedName>
    <definedName name="Img_ML_5e9m1k3s" hidden="1">"IMG_10"</definedName>
    <definedName name="Img_ML_5f9d1i5x" hidden="1">"IMG_6"</definedName>
    <definedName name="Img_ML_5f9x9u4u" hidden="1">"IMG_6"</definedName>
    <definedName name="Img_ML_5h6q3g8u" hidden="1">"IMG_6"</definedName>
    <definedName name="Img_ML_5k1g6v5e" hidden="1">"IMG_10"</definedName>
    <definedName name="Img_ML_5k7e4n8n" hidden="1">"IMG_6"</definedName>
    <definedName name="Img_ML_5k8u7s9i" hidden="1">"IMG_6"</definedName>
    <definedName name="Img_ML_6a6y1x1h" hidden="1">"IMG_18"</definedName>
    <definedName name="Img_ML_6f2b1a5e" hidden="1">"IMG_4"</definedName>
    <definedName name="Img_ML_6f2p1m9g" hidden="1">"IMG_6"</definedName>
    <definedName name="Img_ML_6f9i2b5e" hidden="1">"IMG_11"</definedName>
    <definedName name="Img_ML_6k9c9p4d" hidden="1">"IMG_6"</definedName>
    <definedName name="Img_ML_6p2b6u6k" hidden="1">"IMG_18"</definedName>
    <definedName name="Img_ML_6r9u1n9k" hidden="1">"IMG_6"</definedName>
    <definedName name="Img_ML_6w6m7b7r" hidden="1">"IMG_5"</definedName>
    <definedName name="Img_ML_6y9f7y3n" hidden="1">"IMG_6"</definedName>
    <definedName name="Img_ML_7g4k9d6i" hidden="1">"IMG_18"</definedName>
    <definedName name="Img_ML_7g5e5e2b" hidden="1">"IMG_3"</definedName>
    <definedName name="Img_ML_7m5m4k3b" hidden="1">"IMG_6"</definedName>
    <definedName name="Img_ML_7n6h3t1t" hidden="1">"IMG_6"</definedName>
    <definedName name="Img_ML_7s4w7c6r" hidden="1">"IMG_10"</definedName>
    <definedName name="Img_ML_8b9j5t1p" hidden="1">"IMG_10"</definedName>
    <definedName name="Img_ML_8c2q5i2r" hidden="1">"IMG_6"</definedName>
    <definedName name="Img_ML_8g3e4a7v" hidden="1">"IMG_10"</definedName>
    <definedName name="Img_ML_8h3m3i1m" hidden="1">"IMG_6"</definedName>
    <definedName name="Img_ML_8h4d9i2b" hidden="1">"IMG_4"</definedName>
    <definedName name="Img_ML_8h5e9i3c" hidden="1">"IMG_12"</definedName>
    <definedName name="Img_ML_8h7g3c9i" hidden="1">"IMG_12"</definedName>
    <definedName name="Img_ML_8h7g4d4d" hidden="1">"IMG_3"</definedName>
    <definedName name="Img_ML_8i9u7w8k" hidden="1">"IMG_13"</definedName>
    <definedName name="Img_ML_8j3w6p4c" hidden="1">"IMG_6"</definedName>
    <definedName name="Img_ML_8r1k8t4y" hidden="1">"IMG_6"</definedName>
    <definedName name="Img_ML_8r9f4n4f" hidden="1">"IMG_18"</definedName>
    <definedName name="Img_ML_8s3q3c1i" hidden="1">"IMG_6"</definedName>
    <definedName name="Img_ML_8t3m5u6f" hidden="1">"IMG_10"</definedName>
    <definedName name="Img_ML_9h6h8h8e" hidden="1">"IMG_18"</definedName>
    <definedName name="Img_ML_9j3t2m3v" hidden="1">"IMG_10"</definedName>
    <definedName name="Img_ML_9n1s4m5f" hidden="1">"IMG_6"</definedName>
    <definedName name="Img_ML_9u2c1d4e" hidden="1">"IMG_10"</definedName>
    <definedName name="Img_ML_9v6s2g1u" hidden="1">"IMG_11"</definedName>
    <definedName name="Img_Production_Breakdown" hidden="1">"IMG_3"</definedName>
    <definedName name="Impax" localSheetId="1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Impax" localSheetId="9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Impax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IMPORT" localSheetId="10" hidden="1">{"china1",#N/A,FALSE,"輸format_Asia";"China2",#N/A,FALSE,"輸format_Asia";"Hongkong1",#N/A,FALSE,"輸format_Asia";"indonesia",#N/A,FALSE,"輸format_Asia";"indonesia2",#N/A,FALSE,"輸format_Asia";"Philippines2",#N/A,FALSE,"輸format_Asia";"philippines3",#N/A,FALSE,"輸format_Asia";"Phillipppines",#N/A,FALSE,"輸format_Asia";"taiwan",#N/A,FALSE,"輸format_Asia";"taiwan2",#N/A,FALSE,"輸format_Asia";"thailand",#N/A,FALSE,"輸format_Asia";"thailand2",#N/A,FALSE,"輸format_Asia"}</definedName>
    <definedName name="IMPORT" localSheetId="9" hidden="1">{"china1",#N/A,FALSE,"輸format_Asia";"China2",#N/A,FALSE,"輸format_Asia";"Hongkong1",#N/A,FALSE,"輸format_Asia";"indonesia",#N/A,FALSE,"輸format_Asia";"indonesia2",#N/A,FALSE,"輸format_Asia";"Philippines2",#N/A,FALSE,"輸format_Asia";"philippines3",#N/A,FALSE,"輸format_Asia";"Phillipppines",#N/A,FALSE,"輸format_Asia";"taiwan",#N/A,FALSE,"輸format_Asia";"taiwan2",#N/A,FALSE,"輸format_Asia";"thailand",#N/A,FALSE,"輸format_Asia";"thailand2",#N/A,FALSE,"輸format_Asia"}</definedName>
    <definedName name="IMPORT" hidden="1">{"china1",#N/A,FALSE,"輸format_Asia";"China2",#N/A,FALSE,"輸format_Asia";"Hongkong1",#N/A,FALSE,"輸format_Asia";"indonesia",#N/A,FALSE,"輸format_Asia";"indonesia2",#N/A,FALSE,"輸format_Asia";"Philippines2",#N/A,FALSE,"輸format_Asia";"philippines3",#N/A,FALSE,"輸format_Asia";"Phillipppines",#N/A,FALSE,"輸format_Asia";"taiwan",#N/A,FALSE,"輸format_Asia";"taiwan2",#N/A,FALSE,"輸format_Asia";"thailand",#N/A,FALSE,"輸format_Asia";"thailand2",#N/A,FALSE,"輸format_Asia"}</definedName>
    <definedName name="IMPORT_C" localSheetId="10" hidden="1">{"china1",#N/A,FALSE,"輸format_Asia";"China2",#N/A,FALSE,"輸format_Asia";"Hongkong1",#N/A,FALSE,"輸format_Asia";"indonesia",#N/A,FALSE,"輸format_Asia";"indonesia2",#N/A,FALSE,"輸format_Asia";"Philippines2",#N/A,FALSE,"輸format_Asia";"philippines3",#N/A,FALSE,"輸format_Asia";"Phillipppines",#N/A,FALSE,"輸format_Asia";"taiwan",#N/A,FALSE,"輸format_Asia";"taiwan2",#N/A,FALSE,"輸format_Asia";"thailand",#N/A,FALSE,"輸format_Asia";"thailand2",#N/A,FALSE,"輸format_Asia"}</definedName>
    <definedName name="IMPORT_C" localSheetId="9" hidden="1">{"china1",#N/A,FALSE,"輸format_Asia";"China2",#N/A,FALSE,"輸format_Asia";"Hongkong1",#N/A,FALSE,"輸format_Asia";"indonesia",#N/A,FALSE,"輸format_Asia";"indonesia2",#N/A,FALSE,"輸format_Asia";"Philippines2",#N/A,FALSE,"輸format_Asia";"philippines3",#N/A,FALSE,"輸format_Asia";"Phillipppines",#N/A,FALSE,"輸format_Asia";"taiwan",#N/A,FALSE,"輸format_Asia";"taiwan2",#N/A,FALSE,"輸format_Asia";"thailand",#N/A,FALSE,"輸format_Asia";"thailand2",#N/A,FALSE,"輸format_Asia"}</definedName>
    <definedName name="IMPORT_C" hidden="1">{"china1",#N/A,FALSE,"輸format_Asia";"China2",#N/A,FALSE,"輸format_Asia";"Hongkong1",#N/A,FALSE,"輸format_Asia";"indonesia",#N/A,FALSE,"輸format_Asia";"indonesia2",#N/A,FALSE,"輸format_Asia";"Philippines2",#N/A,FALSE,"輸format_Asia";"philippines3",#N/A,FALSE,"輸format_Asia";"Phillipppines",#N/A,FALSE,"輸format_Asia";"taiwan",#N/A,FALSE,"輸format_Asia";"taiwan2",#N/A,FALSE,"輸format_Asia";"thailand",#N/A,FALSE,"輸format_Asia";"thailand2",#N/A,FALSE,"輸format_Asia"}</definedName>
    <definedName name="Imput" localSheetId="10" hidden="1">{"china1",#N/A,FALSE,"輸format_Asia";"China2",#N/A,FALSE,"輸format_Asia";"Hongkong1",#N/A,FALSE,"輸format_Asia";"indonesia",#N/A,FALSE,"輸format_Asia";"indonesia2",#N/A,FALSE,"輸format_Asia";"Philippines2",#N/A,FALSE,"輸format_Asia";"philippines3",#N/A,FALSE,"輸format_Asia";"Phillipppines",#N/A,FALSE,"輸format_Asia";"taiwan",#N/A,FALSE,"輸format_Asia";"taiwan2",#N/A,FALSE,"輸format_Asia";"thailand",#N/A,FALSE,"輸format_Asia";"thailand2",#N/A,FALSE,"輸format_Asia"}</definedName>
    <definedName name="Imput" localSheetId="9" hidden="1">{"china1",#N/A,FALSE,"輸format_Asia";"China2",#N/A,FALSE,"輸format_Asia";"Hongkong1",#N/A,FALSE,"輸format_Asia";"indonesia",#N/A,FALSE,"輸format_Asia";"indonesia2",#N/A,FALSE,"輸format_Asia";"Philippines2",#N/A,FALSE,"輸format_Asia";"philippines3",#N/A,FALSE,"輸format_Asia";"Phillipppines",#N/A,FALSE,"輸format_Asia";"taiwan",#N/A,FALSE,"輸format_Asia";"taiwan2",#N/A,FALSE,"輸format_Asia";"thailand",#N/A,FALSE,"輸format_Asia";"thailand2",#N/A,FALSE,"輸format_Asia"}</definedName>
    <definedName name="Imput" hidden="1">{"china1",#N/A,FALSE,"輸format_Asia";"China2",#N/A,FALSE,"輸format_Asia";"Hongkong1",#N/A,FALSE,"輸format_Asia";"indonesia",#N/A,FALSE,"輸format_Asia";"indonesia2",#N/A,FALSE,"輸format_Asia";"Philippines2",#N/A,FALSE,"輸format_Asia";"philippines3",#N/A,FALSE,"輸format_Asia";"Phillipppines",#N/A,FALSE,"輸format_Asia";"taiwan",#N/A,FALSE,"輸format_Asia";"taiwan2",#N/A,FALSE,"輸format_Asia";"thailand",#N/A,FALSE,"輸format_Asia";"thailand2",#N/A,FALSE,"輸format_Asia"}</definedName>
    <definedName name="Imput_C" localSheetId="10" hidden="1">{"china1",#N/A,FALSE,"輸format_Asia";"China2",#N/A,FALSE,"輸format_Asia";"Hongkong1",#N/A,FALSE,"輸format_Asia";"indonesia",#N/A,FALSE,"輸format_Asia";"indonesia2",#N/A,FALSE,"輸format_Asia";"Philippines2",#N/A,FALSE,"輸format_Asia";"philippines3",#N/A,FALSE,"輸format_Asia";"Phillipppines",#N/A,FALSE,"輸format_Asia";"taiwan",#N/A,FALSE,"輸format_Asia";"taiwan2",#N/A,FALSE,"輸format_Asia";"thailand",#N/A,FALSE,"輸format_Asia";"thailand2",#N/A,FALSE,"輸format_Asia"}</definedName>
    <definedName name="Imput_C" localSheetId="9" hidden="1">{"china1",#N/A,FALSE,"輸format_Asia";"China2",#N/A,FALSE,"輸format_Asia";"Hongkong1",#N/A,FALSE,"輸format_Asia";"indonesia",#N/A,FALSE,"輸format_Asia";"indonesia2",#N/A,FALSE,"輸format_Asia";"Philippines2",#N/A,FALSE,"輸format_Asia";"philippines3",#N/A,FALSE,"輸format_Asia";"Phillipppines",#N/A,FALSE,"輸format_Asia";"taiwan",#N/A,FALSE,"輸format_Asia";"taiwan2",#N/A,FALSE,"輸format_Asia";"thailand",#N/A,FALSE,"輸format_Asia";"thailand2",#N/A,FALSE,"輸format_Asia"}</definedName>
    <definedName name="Imput_C" hidden="1">{"china1",#N/A,FALSE,"輸format_Asia";"China2",#N/A,FALSE,"輸format_Asia";"Hongkong1",#N/A,FALSE,"輸format_Asia";"indonesia",#N/A,FALSE,"輸format_Asia";"indonesia2",#N/A,FALSE,"輸format_Asia";"Philippines2",#N/A,FALSE,"輸format_Asia";"philippines3",#N/A,FALSE,"輸format_Asia";"Phillipppines",#N/A,FALSE,"輸format_Asia";"taiwan",#N/A,FALSE,"輸format_Asia";"taiwan2",#N/A,FALSE,"輸format_Asia";"thailand",#N/A,FALSE,"輸format_Asia";"thailand2",#N/A,FALSE,"輸format_Asia"}</definedName>
    <definedName name="Industrialmetrics" localSheetId="1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Industrialmetrics" localSheetId="9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Industrialmetric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Industrialmetrics1" localSheetId="1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Industrialmetrics1" localSheetId="9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Industrialmetrics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Infgod" localSheetId="10" hidden="1">{"monthlyunits",#N/A,FALSE,"openings"}</definedName>
    <definedName name="Infgod" localSheetId="9" hidden="1">{"monthlyunits",#N/A,FALSE,"openings"}</definedName>
    <definedName name="Infgod" hidden="1">{"monthlyunits",#N/A,FALSE,"openings"}</definedName>
    <definedName name="inflList" hidden="1">"10000000000000000000000000000000000000000000000000000000000000000000000000000000000000000000000000000000000000000000000000000000000000000000000000000000000000000000000000000000000000000000000000000000"</definedName>
    <definedName name="INFO_INSTANCE_ID" hidden="1">"0"</definedName>
    <definedName name="INFO_INSTANCE_NAME" hidden="1">"HQ Human Resource_20120702_12_55_56_5555.xls"</definedName>
    <definedName name="INFO_REPORT_CODE" hidden="1">""</definedName>
    <definedName name="INFO_REPORT_ID" hidden="1">"99"</definedName>
    <definedName name="INFO_REPORT_NAME" hidden="1">"HQ Human Resource"</definedName>
    <definedName name="INFO_RUN_USER" hidden="1">""</definedName>
    <definedName name="INFO_RUN_WORKSTATION" hidden="1">"0313-BBG-FINE"</definedName>
    <definedName name="Infosed" localSheetId="10" hidden="1">{"quartfin",#N/A,FALSE,"quartfin"}</definedName>
    <definedName name="Infosed" localSheetId="9" hidden="1">{"quartfin",#N/A,FALSE,"quartfin"}</definedName>
    <definedName name="Infosed" hidden="1">{"quartfin",#N/A,FALSE,"quartfin"}</definedName>
    <definedName name="INS" hidden="1">#REF!</definedName>
    <definedName name="int" hidden="1">#REF!</definedName>
    <definedName name="Inter" hidden="1">#REF!</definedName>
    <definedName name="intrent" localSheetId="10" hidden="1">{#N/A,#N/A,FALSE,"100 ADMIN";#N/A,#N/A,FALSE,"150 BROADCAST SERV";#N/A,#N/A,FALSE,"200 LOGISTICS";#N/A,#N/A,FALSE,"210 Race Op";#N/A,#N/A,FALSE,"220 T&amp;S";#N/A,#N/A,FALSE,"225 SAFETY";#N/A,#N/A,FALSE,"230 Pace Car";#N/A,#N/A,FALSE,"240 ELEC";#N/A,#N/A,FALSE,"250 COMP";#N/A,#N/A,FALSE,"300 SALES";#N/A,#N/A,FALSE,"350 MARKET RESEARCH";#N/A,#N/A,FALSE,"375 M &amp; A";#N/A,#N/A,FALSE,"400 CLIENT SERVICE";#N/A,#N/A,FALSE,"425 WCC";#N/A,#N/A,FALSE,"450 PR";#N/A,#N/A,FALSE,"475 MARKETING SERVICES";#N/A,#N/A,FALSE,"500 REGISTRATION";#N/A,#N/A,FALSE,"550 PROMOTIONS";#N/A,#N/A,FALSE,"575 Client Relations";#N/A,#N/A,FALSE,"2000 Budget All";#N/A,#N/A,FALSE,"Notes 2000";#N/A,#N/A,FALSE,"CART Q-LY";#N/A,#N/A,FALSE,"ARS";#N/A,#N/A,FALSE,"Promotion";#N/A,#N/A,FALSE,"CLP";#N/A,#N/A,FALSE,"2000 Share calc-actual";#N/A,#N/A,FALSE,"Comb 2000";#N/A,#N/A,FALSE,"Comb 2001";#N/A,#N/A,FALSE,"Comb 2002";#N/A,#N/A,FALSE,"Comb 2003";#N/A,#N/A,FALSE,"Comb 2004";#N/A,#N/A,FALSE,"Comb 2005";#N/A,#N/A,FALSE,"Summary";#N/A,#N/A,FALSE,"CHAMP Q-LY"}</definedName>
    <definedName name="intrent" localSheetId="9" hidden="1">{#N/A,#N/A,FALSE,"100 ADMIN";#N/A,#N/A,FALSE,"150 BROADCAST SERV";#N/A,#N/A,FALSE,"200 LOGISTICS";#N/A,#N/A,FALSE,"210 Race Op";#N/A,#N/A,FALSE,"220 T&amp;S";#N/A,#N/A,FALSE,"225 SAFETY";#N/A,#N/A,FALSE,"230 Pace Car";#N/A,#N/A,FALSE,"240 ELEC";#N/A,#N/A,FALSE,"250 COMP";#N/A,#N/A,FALSE,"300 SALES";#N/A,#N/A,FALSE,"350 MARKET RESEARCH";#N/A,#N/A,FALSE,"375 M &amp; A";#N/A,#N/A,FALSE,"400 CLIENT SERVICE";#N/A,#N/A,FALSE,"425 WCC";#N/A,#N/A,FALSE,"450 PR";#N/A,#N/A,FALSE,"475 MARKETING SERVICES";#N/A,#N/A,FALSE,"500 REGISTRATION";#N/A,#N/A,FALSE,"550 PROMOTIONS";#N/A,#N/A,FALSE,"575 Client Relations";#N/A,#N/A,FALSE,"2000 Budget All";#N/A,#N/A,FALSE,"Notes 2000";#N/A,#N/A,FALSE,"CART Q-LY";#N/A,#N/A,FALSE,"ARS";#N/A,#N/A,FALSE,"Promotion";#N/A,#N/A,FALSE,"CLP";#N/A,#N/A,FALSE,"2000 Share calc-actual";#N/A,#N/A,FALSE,"Comb 2000";#N/A,#N/A,FALSE,"Comb 2001";#N/A,#N/A,FALSE,"Comb 2002";#N/A,#N/A,FALSE,"Comb 2003";#N/A,#N/A,FALSE,"Comb 2004";#N/A,#N/A,FALSE,"Comb 2005";#N/A,#N/A,FALSE,"Summary";#N/A,#N/A,FALSE,"CHAMP Q-LY"}</definedName>
    <definedName name="intrent" hidden="1">{#N/A,#N/A,FALSE,"100 ADMIN";#N/A,#N/A,FALSE,"150 BROADCAST SERV";#N/A,#N/A,FALSE,"200 LOGISTICS";#N/A,#N/A,FALSE,"210 Race Op";#N/A,#N/A,FALSE,"220 T&amp;S";#N/A,#N/A,FALSE,"225 SAFETY";#N/A,#N/A,FALSE,"230 Pace Car";#N/A,#N/A,FALSE,"240 ELEC";#N/A,#N/A,FALSE,"250 COMP";#N/A,#N/A,FALSE,"300 SALES";#N/A,#N/A,FALSE,"350 MARKET RESEARCH";#N/A,#N/A,FALSE,"375 M &amp; A";#N/A,#N/A,FALSE,"400 CLIENT SERVICE";#N/A,#N/A,FALSE,"425 WCC";#N/A,#N/A,FALSE,"450 PR";#N/A,#N/A,FALSE,"475 MARKETING SERVICES";#N/A,#N/A,FALSE,"500 REGISTRATION";#N/A,#N/A,FALSE,"550 PROMOTIONS";#N/A,#N/A,FALSE,"575 Client Relations";#N/A,#N/A,FALSE,"2000 Budget All";#N/A,#N/A,FALSE,"Notes 2000";#N/A,#N/A,FALSE,"CART Q-LY";#N/A,#N/A,FALSE,"ARS";#N/A,#N/A,FALSE,"Promotion";#N/A,#N/A,FALSE,"CLP";#N/A,#N/A,FALSE,"2000 Share calc-actual";#N/A,#N/A,FALSE,"Comb 2000";#N/A,#N/A,FALSE,"Comb 2001";#N/A,#N/A,FALSE,"Comb 2002";#N/A,#N/A,FALSE,"Comb 2003";#N/A,#N/A,FALSE,"Comb 2004";#N/A,#N/A,FALSE,"Comb 2005";#N/A,#N/A,FALSE,"Summary";#N/A,#N/A,FALSE,"CHAMP Q-LY"}</definedName>
    <definedName name="intsi" hidden="1">#REF!</definedName>
    <definedName name="inv" hidden="1">#REF!</definedName>
    <definedName name="iouye" hidden="1">#REF!</definedName>
    <definedName name="IP" localSheetId="10" hidden="1">{#N/A,#N/A,FALSE,"Pharm";#N/A,#N/A,FALSE,"WWCM"}</definedName>
    <definedName name="IP" localSheetId="9" hidden="1">{#N/A,#N/A,FALSE,"Pharm";#N/A,#N/A,FALSE,"WWCM"}</definedName>
    <definedName name="IP" hidden="1">{#N/A,#N/A,FALSE,"Pharm";#N/A,#N/A,FALSE,"WWCM"}</definedName>
    <definedName name="IQ_" hidden="1">"c59"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DIVIDEND" hidden="1">"c229"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IZ_SEG_ASSETS" hidden="1">"c90"</definedName>
    <definedName name="IQ_BIZ_SEG_EBT" hidden="1">"c91"</definedName>
    <definedName name="IQ_BIZ_SEG_GP" hidden="1">"c92"</definedName>
    <definedName name="IQ_BIZ_SEG_NI" hidden="1">"c93"</definedName>
    <definedName name="IQ_BIZ_SEG_OPER_INC" hidden="1">"c94"</definedName>
    <definedName name="IQ_BIZ_SEG_REV" hidden="1">"c95"</definedName>
    <definedName name="IQ_BOARD_MEMBER" hidden="1">"c96"</definedName>
    <definedName name="IQ_BOARD_MEMBER_BACKGROUND" hidden="1">"c2101"</definedName>
    <definedName name="IQ_BOARD_MEMBER_FAX" hidden="1">"c2100"</definedName>
    <definedName name="IQ_BOARD_MEMBER_OFFICE" hidden="1">"c2098"</definedName>
    <definedName name="IQ_BOARD_MEMBER_PHONE" hidden="1">"c2099"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"c223"</definedName>
    <definedName name="IQ_BONDRATING_FITCH_DATE" hidden="1">"c241"</definedName>
    <definedName name="IQ_BONDRATING_MOODYS" hidden="1">"IQ_BONDRATING_MOODYS"</definedName>
    <definedName name="IQ_BONDRATING_SP" hidden="1">"c224"</definedName>
    <definedName name="IQ_BONDRATING_SP_DATE" hidden="1">"c242"</definedName>
    <definedName name="IQ_BOOK_VALUE" hidden="1">"c68"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ACT_OR_EST_REUT" hidden="1">"c5471"</definedName>
    <definedName name="IQ_BV_ACT_OR_EST_THOM" hidden="1">"c5308"</definedName>
    <definedName name="IQ_BV_EST_REUT" hidden="1">"c5403"</definedName>
    <definedName name="IQ_BV_EST_THOM" hidden="1">"c5147"</definedName>
    <definedName name="IQ_BV_HIGH_EST_REUT" hidden="1">"c5405"</definedName>
    <definedName name="IQ_BV_HIGH_EST_THOM" hidden="1">"c5149"</definedName>
    <definedName name="IQ_BV_LOW_EST_REUT" hidden="1">"c5406"</definedName>
    <definedName name="IQ_BV_LOW_EST_THOM" hidden="1">"c5150"</definedName>
    <definedName name="IQ_BV_MEDIAN_EST_REUT" hidden="1">"c5404"</definedName>
    <definedName name="IQ_BV_MEDIAN_EST_THOM" hidden="1">"c5148"</definedName>
    <definedName name="IQ_BV_NUM_EST_REUT" hidden="1">"c5407"</definedName>
    <definedName name="IQ_BV_NUM_EST_THOM" hidden="1">"c5151"</definedName>
    <definedName name="IQ_BV_OVER_SHARES" hidden="1">"c1349"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BV_STDDEV_EST_REUT" hidden="1">"c5408"</definedName>
    <definedName name="IQ_BV_STDDEV_EST_THOM" hidden="1">"c5152"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_REUT" hidden="1">"c6800"</definedName>
    <definedName name="IQ_CAL_Y" hidden="1">"c102"</definedName>
    <definedName name="IQ_CAL_Y_EST_REUT" hidden="1">"c6801"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localSheetId="9" hidden="1">"c116"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HIGH_EST" hidden="1">"c4166"</definedName>
    <definedName name="IQ_CASH_OPER_LOW_EST" hidden="1">"c4244"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CE_FDIC" hidden="1">"c6296"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REUT" hidden="1">"c5463"</definedName>
    <definedName name="IQ_CFPS_EST" hidden="1">"c1667"</definedName>
    <definedName name="IQ_CFPS_EST_REUT" hidden="1">"c3844"</definedName>
    <definedName name="IQ_CFPS_HIGH_EST" hidden="1">"c1669"</definedName>
    <definedName name="IQ_CFPS_HIGH_EST_REUT" hidden="1">"c3846"</definedName>
    <definedName name="IQ_CFPS_LOW_EST" hidden="1">"c1670"</definedName>
    <definedName name="IQ_CFPS_LOW_EST_REUT" hidden="1">"c3847"</definedName>
    <definedName name="IQ_CFPS_MEDIAN_EST" hidden="1">"c1668"</definedName>
    <definedName name="IQ_CFPS_MEDIAN_EST_REUT" hidden="1">"c3845"</definedName>
    <definedName name="IQ_CFPS_NUM_EST" hidden="1">"c1671"</definedName>
    <definedName name="IQ_CFPS_NUM_EST_REUT" hidden="1">"c3848"</definedName>
    <definedName name="IQ_CFPS_STDDEV_EST" hidden="1">"c1672"</definedName>
    <definedName name="IQ_CFPS_STDDEV_EST_REUT" hidden="1">"c3849"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DEBT" hidden="1">"c224"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" hidden="1">"c2936"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PAYOUT" hidden="1">"c3005"</definedName>
    <definedName name="IQ_DISTRIBUTABLE_CASH_SHARE" hidden="1">"c3003"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ACT_OR_EST_REUT" hidden="1">"c5464"</definedName>
    <definedName name="IQ_DPS_EST" hidden="1">"c1674"</definedName>
    <definedName name="IQ_DPS_EST_BOTTOM_UP_REUT" hidden="1">"c5501"</definedName>
    <definedName name="IQ_DPS_EST_REUT" hidden="1">"c3851"</definedName>
    <definedName name="IQ_DPS_HIGH_EST" hidden="1">"c1676"</definedName>
    <definedName name="IQ_DPS_HIGH_EST_REUT" hidden="1">"c3853"</definedName>
    <definedName name="IQ_DPS_LOW_EST" hidden="1">"c1677"</definedName>
    <definedName name="IQ_DPS_LOW_EST_REUT" hidden="1">"c3854"</definedName>
    <definedName name="IQ_DPS_MEDIAN_EST" hidden="1">"c1675"</definedName>
    <definedName name="IQ_DPS_MEDIAN_EST_REUT" hidden="1">"c3852"</definedName>
    <definedName name="IQ_DPS_NUM_EST" hidden="1">"c1678"</definedName>
    <definedName name="IQ_DPS_NUM_EST_REUT" hidden="1">"c3855"</definedName>
    <definedName name="IQ_DPS_STDDEV_EST" hidden="1">"c1679"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ARNINGS_COVERAGE_NET_CHARGE_OFFS_FDIC" hidden="1">"c6735"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XCL_SBC" hidden="1">"c3082"</definedName>
    <definedName name="IQ_EBIT_GROWTH_1" hidden="1">"c157"</definedName>
    <definedName name="IQ_EBIT_GROWTH_2" hidden="1">"c161"</definedName>
    <definedName name="IQ_EBIT_HIGH_EST" hidden="1">"c1683"</definedName>
    <definedName name="IQ_EBIT_HIGH_EST_REUT" hidden="1">"c5335"</definedName>
    <definedName name="IQ_EBIT_INT" hidden="1">"c360"</definedName>
    <definedName name="IQ_EBIT_LOW_EST" hidden="1">"c1684"</definedName>
    <definedName name="IQ_EBIT_LOW_EST_REUT" hidden="1">"c5336"</definedName>
    <definedName name="IQ_EBIT_MARGIN" hidden="1">"c359"</definedName>
    <definedName name="IQ_EBIT_MEDIAN_EST" hidden="1">"c1682"</definedName>
    <definedName name="IQ_EBIT_MEDIAN_EST_REUT" hidden="1">"c5334"</definedName>
    <definedName name="IQ_EBIT_NET_INT" hidden="1">"c360"</definedName>
    <definedName name="IQ_EBIT_NUM_EST" hidden="1">"c1685"</definedName>
    <definedName name="IQ_EBIT_NUM_EST_REUT" hidden="1">"c5337"</definedName>
    <definedName name="IQ_EBIT_OVER_IE" hidden="1">"c1369"</definedName>
    <definedName name="IQ_EBIT_STDDEV_EST" hidden="1">"c1686"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ACT_OR_EST_REUT" hidden="1">"c5462"</definedName>
    <definedName name="IQ_EBITDA_CAPEX_INT" hidden="1">"c368"</definedName>
    <definedName name="IQ_EBITDA_CAPEX_NET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GROWTH_1" hidden="1">"c156"</definedName>
    <definedName name="IQ_EBITDA_GROWTH_2" hidden="1">"c160"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ET_INT" hidden="1">"c373"</definedName>
    <definedName name="IQ_EBITDA_NO_EST" hidden="1">"c267"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ACT_OR_EST_REUT" hidden="1">"c5460"</definedName>
    <definedName name="IQ_EPS_EST" hidden="1">"c399"</definedName>
    <definedName name="IQ_EPS_EST_1" hidden="1">"c189"</definedName>
    <definedName name="IQ_EPS_EST_BOTTOM_UP_REUT" hidden="1">"c5497"</definedName>
    <definedName name="IQ_EPS_EST_REUT" hidden="1">"c5453"</definedName>
    <definedName name="IQ_EPS_GW_ACT_OR_EST" hidden="1">"c2223"</definedName>
    <definedName name="IQ_EPS_GW_ACT_OR_EST_REUT" hidden="1">"c5469"</definedName>
    <definedName name="IQ_EPS_GW_EST" hidden="1">"c1737"</definedName>
    <definedName name="IQ_EPS_GW_EST_BOTTOM_UP_REUT" hidden="1">"c5499"</definedName>
    <definedName name="IQ_EPS_GW_EST_REUT" hidden="1">"c5389"</definedName>
    <definedName name="IQ_EPS_GW_HIGH_EST" hidden="1">"c1739"</definedName>
    <definedName name="IQ_EPS_GW_HIGH_EST_REUT" hidden="1">"c5391"</definedName>
    <definedName name="IQ_EPS_GW_LOW_EST" hidden="1">"c1740"</definedName>
    <definedName name="IQ_EPS_GW_LOW_EST_REUT" hidden="1">"c5392"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_EST" hidden="1">"c271"</definedName>
    <definedName name="IQ_EPS_NORM" hidden="1">"c1902"</definedName>
    <definedName name="IQ_EPS_NORM_EST" hidden="1">"c2226"</definedName>
    <definedName name="IQ_EPS_NORM_EST_BOTTOM_UP_REUT" hidden="1">"c5498"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_ACT_OR_EST" hidden="1">"c2224"</definedName>
    <definedName name="IQ_EPS_REPORT_ACT_OR_EST_REUT" hidden="1">"c5470"</definedName>
    <definedName name="IQ_EPS_REPORTED_EST" hidden="1">"c1744"</definedName>
    <definedName name="IQ_EPS_REPORTED_EST_BOTTOM_UP_REUT" hidden="1">"c5500"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TDDEV_EST" hidden="1">"c403"</definedName>
    <definedName name="IQ_EPS_STDDEV_EST_REUT" hidden="1">"c5452"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REUT" hidden="1">"c5409"</definedName>
    <definedName name="IQ_EST_ACT_BV_SHARE_REUT" hidden="1">"c5445"</definedName>
    <definedName name="IQ_EST_ACT_BV_THOM" hidden="1">"c5153"</definedName>
    <definedName name="IQ_EST_ACT_CAPEX_REUT" hidden="1">"c3975"</definedName>
    <definedName name="IQ_EST_ACT_CFPS" hidden="1">"c1673"</definedName>
    <definedName name="IQ_EST_ACT_CFPS_REUT" hidden="1">"c3850"</definedName>
    <definedName name="IQ_EST_ACT_DPS" hidden="1">"c1680"</definedName>
    <definedName name="IQ_EST_ACT_DPS_REUT" hidden="1">"c3857"</definedName>
    <definedName name="IQ_EST_ACT_EBIT" hidden="1">"c1687"</definedName>
    <definedName name="IQ_EST_ACT_EBIT_REUT" hidden="1">"c5339"</definedName>
    <definedName name="IQ_EST_ACT_EBITDA" hidden="1">"c1664"</definedName>
    <definedName name="IQ_EST_ACT_EBITDA_REUT" hidden="1">"c3836"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PRIMARY" hidden="1">"c2232"</definedName>
    <definedName name="IQ_EST_ACT_EPS_REPORTED" hidden="1">"c1750"</definedName>
    <definedName name="IQ_EST_ACT_EPS_REPORTED_REUT" hidden="1">"c5402"</definedName>
    <definedName name="IQ_EST_ACT_EPS_REUT" hidden="1">"c5457"</definedName>
    <definedName name="IQ_EST_ACT_FFO" hidden="1">"c1666"</definedName>
    <definedName name="IQ_EST_ACT_FFO_REUT" hidden="1">"c3843"</definedName>
    <definedName name="IQ_EST_ACT_FFO_SHARE_SHARE_REUT" hidden="1">"c3843"</definedName>
    <definedName name="IQ_EST_ACT_FFO_SHARE_SHARE_THOM" hidden="1">"c4005"</definedName>
    <definedName name="IQ_EST_ACT_FFO_THOM" hidden="1">"c4005"</definedName>
    <definedName name="IQ_EST_ACT_NAV" hidden="1">"c1757"</definedName>
    <definedName name="IQ_EST_ACT_NAV_SHARE_REUT" hidden="1">"c5616"</definedName>
    <definedName name="IQ_EST_ACT_NET_DEBT_REUT" hidden="1">"c5446"</definedName>
    <definedName name="IQ_EST_ACT_NI" hidden="1">"c1722"</definedName>
    <definedName name="IQ_EST_ACT_NI_GW" hidden="1">"c1729"</definedName>
    <definedName name="IQ_EST_ACT_NI_GW_REUT" hidden="1">"c5381"</definedName>
    <definedName name="IQ_EST_ACT_NI_GW_THOM" hidden="1">"c5139"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OPER_INC" hidden="1">"c1694"</definedName>
    <definedName name="IQ_EST_ACT_OPER_INC_REUT" hidden="1">"c5346"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REPORT_INC" hidden="1">"c1715"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" hidden="1">"c2113"</definedName>
    <definedName name="IQ_EST_ACT_REV_REUT" hidden="1">"c3835"</definedName>
    <definedName name="IQ_EST_BV_DIFF_CIQ" hidden="1">"c4765"</definedName>
    <definedName name="IQ_EST_BV_DIFF_REUT" hidden="1">"c5433"</definedName>
    <definedName name="IQ_EST_BV_DIFF_THOM" hidden="1">"c5204"</definedName>
    <definedName name="IQ_EST_BV_SURPRISE_PERCENT_CIQ" hidden="1">"c4766"</definedName>
    <definedName name="IQ_EST_BV_SURPRISE_PERCENT_REUT" hidden="1">"c5434"</definedName>
    <definedName name="IQ_EST_BV_SURPRISE_PERCENT_THOM" hidden="1">"c5205"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" hidden="1">"c1871"</definedName>
    <definedName name="IQ_EST_CFPS_DIFF_REUT" hidden="1">"c3892"</definedName>
    <definedName name="IQ_EST_CFPS_GROWTH_1YR" hidden="1">"c1774"</definedName>
    <definedName name="IQ_EST_CFPS_GROWTH_1YR_REUT" hidden="1">"c3878"</definedName>
    <definedName name="IQ_EST_CFPS_GROWTH_2YR" hidden="1">"c1775"</definedName>
    <definedName name="IQ_EST_CFPS_GROWTH_2YR_REUT" hidden="1">"c3879"</definedName>
    <definedName name="IQ_EST_CFPS_GROWTH_Q_1YR" hidden="1">"c1776"</definedName>
    <definedName name="IQ_EST_CFPS_GROWTH_Q_1YR_REUT" hidden="1">"c3880"</definedName>
    <definedName name="IQ_EST_CFPS_SEQ_GROWTH_Q" hidden="1">"c1777"</definedName>
    <definedName name="IQ_EST_CFPS_SEQ_GROWTH_Q_REUT" hidden="1">"c3881"</definedName>
    <definedName name="IQ_EST_CFPS_SURPRISE_PERCENT" hidden="1">"c1872"</definedName>
    <definedName name="IQ_EST_CFPS_SURPRISE_PERCENT_REUT" hidden="1">"c3893"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PS_DIFF" hidden="1">"c1873"</definedName>
    <definedName name="IQ_EST_DPS_DIFF_REUT" hidden="1">"c3894"</definedName>
    <definedName name="IQ_EST_DPS_GROWTH_1YR" hidden="1">"c1778"</definedName>
    <definedName name="IQ_EST_DPS_GROWTH_1YR_REUT" hidden="1">"c3882"</definedName>
    <definedName name="IQ_EST_DPS_GROWTH_2YR" hidden="1">"c1779"</definedName>
    <definedName name="IQ_EST_DPS_GROWTH_2YR_REUT" hidden="1">"c3883"</definedName>
    <definedName name="IQ_EST_DPS_GROWTH_Q_1YR" hidden="1">"c1780"</definedName>
    <definedName name="IQ_EST_DPS_GROWTH_Q_1YR_REUT" hidden="1">"c3884"</definedName>
    <definedName name="IQ_EST_DPS_SEQ_GROWTH_Q" hidden="1">"c1781"</definedName>
    <definedName name="IQ_EST_DPS_SEQ_GROWTH_Q_REUT" hidden="1">"c3885"</definedName>
    <definedName name="IQ_EST_DPS_SURPRISE_PERCENT" hidden="1">"c1874"</definedName>
    <definedName name="IQ_EST_DPS_SURPRISE_PERCENT_REUT" hidden="1">"c3895"</definedName>
    <definedName name="IQ_EST_EBIT_DIFF" hidden="1">"c1875"</definedName>
    <definedName name="IQ_EST_EBIT_DIFF_REUT" hidden="1">"c5413"</definedName>
    <definedName name="IQ_EST_EBIT_SURPRISE_PERCENT" hidden="1">"c1876"</definedName>
    <definedName name="IQ_EST_EBIT_SURPRISE_PERCENT_REUT" hidden="1">"c5414"</definedName>
    <definedName name="IQ_EST_EBITDA_DIFF" hidden="1">"c1867"</definedName>
    <definedName name="IQ_EST_EBITDA_DIFF_REUT" hidden="1">"c3888"</definedName>
    <definedName name="IQ_EST_EBITDA_GROWTH_1YR" hidden="1">"c1766"</definedName>
    <definedName name="IQ_EST_EBITDA_GROWTH_1YR_REUT" hidden="1">"c3864"</definedName>
    <definedName name="IQ_EST_EBITDA_GROWTH_2YR" hidden="1">"c1767"</definedName>
    <definedName name="IQ_EST_EBITDA_GROWTH_2YR_REUT" hidden="1">"c3865"</definedName>
    <definedName name="IQ_EST_EBITDA_GROWTH_Q_1YR" hidden="1">"c1768"</definedName>
    <definedName name="IQ_EST_EBITDA_GROWTH_Q_1YR_REUT" hidden="1">"c3866"</definedName>
    <definedName name="IQ_EST_EBITDA_SEQ_GROWTH_Q" hidden="1">"c1769"</definedName>
    <definedName name="IQ_EST_EBITDA_SEQ_GROWTH_Q_REUT" hidden="1">"c3867"</definedName>
    <definedName name="IQ_EST_EBITDA_SURPRISE_PERCENT" hidden="1">"c1868"</definedName>
    <definedName name="IQ_EST_EBITDA_SURPRISE_PERCENT_REUT" hidden="1">"c3889"</definedName>
    <definedName name="IQ_EST_EPS_DIFF" hidden="1">"c1864"</definedName>
    <definedName name="IQ_EST_EPS_DIFF_REUT" hidden="1">"c5458"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EPS_SEQ_GROWTH_Q" hidden="1">"c1764"</definedName>
    <definedName name="IQ_EST_EPS_SEQ_GROWTH_Q_REUT" hidden="1">"c3859"</definedName>
    <definedName name="IQ_EST_EPS_SURPRISE" hidden="1">"c1635"</definedName>
    <definedName name="IQ_EST_EPS_SURPRISE_PERCENT" hidden="1">"c1635"</definedName>
    <definedName name="IQ_EST_EPS_SURPRISE_PERCENT_REUT" hidden="1">"c5459"</definedName>
    <definedName name="IQ_EST_FFO_DIFF" hidden="1">"c1869"</definedName>
    <definedName name="IQ_EST_FFO_DIFF_REUT" hidden="1">"c3890"</definedName>
    <definedName name="IQ_EST_FFO_DIFF_THOM" hidden="1">"c5186"</definedName>
    <definedName name="IQ_EST_FFO_GROWTH_1YR" hidden="1">"c1770"</definedName>
    <definedName name="IQ_EST_FFO_GROWTH_1YR_REUT" hidden="1">"c3874"</definedName>
    <definedName name="IQ_EST_FFO_GROWTH_2YR" hidden="1">"c1771"</definedName>
    <definedName name="IQ_EST_FFO_GROWTH_2YR_REUT" hidden="1">"c3875"</definedName>
    <definedName name="IQ_EST_FFO_GROWTH_Q_1YR" hidden="1">"c1772"</definedName>
    <definedName name="IQ_EST_FFO_GROWTH_Q_1YR_REUT" hidden="1">"c3876"</definedName>
    <definedName name="IQ_EST_FFO_SEQ_GROWTH_Q" hidden="1">"c1773"</definedName>
    <definedName name="IQ_EST_FFO_SEQ_GROWTH_Q_REUT" hidden="1">"c3877"</definedName>
    <definedName name="IQ_EST_FFO_SHARE_SHARE_DIFF_REUT" hidden="1">"c3890"</definedName>
    <definedName name="IQ_EST_FFO_SHARE_SHARE_DIFF_THOM" hidden="1">"c5186"</definedName>
    <definedName name="IQ_EST_FFO_SHARE_SHARE_SURPRISE_PERCENT_REUT" hidden="1">"c3891"</definedName>
    <definedName name="IQ_EST_FFO_SHARE_SHARE_SURPRISE_PERCENT_THOM" hidden="1">"c5187"</definedName>
    <definedName name="IQ_EST_FFO_SURPRISE_PERCENT" hidden="1">"c1870"</definedName>
    <definedName name="IQ_EST_FFO_SURPRISE_PERCENT_REUT" hidden="1">"c3891"</definedName>
    <definedName name="IQ_EST_FFO_SURPRISE_PERCENT_THOM" hidden="1">"c5187"</definedName>
    <definedName name="IQ_EST_FOOTNOTE_REUT" hidden="1">"c5478"</definedName>
    <definedName name="IQ_EST_NAV_DIFF" hidden="1">"c1895"</definedName>
    <definedName name="IQ_EST_NAV_SURPRISE_PERCENT" hidden="1">"c1896"</definedName>
    <definedName name="IQ_EST_NI_DIFF" hidden="1">"c1885"</definedName>
    <definedName name="IQ_EST_NI_DIFF_REUT" hidden="1">"c5423"</definedName>
    <definedName name="IQ_EST_NI_GW_DIFF" hidden="1">"c1887"</definedName>
    <definedName name="IQ_EST_NI_GW_DIFF_REUT" hidden="1">"c5425"</definedName>
    <definedName name="IQ_EST_NI_GW_DIFF_THOM" hidden="1">"c5200"</definedName>
    <definedName name="IQ_EST_NI_GW_SURPRISE_PERCENT" hidden="1">"c1888"</definedName>
    <definedName name="IQ_EST_NI_GW_SURPRISE_PERCENT_REUT" hidden="1">"c5426"</definedName>
    <definedName name="IQ_EST_NI_GW_SURPRISE_PERCENT_THOM" hidden="1">"c5201"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URPRISE_PERCENT" hidden="1">"c1886"</definedName>
    <definedName name="IQ_EST_NI_SURPRISE_PERCENT_REUT" hidden="1">"c5424"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" hidden="1">"c1758"</definedName>
    <definedName name="IQ_EST_NUM_NO_OPINION_REUT" hidden="1">"c3868"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DIFF_REUT" hidden="1">"c5415"</definedName>
    <definedName name="IQ_EST_OPER_INC_SURPRISE_PERCENT" hidden="1">"c1878"</definedName>
    <definedName name="IQ_EST_OPER_INC_SURPRISE_PERCENT_REUT" hidden="1">"c5416"</definedName>
    <definedName name="IQ_EST_PRE_TAX_DIFF" hidden="1">"c1879"</definedName>
    <definedName name="IQ_EST_PRE_TAX_DIFF_REUT" hidden="1">"c5417"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REUT_ACT_CAPEX" hidden="1">"c3975"</definedName>
    <definedName name="IQ_EST_REV_DIFF" hidden="1">"c1865"</definedName>
    <definedName name="IQ_EST_REV_DIFF_REUT" hidden="1">"c3886"</definedName>
    <definedName name="IQ_EST_REV_GROWTH_1YR" hidden="1">"c1638"</definedName>
    <definedName name="IQ_EST_REV_GROWTH_1YR_REUT" hidden="1">"c3860"</definedName>
    <definedName name="IQ_EST_REV_GROWTH_2YR" hidden="1">"c1639"</definedName>
    <definedName name="IQ_EST_REV_GROWTH_2YR_REUT" hidden="1">"c3861"</definedName>
    <definedName name="IQ_EST_REV_GROWTH_Q_1YR" hidden="1">"c1640"</definedName>
    <definedName name="IQ_EST_REV_GROWTH_Q_1YR_REUT" hidden="1">"c3862"</definedName>
    <definedName name="IQ_EST_REV_SEQ_GROWTH_Q" hidden="1">"c1765"</definedName>
    <definedName name="IQ_EST_REV_SEQ_GROWTH_Q_REUT" hidden="1">"c3863"</definedName>
    <definedName name="IQ_EST_REV_SURPRISE_PERCENT" hidden="1">"c1866"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"c165"</definedName>
    <definedName name="IQ_EV_OVER_REVENUE_EST_1" hidden="1">"c166"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TRN_PENSION_FOREIGN" hidden="1">"c408"</definedName>
    <definedName name="IQ_EXP_RETURN_PENSION_DOMESTIC" hidden="1">"c407"</definedName>
    <definedName name="IQ_EXP_RETURN_PENSION_FOREIGN" hidden="1">"c408"</definedName>
    <definedName name="IQ_EXPENSE_CODE_" localSheetId="9" hidden="1">1200</definedName>
    <definedName name="IQ_EXPENSE_CODE_" hidden="1">"test"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ATEMS_BR" hidden="1">"c412"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" hidden="1">"c418"</definedName>
    <definedName name="IQ_FFO_EST_CIQ" hidden="1">"c4970"</definedName>
    <definedName name="IQ_FFO_EST_DET_EST" hidden="1">"c12059"</definedName>
    <definedName name="IQ_FFO_EST_DET_EST_CIQ" hidden="1">"c12121"</definedName>
    <definedName name="IQ_FFO_EST_DET_EST_CURRENCY" hidden="1">"c12466"</definedName>
    <definedName name="IQ_FFO_EST_DET_EST_CURRENCY_CIQ" hidden="1">"c12512"</definedName>
    <definedName name="IQ_FFO_EST_DET_EST_CURRENCY_THOM" hidden="1">"c12487"</definedName>
    <definedName name="IQ_FFO_EST_DET_EST_DATE" hidden="1">"c12212"</definedName>
    <definedName name="IQ_FFO_EST_DET_EST_DATE_CIQ" hidden="1">"c12267"</definedName>
    <definedName name="IQ_FFO_EST_DET_EST_DATE_THOM" hidden="1">"c12238"</definedName>
    <definedName name="IQ_FFO_EST_DET_EST_INCL" hidden="1">"c12349"</definedName>
    <definedName name="IQ_FFO_EST_DET_EST_INCL_CIQ" hidden="1">"c12395"</definedName>
    <definedName name="IQ_FFO_EST_DET_EST_INCL_THOM" hidden="1">"c12370"</definedName>
    <definedName name="IQ_FFO_EST_DET_EST_ORIGIN" hidden="1">"c12722"</definedName>
    <definedName name="IQ_FFO_EST_DET_EST_ORIGIN_CIQ" hidden="1">"c12720"</definedName>
    <definedName name="IQ_FFO_EST_DET_EST_ORIGIN_THOM" hidden="1">"c12608"</definedName>
    <definedName name="IQ_FFO_EST_DET_EST_THOM" hidden="1">"c12088"</definedName>
    <definedName name="IQ_FFO_EST_REUT" hidden="1">"c3837"</definedName>
    <definedName name="IQ_FFO_EST_THOM" hidden="1">"c3999"</definedName>
    <definedName name="IQ_FFO_HIGH_EST" hidden="1">"c419"</definedName>
    <definedName name="IQ_FFO_HIGH_EST_CIQ" hidden="1">"c4977"</definedName>
    <definedName name="IQ_FFO_HIGH_EST_REUT" hidden="1">"c3839"</definedName>
    <definedName name="IQ_FFO_HIGH_EST_THOM" hidden="1">"c4001"</definedName>
    <definedName name="IQ_FFO_LOW_EST" hidden="1">"c420"</definedName>
    <definedName name="IQ_FFO_LOW_EST_CIQ" hidden="1">"c4978"</definedName>
    <definedName name="IQ_FFO_LOW_EST_REUT" hidden="1">"c3840"</definedName>
    <definedName name="IQ_FFO_LOW_EST_THOM" hidden="1">"c4002"</definedName>
    <definedName name="IQ_FFO_MEDIAN_EST" hidden="1">"c1665"</definedName>
    <definedName name="IQ_FFO_MEDIAN_EST_CIQ" hidden="1">"c4979"</definedName>
    <definedName name="IQ_FFO_MEDIAN_EST_REUT" hidden="1">"c3838"</definedName>
    <definedName name="IQ_FFO_MEDIAN_EST_THOM" hidden="1">"c4000"</definedName>
    <definedName name="IQ_FFO_NO_EST" hidden="1">"c276"</definedName>
    <definedName name="IQ_FFO_NUM_EST" hidden="1">"c421"</definedName>
    <definedName name="IQ_FFO_NUM_EST_CIQ" hidden="1">"c4980"</definedName>
    <definedName name="IQ_FFO_NUM_EST_REUT" hidden="1">"c3841"</definedName>
    <definedName name="IQ_FFO_NUM_EST_THOM" hidden="1">"c4003"</definedName>
    <definedName name="IQ_FFO_PAYOUT_RATIO" hidden="1">"c3492"</definedName>
    <definedName name="IQ_FFO_SHARE_SHARE_EST_DET_EST" hidden="1">"c12059"</definedName>
    <definedName name="IQ_FFO_SHARE_SHARE_EST_DET_EST_CIQ" hidden="1">"c12121"</definedName>
    <definedName name="IQ_FFO_SHARE_SHARE_EST_DET_EST_CURRENCY" hidden="1">"c12466"</definedName>
    <definedName name="IQ_FFO_SHARE_SHARE_EST_DET_EST_CURRENCY_CIQ" hidden="1">"c12512"</definedName>
    <definedName name="IQ_FFO_SHARE_SHARE_EST_DET_EST_CURRENCY_THOM" hidden="1">"c12487"</definedName>
    <definedName name="IQ_FFO_SHARE_SHARE_EST_DET_EST_DATE" hidden="1">"c12212"</definedName>
    <definedName name="IQ_FFO_SHARE_SHARE_EST_DET_EST_DATE_CIQ" hidden="1">"c12267"</definedName>
    <definedName name="IQ_FFO_SHARE_SHARE_EST_DET_EST_DATE_THOM" hidden="1">"c12238"</definedName>
    <definedName name="IQ_FFO_SHARE_SHARE_EST_DET_EST_INCL" hidden="1">"c12349"</definedName>
    <definedName name="IQ_FFO_SHARE_SHARE_EST_DET_EST_INCL_CIQ" hidden="1">"c12395"</definedName>
    <definedName name="IQ_FFO_SHARE_SHARE_EST_DET_EST_INCL_THOM" hidden="1">"c12370"</definedName>
    <definedName name="IQ_FFO_SHARE_SHARE_EST_DET_EST_ORIGIN" hidden="1">"c12722"</definedName>
    <definedName name="IQ_FFO_SHARE_SHARE_EST_DET_EST_ORIGIN_CIQ" hidden="1">"c12720"</definedName>
    <definedName name="IQ_FFO_SHARE_SHARE_EST_DET_EST_ORIGIN_THOM" hidden="1">"c12608"</definedName>
    <definedName name="IQ_FFO_SHARE_SHARE_EST_DET_EST_THOM" hidden="1">"c12088"</definedName>
    <definedName name="IQ_FFO_SHARE_SHARE_EST_REUT" hidden="1">"c3837"</definedName>
    <definedName name="IQ_FFO_SHARE_SHARE_EST_THOM" hidden="1">"c3999"</definedName>
    <definedName name="IQ_FFO_SHARE_SHARE_HIGH_EST_REUT" hidden="1">"c3839"</definedName>
    <definedName name="IQ_FFO_SHARE_SHARE_HIGH_EST_THOM" hidden="1">"c4001"</definedName>
    <definedName name="IQ_FFO_SHARE_SHARE_LOW_EST_REUT" hidden="1">"c3840"</definedName>
    <definedName name="IQ_FFO_SHARE_SHARE_LOW_EST_THOM" hidden="1">"c4002"</definedName>
    <definedName name="IQ_FFO_SHARE_SHARE_MEDIAN_EST_REUT" hidden="1">"c3838"</definedName>
    <definedName name="IQ_FFO_SHARE_SHARE_MEDIAN_EST_THOM" hidden="1">"c4000"</definedName>
    <definedName name="IQ_FFO_SHARE_SHARE_NUM_EST_REUT" hidden="1">"c3841"</definedName>
    <definedName name="IQ_FFO_SHARE_SHARE_NUM_EST_THOM" hidden="1">"c4003"</definedName>
    <definedName name="IQ_FFO_SHARE_SHARE_STDDEV_EST_REUT" hidden="1">"c3842"</definedName>
    <definedName name="IQ_FFO_SHARE_SHARE_STDDEV_EST_THOM" hidden="1">"c4004"</definedName>
    <definedName name="IQ_FFO_STDDEV_EST" hidden="1">"c422"</definedName>
    <definedName name="IQ_FFO_STDDEV_EST_CIQ" hidden="1">"c4981"</definedName>
    <definedName name="IQ_FFO_STDDEV_EST_REUT" hidden="1">"c3842"</definedName>
    <definedName name="IQ_FFO_STDDEV_EST_THOM" hidden="1">"c4004"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HLB_DUE_NEXTV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I_12M_RETURN" hidden="1">"c25807"</definedName>
    <definedName name="IQ_FII_3M_RETURN" hidden="1">"c25808"</definedName>
    <definedName name="IQ_FII_6M_RETURN" hidden="1">"c25809"</definedName>
    <definedName name="IQ_FII_AVGBIDSPREAD" hidden="1">"c25820"</definedName>
    <definedName name="IQ_FII_CONVEX" hidden="1">"c25799"</definedName>
    <definedName name="IQ_FII_COUPON" hidden="1">"c25800"</definedName>
    <definedName name="IQ_FII_DAILY_RETURN" hidden="1">"c25810"</definedName>
    <definedName name="IQ_FII_DURTW" hidden="1">"c25802"</definedName>
    <definedName name="IQ_FII_EXCESS_RETURN" hidden="1">"c25819"</definedName>
    <definedName name="IQ_FII_INDEXPRICE" hidden="1">"c25806"</definedName>
    <definedName name="IQ_FII_MATURITY" hidden="1">"c25804"</definedName>
    <definedName name="IQ_FII_MODDUR" hidden="1">"c25801"</definedName>
    <definedName name="IQ_FII_MTD_RETURN_COUPON" hidden="1">"c25813"</definedName>
    <definedName name="IQ_FII_MTD_RETURN_CURRENCY" hidden="1">"c25814"</definedName>
    <definedName name="IQ_FII_MTD_RETURN_PAYDOWN" hidden="1">"c25815"</definedName>
    <definedName name="IQ_FII_MTD_RETURN_PRICE" hidden="1">"c25816"</definedName>
    <definedName name="IQ_FII_MTD_RETURN_TOTAL" hidden="1">"c25812"</definedName>
    <definedName name="IQ_FII_MV" hidden="1">"c25803"</definedName>
    <definedName name="IQ_FII_NUMISSUE" hidden="1">"c25805"</definedName>
    <definedName name="IQ_FII_OAS" hidden="1">"c25798"</definedName>
    <definedName name="IQ_FII_RETURN_INCEPTION" hidden="1">"c25811"</definedName>
    <definedName name="IQ_FII_YTD_RETURN" hidden="1">"c25817"</definedName>
    <definedName name="IQ_FII_YTW" hidden="1">"c25818"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_REUT" hidden="1">"c6798"</definedName>
    <definedName name="IQ_FISCAL_Y" hidden="1">"c441"</definedName>
    <definedName name="IQ_FISCAL_Y_EST_REUT" hidden="1">"c6799"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C" hidden="1">"c464"</definedName>
    <definedName name="IQ_GAIN_ASSETS_REC_BNK" hidden="1">"c465"</definedName>
    <definedName name="IQ_GAIN_ASSETS_REC_BR" hidden="1">"c466"</definedName>
    <definedName name="IQ_GAIN_ASSETS_REC_FIN" hidden="1">"c467"</definedName>
    <definedName name="IQ_GAIN_ASSETS_REC_INS" hidden="1">"c468"</definedName>
    <definedName name="IQ_GAIN_ASSETS_REC_REIT" hidden="1">"c469"</definedName>
    <definedName name="IQ_GAIN_ASSETS_REC_UTI" hidden="1">"c470"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C" hidden="1">"c487"</definedName>
    <definedName name="IQ_GAIN_INVEST_REC_BNK" hidden="1">"c488"</definedName>
    <definedName name="IQ_GAIN_INVEST_REC_BR" hidden="1">"c489"</definedName>
    <definedName name="IQ_GAIN_INVEST_REC_FIN" hidden="1">"c490"</definedName>
    <definedName name="IQ_GAIN_INVEST_REC_INS" hidden="1">"c491"</definedName>
    <definedName name="IQ_GAIN_INVEST_REC_REIT" hidden="1">"c492"</definedName>
    <definedName name="IQ_GAIN_INVEST_REC_UTI" hidden="1">"c493"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INTAN" hidden="1">"c520"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" hidden="1">"c531"</definedName>
    <definedName name="IQ_GW_AMORT_BR" hidden="1">"c532"</definedName>
    <definedName name="IQ_GW_AMORT_CF" hidden="1">"c533"</definedName>
    <definedName name="IQ_GW_AMORT_CF_BNK" hidden="1">"c534"</definedName>
    <definedName name="IQ_GW_AMORT_CF_BR" hidden="1">"c535"</definedName>
    <definedName name="IQ_GW_AMORT_CF_FIN" hidden="1">"c536"</definedName>
    <definedName name="IQ_GW_AMORT_CF_INS" hidden="1">"c537"</definedName>
    <definedName name="IQ_GW_AMORT_CF_REIT" hidden="1">"c538"</definedName>
    <definedName name="IQ_GW_AMORT_CF_UTI" hidden="1">"c539"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IGH_TARGET_PRICE" hidden="1">"c1651"</definedName>
    <definedName name="IQ_HIGH_TARGET_PRICE_REUT" hidden="1">"c5317"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PROVIDED_DIVIDEND" hidden="1">"c19252"</definedName>
    <definedName name="IQ_INDEXCONSTITUENT_CLOSEPRICE" hidden="1">"c19241"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_AMORT" hidden="1">"c605"</definedName>
    <definedName name="IQ_INTAN_AMORT_BR" hidden="1">"c606"</definedName>
    <definedName name="IQ_INTAN_AMORT_CF" hidden="1">"c607"</definedName>
    <definedName name="IQ_INTAN_AMORT_CF_BNK" hidden="1">"c608"</definedName>
    <definedName name="IQ_INTAN_AMORT_CF_BR" hidden="1">"c609"</definedName>
    <definedName name="IQ_INTAN_AMORT_CF_FIN" hidden="1">"c610"</definedName>
    <definedName name="IQ_INTAN_AMORT_CF_INS" hidden="1">"c611"</definedName>
    <definedName name="IQ_INTAN_AMORT_CF_REIT" hidden="1">"c612"</definedName>
    <definedName name="IQ_INTAN_AMORT_CF_UTI" hidden="1">"c613"</definedName>
    <definedName name="IQ_INTAN_AMORT_FIN" hidden="1">"c614"</definedName>
    <definedName name="IQ_INTAN_AMORT_INS" hidden="1">"c615"</definedName>
    <definedName name="IQ_INTAN_AMORT_REIT" hidden="1">"c616"</definedName>
    <definedName name="IQ_INTAN_AMORT_UTI" hidden="1">"c617"</definedName>
    <definedName name="IQ_INTANGIBLES_NET" hidden="1">"c1407"</definedName>
    <definedName name="IQ_INTEL_EPS_EST" hidden="1">"c24729"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EBIT_MARGIN" hidden="1">"c151"</definedName>
    <definedName name="IQ_LAST_EBITDA_MARGIN" hidden="1">"c150"</definedName>
    <definedName name="IQ_LAST_GROSS_MARGIN" hidden="1">"c149"</definedName>
    <definedName name="IQ_LAST_NET_INC_MARGIN" hidden="1">"c152"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CRO_SURVEY_CONSUMER_SENTIMENT" hidden="1">"c20808"</definedName>
    <definedName name="IQ_MAINT_CAPEX" hidden="1">"c2947"</definedName>
    <definedName name="IQ_MAINT_CAPEX_ACT_OR_EST" hidden="1">"c4458"</definedName>
    <definedName name="IQ_MAINT_CAPEX_EST" hidden="1">"c4457"</definedName>
    <definedName name="IQ_MAINT_CAPEX_HIGH_EST" hidden="1">"c4460"</definedName>
    <definedName name="IQ_MAINT_CAPEX_LOW_EST" hidden="1">"c4461"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RKTCAP" hidden="1">"c258"</definedName>
    <definedName name="IQ_MATURITY_DATE" hidden="1">"c2146"</definedName>
    <definedName name="IQ_MATURITY_ONE_YEAR_LESS_FDIC" hidden="1">"c6425"</definedName>
    <definedName name="IQ_MC_RATIO" hidden="1">"c2783"</definedName>
    <definedName name="IQ_MC_STATUTORY_SURPLUS" hidden="1">"c2772"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EY_MARKET_DEPOSIT_ACCOUNTS_FDIC" hidden="1">"c6553"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localSheetId="10" hidden="1">"02/22/2019 15:54:15"</definedName>
    <definedName name="IQ_NAMES_REVISION_DATE_" localSheetId="9" hidden="1">"04/08/2019 05:02:59"</definedName>
    <definedName name="IQ_NAMES_REVISION_DATE_" hidden="1">45545.5900347222</definedName>
    <definedName name="IQ_NAMES_REVISION_DATE__1" hidden="1">42249.5248263889</definedName>
    <definedName name="IQ_NAMES_REVISION_DATE__2" hidden="1">41892.6104976852</definedName>
    <definedName name="IQ_NAMES_REVISION_DATE__3" hidden="1">"04/08/2019 05:02:59"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AV_STDDEV_EST" hidden="1">"c1756"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BITDA_CAPEX" hidden="1">"c2949"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EARNED" hidden="1">"c2734"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"c158"</definedName>
    <definedName name="IQ_NET_INC_GROWTH_2" hidden="1">"c162"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EST_REUT" hidden="1">"c5368"</definedName>
    <definedName name="IQ_NI_GW_EST" hidden="1">"c1723"</definedName>
    <definedName name="IQ_NI_GW_EST_REUT" hidden="1">"c5375"</definedName>
    <definedName name="IQ_NI_GW_EST_THOM" hidden="1">"c5133"</definedName>
    <definedName name="IQ_NI_GW_HIGH_EST" hidden="1">"c1725"</definedName>
    <definedName name="IQ_NI_GW_HIGH_EST_REUT" hidden="1">"c5377"</definedName>
    <definedName name="IQ_NI_GW_HIGH_EST_THOM" hidden="1">"c5135"</definedName>
    <definedName name="IQ_NI_GW_LOW_EST" hidden="1">"c1726"</definedName>
    <definedName name="IQ_NI_GW_LOW_EST_REUT" hidden="1">"c5378"</definedName>
    <definedName name="IQ_NI_GW_LOW_EST_THOM" hidden="1">"c5136"</definedName>
    <definedName name="IQ_NI_GW_MEDIAN_EST" hidden="1">"c1724"</definedName>
    <definedName name="IQ_NI_GW_MEDIAN_EST_REUT" hidden="1">"c5376"</definedName>
    <definedName name="IQ_NI_GW_MEDIAN_EST_THOM" hidden="1">"c5134"</definedName>
    <definedName name="IQ_NI_GW_NUM_EST" hidden="1">"c1727"</definedName>
    <definedName name="IQ_NI_GW_NUM_EST_REUT" hidden="1">"c5379"</definedName>
    <definedName name="IQ_NI_GW_NUM_EST_THOM" hidden="1">"c5137"</definedName>
    <definedName name="IQ_NI_GW_STDDEV_EST" hidden="1">"c1728"</definedName>
    <definedName name="IQ_NI_GW_STDDEV_EST_REUT" hidden="1">"c5380"</definedName>
    <definedName name="IQ_NI_GW_STDDEV_EST_THOM" hidden="1">"c5138"</definedName>
    <definedName name="IQ_NI_HIGH_EST" hidden="1">"c1718"</definedName>
    <definedName name="IQ_NI_HIGH_EST_REUT" hidden="1">"c5370"</definedName>
    <definedName name="IQ_NI_LOW_EST" hidden="1">"c1719"</definedName>
    <definedName name="IQ_NI_LOW_EST_REUT" hidden="1">"c5371"</definedName>
    <definedName name="IQ_NI_MARGIN" hidden="1">"c794"</definedName>
    <definedName name="IQ_NI_MEDIAN_EST" hidden="1">"c1717"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FAS" hidden="1">"c795"</definedName>
    <definedName name="IQ_NI_STDDEV_EST" hidden="1">"c1721"</definedName>
    <definedName name="IQ_NI_STDDEV_EST_REUT" hidden="1">"c5373"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BR" hidden="1">"c850"</definedName>
    <definedName name="IQ_OPER_INC_EST" hidden="1">"c1688"</definedName>
    <definedName name="IQ_OPER_INC_EST_REUT" hidden="1">"c5340"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NUM_EST" hidden="1">"c1692"</definedName>
    <definedName name="IQ_OPER_INC_NUM_EST_REUT" hidden="1">"c5344"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ED" hidden="1">"c2116"</definedName>
    <definedName name="IQ_OPTIONS_GRANTED" hidden="1">"c2673"</definedName>
    <definedName name="IQ_OPTIONS_ISSUED" hidden="1">"c857"</definedName>
    <definedName name="IQ_OPTIONS_OS" hidden="1">"c858"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" hidden="1">"c5563"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_REC" hidden="1">"c968"</definedName>
    <definedName name="IQ_OTHER_NON_REC_BNK" hidden="1">"c969"</definedName>
    <definedName name="IQ_OTHER_NON_REC_BR" hidden="1">"c970"</definedName>
    <definedName name="IQ_OTHER_NON_REC_FIN" hidden="1">"c971"</definedName>
    <definedName name="IQ_OTHER_NON_REC_INS" hidden="1">"c972"</definedName>
    <definedName name="IQ_OTHER_NON_REC_REIT" hidden="1">"c973"</definedName>
    <definedName name="IQ_OTHER_NON_REC_SUPPL" hidden="1">"c974"</definedName>
    <definedName name="IQ_OTHER_NON_REC_SUPPL_BNK" hidden="1">"c975"</definedName>
    <definedName name="IQ_OTHER_NON_REC_SUPPL_BR" hidden="1">"c976"</definedName>
    <definedName name="IQ_OTHER_NON_REC_SUPPL_FIN" hidden="1">"c977"</definedName>
    <definedName name="IQ_OTHER_NON_REC_SUPPL_INS" hidden="1">"c978"</definedName>
    <definedName name="IQ_OTHER_NON_REC_SUPPL_REIT" hidden="1">"c979"</definedName>
    <definedName name="IQ_OTHER_NON_REC_SUPPL_UTI" hidden="1">"c980"</definedName>
    <definedName name="IQ_OTHER_NON_REC_UTI" hidden="1">"c981"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USAL" hidden="1">"c998"</definedName>
    <definedName name="IQ_OTHER_UNUSAL_BNK" hidden="1">"c999"</definedName>
    <definedName name="IQ_OTHER_UNUSAL_BR" hidden="1">"c1000"</definedName>
    <definedName name="IQ_OTHER_UNUSAL_FIN" hidden="1">"c1001"</definedName>
    <definedName name="IQ_OTHER_UNUSAL_INS" hidden="1">"c1002"</definedName>
    <definedName name="IQ_OTHER_UNUSAL_REIT" hidden="1">"c1003"</definedName>
    <definedName name="IQ_OTHER_UNUSAL_SUPPL" hidden="1">"c1004"</definedName>
    <definedName name="IQ_OTHER_UNUSAL_SUPPL_BNK" hidden="1">"c1005"</definedName>
    <definedName name="IQ_OTHER_UNUSAL_SUPPL_BR" hidden="1">"c1006"</definedName>
    <definedName name="IQ_OTHER_UNUSAL_SUPPL_FIN" hidden="1">"c1007"</definedName>
    <definedName name="IQ_OTHER_UNUSAL_SUPPL_INS" hidden="1">"c1008"</definedName>
    <definedName name="IQ_OTHER_UNUSAL_SUPPL_REIT" hidden="1">"c1009"</definedName>
    <definedName name="IQ_OTHER_UNUSAL_SUPPL_UTI" hidden="1">"c1010"</definedName>
    <definedName name="IQ_OTHER_UNUSAL_UTI" hidden="1">"c1011"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localSheetId="9" hidden="1">"c1023"</definedName>
    <definedName name="IQ_OUTSTANDING_FILING_DATE" hidden="1">"c2127"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REUT" hidden="1">"c3959"</definedName>
    <definedName name="IQ_PERCENT_CHANGE_EST_5YR_GROWTH_RATE_18MONTHS" hidden="1">"c1853"</definedName>
    <definedName name="IQ_PERCENT_CHANGE_EST_5YR_GROWTH_RATE_18MONTHS_REUT" hidden="1">"c3960"</definedName>
    <definedName name="IQ_PERCENT_CHANGE_EST_5YR_GROWTH_RATE_3MONTHS" hidden="1">"c1849"</definedName>
    <definedName name="IQ_PERCENT_CHANGE_EST_5YR_GROWTH_RATE_3MONTHS_REUT" hidden="1">"c3956"</definedName>
    <definedName name="IQ_PERCENT_CHANGE_EST_5YR_GROWTH_RATE_6MONTHS" hidden="1">"c1850"</definedName>
    <definedName name="IQ_PERCENT_CHANGE_EST_5YR_GROWTH_RATE_6MONTHS_REUT" hidden="1">"c3957"</definedName>
    <definedName name="IQ_PERCENT_CHANGE_EST_5YR_GROWTH_RATE_9MONTHS" hidden="1">"c1851"</definedName>
    <definedName name="IQ_PERCENT_CHANGE_EST_5YR_GROWTH_RATE_9MONTHS_REUT" hidden="1">"c3958"</definedName>
    <definedName name="IQ_PERCENT_CHANGE_EST_5YR_GROWTH_RATE_DAY" hidden="1">"c1846"</definedName>
    <definedName name="IQ_PERCENT_CHANGE_EST_5YR_GROWTH_RATE_DAY_REUT" hidden="1">"c3954"</definedName>
    <definedName name="IQ_PERCENT_CHANGE_EST_5YR_GROWTH_RATE_MONTH" hidden="1">"c1848"</definedName>
    <definedName name="IQ_PERCENT_CHANGE_EST_5YR_GROWTH_RATE_MONTH_REUT" hidden="1">"c3955"</definedName>
    <definedName name="IQ_PERCENT_CHANGE_EST_5YR_GROWTH_RATE_WEEK" hidden="1">"c1847"</definedName>
    <definedName name="IQ_PERCENT_CHANGE_EST_5YR_GROWTH_RATE_WEEK_REUT" hidden="1">"c5435"</definedName>
    <definedName name="IQ_PERCENT_CHANGE_EST_CFPS_12MONTHS" hidden="1">"c1812"</definedName>
    <definedName name="IQ_PERCENT_CHANGE_EST_CFPS_12MONTHS_REUT" hidden="1">"c3924"</definedName>
    <definedName name="IQ_PERCENT_CHANGE_EST_CFPS_18MONTHS" hidden="1">"c1813"</definedName>
    <definedName name="IQ_PERCENT_CHANGE_EST_CFPS_18MONTHS_REUT" hidden="1">"c3925"</definedName>
    <definedName name="IQ_PERCENT_CHANGE_EST_CFPS_3MONTHS" hidden="1">"c1809"</definedName>
    <definedName name="IQ_PERCENT_CHANGE_EST_CFPS_3MONTHS_REUT" hidden="1">"c3921"</definedName>
    <definedName name="IQ_PERCENT_CHANGE_EST_CFPS_6MONTHS" hidden="1">"c1810"</definedName>
    <definedName name="IQ_PERCENT_CHANGE_EST_CFPS_6MONTHS_REUT" hidden="1">"c3922"</definedName>
    <definedName name="IQ_PERCENT_CHANGE_EST_CFPS_9MONTHS" hidden="1">"c1811"</definedName>
    <definedName name="IQ_PERCENT_CHANGE_EST_CFPS_9MONTHS_REUT" hidden="1">"c3923"</definedName>
    <definedName name="IQ_PERCENT_CHANGE_EST_CFPS_DAY" hidden="1">"c1806"</definedName>
    <definedName name="IQ_PERCENT_CHANGE_EST_CFPS_DAY_REUT" hidden="1">"c3919"</definedName>
    <definedName name="IQ_PERCENT_CHANGE_EST_CFPS_MONTH" hidden="1">"c1808"</definedName>
    <definedName name="IQ_PERCENT_CHANGE_EST_CFPS_MONTH_REUT" hidden="1">"c3920"</definedName>
    <definedName name="IQ_PERCENT_CHANGE_EST_CFPS_WEEK" hidden="1">"c1807"</definedName>
    <definedName name="IQ_PERCENT_CHANGE_EST_CFPS_WEEK_REUT" hidden="1">"c3962"</definedName>
    <definedName name="IQ_PERCENT_CHANGE_EST_DPS_12MONTHS" hidden="1">"c1820"</definedName>
    <definedName name="IQ_PERCENT_CHANGE_EST_DPS_12MONTHS_REUT" hidden="1">"c3931"</definedName>
    <definedName name="IQ_PERCENT_CHANGE_EST_DPS_18MONTHS" hidden="1">"c1821"</definedName>
    <definedName name="IQ_PERCENT_CHANGE_EST_DPS_18MONTHS_REUT" hidden="1">"c3932"</definedName>
    <definedName name="IQ_PERCENT_CHANGE_EST_DPS_3MONTHS" hidden="1">"c1817"</definedName>
    <definedName name="IQ_PERCENT_CHANGE_EST_DPS_3MONTHS_REUT" hidden="1">"c3928"</definedName>
    <definedName name="IQ_PERCENT_CHANGE_EST_DPS_6MONTHS" hidden="1">"c1818"</definedName>
    <definedName name="IQ_PERCENT_CHANGE_EST_DPS_6MONTHS_REUT" hidden="1">"c3929"</definedName>
    <definedName name="IQ_PERCENT_CHANGE_EST_DPS_9MONTHS" hidden="1">"c1819"</definedName>
    <definedName name="IQ_PERCENT_CHANGE_EST_DPS_9MONTHS_REUT" hidden="1">"c3930"</definedName>
    <definedName name="IQ_PERCENT_CHANGE_EST_DPS_DAY" hidden="1">"c1814"</definedName>
    <definedName name="IQ_PERCENT_CHANGE_EST_DPS_DAY_REUT" hidden="1">"c3926"</definedName>
    <definedName name="IQ_PERCENT_CHANGE_EST_DPS_MONTH" hidden="1">"c1816"</definedName>
    <definedName name="IQ_PERCENT_CHANGE_EST_DPS_MONTH_REUT" hidden="1">"c3927"</definedName>
    <definedName name="IQ_PERCENT_CHANGE_EST_DPS_WEEK" hidden="1">"c1815"</definedName>
    <definedName name="IQ_PERCENT_CHANGE_EST_DPS_WEEK_REUT" hidden="1">"c3963"</definedName>
    <definedName name="IQ_PERCENT_CHANGE_EST_EBITDA_12MONTHS" hidden="1">"c1804"</definedName>
    <definedName name="IQ_PERCENT_CHANGE_EST_EBITDA_12MONTHS_REUT" hidden="1">"c3917"</definedName>
    <definedName name="IQ_PERCENT_CHANGE_EST_EBITDA_18MONTHS" hidden="1">"c1805"</definedName>
    <definedName name="IQ_PERCENT_CHANGE_EST_EBITDA_18MONTHS_REUT" hidden="1">"c3918"</definedName>
    <definedName name="IQ_PERCENT_CHANGE_EST_EBITDA_3MONTHS" hidden="1">"c1801"</definedName>
    <definedName name="IQ_PERCENT_CHANGE_EST_EBITDA_3MONTHS_REUT" hidden="1">"c3914"</definedName>
    <definedName name="IQ_PERCENT_CHANGE_EST_EBITDA_6MONTHS" hidden="1">"c1802"</definedName>
    <definedName name="IQ_PERCENT_CHANGE_EST_EBITDA_6MONTHS_REUT" hidden="1">"c3915"</definedName>
    <definedName name="IQ_PERCENT_CHANGE_EST_EBITDA_9MONTHS" hidden="1">"c1803"</definedName>
    <definedName name="IQ_PERCENT_CHANGE_EST_EBITDA_9MONTHS_REUT" hidden="1">"c3916"</definedName>
    <definedName name="IQ_PERCENT_CHANGE_EST_EBITDA_DAY" hidden="1">"c1798"</definedName>
    <definedName name="IQ_PERCENT_CHANGE_EST_EBITDA_DAY_REUT" hidden="1">"c3912"</definedName>
    <definedName name="IQ_PERCENT_CHANGE_EST_EBITDA_MONTH" hidden="1">"c1800"</definedName>
    <definedName name="IQ_PERCENT_CHANGE_EST_EBITDA_MONTH_REUT" hidden="1">"c3913"</definedName>
    <definedName name="IQ_PERCENT_CHANGE_EST_EBITDA_WEEK" hidden="1">"c1799"</definedName>
    <definedName name="IQ_PERCENT_CHANGE_EST_EBITDA_WEEK_REUT" hidden="1">"c3961"</definedName>
    <definedName name="IQ_PERCENT_CHANGE_EST_EPS_12MONTHS" hidden="1">"c1788"</definedName>
    <definedName name="IQ_PERCENT_CHANGE_EST_EPS_12MONTHS_REUT" hidden="1">"c3902"</definedName>
    <definedName name="IQ_PERCENT_CHANGE_EST_EPS_18MONTHS" hidden="1">"c1789"</definedName>
    <definedName name="IQ_PERCENT_CHANGE_EST_EPS_18MONTHS_REUT" hidden="1">"c3903"</definedName>
    <definedName name="IQ_PERCENT_CHANGE_EST_EPS_3MONTHS" hidden="1">"c1785"</definedName>
    <definedName name="IQ_PERCENT_CHANGE_EST_EPS_3MONTHS_REUT" hidden="1">"c3899"</definedName>
    <definedName name="IQ_PERCENT_CHANGE_EST_EPS_6MONTHS" hidden="1">"c1786"</definedName>
    <definedName name="IQ_PERCENT_CHANGE_EST_EPS_6MONTHS_REUT" hidden="1">"c3900"</definedName>
    <definedName name="IQ_PERCENT_CHANGE_EST_EPS_9MONTHS" hidden="1">"c1787"</definedName>
    <definedName name="IQ_PERCENT_CHANGE_EST_EPS_9MONTHS_REUT" hidden="1">"c3901"</definedName>
    <definedName name="IQ_PERCENT_CHANGE_EST_EPS_DAY" hidden="1">"c1782"</definedName>
    <definedName name="IQ_PERCENT_CHANGE_EST_EPS_DAY_REUT" hidden="1">"c3896"</definedName>
    <definedName name="IQ_PERCENT_CHANGE_EST_EPS_MONTH" hidden="1">"c1784"</definedName>
    <definedName name="IQ_PERCENT_CHANGE_EST_EPS_MONTH_REUT" hidden="1">"c3898"</definedName>
    <definedName name="IQ_PERCENT_CHANGE_EST_EPS_WEEK" hidden="1">"c1783"</definedName>
    <definedName name="IQ_PERCENT_CHANGE_EST_EPS_WEEK_REUT" hidden="1">"c3897"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2MONTHS_REUT" hidden="1">"c3938"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18MONTHS_REUT" hidden="1">"c3939"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3MONTHS_REUT" hidden="1">"c3935"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6MONTHS_REUT" hidden="1">"c3936"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9MONTHS_REUT" hidden="1">"c3937"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CIQ" hidden="1">"c3764"</definedName>
    <definedName name="IQ_PERCENT_CHANGE_EST_FFO_SHARE_SHARE_DAY_REUT" hidden="1">"c3933"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MONTH_REUT" hidden="1">"c3934"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CIQ" hidden="1">"c3795"</definedName>
    <definedName name="IQ_PERCENT_CHANGE_EST_FFO_SHARE_SHARE_WEEK_REUT" hidden="1">"c3964"</definedName>
    <definedName name="IQ_PERCENT_CHANGE_EST_FFO_SHARE_SHARE_WEEK_THOM" hidden="1">"c5274"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CHANGE_EST_PRICE_TARGET_12MONTHS" hidden="1">"c1844"</definedName>
    <definedName name="IQ_PERCENT_CHANGE_EST_PRICE_TARGET_12MONTHS_REUT" hidden="1">"c3952"</definedName>
    <definedName name="IQ_PERCENT_CHANGE_EST_PRICE_TARGET_18MONTHS" hidden="1">"c1845"</definedName>
    <definedName name="IQ_PERCENT_CHANGE_EST_PRICE_TARGET_18MONTHS_REUT" hidden="1">"c3953"</definedName>
    <definedName name="IQ_PERCENT_CHANGE_EST_PRICE_TARGET_3MONTHS" hidden="1">"c1841"</definedName>
    <definedName name="IQ_PERCENT_CHANGE_EST_PRICE_TARGET_3MONTHS_REUT" hidden="1">"c3949"</definedName>
    <definedName name="IQ_PERCENT_CHANGE_EST_PRICE_TARGET_6MONTHS" hidden="1">"c1842"</definedName>
    <definedName name="IQ_PERCENT_CHANGE_EST_PRICE_TARGET_6MONTHS_REUT" hidden="1">"c3950"</definedName>
    <definedName name="IQ_PERCENT_CHANGE_EST_PRICE_TARGET_9MONTHS" hidden="1">"c1843"</definedName>
    <definedName name="IQ_PERCENT_CHANGE_EST_PRICE_TARGET_9MONTHS_REUT" hidden="1">"c3951"</definedName>
    <definedName name="IQ_PERCENT_CHANGE_EST_PRICE_TARGET_DAY" hidden="1">"c1838"</definedName>
    <definedName name="IQ_PERCENT_CHANGE_EST_PRICE_TARGET_DAY_REUT" hidden="1">"c3947"</definedName>
    <definedName name="IQ_PERCENT_CHANGE_EST_PRICE_TARGET_MONTH" hidden="1">"c1840"</definedName>
    <definedName name="IQ_PERCENT_CHANGE_EST_PRICE_TARGET_MONTH_REUT" hidden="1">"c3948"</definedName>
    <definedName name="IQ_PERCENT_CHANGE_EST_PRICE_TARGET_WEEK" hidden="1">"c1839"</definedName>
    <definedName name="IQ_PERCENT_CHANGE_EST_PRICE_TARGET_WEEK_REUT" hidden="1">"c3967"</definedName>
    <definedName name="IQ_PERCENT_CHANGE_EST_RECO_12MONTHS" hidden="1">"c1836"</definedName>
    <definedName name="IQ_PERCENT_CHANGE_EST_RECO_12MONTHS_REUT" hidden="1">"c3945"</definedName>
    <definedName name="IQ_PERCENT_CHANGE_EST_RECO_18MONTHS" hidden="1">"c1837"</definedName>
    <definedName name="IQ_PERCENT_CHANGE_EST_RECO_18MONTHS_REUT" hidden="1">"c3946"</definedName>
    <definedName name="IQ_PERCENT_CHANGE_EST_RECO_3MONTHS" hidden="1">"c1833"</definedName>
    <definedName name="IQ_PERCENT_CHANGE_EST_RECO_3MONTHS_REUT" hidden="1">"c3942"</definedName>
    <definedName name="IQ_PERCENT_CHANGE_EST_RECO_6MONTHS" hidden="1">"c1834"</definedName>
    <definedName name="IQ_PERCENT_CHANGE_EST_RECO_6MONTHS_REUT" hidden="1">"c3943"</definedName>
    <definedName name="IQ_PERCENT_CHANGE_EST_RECO_9MONTHS" hidden="1">"c1835"</definedName>
    <definedName name="IQ_PERCENT_CHANGE_EST_RECO_9MONTHS_REUT" hidden="1">"c3944"</definedName>
    <definedName name="IQ_PERCENT_CHANGE_EST_RECO_DAY" hidden="1">"c1830"</definedName>
    <definedName name="IQ_PERCENT_CHANGE_EST_RECO_DAY_REUT" hidden="1">"c3940"</definedName>
    <definedName name="IQ_PERCENT_CHANGE_EST_RECO_MONTH" hidden="1">"c1832"</definedName>
    <definedName name="IQ_PERCENT_CHANGE_EST_RECO_MONTH_REUT" hidden="1">"c3941"</definedName>
    <definedName name="IQ_PERCENT_CHANGE_EST_RECO_WEEK" hidden="1">"c1831"</definedName>
    <definedName name="IQ_PERCENT_CHANGE_EST_RECO_WEEK_REUT" hidden="1">"c3965"</definedName>
    <definedName name="IQ_PERCENT_CHANGE_EST_REV_12MONTHS" hidden="1">"c1796"</definedName>
    <definedName name="IQ_PERCENT_CHANGE_EST_REV_12MONTHS_REUT" hidden="1">"c3910"</definedName>
    <definedName name="IQ_PERCENT_CHANGE_EST_REV_18MONTHS" hidden="1">"c1797"</definedName>
    <definedName name="IQ_PERCENT_CHANGE_EST_REV_18MONTHS_REUT" hidden="1">"c3911"</definedName>
    <definedName name="IQ_PERCENT_CHANGE_EST_REV_3MONTHS" hidden="1">"c1793"</definedName>
    <definedName name="IQ_PERCENT_CHANGE_EST_REV_3MONTHS_REUT" hidden="1">"c3907"</definedName>
    <definedName name="IQ_PERCENT_CHANGE_EST_REV_6MONTHS" hidden="1">"c1794"</definedName>
    <definedName name="IQ_PERCENT_CHANGE_EST_REV_6MONTHS_REUT" hidden="1">"c3908"</definedName>
    <definedName name="IQ_PERCENT_CHANGE_EST_REV_9MONTHS" hidden="1">"c1795"</definedName>
    <definedName name="IQ_PERCENT_CHANGE_EST_REV_9MONTHS_REUT" hidden="1">"c3909"</definedName>
    <definedName name="IQ_PERCENT_CHANGE_EST_REV_DAY" hidden="1">"c1790"</definedName>
    <definedName name="IQ_PERCENT_CHANGE_EST_REV_DAY_REUT" hidden="1">"c3904"</definedName>
    <definedName name="IQ_PERCENT_CHANGE_EST_REV_MONTH" hidden="1">"c1792"</definedName>
    <definedName name="IQ_PERCENT_CHANGE_EST_REV_MONTH_REUT" hidden="1">"c3906"</definedName>
    <definedName name="IQ_PERCENT_CHANGE_EST_REV_WEEK" hidden="1">"c1791"</definedName>
    <definedName name="IQ_PERCENT_CHANGE_EST_REV_WEEK_REUT" hidden="1">"c3905"</definedName>
    <definedName name="IQ_PERCENT_FLOAT" hidden="1">"c227"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REUT" hidden="1">"c3968"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" hidden="1">"c1695"</definedName>
    <definedName name="IQ_PRETAX_INC_EST_REUT" hidden="1">"c5347"</definedName>
    <definedName name="IQ_PRETAX_INC_HIGH_EST" hidden="1">"c1697"</definedName>
    <definedName name="IQ_PRETAX_INC_HIGH_EST_REUT" hidden="1">"c5349"</definedName>
    <definedName name="IQ_PRETAX_INC_LOW_EST" hidden="1">"c1698"</definedName>
    <definedName name="IQ_PRETAX_INC_LOW_EST_REUT" hidden="1">"c5350"</definedName>
    <definedName name="IQ_PRETAX_INC_MEDIAN_EST" hidden="1">"c1696"</definedName>
    <definedName name="IQ_PRETAX_INC_MEDIAN_EST_REUT" hidden="1">"c5348"</definedName>
    <definedName name="IQ_PRETAX_INC_NUM_EST" hidden="1">"c1699"</definedName>
    <definedName name="IQ_PRETAX_INC_NUM_EST_REUT" hidden="1">"c5351"</definedName>
    <definedName name="IQ_PRETAX_INC_STDDEV_EST" hidden="1">"c1700"</definedName>
    <definedName name="IQ_PRETAX_INC_STDDEV_EST_REUT" hidden="1">"c5352"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ETAX_RETURN_ASSETS_FDIC" hidden="1">"c6731"</definedName>
    <definedName name="IQ_PRICE_CFPS_FWD" hidden="1">"c2237"</definedName>
    <definedName name="IQ_PRICE_CFPS_FWD_REUT" hidden="1">"c4053"</definedName>
    <definedName name="IQ_PRICE_OVER_BVPS" hidden="1">"c1412"</definedName>
    <definedName name="IQ_PRICE_OVER_EPS_EST" hidden="1">"c174"</definedName>
    <definedName name="IQ_PRICE_OVER_EPS_EST_1" hidden="1">"c175"</definedName>
    <definedName name="IQ_PRICE_OVER_LTM_EPS" hidden="1">"c1413"</definedName>
    <definedName name="IQ_PRICE_TARGET" hidden="1">"c82"</definedName>
    <definedName name="IQ_PRICE_TARGET_BOTTOM_UP_REUT" hidden="1">"c5494"</definedName>
    <definedName name="IQ_PRICE_TARGET_REUT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REUT" hidden="1">"c5461"</definedName>
    <definedName name="IQ_REVENUE_EST" hidden="1">"c1126"</definedName>
    <definedName name="IQ_REVENUE_EST_1" hidden="1">"c190"</definedName>
    <definedName name="IQ_REVENUE_EST_BOTTOM_UP_REUT" hidden="1">"c5496"</definedName>
    <definedName name="IQ_REVENUE_EST_REUT" hidden="1">"c3634"</definedName>
    <definedName name="IQ_REVENUE_GROWTH_1" hidden="1">"c155"</definedName>
    <definedName name="IQ_REVENUE_GROWTH_2" hidden="1">"c159"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O_EST" hidden="1">"c263"</definedName>
    <definedName name="IQ_REVENUE_NUM_EST" hidden="1">"c1129"</definedName>
    <definedName name="IQ_REVENUE_NUM_EST_REUT" hidden="1">"c3638"</definedName>
    <definedName name="IQ_REVISION_DATE_" hidden="1">39231.9340277778</definedName>
    <definedName name="IQ_REVISION_DATE__1" hidden="1">39111.4358564815</definedName>
    <definedName name="IQ_REVISION_DATE_ORIGMODEL" hidden="1">39850.4274305556</definedName>
    <definedName name="IQ_REVISION_DATE_REVISEDMODEL" hidden="1">39850.4274305556</definedName>
    <definedName name="IQ_REVOLVING_SECURED_1_–4_NON_ACCRUAL_FFIEC" hidden="1">"c15565"</definedName>
    <definedName name="IQ_RISK_ADJ_BANK_ASSETS" hidden="1">"c2670"</definedName>
    <definedName name="IQ_RISK_WEIGHTED_ASSETS_FDIC" hidden="1">"c6370"</definedName>
    <definedName name="IQ_ROYALTY_REVENUE_COAL" hidden="1">"c15932"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GS_FIN" hidden="1">"c2998"</definedName>
    <definedName name="IQ_STOCK_BASED_COGS_UTIL" hidden="1">"c2997"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LASTCLOSE" hidden="1">"c1855"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MPLATE_BS" hidden="1">"c1211"</definedName>
    <definedName name="IQ_TEMPLATE_CF" hidden="1">"c1212"</definedName>
    <definedName name="IQ_TEMPLATE_IS" hidden="1">"c1213"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AL" hidden="1">"c1308"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ADVISORS" hidden="1">"c2387"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ADVISORS" hidden="1">"c2388"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BDEBT" hidden="1">"c2370"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" hidden="1">"c2930"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" hidden="1">"c2932"</definedName>
    <definedName name="IQ_US_GAAP_CL_ADJ" hidden="1">"c2927"</definedName>
    <definedName name="IQ_US_GAAP_COST_REV" hidden="1">"c2965"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" hidden="1">"c2973"</definedName>
    <definedName name="IQ_US_GAAP_DO_ADJ" hidden="1">"c2959"</definedName>
    <definedName name="IQ_US_GAAP_EXTRA_ACC_ITEMS" hidden="1">"c2972"</definedName>
    <definedName name="IQ_US_GAAP_EXTRA_ACC_ITEMS_ADJ" hidden="1">"c2958"</definedName>
    <definedName name="IQ_US_GAAP_INC_TAX" hidden="1">"c2975"</definedName>
    <definedName name="IQ_US_GAAP_INC_TAX_ADJ" hidden="1">"c2961"</definedName>
    <definedName name="IQ_US_GAAP_INTEREST_EXP" hidden="1">"c2971"</definedName>
    <definedName name="IQ_US_GAAP_INTEREST_EXP_ADJ" hidden="1">"c2957"</definedName>
    <definedName name="IQ_US_GAAP_LIAB_LT" hidden="1">"c2933"</definedName>
    <definedName name="IQ_US_GAAP_LIAB_LT_ADJ" hidden="1">"c2928"</definedName>
    <definedName name="IQ_US_GAAP_LIAB_TOTAL_LIAB" hidden="1">"c2933"</definedName>
    <definedName name="IQ_US_GAAP_MINORITY_INTEREST_IS" hidden="1">"c2974"</definedName>
    <definedName name="IQ_US_GAAP_MINORITY_INTEREST_IS_ADJ" hidden="1">"c2960"</definedName>
    <definedName name="IQ_US_GAAP_NCA" hidden="1">"c2931"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EXCL" hidden="1">"c2977"</definedName>
    <definedName name="IQ_US_GAAP_NI_AVAIL_INCL" hidden="1">"c2978"</definedName>
    <definedName name="IQ_US_GAAP_OTHER_ADJ_ADJ" hidden="1">"c2962"</definedName>
    <definedName name="IQ_US_GAAP_OTHER_NON_OPER" hidden="1">"c2969"</definedName>
    <definedName name="IQ_US_GAAP_OTHER_NON_OPER_ADJ" hidden="1">"c2955"</definedName>
    <definedName name="IQ_US_GAAP_OTHER_OPER" hidden="1">"c2968"</definedName>
    <definedName name="IQ_US_GAAP_OTHER_OPER_ADJ" hidden="1">"c2954"</definedName>
    <definedName name="IQ_US_GAAP_RD" hidden="1">"c2967"</definedName>
    <definedName name="IQ_US_GAAP_RD_ADJ" hidden="1">"c2953"</definedName>
    <definedName name="IQ_US_GAAP_SGA" hidden="1">"c2966"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" hidden="1">"c2964"</definedName>
    <definedName name="IQ_US_GAAP_TOTAL_REV_ADJ" hidden="1">"c2950"</definedName>
    <definedName name="IQ_US_GAAP_TOTAL_UNUSUAL" hidden="1">"c2970"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0</definedName>
    <definedName name="IQB_BOOKMARK_COUNT_1" hidden="1">1</definedName>
    <definedName name="IQB_BOOKMARK_COUNT_1_1" hidden="1">2</definedName>
    <definedName name="IQB_BOOKMARK_LOCATION_0" hidden="1">#REF!</definedName>
    <definedName name="IQB_CURRENT_BOOKMARK" hidden="1">0</definedName>
    <definedName name="IQRA10" hidden="1">"$A$11:$A$262"</definedName>
    <definedName name="IQRA3" hidden="1">"$A$4:$A$23"</definedName>
    <definedName name="IQRA5" hidden="1">"$A$6:$A$1056"</definedName>
    <definedName name="IQRA8" hidden="1">"$A$9:$A$260"</definedName>
    <definedName name="IQRAD17" hidden="1">"$AD$18:$AD$268"</definedName>
    <definedName name="IQRAY7" hidden="1">"$AY$8"</definedName>
    <definedName name="IQRB1" hidden="1">"$B$2:$B$1023"</definedName>
    <definedName name="IQRB15" hidden="1">"$B$16:$B$17"</definedName>
    <definedName name="IQRB17" hidden="1">"$B$18:$B$22"</definedName>
    <definedName name="IQRB18" hidden="1">"$B$19:$B$23"</definedName>
    <definedName name="IQRB19" hidden="1">"$B$20:$B$24"</definedName>
    <definedName name="IQRB20" hidden="1">"$B$21:$B$25"</definedName>
    <definedName name="IQRB21" hidden="1">"$B$22:$B$26"</definedName>
    <definedName name="IQRB22" hidden="1">"$B$23:$B$27"</definedName>
    <definedName name="IQRB23" hidden="1">"$B$24:$B$28"</definedName>
    <definedName name="IQRB24" hidden="1">"$B$25:$B$29"</definedName>
    <definedName name="IQRB32" hidden="1">"$B$33:$B$37"</definedName>
    <definedName name="IQRB33" hidden="1">"$B$34:$B$38"</definedName>
    <definedName name="IQRB34" hidden="1">"$B$35:$B$39"</definedName>
    <definedName name="IQRB39" hidden="1">"$B$40:$B$61"</definedName>
    <definedName name="IQRB5" hidden="1">"$B$6:$B$585"</definedName>
    <definedName name="IQRB6" hidden="1">"$B$7"</definedName>
    <definedName name="IQRB7" hidden="1">"$B$8:$B$282"</definedName>
    <definedName name="IQRB8" hidden="1">"$B$9:$B$260"</definedName>
    <definedName name="IQRBB40" hidden="1">"$BB$41:$BB$45"</definedName>
    <definedName name="IQRC15" hidden="1">"$C$16:$C$20"</definedName>
    <definedName name="IQRC24" hidden="1">"$C$25:$C$29"</definedName>
    <definedName name="IQRC8" hidden="1">"$C$9:$C$260"</definedName>
    <definedName name="IQRD15" hidden="1">"$D$16:$D$17"</definedName>
    <definedName name="IQRD2" hidden="1">"$D$3:$D$62"</definedName>
    <definedName name="IQRD3" hidden="1">"$D$4:$D$23"</definedName>
    <definedName name="IQRD39" hidden="1">"$D$40:$D$61"</definedName>
    <definedName name="IQRD4" hidden="1">"$D$5:$D$1262"</definedName>
    <definedName name="IQRD5" hidden="1">"$D$6:$D$10"</definedName>
    <definedName name="IQRD6" hidden="1">"$D$7:$D$10"</definedName>
    <definedName name="IQRE6" hidden="1">"$E$7:$E$739"</definedName>
    <definedName name="IQRF23" hidden="1">"$F$24:$F$87"</definedName>
    <definedName name="IQRF30" hidden="1">"$F$31:$F$120"</definedName>
    <definedName name="IQRF34" hidden="1">"$F$35:$F$126"</definedName>
    <definedName name="IQRF35" hidden="1">"$F$36:$F$124"</definedName>
    <definedName name="IQRF39" hidden="1">"$F$40:$F$61"</definedName>
    <definedName name="IQRGG11" hidden="1">"$GG$12:$GG$17"</definedName>
    <definedName name="IQRGH11" hidden="1">"$GH$12"</definedName>
    <definedName name="IQRGI11" hidden="1">"$GI$12"</definedName>
    <definedName name="IQRH12" hidden="1">"$H$13"</definedName>
    <definedName name="IQRH14" hidden="1">"$H$15"</definedName>
    <definedName name="IQRH18" hidden="1">"$H$19"</definedName>
    <definedName name="IQRH28" hidden="1">"$H$29"</definedName>
    <definedName name="IQRH30" hidden="1">"$H$31"</definedName>
    <definedName name="IQRH33" hidden="1">"$H$34:$H$123"</definedName>
    <definedName name="IQRH59" hidden="1">"$H$60"</definedName>
    <definedName name="IQRH6" hidden="1">"$H$7:$H$112"</definedName>
    <definedName name="IQRH64" hidden="1">"$H$65"</definedName>
    <definedName name="IQRH8" hidden="1">"$H$9"</definedName>
    <definedName name="IQRI10" hidden="1">"$I$11:$I$14"</definedName>
    <definedName name="IQRI2" hidden="1">"$I$3:$I$66"</definedName>
    <definedName name="IQRI39" hidden="1">"$I$40:$I$61"</definedName>
    <definedName name="IQRI6" hidden="1">"$I$7:$I$112"</definedName>
    <definedName name="IQRI8" hidden="1">#REF!</definedName>
    <definedName name="IQRJ3" hidden="1">"$J$4:$J$67"</definedName>
    <definedName name="IQRJ59" hidden="1">"$J$60"</definedName>
    <definedName name="IQRJ6" hidden="1">"$J$7:$J$112"</definedName>
    <definedName name="IQRL16" hidden="1">"$L$17:$L$21"</definedName>
    <definedName name="IQRL39" hidden="1">"$L$40:$L$61"</definedName>
    <definedName name="IQRL59" hidden="1">"$L$60"</definedName>
    <definedName name="IQRM106" hidden="1">"$M$107:$M$357"</definedName>
    <definedName name="IQRM107" hidden="1">"$M$108:$M$358"</definedName>
    <definedName name="IQRM108" hidden="1">"$M$109:$M$359"</definedName>
    <definedName name="IQRM109" hidden="1">"$M$110:$M$359"</definedName>
    <definedName name="IQRM110" hidden="1">"$M$111:$M$361"</definedName>
    <definedName name="IQRM111" hidden="1">"$M$112:$M$362"</definedName>
    <definedName name="IQRM112" hidden="1">"$M$113:$M$363"</definedName>
    <definedName name="IQRM113" hidden="1">"$M$114:$M$364"</definedName>
    <definedName name="IQRM15" hidden="1">"$M$16"</definedName>
    <definedName name="IQRM16" hidden="1">"$N$16"</definedName>
    <definedName name="IQRM17" hidden="1">"$M$18:$M$22"</definedName>
    <definedName name="IQRM39" hidden="1">"$M$40:$M$61"</definedName>
    <definedName name="IQRN33" hidden="1">"$N$34:$N$123"</definedName>
    <definedName name="IQRN34" hidden="1">"$N$35:$N$126"</definedName>
    <definedName name="IQRN35" hidden="1">"$N$36:$N$124"</definedName>
    <definedName name="IQRO39" hidden="1">"$O$40:$O$61"</definedName>
    <definedName name="IQRP39" hidden="1">"$P$40:$P$61"</definedName>
    <definedName name="IQRS6" hidden="1">"$S$7:$S$259"</definedName>
    <definedName name="IQRSharePriceA18" hidden="1">#REF!</definedName>
    <definedName name="IQRSharePriceC18" hidden="1">#REF!</definedName>
    <definedName name="IQRSharePriceD18" hidden="1">#REF!</definedName>
    <definedName name="IQRSheet1A3" hidden="1">#REF!</definedName>
    <definedName name="IQRU11" hidden="1">"$U$12:$U$264"</definedName>
    <definedName name="IQRV11" hidden="1">"$V$12:$V$264"</definedName>
    <definedName name="iQShowHideColumns" hidden="1">"iQShowAll"</definedName>
    <definedName name="Irbe" localSheetId="10" hidden="1">{#N/A,#N/A,FALSE,"Pharm";#N/A,#N/A,FALSE,"WWCM"}</definedName>
    <definedName name="Irbe" localSheetId="9" hidden="1">{#N/A,#N/A,FALSE,"Pharm";#N/A,#N/A,FALSE,"WWCM"}</definedName>
    <definedName name="Irbe" hidden="1">{#N/A,#N/A,FALSE,"Pharm";#N/A,#N/A,FALSE,"WWCM"}</definedName>
    <definedName name="IRI_WorkspaceId" hidden="1">"3536f2de18a4487db6c9e19494b35aa0"</definedName>
    <definedName name="IsColHidden" hidden="1">FALSE</definedName>
    <definedName name="IsLTMColHidden" hidden="1">FALSE</definedName>
    <definedName name="iueoreorioqw" hidden="1">#REF!</definedName>
    <definedName name="j" hidden="1">#REF!</definedName>
    <definedName name="Jan_1" localSheetId="10" hidden="1">{"'Euro Conversion rates'!$A$1:$E$21"}</definedName>
    <definedName name="Jan_1" localSheetId="9" hidden="1">{"'Euro Conversion rates'!$A$1:$E$21"}</definedName>
    <definedName name="Jan_1" hidden="1">{"'Euro Conversion rates'!$A$1:$E$21"}</definedName>
    <definedName name="janice" localSheetId="10" hidden="1">{"'FXRates AUD'!$AH$586"}</definedName>
    <definedName name="janice" localSheetId="9" hidden="1">{"'FXRates AUD'!$AH$586"}</definedName>
    <definedName name="janice" hidden="1">{"'FXRates AUD'!$AH$586"}</definedName>
    <definedName name="janice_1" localSheetId="10" hidden="1">{"'FXRates AUD'!$AH$586"}</definedName>
    <definedName name="janice_1" localSheetId="9" hidden="1">{"'FXRates AUD'!$AH$586"}</definedName>
    <definedName name="janice_1" hidden="1">{"'FXRates AUD'!$AH$586"}</definedName>
    <definedName name="jghiuyfvgn" localSheetId="1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jghiuyfvgn" localSheetId="9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jghiuyfvgn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jghiuyfvgn_1" localSheetId="1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jghiuyfvgn_1" localSheetId="9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jghiuyfvgn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jhhhh" localSheetId="10" hidden="1">{#N/A,#N/A,FALSE,"CCTV"}</definedName>
    <definedName name="jhhhh" localSheetId="9" hidden="1">{#N/A,#N/A,FALSE,"CCTV"}</definedName>
    <definedName name="jhhhh" hidden="1">{#N/A,#N/A,FALSE,"CCTV"}</definedName>
    <definedName name="ji" localSheetId="10" hidden="1">{"'Highlights'!$A$1:$M$123"}</definedName>
    <definedName name="ji" localSheetId="9" hidden="1">{"'Highlights'!$A$1:$M$123"}</definedName>
    <definedName name="ji" hidden="1">{"'Highlights'!$A$1:$M$123"}</definedName>
    <definedName name="ji_1" localSheetId="10" hidden="1">{"'Highlights'!$A$1:$M$123"}</definedName>
    <definedName name="ji_1" localSheetId="9" hidden="1">{"'Highlights'!$A$1:$M$123"}</definedName>
    <definedName name="ji_1" hidden="1">{"'Highlights'!$A$1:$M$123"}</definedName>
    <definedName name="jim" localSheetId="10" hidden="1">{"'Directory'!$A$72:$E$91"}</definedName>
    <definedName name="jim" localSheetId="9" hidden="1">{"'Directory'!$A$72:$E$91"}</definedName>
    <definedName name="jim" hidden="1">{"'Directory'!$A$72:$E$91"}</definedName>
    <definedName name="jim_1" localSheetId="10" hidden="1">{"'Directory'!$A$72:$E$91"}</definedName>
    <definedName name="jim_1" localSheetId="9" hidden="1">{"'Directory'!$A$72:$E$91"}</definedName>
    <definedName name="jim_1" hidden="1">{"'Directory'!$A$72:$E$91"}</definedName>
    <definedName name="jimm" localSheetId="10" hidden="1">{"'Directory'!$A$72:$E$91"}</definedName>
    <definedName name="jimm" localSheetId="9" hidden="1">{"'Directory'!$A$72:$E$91"}</definedName>
    <definedName name="jimm" hidden="1">{"'Directory'!$A$72:$E$91"}</definedName>
    <definedName name="jimm_1" localSheetId="10" hidden="1">{"'Directory'!$A$72:$E$91"}</definedName>
    <definedName name="jimm_1" localSheetId="9" hidden="1">{"'Directory'!$A$72:$E$91"}</definedName>
    <definedName name="jimm_1" hidden="1">{"'Directory'!$A$72:$E$91"}</definedName>
    <definedName name="jip" localSheetId="10" hidden="1">{"'Highlights'!$A$1:$M$123"}</definedName>
    <definedName name="jip" localSheetId="9" hidden="1">{"'Highlights'!$A$1:$M$123"}</definedName>
    <definedName name="jip" hidden="1">{"'Highlights'!$A$1:$M$123"}</definedName>
    <definedName name="jip_1" localSheetId="10" hidden="1">{"'Highlights'!$A$1:$M$123"}</definedName>
    <definedName name="jip_1" localSheetId="9" hidden="1">{"'Highlights'!$A$1:$M$123"}</definedName>
    <definedName name="jip_1" hidden="1">{"'Highlights'!$A$1:$M$123"}</definedName>
    <definedName name="jiuyeoppou" hidden="1">#REF!</definedName>
    <definedName name="jjj" localSheetId="10" hidden="1">{#N/A,#N/A,TRUE,"Overall";#N/A,#N/A,TRUE,"Region Wise ";#N/A,#N/A,TRUE,"Client Wise"}</definedName>
    <definedName name="jjj" localSheetId="9" hidden="1">{#N/A,#N/A,TRUE,"Overall";#N/A,#N/A,TRUE,"Region Wise ";#N/A,#N/A,TRUE,"Client Wise"}</definedName>
    <definedName name="jjj" hidden="1">{#N/A,#N/A,TRUE,"Overall";#N/A,#N/A,TRUE,"Region Wise ";#N/A,#N/A,TRUE,"Client Wise"}</definedName>
    <definedName name="jjj_1" localSheetId="10" hidden="1">{#N/A,#N/A,TRUE,"Overall";#N/A,#N/A,TRUE,"Region Wise ";#N/A,#N/A,TRUE,"Client Wise"}</definedName>
    <definedName name="jjj_1" localSheetId="9" hidden="1">{#N/A,#N/A,TRUE,"Overall";#N/A,#N/A,TRUE,"Region Wise ";#N/A,#N/A,TRUE,"Client Wise"}</definedName>
    <definedName name="jjj_1" hidden="1">{#N/A,#N/A,TRUE,"Overall";#N/A,#N/A,TRUE,"Region Wise ";#N/A,#N/A,TRUE,"Client Wise"}</definedName>
    <definedName name="jjjjj" hidden="1">#REF!</definedName>
    <definedName name="jk" localSheetId="10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jk" localSheetId="9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jk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jk_1" localSheetId="10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jk_1" localSheetId="9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jk_1" hidden="1">{0,0,0,0;0,0,0,0;0,0,0,0;0,0,0,0;0,0,0,0;0,0,0,0;0,0,0,0;0,0,0,0;0,0,0,0;0,0,0,0;0,0,0,0;0,0,0,0;0,#VALUE!,0,0;0,0,0,0;0,0,0,0;0,0,0,0;4.02506300418233E-305,0,0,0;0,0,0,0;3.33761291040418E-308,5.56268889233185E-308,8.90030392771069E-308,1.55755255047865E-307;2.6700903295667E-307,4.45015111635219E-307,0,0}</definedName>
    <definedName name="jkj" localSheetId="10" hidden="1">{"mult96",#N/A,FALSE,"PETCOMP";"est96",#N/A,FALSE,"PETCOMP";"mult95",#N/A,FALSE,"PETCOMP";"est95",#N/A,FALSE,"PETCOMP";"multltm",#N/A,FALSE,"PETCOMP";"resultltm",#N/A,FALSE,"PETCOMP"}</definedName>
    <definedName name="jkj" localSheetId="9" hidden="1">{"mult96",#N/A,FALSE,"PETCOMP";"est96",#N/A,FALSE,"PETCOMP";"mult95",#N/A,FALSE,"PETCOMP";"est95",#N/A,FALSE,"PETCOMP";"multltm",#N/A,FALSE,"PETCOMP";"resultltm",#N/A,FALSE,"PETCOMP"}</definedName>
    <definedName name="jkj" hidden="1">{"mult96",#N/A,FALSE,"PETCOMP";"est96",#N/A,FALSE,"PETCOMP";"mult95",#N/A,FALSE,"PETCOMP";"est95",#N/A,FALSE,"PETCOMP";"multltm",#N/A,FALSE,"PETCOMP";"resultltm",#N/A,FALSE,"PETCOMP"}</definedName>
    <definedName name="jkl" localSheetId="10" hidden="1">{#N/A,#N/A,FALSE,"REPORT"}</definedName>
    <definedName name="jkl" localSheetId="9" hidden="1">{#N/A,#N/A,FALSE,"REPORT"}</definedName>
    <definedName name="jkl" hidden="1">{#N/A,#N/A,FALSE,"REPORT"}</definedName>
    <definedName name="JORGE" hidden="1">#REF!</definedName>
    <definedName name="jsk" localSheetId="10" hidden="1">{#N/A,#N/A,FALSE,"UNIT";#N/A,#N/A,FALSE,"UNIT";#N/A,#N/A,FALSE,"계정"}</definedName>
    <definedName name="jsk" localSheetId="9" hidden="1">{#N/A,#N/A,FALSE,"UNIT";#N/A,#N/A,FALSE,"UNIT";#N/A,#N/A,FALSE,"계정"}</definedName>
    <definedName name="jsk" hidden="1">{#N/A,#N/A,FALSE,"UNIT";#N/A,#N/A,FALSE,"UNIT";#N/A,#N/A,FALSE,"계정"}</definedName>
    <definedName name="jsk_1" localSheetId="10" hidden="1">{#N/A,#N/A,FALSE,"UNIT";#N/A,#N/A,FALSE,"UNIT";#N/A,#N/A,FALSE,"계정"}</definedName>
    <definedName name="jsk_1" localSheetId="9" hidden="1">{#N/A,#N/A,FALSE,"UNIT";#N/A,#N/A,FALSE,"UNIT";#N/A,#N/A,FALSE,"계정"}</definedName>
    <definedName name="jsk_1" hidden="1">{#N/A,#N/A,FALSE,"UNIT";#N/A,#N/A,FALSE,"UNIT";#N/A,#N/A,FALSE,"계정"}</definedName>
    <definedName name="judy" localSheetId="10" hidden="1">{#N/A,#N/A,FALSE,"Pharm";#N/A,#N/A,FALSE,"WWCM"}</definedName>
    <definedName name="judy" localSheetId="9" hidden="1">{#N/A,#N/A,FALSE,"Pharm";#N/A,#N/A,FALSE,"WWCM"}</definedName>
    <definedName name="judy" hidden="1">{#N/A,#N/A,FALSE,"Pharm";#N/A,#N/A,FALSE,"WWCM"}</definedName>
    <definedName name="judy1" localSheetId="10" hidden="1">{#N/A,#N/A,FALSE,"Pharm";#N/A,#N/A,FALSE,"WWCM"}</definedName>
    <definedName name="judy1" localSheetId="9" hidden="1">{#N/A,#N/A,FALSE,"Pharm";#N/A,#N/A,FALSE,"WWCM"}</definedName>
    <definedName name="judy1" hidden="1">{#N/A,#N/A,FALSE,"Pharm";#N/A,#N/A,FALSE,"WWCM"}</definedName>
    <definedName name="jumk" localSheetId="10" hidden="1">{"Linkages",#N/A,TRUE,"Linkages";"Finassum",#N/A,TRUE,"Linkages";"insto_returns",#N/A,TRUE,"Insto Returns";"BAA",#N/A,TRUE,"BAA Returns";"impact_fin",#N/A,TRUE,"Impact on BAA";"ratios",#N/A,TRUE,"Key Ratios";"annual_data",#N/A,TRUE,"Annual Data"}</definedName>
    <definedName name="jumk" localSheetId="9" hidden="1">{"Linkages",#N/A,TRUE,"Linkages";"Finassum",#N/A,TRUE,"Linkages";"insto_returns",#N/A,TRUE,"Insto Returns";"BAA",#N/A,TRUE,"BAA Returns";"impact_fin",#N/A,TRUE,"Impact on BAA";"ratios",#N/A,TRUE,"Key Ratios";"annual_data",#N/A,TRUE,"Annual Data"}</definedName>
    <definedName name="jumk" hidden="1">{"Linkages",#N/A,TRUE,"Linkages";"Finassum",#N/A,TRUE,"Linkages";"insto_returns",#N/A,TRUE,"Insto Returns";"BAA",#N/A,TRUE,"BAA Returns";"impact_fin",#N/A,TRUE,"Impact on BAA";"ratios",#N/A,TRUE,"Key Ratios";"annual_data",#N/A,TRUE,"Annual Data"}</definedName>
    <definedName name="jumk1" localSheetId="10" hidden="1">{"Linkages",#N/A,TRUE,"Linkages";"Finassum",#N/A,TRUE,"Linkages";"insto_returns",#N/A,TRUE,"Insto Returns";"BAA",#N/A,TRUE,"BAA Returns";"impact_fin",#N/A,TRUE,"Impact on BAA";"ratios",#N/A,TRUE,"Key Ratios";"annual_data",#N/A,TRUE,"Annual Data"}</definedName>
    <definedName name="jumk1" localSheetId="9" hidden="1">{"Linkages",#N/A,TRUE,"Linkages";"Finassum",#N/A,TRUE,"Linkages";"insto_returns",#N/A,TRUE,"Insto Returns";"BAA",#N/A,TRUE,"BAA Returns";"impact_fin",#N/A,TRUE,"Impact on BAA";"ratios",#N/A,TRUE,"Key Ratios";"annual_data",#N/A,TRUE,"Annual Data"}</definedName>
    <definedName name="jumk1" hidden="1">{"Linkages",#N/A,TRUE,"Linkages";"Finassum",#N/A,TRUE,"Linkages";"insto_returns",#N/A,TRUE,"Insto Returns";"BAA",#N/A,TRUE,"BAA Returns";"impact_fin",#N/A,TRUE,"Impact on BAA";"ratios",#N/A,TRUE,"Key Ratios";"annual_data",#N/A,TRUE,"Annual Data"}</definedName>
    <definedName name="junk" hidden="1">0</definedName>
    <definedName name="JY" localSheetId="10" hidden="1">{#N/A,#N/A,FALSE,"포장2"}</definedName>
    <definedName name="JY" localSheetId="9" hidden="1">{#N/A,#N/A,FALSE,"포장2"}</definedName>
    <definedName name="JY" hidden="1">{#N/A,#N/A,FALSE,"포장2"}</definedName>
    <definedName name="JYE" localSheetId="10" hidden="1">{#N/A,#N/A,FALSE,"부대1"}</definedName>
    <definedName name="JYE" localSheetId="9" hidden="1">{#N/A,#N/A,FALSE,"부대1"}</definedName>
    <definedName name="JYE" hidden="1">{#N/A,#N/A,FALSE,"부대1"}</definedName>
    <definedName name="k" localSheetId="10" hidden="1">{#N/A,#N/A,FALSE,"Inc. St.";#N/A,#N/A,FALSE,"FYear";#N/A,#N/A,FALSE,"Revs.";#N/A,#N/A,FALSE,"RevsYear";#N/A,#N/A,FALSE,"Balance";#N/A,#N/A,FALSE,"CompVal";#N/A,#N/A,FALSE,"Val.";#N/A,#N/A,FALSE,"DCFval"}</definedName>
    <definedName name="k" localSheetId="9" hidden="1">{#N/A,#N/A,FALSE,"Inc. St.";#N/A,#N/A,FALSE,"FYear";#N/A,#N/A,FALSE,"Revs.";#N/A,#N/A,FALSE,"RevsYear";#N/A,#N/A,FALSE,"Balance";#N/A,#N/A,FALSE,"CompVal";#N/A,#N/A,FALSE,"Val.";#N/A,#N/A,FALSE,"DCFval"}</definedName>
    <definedName name="k" hidden="1">{#N/A,#N/A,FALSE,"Inc. St.";#N/A,#N/A,FALSE,"FYear";#N/A,#N/A,FALSE,"Revs.";#N/A,#N/A,FALSE,"RevsYear";#N/A,#N/A,FALSE,"Balance";#N/A,#N/A,FALSE,"CompVal";#N/A,#N/A,FALSE,"Val.";#N/A,#N/A,FALSE,"DCFval"}</definedName>
    <definedName name="k_1" localSheetId="10" hidden="1">{#N/A,#N/A,FALSE,"Inc. St.";#N/A,#N/A,FALSE,"FYear";#N/A,#N/A,FALSE,"Revs.";#N/A,#N/A,FALSE,"RevsYear";#N/A,#N/A,FALSE,"Balance";#N/A,#N/A,FALSE,"CompVal";#N/A,#N/A,FALSE,"Val.";#N/A,#N/A,FALSE,"DCFval"}</definedName>
    <definedName name="k_1" localSheetId="9" hidden="1">{#N/A,#N/A,FALSE,"Inc. St.";#N/A,#N/A,FALSE,"FYear";#N/A,#N/A,FALSE,"Revs.";#N/A,#N/A,FALSE,"RevsYear";#N/A,#N/A,FALSE,"Balance";#N/A,#N/A,FALSE,"CompVal";#N/A,#N/A,FALSE,"Val.";#N/A,#N/A,FALSE,"DCFval"}</definedName>
    <definedName name="k_1" hidden="1">{#N/A,#N/A,FALSE,"Inc. St.";#N/A,#N/A,FALSE,"FYear";#N/A,#N/A,FALSE,"Revs.";#N/A,#N/A,FALSE,"RevsYear";#N/A,#N/A,FALSE,"Balance";#N/A,#N/A,FALSE,"CompVal";#N/A,#N/A,FALSE,"Val.";#N/A,#N/A,FALSE,"DCFval"}</definedName>
    <definedName name="K2__EVCOMOPTS__" hidden="1">14</definedName>
    <definedName name="K2__LOCKEDCVW__" hidden="1">"MAIN,OTHERREV,ACTUAL,USD,E.2990,ALL_JOBS,ALL_ORGS,ALL_PROD,2004.JAN,PERIODIC,;"</definedName>
    <definedName name="K2__LOCKSTATUS__" hidden="1">2</definedName>
    <definedName name="K2__MAXEXPCOLS__" hidden="1">100</definedName>
    <definedName name="K2__MAXEXPROWS__" hidden="1">1000</definedName>
    <definedName name="K2__WBEVMODE__" hidden="1">0</definedName>
    <definedName name="K2__WBREFOPTIONS__" hidden="1">134217728</definedName>
    <definedName name="K2_WBEVMODE" hidden="1">0</definedName>
    <definedName name="Kevin" localSheetId="10" hidden="1">{"china1",#N/A,FALSE,"輸format_Asia";"China2",#N/A,FALSE,"輸format_Asia";"Hongkong1",#N/A,FALSE,"輸format_Asia";"indonesia",#N/A,FALSE,"輸format_Asia";"indonesia2",#N/A,FALSE,"輸format_Asia";"Philippines2",#N/A,FALSE,"輸format_Asia";"philippines3",#N/A,FALSE,"輸format_Asia";"Phillipppines",#N/A,FALSE,"輸format_Asia";"taiwan",#N/A,FALSE,"輸format_Asia";"taiwan2",#N/A,FALSE,"輸format_Asia";"thailand",#N/A,FALSE,"輸format_Asia";"thailand2",#N/A,FALSE,"輸format_Asia"}</definedName>
    <definedName name="Kevin" localSheetId="9" hidden="1">{"china1",#N/A,FALSE,"輸format_Asia";"China2",#N/A,FALSE,"輸format_Asia";"Hongkong1",#N/A,FALSE,"輸format_Asia";"indonesia",#N/A,FALSE,"輸format_Asia";"indonesia2",#N/A,FALSE,"輸format_Asia";"Philippines2",#N/A,FALSE,"輸format_Asia";"philippines3",#N/A,FALSE,"輸format_Asia";"Phillipppines",#N/A,FALSE,"輸format_Asia";"taiwan",#N/A,FALSE,"輸format_Asia";"taiwan2",#N/A,FALSE,"輸format_Asia";"thailand",#N/A,FALSE,"輸format_Asia";"thailand2",#N/A,FALSE,"輸format_Asia"}</definedName>
    <definedName name="Kevin" hidden="1">{"china1",#N/A,FALSE,"輸format_Asia";"China2",#N/A,FALSE,"輸format_Asia";"Hongkong1",#N/A,FALSE,"輸format_Asia";"indonesia",#N/A,FALSE,"輸format_Asia";"indonesia2",#N/A,FALSE,"輸format_Asia";"Philippines2",#N/A,FALSE,"輸format_Asia";"philippines3",#N/A,FALSE,"輸format_Asia";"Phillipppines",#N/A,FALSE,"輸format_Asia";"taiwan",#N/A,FALSE,"輸format_Asia";"taiwan2",#N/A,FALSE,"輸format_Asia";"thailand",#N/A,FALSE,"輸format_Asia";"thailand2",#N/A,FALSE,"輸format_Asia"}</definedName>
    <definedName name="KEY" hidden="1">#REF!</definedName>
    <definedName name="kg" hidden="1">#REF!</definedName>
    <definedName name="kghlgh" localSheetId="10" hidden="1">{#N/A,#N/A,FALSE,"CCTV"}</definedName>
    <definedName name="kghlgh" localSheetId="9" hidden="1">{#N/A,#N/A,FALSE,"CCTV"}</definedName>
    <definedName name="kghlgh" hidden="1">{#N/A,#N/A,FALSE,"CCTV"}</definedName>
    <definedName name="KHJGDFGFHGHJ" localSheetId="10" hidden="1">{"cashflow",#N/A,FALSE,"cash flow"}</definedName>
    <definedName name="KHJGDFGFHGHJ" localSheetId="9" hidden="1">{"cashflow",#N/A,FALSE,"cash flow"}</definedName>
    <definedName name="KHJGDFGFHGHJ" hidden="1">{"cashflow",#N/A,FALSE,"cash flow"}</definedName>
    <definedName name="KHJKH" hidden="1">#REF!</definedName>
    <definedName name="KHN" localSheetId="10" hidden="1">{"'보고양식'!$A$58:$K$111"}</definedName>
    <definedName name="KHN" localSheetId="9" hidden="1">{"'보고양식'!$A$58:$K$111"}</definedName>
    <definedName name="KHN" hidden="1">{"'보고양식'!$A$58:$K$111"}</definedName>
    <definedName name="KICKOFF" localSheetId="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ICKOFF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ICKOF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IECO" hidden="1">#REF!</definedName>
    <definedName name="kiulil" localSheetId="10" hidden="1">{#N/A,#N/A,FALSE,"CCTV"}</definedName>
    <definedName name="kiulil" localSheetId="9" hidden="1">{#N/A,#N/A,FALSE,"CCTV"}</definedName>
    <definedName name="kiulil" hidden="1">{#N/A,#N/A,FALSE,"CCTV"}</definedName>
    <definedName name="kjhlh" localSheetId="10" hidden="1">{#N/A,#N/A,FALSE,"CCTV"}</definedName>
    <definedName name="kjhlh" localSheetId="9" hidden="1">{#N/A,#N/A,FALSE,"CCTV"}</definedName>
    <definedName name="kjhlh" hidden="1">{#N/A,#N/A,FALSE,"CCTV"}</definedName>
    <definedName name="kjhljhk" localSheetId="10" hidden="1">{#N/A,#N/A,FALSE,"CCTV"}</definedName>
    <definedName name="kjhljhk" localSheetId="9" hidden="1">{#N/A,#N/A,FALSE,"CCTV"}</definedName>
    <definedName name="kjhljhk" hidden="1">{#N/A,#N/A,FALSE,"CCTV"}</definedName>
    <definedName name="kjs" localSheetId="10" hidden="1">{#N/A,#N/A,FALSE,"UNIT";#N/A,#N/A,FALSE,"UNIT";#N/A,#N/A,FALSE,"계정"}</definedName>
    <definedName name="kjs" localSheetId="9" hidden="1">{#N/A,#N/A,FALSE,"UNIT";#N/A,#N/A,FALSE,"UNIT";#N/A,#N/A,FALSE,"계정"}</definedName>
    <definedName name="kjs" hidden="1">{#N/A,#N/A,FALSE,"UNIT";#N/A,#N/A,FALSE,"UNIT";#N/A,#N/A,FALSE,"계정"}</definedName>
    <definedName name="kjs_1" localSheetId="10" hidden="1">{#N/A,#N/A,FALSE,"UNIT";#N/A,#N/A,FALSE,"UNIT";#N/A,#N/A,FALSE,"계정"}</definedName>
    <definedName name="kjs_1" localSheetId="9" hidden="1">{#N/A,#N/A,FALSE,"UNIT";#N/A,#N/A,FALSE,"UNIT";#N/A,#N/A,FALSE,"계정"}</definedName>
    <definedName name="kjs_1" hidden="1">{#N/A,#N/A,FALSE,"UNIT";#N/A,#N/A,FALSE,"UNIT";#N/A,#N/A,FALSE,"계정"}</definedName>
    <definedName name="kk" localSheetId="10" hidden="1">{#N/A,#N/A,FALSE,"Marketing";#N/A,#N/A,FALSE,"Selling";#N/A,#N/A,FALSE,"Promotional";#N/A,#N/A,FALSE,"Advertising"}</definedName>
    <definedName name="kk" localSheetId="9" hidden="1">{#N/A,#N/A,FALSE,"Marketing";#N/A,#N/A,FALSE,"Selling";#N/A,#N/A,FALSE,"Promotional";#N/A,#N/A,FALSE,"Advertising"}</definedName>
    <definedName name="kk" hidden="1">{#N/A,#N/A,FALSE,"Marketing";#N/A,#N/A,FALSE,"Selling";#N/A,#N/A,FALSE,"Promotional";#N/A,#N/A,FALSE,"Advertising"}</definedName>
    <definedName name="kkkk" localSheetId="10" hidden="1">{#N/A,#N/A,FALSE,"UNIT";#N/A,#N/A,FALSE,"UNIT";#N/A,#N/A,FALSE,"계정"}</definedName>
    <definedName name="kkkk" localSheetId="9" hidden="1">{#N/A,#N/A,FALSE,"UNIT";#N/A,#N/A,FALSE,"UNIT";#N/A,#N/A,FALSE,"계정"}</definedName>
    <definedName name="kkkk" hidden="1">{#N/A,#N/A,FALSE,"UNIT";#N/A,#N/A,FALSE,"UNIT";#N/A,#N/A,FALSE,"계정"}</definedName>
    <definedName name="kkkk_1" localSheetId="10" hidden="1">{#N/A,#N/A,FALSE,"UNIT";#N/A,#N/A,FALSE,"UNIT";#N/A,#N/A,FALSE,"계정"}</definedName>
    <definedName name="kkkk_1" localSheetId="9" hidden="1">{#N/A,#N/A,FALSE,"UNIT";#N/A,#N/A,FALSE,"UNIT";#N/A,#N/A,FALSE,"계정"}</definedName>
    <definedName name="kkkk_1" hidden="1">{#N/A,#N/A,FALSE,"UNIT";#N/A,#N/A,FALSE,"UNIT";#N/A,#N/A,FALSE,"계정"}</definedName>
    <definedName name="kkkkkkk" localSheetId="1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kkkkkkk" localSheetId="9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kkkkkkk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kl" localSheetId="10" hidden="1">{"'Demand Units'!$Z$2:$AF$53"}</definedName>
    <definedName name="kl" localSheetId="9" hidden="1">{"'Demand Units'!$Z$2:$AF$53"}</definedName>
    <definedName name="kl" hidden="1">{"'Demand Units'!$Z$2:$AF$53"}</definedName>
    <definedName name="kl_1" localSheetId="10" hidden="1">{"'Demand Units'!$Z$2:$AF$53"}</definedName>
    <definedName name="kl_1" localSheetId="9" hidden="1">{"'Demand Units'!$Z$2:$AF$53"}</definedName>
    <definedName name="kl_1" hidden="1">{"'Demand Units'!$Z$2:$AF$53"}</definedName>
    <definedName name="kp" localSheetId="10" hidden="1">{"'Demand Units'!$Z$2:$AF$53"}</definedName>
    <definedName name="kp" localSheetId="9" hidden="1">{"'Demand Units'!$Z$2:$AF$53"}</definedName>
    <definedName name="kp" hidden="1">{"'Demand Units'!$Z$2:$AF$53"}</definedName>
    <definedName name="kp_1" localSheetId="10" hidden="1">{"'Demand Units'!$Z$2:$AF$53"}</definedName>
    <definedName name="kp_1" localSheetId="9" hidden="1">{"'Demand Units'!$Z$2:$AF$53"}</definedName>
    <definedName name="kp_1" hidden="1">{"'Demand Units'!$Z$2:$AF$53"}</definedName>
    <definedName name="kslkjkjlkjd" localSheetId="10" hidden="1">{#N/A,#N/A,FALSE,"REPORT"}</definedName>
    <definedName name="kslkjkjlkjd" localSheetId="9" hidden="1">{#N/A,#N/A,FALSE,"REPORT"}</definedName>
    <definedName name="kslkjkjlkjd" hidden="1">{#N/A,#N/A,FALSE,"REPORT"}</definedName>
    <definedName name="ktft" hidden="1">3</definedName>
    <definedName name="kyd.CounterLimitCell.01." hidden="1">"x"</definedName>
    <definedName name="kyd.CounterLimitCell.02." hidden="1">"x"</definedName>
    <definedName name="kyd.Dim.01." hidden="1">"toad:Company"</definedName>
    <definedName name="kyd.Dim.02." hidden="1">"chandep#"</definedName>
    <definedName name="kyd.ElementList.01." hidden="1">"x"</definedName>
    <definedName name="kyd.ElementType.01." hidden="1">3</definedName>
    <definedName name="kyd.ElementType.02." hidden="1">1</definedName>
    <definedName name="kyd.ItemType.01." hidden="1">2</definedName>
    <definedName name="kyd.ItemType.02." hidden="1">2</definedName>
    <definedName name="kyd.MacroAfterMemoRow." hidden="1">""</definedName>
    <definedName name="kyd.MacroAfterZap." hidden="1">""</definedName>
    <definedName name="kyd.MacroAtEnd." hidden="1">""</definedName>
    <definedName name="kyd.MacroEachCycle." hidden="1">"FormatReport"</definedName>
    <definedName name="kyd.MacroEndOfEachCycle." hidden="1">""</definedName>
    <definedName name="kyd.MacroStartOfProc." hidden="1">""</definedName>
    <definedName name="kyd.MemoCtrlNum." hidden="1">0</definedName>
    <definedName name="kyd.MemoSortHide." hidden="1">FALSE</definedName>
    <definedName name="kyd.NumLevels.01." hidden="1">999</definedName>
    <definedName name="kyd.NumLevels.02." hidden="1">999</definedName>
    <definedName name="kyd.PanicStop." hidden="1">FALSE</definedName>
    <definedName name="kyd.ParentName.01." hidden="1">""</definedName>
    <definedName name="kyd.ParentName.02." hidden="1">""</definedName>
    <definedName name="kyd.PreScreenData." hidden="1">FALSE</definedName>
    <definedName name="kyd.PrintMemo." hidden="1">FALSE</definedName>
    <definedName name="kyd.PrintParent.01." hidden="1">TRUE</definedName>
    <definedName name="kyd.PrintParent.02." hidden="1">TRUE</definedName>
    <definedName name="kyd.PrintStdWhen." hidden="1">3</definedName>
    <definedName name="kyd.PrintToWbk." hidden="1">FALSE</definedName>
    <definedName name="kyd.ProcessInCycle." hidden="1">FALSE</definedName>
    <definedName name="kyd.SaveAsFile." hidden="1">FALSE</definedName>
    <definedName name="kyd.SaveMemo." hidden="1">FALSE</definedName>
    <definedName name="kyd.SelectString.01." hidden="1">"*"</definedName>
    <definedName name="kyd.SelectString.02." hidden="1">"*"</definedName>
    <definedName name="kyd.Shortcut." hidden="1">FALSE</definedName>
    <definedName name="kyd.StdSortHide." hidden="1">FALSE</definedName>
    <definedName name="kyd.StopRow." hidden="1">65536</definedName>
    <definedName name="kyd.WriteMemWhenOptn." hidden="1">3</definedName>
    <definedName name="kㅛ" localSheetId="10" hidden="1">{"'Jibu9811 (3)'!$B$1:$J$433"}</definedName>
    <definedName name="kㅛ" localSheetId="9" hidden="1">{"'Jibu9811 (3)'!$B$1:$J$433"}</definedName>
    <definedName name="kㅛ" hidden="1">{"'Jibu9811 (3)'!$B$1:$J$433"}</definedName>
    <definedName name="laa" localSheetId="10" hidden="1">{#N/A,#N/A,FALSE,"OffAdvance";#N/A,#N/A,FALSE,"OffExpRprt";#N/A,#N/A,FALSE,"Travelling";#N/A,#N/A,FALSE,"Entertmnt";#N/A,#N/A,FALSE,"Promotion"}</definedName>
    <definedName name="laa" localSheetId="9" hidden="1">{#N/A,#N/A,FALSE,"OffAdvance";#N/A,#N/A,FALSE,"OffExpRprt";#N/A,#N/A,FALSE,"Travelling";#N/A,#N/A,FALSE,"Entertmnt";#N/A,#N/A,FALSE,"Promotion"}</definedName>
    <definedName name="laa" hidden="1">{#N/A,#N/A,FALSE,"OffAdvance";#N/A,#N/A,FALSE,"OffExpRprt";#N/A,#N/A,FALSE,"Travelling";#N/A,#N/A,FALSE,"Entertmnt";#N/A,#N/A,FALSE,"Promotion"}</definedName>
    <definedName name="lee" localSheetId="10" hidden="1">{#N/A,#N/A,FALSE,"Pharm";#N/A,#N/A,FALSE,"WWCM"}</definedName>
    <definedName name="lee" localSheetId="9" hidden="1">{#N/A,#N/A,FALSE,"Pharm";#N/A,#N/A,FALSE,"WWCM"}</definedName>
    <definedName name="lee" hidden="1">{#N/A,#N/A,FALSE,"Pharm";#N/A,#N/A,FALSE,"WWCM"}</definedName>
    <definedName name="lf" hidden="1">#REF!</definedName>
    <definedName name="liability" localSheetId="10" hidden="1">{#N/A,#N/A,FALSE,"PRESS ADVERTISEMENT (SEBI)";#N/A,#N/A,FALSE,"US GAAP (not printed)"}</definedName>
    <definedName name="liability" localSheetId="9" hidden="1">{#N/A,#N/A,FALSE,"PRESS ADVERTISEMENT (SEBI)";#N/A,#N/A,FALSE,"US GAAP (not printed)"}</definedName>
    <definedName name="liability" hidden="1">{#N/A,#N/A,FALSE,"PRESS ADVERTISEMENT (SEBI)";#N/A,#N/A,FALSE,"US GAAP (not printed)"}</definedName>
    <definedName name="liability_1" localSheetId="10" hidden="1">{#N/A,#N/A,FALSE,"PRESS ADVERTISEMENT (SEBI)";#N/A,#N/A,FALSE,"US GAAP (not printed)"}</definedName>
    <definedName name="liability_1" localSheetId="9" hidden="1">{#N/A,#N/A,FALSE,"PRESS ADVERTISEMENT (SEBI)";#N/A,#N/A,FALSE,"US GAAP (not printed)"}</definedName>
    <definedName name="liability_1" hidden="1">{#N/A,#N/A,FALSE,"PRESS ADVERTISEMENT (SEBI)";#N/A,#N/A,FALSE,"US GAAP (not printed)"}</definedName>
    <definedName name="lihao" localSheetId="10" hidden="1">{#N/A,#N/A,FALSE,"0)Sommaire";#N/A,#N/A,FALSE,"1)Hypothèses";#N/A,#N/A,FALSE,"2)Cadences Mach-Besoin Métal";#N/A,#N/A,FALSE,"3)Dimensionnement Baskets";#N/A,#N/A,FALSE,"4)Lingotage";#N/A,#N/A,FALSE,"5)Cycles Wagons";#N/A,#N/A,FALSE,"5) Cycles Wagons(suite)";#N/A,#N/A,FALSE,"6)Cycles Fours";#N/A,#N/A,FALSE,"6)Capacité à 2 ou 3 Fours";#N/A,#N/A,FALSE,"7) Avantages d'un Four à Canal";#N/A,#N/A,FALSE,"8)Cycle Ponts sans Four à Canal";#N/A,#N/A,FALSE,"8) Occupation Ponts sans FAC";#N/A,#N/A,FALSE,"8)Cycle Ponts avec Four à Canal";#N/A,#N/A,FALSE,"8) Occupation Ponts avec FAC";#N/A,#N/A,FALSE,"Annexes";#N/A,#N/A,FALSE,"A)Calcul Cycles Ponts";#N/A,#N/A,FALSE,"A)Cycle Wagon --&gt; Fours";#N/A,#N/A,FALSE,"A)Cycle Ferrailles ---&gt; Fours";#N/A,#N/A,FALSE,"A)Cycle Four --&gt; Machines";#N/A,#N/A,FALSE,"A)Four--&gt;Mach(Rempl.autre pont)";#N/A,#N/A,FALSE,"A)Four--&gt;Basculeur Machine";#N/A,#N/A,FALSE,"A)Cycle Wagon --&gt; Four à Canal";#N/A,#N/A,FALSE,"A)Cycle Four --&gt; Four à Canal ";#N/A,#N/A,FALSE,"A)Cycle Four à Canal --&gt; Mach. ";#N/A,#N/A,FALSE,"A)Four à Canal--&gt;Basculeur Mach";#N/A,#N/A,FALSE,"A)Cycle Remplis. Poche au Four";#N/A,#N/A,FALSE,"A)Cycle Remplis. Poche au FAC ";#N/A,#N/A,FALSE,"A)FAC--&gt;Mach(Rempl.autre pont)"}</definedName>
    <definedName name="lihao" localSheetId="9" hidden="1">{#N/A,#N/A,FALSE,"0)Sommaire";#N/A,#N/A,FALSE,"1)Hypothèses";#N/A,#N/A,FALSE,"2)Cadences Mach-Besoin Métal";#N/A,#N/A,FALSE,"3)Dimensionnement Baskets";#N/A,#N/A,FALSE,"4)Lingotage";#N/A,#N/A,FALSE,"5)Cycles Wagons";#N/A,#N/A,FALSE,"5) Cycles Wagons(suite)";#N/A,#N/A,FALSE,"6)Cycles Fours";#N/A,#N/A,FALSE,"6)Capacité à 2 ou 3 Fours";#N/A,#N/A,FALSE,"7) Avantages d'un Four à Canal";#N/A,#N/A,FALSE,"8)Cycle Ponts sans Four à Canal";#N/A,#N/A,FALSE,"8) Occupation Ponts sans FAC";#N/A,#N/A,FALSE,"8)Cycle Ponts avec Four à Canal";#N/A,#N/A,FALSE,"8) Occupation Ponts avec FAC";#N/A,#N/A,FALSE,"Annexes";#N/A,#N/A,FALSE,"A)Calcul Cycles Ponts";#N/A,#N/A,FALSE,"A)Cycle Wagon --&gt; Fours";#N/A,#N/A,FALSE,"A)Cycle Ferrailles ---&gt; Fours";#N/A,#N/A,FALSE,"A)Cycle Four --&gt; Machines";#N/A,#N/A,FALSE,"A)Four--&gt;Mach(Rempl.autre pont)";#N/A,#N/A,FALSE,"A)Four--&gt;Basculeur Machine";#N/A,#N/A,FALSE,"A)Cycle Wagon --&gt; Four à Canal";#N/A,#N/A,FALSE,"A)Cycle Four --&gt; Four à Canal ";#N/A,#N/A,FALSE,"A)Cycle Four à Canal --&gt; Mach. ";#N/A,#N/A,FALSE,"A)Four à Canal--&gt;Basculeur Mach";#N/A,#N/A,FALSE,"A)Cycle Remplis. Poche au Four";#N/A,#N/A,FALSE,"A)Cycle Remplis. Poche au FAC ";#N/A,#N/A,FALSE,"A)FAC--&gt;Mach(Rempl.autre pont)"}</definedName>
    <definedName name="lihao" hidden="1">{#N/A,#N/A,FALSE,"0)Sommaire";#N/A,#N/A,FALSE,"1)Hypothèses";#N/A,#N/A,FALSE,"2)Cadences Mach-Besoin Métal";#N/A,#N/A,FALSE,"3)Dimensionnement Baskets";#N/A,#N/A,FALSE,"4)Lingotage";#N/A,#N/A,FALSE,"5)Cycles Wagons";#N/A,#N/A,FALSE,"5) Cycles Wagons(suite)";#N/A,#N/A,FALSE,"6)Cycles Fours";#N/A,#N/A,FALSE,"6)Capacité à 2 ou 3 Fours";#N/A,#N/A,FALSE,"7) Avantages d'un Four à Canal";#N/A,#N/A,FALSE,"8)Cycle Ponts sans Four à Canal";#N/A,#N/A,FALSE,"8) Occupation Ponts sans FAC";#N/A,#N/A,FALSE,"8)Cycle Ponts avec Four à Canal";#N/A,#N/A,FALSE,"8) Occupation Ponts avec FAC";#N/A,#N/A,FALSE,"Annexes";#N/A,#N/A,FALSE,"A)Calcul Cycles Ponts";#N/A,#N/A,FALSE,"A)Cycle Wagon --&gt; Fours";#N/A,#N/A,FALSE,"A)Cycle Ferrailles ---&gt; Fours";#N/A,#N/A,FALSE,"A)Cycle Four --&gt; Machines";#N/A,#N/A,FALSE,"A)Four--&gt;Mach(Rempl.autre pont)";#N/A,#N/A,FALSE,"A)Four--&gt;Basculeur Machine";#N/A,#N/A,FALSE,"A)Cycle Wagon --&gt; Four à Canal";#N/A,#N/A,FALSE,"A)Cycle Four --&gt; Four à Canal ";#N/A,#N/A,FALSE,"A)Cycle Four à Canal --&gt; Mach. ";#N/A,#N/A,FALSE,"A)Four à Canal--&gt;Basculeur Mach";#N/A,#N/A,FALSE,"A)Cycle Remplis. Poche au Four";#N/A,#N/A,FALSE,"A)Cycle Remplis. Poche au FAC ";#N/A,#N/A,FALSE,"A)FAC--&gt;Mach(Rempl.autre pont)"}</definedName>
    <definedName name="lihao_1" localSheetId="10" hidden="1">{#N/A,#N/A,FALSE,"0)Sommaire";#N/A,#N/A,FALSE,"1)Hypothèses";#N/A,#N/A,FALSE,"2)Cadences Mach-Besoin Métal";#N/A,#N/A,FALSE,"3)Dimensionnement Baskets";#N/A,#N/A,FALSE,"4)Lingotage";#N/A,#N/A,FALSE,"5)Cycles Wagons";#N/A,#N/A,FALSE,"5) Cycles Wagons(suite)";#N/A,#N/A,FALSE,"6)Cycles Fours";#N/A,#N/A,FALSE,"6)Capacité à 2 ou 3 Fours";#N/A,#N/A,FALSE,"7) Avantages d'un Four à Canal";#N/A,#N/A,FALSE,"8)Cycle Ponts sans Four à Canal";#N/A,#N/A,FALSE,"8) Occupation Ponts sans FAC";#N/A,#N/A,FALSE,"8)Cycle Ponts avec Four à Canal";#N/A,#N/A,FALSE,"8) Occupation Ponts avec FAC";#N/A,#N/A,FALSE,"Annexes";#N/A,#N/A,FALSE,"A)Calcul Cycles Ponts";#N/A,#N/A,FALSE,"A)Cycle Wagon --&gt; Fours";#N/A,#N/A,FALSE,"A)Cycle Ferrailles ---&gt; Fours";#N/A,#N/A,FALSE,"A)Cycle Four --&gt; Machines";#N/A,#N/A,FALSE,"A)Four--&gt;Mach(Rempl.autre pont)";#N/A,#N/A,FALSE,"A)Four--&gt;Basculeur Machine";#N/A,#N/A,FALSE,"A)Cycle Wagon --&gt; Four à Canal";#N/A,#N/A,FALSE,"A)Cycle Four --&gt; Four à Canal ";#N/A,#N/A,FALSE,"A)Cycle Four à Canal --&gt; Mach. ";#N/A,#N/A,FALSE,"A)Four à Canal--&gt;Basculeur Mach";#N/A,#N/A,FALSE,"A)Cycle Remplis. Poche au Four";#N/A,#N/A,FALSE,"A)Cycle Remplis. Poche au FAC ";#N/A,#N/A,FALSE,"A)FAC--&gt;Mach(Rempl.autre pont)"}</definedName>
    <definedName name="lihao_1" localSheetId="9" hidden="1">{#N/A,#N/A,FALSE,"0)Sommaire";#N/A,#N/A,FALSE,"1)Hypothèses";#N/A,#N/A,FALSE,"2)Cadences Mach-Besoin Métal";#N/A,#N/A,FALSE,"3)Dimensionnement Baskets";#N/A,#N/A,FALSE,"4)Lingotage";#N/A,#N/A,FALSE,"5)Cycles Wagons";#N/A,#N/A,FALSE,"5) Cycles Wagons(suite)";#N/A,#N/A,FALSE,"6)Cycles Fours";#N/A,#N/A,FALSE,"6)Capacité à 2 ou 3 Fours";#N/A,#N/A,FALSE,"7) Avantages d'un Four à Canal";#N/A,#N/A,FALSE,"8)Cycle Ponts sans Four à Canal";#N/A,#N/A,FALSE,"8) Occupation Ponts sans FAC";#N/A,#N/A,FALSE,"8)Cycle Ponts avec Four à Canal";#N/A,#N/A,FALSE,"8) Occupation Ponts avec FAC";#N/A,#N/A,FALSE,"Annexes";#N/A,#N/A,FALSE,"A)Calcul Cycles Ponts";#N/A,#N/A,FALSE,"A)Cycle Wagon --&gt; Fours";#N/A,#N/A,FALSE,"A)Cycle Ferrailles ---&gt; Fours";#N/A,#N/A,FALSE,"A)Cycle Four --&gt; Machines";#N/A,#N/A,FALSE,"A)Four--&gt;Mach(Rempl.autre pont)";#N/A,#N/A,FALSE,"A)Four--&gt;Basculeur Machine";#N/A,#N/A,FALSE,"A)Cycle Wagon --&gt; Four à Canal";#N/A,#N/A,FALSE,"A)Cycle Four --&gt; Four à Canal ";#N/A,#N/A,FALSE,"A)Cycle Four à Canal --&gt; Mach. ";#N/A,#N/A,FALSE,"A)Four à Canal--&gt;Basculeur Mach";#N/A,#N/A,FALSE,"A)Cycle Remplis. Poche au Four";#N/A,#N/A,FALSE,"A)Cycle Remplis. Poche au FAC ";#N/A,#N/A,FALSE,"A)FAC--&gt;Mach(Rempl.autre pont)"}</definedName>
    <definedName name="lihao_1" hidden="1">{#N/A,#N/A,FALSE,"0)Sommaire";#N/A,#N/A,FALSE,"1)Hypothèses";#N/A,#N/A,FALSE,"2)Cadences Mach-Besoin Métal";#N/A,#N/A,FALSE,"3)Dimensionnement Baskets";#N/A,#N/A,FALSE,"4)Lingotage";#N/A,#N/A,FALSE,"5)Cycles Wagons";#N/A,#N/A,FALSE,"5) Cycles Wagons(suite)";#N/A,#N/A,FALSE,"6)Cycles Fours";#N/A,#N/A,FALSE,"6)Capacité à 2 ou 3 Fours";#N/A,#N/A,FALSE,"7) Avantages d'un Four à Canal";#N/A,#N/A,FALSE,"8)Cycle Ponts sans Four à Canal";#N/A,#N/A,FALSE,"8) Occupation Ponts sans FAC";#N/A,#N/A,FALSE,"8)Cycle Ponts avec Four à Canal";#N/A,#N/A,FALSE,"8) Occupation Ponts avec FAC";#N/A,#N/A,FALSE,"Annexes";#N/A,#N/A,FALSE,"A)Calcul Cycles Ponts";#N/A,#N/A,FALSE,"A)Cycle Wagon --&gt; Fours";#N/A,#N/A,FALSE,"A)Cycle Ferrailles ---&gt; Fours";#N/A,#N/A,FALSE,"A)Cycle Four --&gt; Machines";#N/A,#N/A,FALSE,"A)Four--&gt;Mach(Rempl.autre pont)";#N/A,#N/A,FALSE,"A)Four--&gt;Basculeur Machine";#N/A,#N/A,FALSE,"A)Cycle Wagon --&gt; Four à Canal";#N/A,#N/A,FALSE,"A)Cycle Four --&gt; Four à Canal ";#N/A,#N/A,FALSE,"A)Cycle Four à Canal --&gt; Mach. ";#N/A,#N/A,FALSE,"A)Four à Canal--&gt;Basculeur Mach";#N/A,#N/A,FALSE,"A)Cycle Remplis. Poche au Four";#N/A,#N/A,FALSE,"A)Cycle Remplis. Poche au FAC ";#N/A,#N/A,FALSE,"A)FAC--&gt;Mach(Rempl.autre pont)"}</definedName>
    <definedName name="limcount" hidden="1">2</definedName>
    <definedName name="LINE검토2" localSheetId="10" hidden="1">{#N/A,#N/A,TRUE,"Y생산";#N/A,#N/A,TRUE,"Y판매";#N/A,#N/A,TRUE,"Y총물량";#N/A,#N/A,TRUE,"Y능력";#N/A,#N/A,TRUE,"YKD"}</definedName>
    <definedName name="LINE검토2" localSheetId="9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stOffset" hidden="1">1</definedName>
    <definedName name="LJKGB" localSheetId="10" hidden="1">{"Monthly6Q",#N/A,FALSE,"0614ESL"}</definedName>
    <definedName name="LJKGB" localSheetId="9" hidden="1">{"Monthly6Q",#N/A,FALSE,"0614ESL"}</definedName>
    <definedName name="LJKGB" hidden="1">{"Monthly6Q",#N/A,FALSE,"0614ESL"}</definedName>
    <definedName name="LJKGB_1" localSheetId="10" hidden="1">{"Monthly6Q",#N/A,FALSE,"0614ESL"}</definedName>
    <definedName name="LJKGB_1" localSheetId="9" hidden="1">{"Monthly6Q",#N/A,FALSE,"0614ESL"}</definedName>
    <definedName name="LJKGB_1" hidden="1">{"Monthly6Q",#N/A,FALSE,"0614ESL"}</definedName>
    <definedName name="lk" localSheetId="10" hidden="1">{"Print Summary",#N/A,FALSE,"Bal_Graphs";"Print Summary",#N/A,FALSE,"DCF";"Print Summary",#N/A,FALSE,"Graphs";"Print Summary",#N/A,FALSE,"Summary"}</definedName>
    <definedName name="lk" localSheetId="9" hidden="1">{"Print Summary",#N/A,FALSE,"Bal_Graphs";"Print Summary",#N/A,FALSE,"DCF";"Print Summary",#N/A,FALSE,"Graphs";"Print Summary",#N/A,FALSE,"Summary"}</definedName>
    <definedName name="lk" hidden="1">{"Print Summary",#N/A,FALSE,"Bal_Graphs";"Print Summary",#N/A,FALSE,"DCF";"Print Summary",#N/A,FALSE,"Graphs";"Print Summary",#N/A,FALSE,"Summary"}</definedName>
    <definedName name="LKHBKJ" localSheetId="10" hidden="1">{"Monthly6Q",#N/A,FALSE,"0614ESL"}</definedName>
    <definedName name="LKHBKJ" localSheetId="9" hidden="1">{"Monthly6Q",#N/A,FALSE,"0614ESL"}</definedName>
    <definedName name="LKHBKJ" hidden="1">{"Monthly6Q",#N/A,FALSE,"0614ESL"}</definedName>
    <definedName name="LKHBKJ_1" localSheetId="10" hidden="1">{"Monthly6Q",#N/A,FALSE,"0614ESL"}</definedName>
    <definedName name="LKHBKJ_1" localSheetId="9" hidden="1">{"Monthly6Q",#N/A,FALSE,"0614ESL"}</definedName>
    <definedName name="LKHBKJ_1" hidden="1">{"Monthly6Q",#N/A,FALSE,"0614ESL"}</definedName>
    <definedName name="lkk" localSheetId="1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lkk" localSheetId="9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lkk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lklhlkjl" localSheetId="10" hidden="1">{#N/A,#N/A,FALSE,"CCTV"}</definedName>
    <definedName name="lklhlkjl" localSheetId="9" hidden="1">{#N/A,#N/A,FALSE,"CCTV"}</definedName>
    <definedName name="lklhlkjl" hidden="1">{#N/A,#N/A,FALSE,"CCTV"}</definedName>
    <definedName name="LL" localSheetId="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l" localSheetId="10" hidden="1">{#N/A,#N/A,FALSE,"UNIT";#N/A,#N/A,FALSE,"UNIT";#N/A,#N/A,FALSE,"계정"}</definedName>
    <definedName name="llll" localSheetId="9" hidden="1">{#N/A,#N/A,FALSE,"UNIT";#N/A,#N/A,FALSE,"UNIT";#N/A,#N/A,FALSE,"계정"}</definedName>
    <definedName name="llll" hidden="1">{#N/A,#N/A,FALSE,"UNIT";#N/A,#N/A,FALSE,"UNIT";#N/A,#N/A,FALSE,"계정"}</definedName>
    <definedName name="llll_1" localSheetId="10" hidden="1">{#N/A,#N/A,FALSE,"UNIT";#N/A,#N/A,FALSE,"UNIT";#N/A,#N/A,FALSE,"계정"}</definedName>
    <definedName name="llll_1" localSheetId="9" hidden="1">{#N/A,#N/A,FALSE,"UNIT";#N/A,#N/A,FALSE,"UNIT";#N/A,#N/A,FALSE,"계정"}</definedName>
    <definedName name="llll_1" hidden="1">{#N/A,#N/A,FALSE,"UNIT";#N/A,#N/A,FALSE,"UNIT";#N/A,#N/A,FALSE,"계정"}</definedName>
    <definedName name="lnk_CoName" hidden="1">#REF!</definedName>
    <definedName name="lnk_countryID" hidden="1">#REF!</definedName>
    <definedName name="lnk_cpyID" hidden="1">#REF!</definedName>
    <definedName name="lnk_display_Currency" hidden="1">#REF!</definedName>
    <definedName name="lnk_IndustryType" hidden="1">#REF!</definedName>
    <definedName name="lnk_LastFiscalYear" hidden="1">#REF!</definedName>
    <definedName name="lnk_numForecastYears" hidden="1">#REF!</definedName>
    <definedName name="lnk_numHistoricalYears" hidden="1">#REF!</definedName>
    <definedName name="lnk_Print_Area" hidden="1">#REF!</definedName>
    <definedName name="lnk_rData_Start_Result" hidden="1">#REF!</definedName>
    <definedName name="lnk_rDataStart" hidden="1">#REF!</definedName>
    <definedName name="lnk_rSourceFore" hidden="1">#REF!</definedName>
    <definedName name="lnk_rSourceFore1st" hidden="1">#REF!</definedName>
    <definedName name="lnk_rSourceHist" hidden="1">#REF!</definedName>
    <definedName name="lnk_rYearRow" hidden="1">#REF!</definedName>
    <definedName name="lnk_rYearRow_Result" hidden="1">#REF!</definedName>
    <definedName name="lnk_ScenarioName" hidden="1">#REF!</definedName>
    <definedName name="lnk_TICK" hidden="1">#REF!</definedName>
    <definedName name="lnk_update" hidden="1">#REF!</definedName>
    <definedName name="lnk_version" hidden="1">#REF!</definedName>
    <definedName name="Lou" hidden="1">#REF!</definedName>
    <definedName name="LOV_DesktopUploadPageDef_DocumentId" hidden="1">#REF!</definedName>
    <definedName name="LOV_DesktopUploadPageDef_OrgId" hidden="1">#REF!</definedName>
    <definedName name="LOV_DesktopUploadPageDef_TransactionSourceId" hidden="1">#REF!</definedName>
    <definedName name="LOV_FinGlDesktopEntryPageDef_CurrencyCode" hidden="1">#REF!</definedName>
    <definedName name="LOV_FinGlDesktopEntryPageDef_HeaderAccountingPeriodList" hidden="1">#REF!</definedName>
    <definedName name="LOV_FinGlDesktopEntryPageDef_HeaderLedgerIdList" hidden="1">#REF!</definedName>
    <definedName name="LOV_FinGlDesktopEntryPageDef_HeaderReversalPeriodList" hidden="1">#REF!</definedName>
    <definedName name="LOV_FinGlDesktopEntryPageDef_HeaderSourceList" hidden="1">#REF!</definedName>
    <definedName name="LOV_FinGlDesktopEntryPageDef_UserCurrencyConversionType" hidden="1">#REF!</definedName>
    <definedName name="LOV_oracle_apps_financials_generalLedger_journals_desktopEntry_di_FinGlDesktopMultibatchEntryPageDef_CurrencyCode" hidden="1">#REF!</definedName>
    <definedName name="LOV_oracle_apps_financials_generalLedger_journals_desktopEntry_di_FinGlDesktopMultibatchEntryPageDef_LedgerId" hidden="1">#REF!</definedName>
    <definedName name="LOV_oracle_apps_financials_generalLedger_journals_desktopEntry_di_FinGlDesktopMultibatchEntryPageDef_PeriodName" hidden="1">#REF!</definedName>
    <definedName name="LOV_oracle_apps_financials_generalLedger_journals_desktopEntry_di_FinGlDesktopMultibatchEntryPageDef_ReversalPeriodName" hidden="1">#REF!</definedName>
    <definedName name="LOV_oracle_apps_financials_generalLedger_journals_desktopEntry_di_FinGlDesktopMultibatchEntryPageDef_UserCurrencyConversionType" hidden="1">#REF!</definedName>
    <definedName name="LOV_oracle_apps_financials_generalLedger_journals_desktopEntry_di_FinGlDesktopMultibatchEntryPageDef_UserJeSourceName" hidden="1">#REF!</definedName>
    <definedName name="LOV_oracle_apps_projects_costing_transactions_fdiupload_ui_ThirdPartyCostedTxnUploadPageDef_AccrualFlag" hidden="1">#REF!</definedName>
    <definedName name="LOV_oracle_apps_projects_costing_transactions_fdiupload_ui_ThirdPartyCostedTxnUploadPageDef_AcctRateType" hidden="1">#REF!</definedName>
    <definedName name="LOV_oracle_apps_projects_costing_transactions_fdiupload_ui_ThirdPartyCostedTxnUploadPageDef_BillableFlag" hidden="1">#REF!</definedName>
    <definedName name="LOV_oracle_apps_projects_costing_transactions_fdiupload_ui_ThirdPartyCostedTxnUploadPageDef_CapitalizableFlag" hidden="1">#REF!</definedName>
    <definedName name="LOV_oracle_apps_projects_costing_transactions_fdiupload_ui_ThirdPartyCostedTxnUploadPageDef_ConvertedFlag" hidden="1">#REF!</definedName>
    <definedName name="LOV_oracle_apps_projects_costing_transactions_fdiupload_ui_ThirdPartyCostedTxnUploadPageDef_OrgId" hidden="1">#REF!</definedName>
    <definedName name="LOV_oracle_apps_projects_costing_transactions_fdiupload_ui_ThirdPartyCostedTxnUploadPageDef_TransactionSourceId" hidden="1">#REF!</definedName>
    <definedName name="LOV_oracle_apps_projects_costing_transactions_fdiupload_ui_ThirdPartyCostedTxnUploadPageDef_UnmatchedNegativeTxnFlag" hidden="1">#REF!</definedName>
    <definedName name="LOV_oracle_apps_projects_costing_transactions_fdiupload_ui_ThirdPartyCostedTxnUploadPageDef_WorkTypeId" hidden="1">#REF!</definedName>
    <definedName name="m" localSheetId="9" hidden="1">{#N/A,#N/A,FALSE,"YTD ,99"}</definedName>
    <definedName name="m" hidden="1">{#N/A,#N/A,FALSE,"YTD ,99"}</definedName>
    <definedName name="m_1" localSheetId="10" hidden="1">{#N/A,#N/A,FALSE,"YTD ,99"}</definedName>
    <definedName name="m_1" localSheetId="9" hidden="1">{#N/A,#N/A,FALSE,"YTD ,99"}</definedName>
    <definedName name="m_1" hidden="1">{#N/A,#N/A,FALSE,"YTD ,99"}</definedName>
    <definedName name="M_Drama" hidden="1">#REF!</definedName>
    <definedName name="M_PlaceofPath" hidden="1">"\\SNYCEQT0100\HOME\LZURLO\DATA\TELMEX\Models\tmx_vdf.xls"</definedName>
    <definedName name="Mar." localSheetId="10" hidden="1">{"'Euro Conversion rates'!$A$1:$E$21"}</definedName>
    <definedName name="Mar." localSheetId="9" hidden="1">{"'Euro Conversion rates'!$A$1:$E$21"}</definedName>
    <definedName name="Mar." hidden="1">{"'Euro Conversion rates'!$A$1:$E$21"}</definedName>
    <definedName name="Mar._1" localSheetId="10" hidden="1">{"'Euro Conversion rates'!$A$1:$E$21"}</definedName>
    <definedName name="Mar._1" localSheetId="9" hidden="1">{"'Euro Conversion rates'!$A$1:$E$21"}</definedName>
    <definedName name="Mar._1" hidden="1">{"'Euro Conversion rates'!$A$1:$E$21"}</definedName>
    <definedName name="mark" localSheetId="10" hidden="1">{"summary",#N/A,FALSE,"2000 vs 1999";"detail",#N/A,FALSE,"2000 vs 1999"}</definedName>
    <definedName name="mark" localSheetId="9" hidden="1">{"summary",#N/A,FALSE,"2000 vs 1999";"detail",#N/A,FALSE,"2000 vs 1999"}</definedName>
    <definedName name="mark" hidden="1">{"summary",#N/A,FALSE,"2000 vs 1999";"detail",#N/A,FALSE,"2000 vs 1999"}</definedName>
    <definedName name="mark_1" localSheetId="10" hidden="1">{"summary",#N/A,FALSE,"2000 vs 1999";"detail",#N/A,FALSE,"2000 vs 1999"}</definedName>
    <definedName name="mark_1" localSheetId="9" hidden="1">{"summary",#N/A,FALSE,"2000 vs 1999";"detail",#N/A,FALSE,"2000 vs 1999"}</definedName>
    <definedName name="mark_1" hidden="1">{"summary",#N/A,FALSE,"2000 vs 1999";"detail",#N/A,FALSE,"2000 vs 1999"}</definedName>
    <definedName name="Marshalls" localSheetId="1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Marshalls" localSheetId="9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Marshall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mb_inputLocation" hidden="1">#REF!</definedName>
    <definedName name="MBC_D" hidden="1">#REF!</definedName>
    <definedName name="Meh" localSheetId="10" hidden="1">{#N/A,"Base Case",FALSE,"Revenue";#N/A,"£6.25 Fee",FALSE,"Revenue"}</definedName>
    <definedName name="Meh" localSheetId="9" hidden="1">{#N/A,"Base Case",FALSE,"Revenue";#N/A,"£6.25 Fee",FALSE,"Revenue"}</definedName>
    <definedName name="Meh" hidden="1">{#N/A,"Base Case",FALSE,"Revenue";#N/A,"£6.25 Fee",FALSE,"Revenue"}</definedName>
    <definedName name="MerrillPrintIt" hidden="1">#REF!</definedName>
    <definedName name="MEWarning" hidden="1">1</definedName>
    <definedName name="MF_Style_Breakdown_Label" hidden="1">#REF!</definedName>
    <definedName name="Mfile_earnins" localSheetId="10" hidden="1">{"income statement",#N/A,TRUE,"Model";"rig build up",#N/A,TRUE,"Model";"rig status and expenses",#N/A,TRUE,"Model"}</definedName>
    <definedName name="Mfile_earnins" localSheetId="9" hidden="1">{"income statement",#N/A,TRUE,"Model";"rig build up",#N/A,TRUE,"Model";"rig status and expenses",#N/A,TRUE,"Model"}</definedName>
    <definedName name="Mfile_earnins" hidden="1">{"income statement",#N/A,TRUE,"Model";"rig build up",#N/A,TRUE,"Model";"rig status and expenses",#N/A,TRUE,"Model"}</definedName>
    <definedName name="Milano" localSheetId="10" hidden="1">{#N/A,#N/A,FALSE,"Cipta-All";#N/A,#N/A,FALSE,"Individual"}</definedName>
    <definedName name="Milano" localSheetId="9" hidden="1">{#N/A,#N/A,FALSE,"Cipta-All";#N/A,#N/A,FALSE,"Individual"}</definedName>
    <definedName name="Milano" hidden="1">{#N/A,#N/A,FALSE,"Cipta-All";#N/A,#N/A,FALSE,"Individual"}</definedName>
    <definedName name="min" localSheetId="10" hidden="1">{#N/A,#N/A,FALSE,"REPORT"}</definedName>
    <definedName name="min" localSheetId="9" hidden="1">{#N/A,#N/A,FALSE,"REPORT"}</definedName>
    <definedName name="min" hidden="1">{#N/A,#N/A,FALSE,"REPORT"}</definedName>
    <definedName name="mina" localSheetId="10" hidden="1">{#N/A,#N/A,FALSE,"REPORT"}</definedName>
    <definedName name="mina" localSheetId="9" hidden="1">{#N/A,#N/A,FALSE,"REPORT"}</definedName>
    <definedName name="mina" hidden="1">{#N/A,#N/A,FALSE,"REPORT"}</definedName>
    <definedName name="MKK" localSheetId="10" hidden="1">{"'下期集計（10.27迄・速報値）'!$Q$16"}</definedName>
    <definedName name="MKK" localSheetId="9" hidden="1">{"'下期集計（10.27迄・速報値）'!$Q$16"}</definedName>
    <definedName name="MKK" hidden="1">{"'下期集計（10.27迄・速報値）'!$Q$16"}</definedName>
    <definedName name="MKK_1" localSheetId="10" hidden="1">{"'下期集計（10.27迄・速報値）'!$Q$16"}</definedName>
    <definedName name="MKK_1" localSheetId="9" hidden="1">{"'下期集計（10.27迄・速報値）'!$Q$16"}</definedName>
    <definedName name="MKK_1" hidden="1">{"'下期集計（10.27迄・速報値）'!$Q$16"}</definedName>
    <definedName name="mlw" localSheetId="10" hidden="1">{#N/A,#N/A,FALSE,"Pharm";#N/A,#N/A,FALSE,"WWCM"}</definedName>
    <definedName name="mlw" localSheetId="9" hidden="1">{#N/A,#N/A,FALSE,"Pharm";#N/A,#N/A,FALSE,"WWCM"}</definedName>
    <definedName name="mlw" hidden="1">{#N/A,#N/A,FALSE,"Pharm";#N/A,#N/A,FALSE,"WWCM"}</definedName>
    <definedName name="mmmmm" localSheetId="10" hidden="1">{#N/A,#N/A,FALSE,"CCTV"}</definedName>
    <definedName name="mmmmm" localSheetId="9" hidden="1">{#N/A,#N/A,FALSE,"CCTV"}</definedName>
    <definedName name="mmmmm" hidden="1">{#N/A,#N/A,FALSE,"CCTV"}</definedName>
    <definedName name="MP" localSheetId="10" hidden="1">{#N/A,#N/A,FALSE,"BS";#N/A,#N/A,FALSE,"PL";#N/A,#N/A,FALSE,"처분";#N/A,#N/A,FALSE,"현금";#N/A,#N/A,FALSE,"매출";#N/A,#N/A,FALSE,"원가";#N/A,#N/A,FALSE,"경영"}</definedName>
    <definedName name="MP" localSheetId="9" hidden="1">{#N/A,#N/A,FALSE,"BS";#N/A,#N/A,FALSE,"PL";#N/A,#N/A,FALSE,"처분";#N/A,#N/A,FALSE,"현금";#N/A,#N/A,FALSE,"매출";#N/A,#N/A,FALSE,"원가";#N/A,#N/A,FALSE,"경영"}</definedName>
    <definedName name="MP" hidden="1">{#N/A,#N/A,FALSE,"BS";#N/A,#N/A,FALSE,"PL";#N/A,#N/A,FALSE,"처분";#N/A,#N/A,FALSE,"현금";#N/A,#N/A,FALSE,"매출";#N/A,#N/A,FALSE,"원가";#N/A,#N/A,FALSE,"경영"}</definedName>
    <definedName name="mw" localSheetId="10" hidden="1">{#N/A,#N/A,FALSE,"Pharm";#N/A,#N/A,FALSE,"WWCM"}</definedName>
    <definedName name="mw" localSheetId="9" hidden="1">{#N/A,#N/A,FALSE,"Pharm";#N/A,#N/A,FALSE,"WWCM"}</definedName>
    <definedName name="mw" hidden="1">{#N/A,#N/A,FALSE,"Pharm";#N/A,#N/A,FALSE,"WWCM"}</definedName>
    <definedName name="namekb" hidden="1">#REF!</definedName>
    <definedName name="namekc" hidden="1">#REF!</definedName>
    <definedName name="namekg" localSheetId="10" hidden="1">{#VALUE!,0,FALSE,0;#N/A,0,FALSE,0;#N/A,0,FALSE,0;#N/A,0,FALSE,0;#N/A,0,FALSE,0;#N/A,0,FALSE,0}</definedName>
    <definedName name="namekg" localSheetId="9" hidden="1">{#VALUE!,0,FALSE,0;#N/A,0,FALSE,0;#N/A,0,FALSE,0;#N/A,0,FALSE,0;#N/A,0,FALSE,0;#N/A,0,FALSE,0}</definedName>
    <definedName name="namekg" hidden="1">{#VALUE!,0,FALSE,0;#N/A,0,FALSE,0;#N/A,0,FALSE,0;#N/A,0,FALSE,0;#N/A,0,FALSE,0;#N/A,0,FALSE,0}</definedName>
    <definedName name="NAV" localSheetId="10" hidden="1">{#N/A,#N/A,FALSE,"SAFILOR"}</definedName>
    <definedName name="NAV" localSheetId="9" hidden="1">{#N/A,#N/A,FALSE,"SAFILOR"}</definedName>
    <definedName name="NAV" hidden="1">{#N/A,#N/A,FALSE,"SAFILOR"}</definedName>
    <definedName name="NEU_IQ_div_payment_date" hidden="1">"c2205"</definedName>
    <definedName name="NEU_IQ_Xdiv_date" hidden="1">"c2203"</definedName>
    <definedName name="new_1" localSheetId="1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ew_1" localSheetId="9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ew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ew_2" localSheetId="1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ew_2" localSheetId="9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ew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EW_IQ_div_record_date" hidden="1">"c2204"</definedName>
    <definedName name="newbel" localSheetId="10" hidden="1">{"'Directory'!$A$72:$E$91"}</definedName>
    <definedName name="newbel" localSheetId="9" hidden="1">{"'Directory'!$A$72:$E$91"}</definedName>
    <definedName name="newbel" hidden="1">{"'Directory'!$A$72:$E$91"}</definedName>
    <definedName name="newbel_1" localSheetId="10" hidden="1">{"'Directory'!$A$72:$E$91"}</definedName>
    <definedName name="newbel_1" localSheetId="9" hidden="1">{"'Directory'!$A$72:$E$91"}</definedName>
    <definedName name="newbel_1" hidden="1">{"'Directory'!$A$72:$E$91"}</definedName>
    <definedName name="newbls" localSheetId="10" hidden="1">{"'Directory'!$A$72:$E$91"}</definedName>
    <definedName name="newbls" localSheetId="9" hidden="1">{"'Directory'!$A$72:$E$91"}</definedName>
    <definedName name="newbls" hidden="1">{"'Directory'!$A$72:$E$91"}</definedName>
    <definedName name="newbls_1" localSheetId="10" hidden="1">{"'Directory'!$A$72:$E$91"}</definedName>
    <definedName name="newbls_1" localSheetId="9" hidden="1">{"'Directory'!$A$72:$E$91"}</definedName>
    <definedName name="newbls_1" hidden="1">{"'Directory'!$A$72:$E$91"}</definedName>
    <definedName name="Newcap" localSheetId="10" hidden="1">{"'2ND_QUAR'!$A$1:$P$106"}</definedName>
    <definedName name="Newcap" localSheetId="9" hidden="1">{"'2ND_QUAR'!$A$1:$P$106"}</definedName>
    <definedName name="Newcap" hidden="1">{"'2ND_QUAR'!$A$1:$P$106"}</definedName>
    <definedName name="Newcap_1" localSheetId="10" hidden="1">{"'2ND_QUAR'!$A$1:$P$106"}</definedName>
    <definedName name="Newcap_1" localSheetId="9" hidden="1">{"'2ND_QUAR'!$A$1:$P$106"}</definedName>
    <definedName name="Newcap_1" hidden="1">{"'2ND_QUAR'!$A$1:$P$106"}</definedName>
    <definedName name="newersummary" localSheetId="10" hidden="1">{#N/A,#N/A,FALSE,"Corporate_Digital";#N/A,#N/A,FALSE,"Corporate_Analog";#N/A,#N/A,FALSE,"RetailDigBuckets";#N/A,#N/A,FALSE,"Retail_19.99";#N/A,#N/A,FALSE,"Companion Plan"}</definedName>
    <definedName name="newersummary" localSheetId="9" hidden="1">{#N/A,#N/A,FALSE,"Corporate_Digital";#N/A,#N/A,FALSE,"Corporate_Analog";#N/A,#N/A,FALSE,"RetailDigBuckets";#N/A,#N/A,FALSE,"Retail_19.99";#N/A,#N/A,FALSE,"Companion Plan"}</definedName>
    <definedName name="newersummary" hidden="1">{#N/A,#N/A,FALSE,"Corporate_Digital";#N/A,#N/A,FALSE,"Corporate_Analog";#N/A,#N/A,FALSE,"RetailDigBuckets";#N/A,#N/A,FALSE,"Retail_19.99";#N/A,#N/A,FALSE,"Companion Plan"}</definedName>
    <definedName name="newersummary_1" localSheetId="10" hidden="1">{#N/A,#N/A,FALSE,"Corporate_Digital";#N/A,#N/A,FALSE,"Corporate_Analog";#N/A,#N/A,FALSE,"RetailDigBuckets";#N/A,#N/A,FALSE,"Retail_19.99";#N/A,#N/A,FALSE,"Companion Plan"}</definedName>
    <definedName name="newersummary_1" localSheetId="9" hidden="1">{#N/A,#N/A,FALSE,"Corporate_Digital";#N/A,#N/A,FALSE,"Corporate_Analog";#N/A,#N/A,FALSE,"RetailDigBuckets";#N/A,#N/A,FALSE,"Retail_19.99";#N/A,#N/A,FALSE,"Companion Plan"}</definedName>
    <definedName name="newersummary_1" hidden="1">{#N/A,#N/A,FALSE,"Corporate_Digital";#N/A,#N/A,FALSE,"Corporate_Analog";#N/A,#N/A,FALSE,"RetailDigBuckets";#N/A,#N/A,FALSE,"Retail_19.99";#N/A,#N/A,FALSE,"Companion Plan"}</definedName>
    <definedName name="newnewnew" localSheetId="10" hidden="1">{#N/A,#N/A,FALSE,"Pharm";#N/A,#N/A,FALSE,"WWCM"}</definedName>
    <definedName name="newnewnew" localSheetId="9" hidden="1">{#N/A,#N/A,FALSE,"Pharm";#N/A,#N/A,FALSE,"WWCM"}</definedName>
    <definedName name="newnewnew" hidden="1">{#N/A,#N/A,FALSE,"Pharm";#N/A,#N/A,FALSE,"WWCM"}</definedName>
    <definedName name="NewRange" hidden="1">#REF!</definedName>
    <definedName name="newsummary" localSheetId="10" hidden="1">{#N/A,#N/A,FALSE,"Corporate_Digital";#N/A,#N/A,FALSE,"Corporate_Analog";#N/A,#N/A,FALSE,"RetailDigBuckets";#N/A,#N/A,FALSE,"Retail_19.99";#N/A,#N/A,FALSE,"Companion Plan"}</definedName>
    <definedName name="newsummary" localSheetId="9" hidden="1">{#N/A,#N/A,FALSE,"Corporate_Digital";#N/A,#N/A,FALSE,"Corporate_Analog";#N/A,#N/A,FALSE,"RetailDigBuckets";#N/A,#N/A,FALSE,"Retail_19.99";#N/A,#N/A,FALSE,"Companion Plan"}</definedName>
    <definedName name="newsummary" hidden="1">{#N/A,#N/A,FALSE,"Corporate_Digital";#N/A,#N/A,FALSE,"Corporate_Analog";#N/A,#N/A,FALSE,"RetailDigBuckets";#N/A,#N/A,FALSE,"Retail_19.99";#N/A,#N/A,FALSE,"Companion Plan"}</definedName>
    <definedName name="newsummary_1" localSheetId="10" hidden="1">{#N/A,#N/A,FALSE,"Corporate_Digital";#N/A,#N/A,FALSE,"Corporate_Analog";#N/A,#N/A,FALSE,"RetailDigBuckets";#N/A,#N/A,FALSE,"Retail_19.99";#N/A,#N/A,FALSE,"Companion Plan"}</definedName>
    <definedName name="newsummary_1" localSheetId="9" hidden="1">{#N/A,#N/A,FALSE,"Corporate_Digital";#N/A,#N/A,FALSE,"Corporate_Analog";#N/A,#N/A,FALSE,"RetailDigBuckets";#N/A,#N/A,FALSE,"Retail_19.99";#N/A,#N/A,FALSE,"Companion Plan"}</definedName>
    <definedName name="newsummary_1" hidden="1">{#N/A,#N/A,FALSE,"Corporate_Digital";#N/A,#N/A,FALSE,"Corporate_Analog";#N/A,#N/A,FALSE,"RetailDigBuckets";#N/A,#N/A,FALSE,"Retail_19.99";#N/A,#N/A,FALSE,"Companion Plan"}</definedName>
    <definedName name="newt" localSheetId="10" hidden="1">{"'Directory'!$A$72:$E$91"}</definedName>
    <definedName name="newt" localSheetId="9" hidden="1">{"'Directory'!$A$72:$E$91"}</definedName>
    <definedName name="newt" hidden="1">{"'Directory'!$A$72:$E$91"}</definedName>
    <definedName name="newt_1" localSheetId="10" hidden="1">{"'Directory'!$A$72:$E$91"}</definedName>
    <definedName name="newt_1" localSheetId="9" hidden="1">{"'Directory'!$A$72:$E$91"}</definedName>
    <definedName name="newt_1" hidden="1">{"'Directory'!$A$72:$E$91"}</definedName>
    <definedName name="newwcom" localSheetId="10" hidden="1">{"'Directory'!$A$72:$E$91"}</definedName>
    <definedName name="newwcom" localSheetId="9" hidden="1">{"'Directory'!$A$72:$E$91"}</definedName>
    <definedName name="newwcom" hidden="1">{"'Directory'!$A$72:$E$91"}</definedName>
    <definedName name="newwcom_1" localSheetId="10" hidden="1">{"'Directory'!$A$72:$E$91"}</definedName>
    <definedName name="newwcom_1" localSheetId="9" hidden="1">{"'Directory'!$A$72:$E$91"}</definedName>
    <definedName name="newwcom_1" hidden="1">{"'Directory'!$A$72:$E$91"}</definedName>
    <definedName name="nhjythh" localSheetId="10" hidden="1">{"DCF","UPSIDE CASE",FALSE,"Sheet1";"DCF","BASE CASE",FALSE,"Sheet1";"DCF","DOWNSIDE CASE",FALSE,"Sheet1"}</definedName>
    <definedName name="nhjythh" localSheetId="9" hidden="1">{"DCF","UPSIDE CASE",FALSE,"Sheet1";"DCF","BASE CASE",FALSE,"Sheet1";"DCF","DOWNSIDE CASE",FALSE,"Sheet1"}</definedName>
    <definedName name="nhjythh" hidden="1">{"DCF","UPSIDE CASE",FALSE,"Sheet1";"DCF","BASE CASE",FALSE,"Sheet1";"DCF","DOWNSIDE CASE",FALSE,"Sheet1"}</definedName>
    <definedName name="nhjythh_1" localSheetId="10" hidden="1">{"DCF","UPSIDE CASE",FALSE,"Sheet1";"DCF","BASE CASE",FALSE,"Sheet1";"DCF","DOWNSIDE CASE",FALSE,"Sheet1"}</definedName>
    <definedName name="nhjythh_1" localSheetId="9" hidden="1">{"DCF","UPSIDE CASE",FALSE,"Sheet1";"DCF","BASE CASE",FALSE,"Sheet1";"DCF","DOWNSIDE CASE",FALSE,"Sheet1"}</definedName>
    <definedName name="nhjythh_1" hidden="1">{"DCF","UPSIDE CASE",FALSE,"Sheet1";"DCF","BASE CASE",FALSE,"Sheet1";"DCF","DOWNSIDE CASE",FALSE,"Sheet1"}</definedName>
    <definedName name="ni" localSheetId="10" hidden="1">{"conso",#N/A,FALSE,"cash flow"}</definedName>
    <definedName name="ni" localSheetId="9" hidden="1">{"conso",#N/A,FALSE,"cash flow"}</definedName>
    <definedName name="ni" hidden="1">{"conso",#N/A,FALSE,"cash flow"}</definedName>
    <definedName name="NJ" localSheetId="10" hidden="1">{#N/A,#N/A,TRUE,"CC_IN965"}</definedName>
    <definedName name="NJ" localSheetId="9" hidden="1">{#N/A,#N/A,TRUE,"CC_IN965"}</definedName>
    <definedName name="NJ" hidden="1">{#N/A,#N/A,TRUE,"CC_IN965"}</definedName>
    <definedName name="nkknk" localSheetId="10" hidden="1">{#N/A,#N/A,FALSE,"CCTV"}</definedName>
    <definedName name="nkknk" localSheetId="9" hidden="1">{#N/A,#N/A,FALSE,"CCTV"}</definedName>
    <definedName name="nkknk" hidden="1">{#N/A,#N/A,FALSE,"CCTV"}</definedName>
    <definedName name="nn" localSheetId="1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" localSheetId="9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_1" localSheetId="1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_1" localSheetId="9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_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n" localSheetId="10" hidden="1">{"fdsup://IBCentral/FAT Viewer?action=UPDATE&amp;creator=factset&amp;DOC_NAME=fat:reuters_annual_source_window.fat&amp;display_string=Audit&amp;DYN_ARGS=TRUE&amp;VAR:ID1=53245710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nnn" localSheetId="9" hidden="1">{"fdsup://IBCentral/FAT Viewer?action=UPDATE&amp;creator=factset&amp;DOC_NAME=fat:reuters_annual_source_window.fat&amp;display_string=Audit&amp;DYN_ARGS=TRUE&amp;VAR:ID1=53245710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nnn" hidden="1">{"fdsup://IBCentral/FAT Viewer?action=UPDATE&amp;creator=factset&amp;DOC_NAME=fat:reuters_annual_source_window.fat&amp;display_string=Audit&amp;DYN_ARGS=TRUE&amp;VAR:ID1=53245710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nnnnnnn" hidden="1">#REF!</definedName>
    <definedName name="NONEE" localSheetId="10" hidden="1">{0,0,0,0}</definedName>
    <definedName name="NONEE" localSheetId="9" hidden="1">{0,0,0,0}</definedName>
    <definedName name="NONEE" hidden="1">{0,0,0,0}</definedName>
    <definedName name="NONEE_1" localSheetId="10" hidden="1">{0,0,0,0}</definedName>
    <definedName name="NONEE_1" localSheetId="9" hidden="1">{0,0,0,0}</definedName>
    <definedName name="NONEE_1" hidden="1">{0,0,0,0}</definedName>
    <definedName name="nouv" localSheetId="10" hidden="1">{#N/A,#N/A,FALSE,"Pharm";#N/A,#N/A,FALSE,"WWCM"}</definedName>
    <definedName name="nouv" localSheetId="9" hidden="1">{#N/A,#N/A,FALSE,"Pharm";#N/A,#N/A,FALSE,"WWCM"}</definedName>
    <definedName name="nouv" hidden="1">{#N/A,#N/A,FALSE,"Pharm";#N/A,#N/A,FALSE,"WWCM"}</definedName>
    <definedName name="NSS_IQ_div_payment_date" hidden="1">"c2205"</definedName>
    <definedName name="NSS_IQ_div_record_date" hidden="1">"c2204"</definedName>
    <definedName name="NSS_IQ_XDiv_date" hidden="1">"c2203"</definedName>
    <definedName name="nu" localSheetId="10" hidden="1">{"cashflow",#N/A,FALSE,"cash flow"}</definedName>
    <definedName name="nu" localSheetId="9" hidden="1">{"cashflow",#N/A,FALSE,"cash flow"}</definedName>
    <definedName name="nu" hidden="1">{"cashflow",#N/A,FALSE,"cash flow"}</definedName>
    <definedName name="ODH" hidden="1">#REF!</definedName>
    <definedName name="oierior" hidden="1">#REF!</definedName>
    <definedName name="oililui" localSheetId="10" hidden="1">{#N/A,#N/A,FALSE,"CCTV"}</definedName>
    <definedName name="oililui" localSheetId="9" hidden="1">{#N/A,#N/A,FALSE,"CCTV"}</definedName>
    <definedName name="oililui" hidden="1">{#N/A,#N/A,FALSE,"CCTV"}</definedName>
    <definedName name="on" hidden="1">#REF!</definedName>
    <definedName name="ONP" hidden="1">#REF!</definedName>
    <definedName name="ooo" localSheetId="10" hidden="1">{#N/A,#N/A,FALSE,"UNIT";#N/A,#N/A,FALSE,"UNIT";#N/A,#N/A,FALSE,"계정"}</definedName>
    <definedName name="ooo" localSheetId="9" hidden="1">{#N/A,#N/A,FALSE,"UNIT";#N/A,#N/A,FALSE,"UNIT";#N/A,#N/A,FALSE,"계정"}</definedName>
    <definedName name="ooo" hidden="1">{#N/A,#N/A,FALSE,"UNIT";#N/A,#N/A,FALSE,"UNIT";#N/A,#N/A,FALSE,"계정"}</definedName>
    <definedName name="ooo_1" localSheetId="10" hidden="1">{#N/A,#N/A,FALSE,"UNIT";#N/A,#N/A,FALSE,"UNIT";#N/A,#N/A,FALSE,"계정"}</definedName>
    <definedName name="ooo_1" localSheetId="9" hidden="1">{#N/A,#N/A,FALSE,"UNIT";#N/A,#N/A,FALSE,"UNIT";#N/A,#N/A,FALSE,"계정"}</definedName>
    <definedName name="ooo_1" hidden="1">{#N/A,#N/A,FALSE,"UNIT";#N/A,#N/A,FALSE,"UNIT";#N/A,#N/A,FALSE,"계정"}</definedName>
    <definedName name="OOO2CIVIL" hidden="1">#REF!</definedName>
    <definedName name="ooooo" localSheetId="10" hidden="1">{#N/A,#N/A,FALSE,"Ocean";#N/A,#N/A,FALSE,"NewYork";#N/A,#N/A,FALSE,"Gateway";#N/A,#N/A,FALSE,"GVH";#N/A,#N/A,FALSE,"GVM";#N/A,#N/A,FALSE,"GVT"}</definedName>
    <definedName name="ooooo" localSheetId="9" hidden="1">{#N/A,#N/A,FALSE,"Ocean";#N/A,#N/A,FALSE,"NewYork";#N/A,#N/A,FALSE,"Gateway";#N/A,#N/A,FALSE,"GVH";#N/A,#N/A,FALSE,"GVM";#N/A,#N/A,FALSE,"GVT"}</definedName>
    <definedName name="ooooo" hidden="1">{#N/A,#N/A,FALSE,"Ocean";#N/A,#N/A,FALSE,"NewYork";#N/A,#N/A,FALSE,"Gateway";#N/A,#N/A,FALSE,"GVH";#N/A,#N/A,FALSE,"GVM";#N/A,#N/A,FALSE,"GVT"}</definedName>
    <definedName name="ooooo_1" localSheetId="10" hidden="1">{#N/A,#N/A,FALSE,"Ocean";#N/A,#N/A,FALSE,"NewYork";#N/A,#N/A,FALSE,"Gateway";#N/A,#N/A,FALSE,"GVH";#N/A,#N/A,FALSE,"GVM";#N/A,#N/A,FALSE,"GVT"}</definedName>
    <definedName name="ooooo_1" localSheetId="9" hidden="1">{#N/A,#N/A,FALSE,"Ocean";#N/A,#N/A,FALSE,"NewYork";#N/A,#N/A,FALSE,"Gateway";#N/A,#N/A,FALSE,"GVH";#N/A,#N/A,FALSE,"GVM";#N/A,#N/A,FALSE,"GVT"}</definedName>
    <definedName name="ooooo_1" hidden="1">{#N/A,#N/A,FALSE,"Ocean";#N/A,#N/A,FALSE,"NewYork";#N/A,#N/A,FALSE,"Gateway";#N/A,#N/A,FALSE,"GVH";#N/A,#N/A,FALSE,"GVM";#N/A,#N/A,FALSE,"GVT"}</definedName>
    <definedName name="ooooooo" hidden="1">#REF!</definedName>
    <definedName name="or" localSheetId="10" hidden="1">{"M7_1Print",#N/A,TRUE,"M7_1";"M7_2Print",#N/A,TRUE,"M7_2"}</definedName>
    <definedName name="or" localSheetId="9" hidden="1">{"M7_1Print",#N/A,TRUE,"M7_1";"M7_2Print",#N/A,TRUE,"M7_2"}</definedName>
    <definedName name="or" hidden="1">{"M7_1Print",#N/A,TRUE,"M7_1";"M7_2Print",#N/A,TRUE,"M7_2"}</definedName>
    <definedName name="Order__1" hidden="1">0</definedName>
    <definedName name="Order2" hidden="1">0</definedName>
    <definedName name="OrderTable" hidden="1">#REF!</definedName>
    <definedName name="other" localSheetId="10" hidden="1">{#N/A,#N/A,FALSE,"OffAdvance";#N/A,#N/A,FALSE,"OffExpRprt";#N/A,#N/A,FALSE,"Entertmnt";#N/A,#N/A,FALSE,"Promotion";#N/A,#N/A,FALSE,"Travelling"}</definedName>
    <definedName name="other" localSheetId="9" hidden="1">{#N/A,#N/A,FALSE,"OffAdvance";#N/A,#N/A,FALSE,"OffExpRprt";#N/A,#N/A,FALSE,"Entertmnt";#N/A,#N/A,FALSE,"Promotion";#N/A,#N/A,FALSE,"Travelling"}</definedName>
    <definedName name="other" hidden="1">{#N/A,#N/A,FALSE,"OffAdvance";#N/A,#N/A,FALSE,"OffExpRprt";#N/A,#N/A,FALSE,"Entertmnt";#N/A,#N/A,FALSE,"Promotion";#N/A,#N/A,FALSE,"Travelling"}</definedName>
    <definedName name="other33" localSheetId="10" hidden="1">{#N/A,#N/A,FALSE,"Pharm";#N/A,#N/A,FALSE,"WWCM"}</definedName>
    <definedName name="other33" localSheetId="9" hidden="1">{#N/A,#N/A,FALSE,"Pharm";#N/A,#N/A,FALSE,"WWCM"}</definedName>
    <definedName name="other33" hidden="1">{#N/A,#N/A,FALSE,"Pharm";#N/A,#N/A,FALSE,"WWCM"}</definedName>
    <definedName name="othermar" localSheetId="10" hidden="1">{#N/A,#N/A,FALSE,"Pharm";#N/A,#N/A,FALSE,"WWCM"}</definedName>
    <definedName name="othermar" localSheetId="9" hidden="1">{#N/A,#N/A,FALSE,"Pharm";#N/A,#N/A,FALSE,"WWCM"}</definedName>
    <definedName name="othermar" hidden="1">{#N/A,#N/A,FALSE,"Pharm";#N/A,#N/A,FALSE,"WWCM"}</definedName>
    <definedName name="Output2" localSheetId="10" hidden="1">{#N/A,#N/A,FALSE,"Corporate_Digital";#N/A,#N/A,FALSE,"Corporate_Analog";#N/A,#N/A,FALSE,"RetailDigBuckets";#N/A,#N/A,FALSE,"Retail_19.99";#N/A,#N/A,FALSE,"Companion Plan"}</definedName>
    <definedName name="Output2" localSheetId="9" hidden="1">{#N/A,#N/A,FALSE,"Corporate_Digital";#N/A,#N/A,FALSE,"Corporate_Analog";#N/A,#N/A,FALSE,"RetailDigBuckets";#N/A,#N/A,FALSE,"Retail_19.99";#N/A,#N/A,FALSE,"Companion Plan"}</definedName>
    <definedName name="Output2" hidden="1">{#N/A,#N/A,FALSE,"Corporate_Digital";#N/A,#N/A,FALSE,"Corporate_Analog";#N/A,#N/A,FALSE,"RetailDigBuckets";#N/A,#N/A,FALSE,"Retail_19.99";#N/A,#N/A,FALSE,"Companion Plan"}</definedName>
    <definedName name="Output2_1" localSheetId="10" hidden="1">{#N/A,#N/A,FALSE,"Corporate_Digital";#N/A,#N/A,FALSE,"Corporate_Analog";#N/A,#N/A,FALSE,"RetailDigBuckets";#N/A,#N/A,FALSE,"Retail_19.99";#N/A,#N/A,FALSE,"Companion Plan"}</definedName>
    <definedName name="Output2_1" localSheetId="9" hidden="1">{#N/A,#N/A,FALSE,"Corporate_Digital";#N/A,#N/A,FALSE,"Corporate_Analog";#N/A,#N/A,FALSE,"RetailDigBuckets";#N/A,#N/A,FALSE,"Retail_19.99";#N/A,#N/A,FALSE,"Companion Plan"}</definedName>
    <definedName name="Output2_1" hidden="1">{#N/A,#N/A,FALSE,"Corporate_Digital";#N/A,#N/A,FALSE,"Corporate_Analog";#N/A,#N/A,FALSE,"RetailDigBuckets";#N/A,#N/A,FALSE,"Retail_19.99";#N/A,#N/A,FALSE,"Companion Plan"}</definedName>
    <definedName name="p.Covenants_Titles" hidden="1">#REF!</definedName>
    <definedName name="past" localSheetId="10" hidden="1">{"Monthly6Q",#N/A,FALSE,"0614ESL"}</definedName>
    <definedName name="past" localSheetId="9" hidden="1">{"Monthly6Q",#N/A,FALSE,"0614ESL"}</definedName>
    <definedName name="past" hidden="1">{"Monthly6Q",#N/A,FALSE,"0614ESL"}</definedName>
    <definedName name="past_1" localSheetId="10" hidden="1">{"Monthly6Q",#N/A,FALSE,"0614ESL"}</definedName>
    <definedName name="past_1" localSheetId="9" hidden="1">{"Monthly6Q",#N/A,FALSE,"0614ESL"}</definedName>
    <definedName name="past_1" hidden="1">{"Monthly6Q",#N/A,FALSE,"0614ESL"}</definedName>
    <definedName name="Paul" localSheetId="10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Paul" localSheetId="9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Paul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Paul2" localSheetId="10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Paul2" localSheetId="9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Paul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Paul3" localSheetId="10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Paul3" localSheetId="9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Paul3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Paul4" localSheetId="10" hidden="1">{"Print Summary",#N/A,FALSE,"Bal_Graphs";"Print Summary",#N/A,FALSE,"DCF";"Print Summary",#N/A,FALSE,"Graphs";"Print Summary",#N/A,FALSE,"Summary"}</definedName>
    <definedName name="Paul4" localSheetId="9" hidden="1">{"Print Summary",#N/A,FALSE,"Bal_Graphs";"Print Summary",#N/A,FALSE,"DCF";"Print Summary",#N/A,FALSE,"Graphs";"Print Summary",#N/A,FALSE,"Summary"}</definedName>
    <definedName name="Paul4" hidden="1">{"Print Summary",#N/A,FALSE,"Bal_Graphs";"Print Summary",#N/A,FALSE,"DCF";"Print Summary",#N/A,FALSE,"Graphs";"Print Summary",#N/A,FALSE,"Summary"}</definedName>
    <definedName name="PB_GUID8e0658ba748e424d8a135fb1244e3be8" hidden="1">#REF!</definedName>
    <definedName name="PB_GUIDcfd04c434f6a41f6b2090b6fa389bf52" hidden="1">#REF!</definedName>
    <definedName name="PD" localSheetId="10" hidden="1">{"Monthly6Q",#N/A,FALSE,"0614ESL"}</definedName>
    <definedName name="PD" localSheetId="9" hidden="1">{"Monthly6Q",#N/A,FALSE,"0614ESL"}</definedName>
    <definedName name="PD" hidden="1">{"Monthly6Q",#N/A,FALSE,"0614ESL"}</definedName>
    <definedName name="PD_1" localSheetId="10" hidden="1">{"Monthly6Q",#N/A,FALSE,"0614ESL"}</definedName>
    <definedName name="PD_1" localSheetId="9" hidden="1">{"Monthly6Q",#N/A,FALSE,"0614ESL"}</definedName>
    <definedName name="PD_1" hidden="1">{"Monthly6Q",#N/A,FALSE,"0614ESL"}</definedName>
    <definedName name="Peer1" hidden="1">#REF!</definedName>
    <definedName name="pepe" localSheetId="10" hidden="1">{#N/A,#N/A,FALSE,"Pharm";#N/A,#N/A,FALSE,"WWCM"}</definedName>
    <definedName name="pepe" localSheetId="9" hidden="1">{#N/A,#N/A,FALSE,"Pharm";#N/A,#N/A,FALSE,"WWCM"}</definedName>
    <definedName name="pepe" hidden="1">{#N/A,#N/A,FALSE,"Pharm";#N/A,#N/A,FALSE,"WWCM"}</definedName>
    <definedName name="PEPE4" localSheetId="10" hidden="1">{#N/A,#N/A,FALSE,"Pharm";#N/A,#N/A,FALSE,"WWCM"}</definedName>
    <definedName name="PEPE4" localSheetId="9" hidden="1">{#N/A,#N/A,FALSE,"Pharm";#N/A,#N/A,FALSE,"WWCM"}</definedName>
    <definedName name="PEPE4" hidden="1">{#N/A,#N/A,FALSE,"Pharm";#N/A,#N/A,FALSE,"WWCM"}</definedName>
    <definedName name="PEPE5" localSheetId="10" hidden="1">{#N/A,#N/A,FALSE,"Pharm";#N/A,#N/A,FALSE,"WWCM"}</definedName>
    <definedName name="PEPE5" localSheetId="9" hidden="1">{#N/A,#N/A,FALSE,"Pharm";#N/A,#N/A,FALSE,"WWCM"}</definedName>
    <definedName name="PEPE5" hidden="1">{#N/A,#N/A,FALSE,"Pharm";#N/A,#N/A,FALSE,"WWCM"}</definedName>
    <definedName name="PETRP" localSheetId="10" hidden="1">{"'Supply Chain'!$B$1:$AB$13"}</definedName>
    <definedName name="PETRP" localSheetId="9" hidden="1">{"'Supply Chain'!$B$1:$AB$13"}</definedName>
    <definedName name="PETRP" hidden="1">{"'Supply Chain'!$B$1:$AB$13"}</definedName>
    <definedName name="PETRP_1" localSheetId="10" hidden="1">{"'Supply Chain'!$B$1:$AB$13"}</definedName>
    <definedName name="PETRP_1" localSheetId="9" hidden="1">{"'Supply Chain'!$B$1:$AB$13"}</definedName>
    <definedName name="PETRP_1" hidden="1">{"'Supply Chain'!$B$1:$AB$13"}</definedName>
    <definedName name="PETSia04" localSheetId="10" hidden="1">{"'Supply Chain'!$B$1:$AB$13"}</definedName>
    <definedName name="PETSia04" localSheetId="9" hidden="1">{"'Supply Chain'!$B$1:$AB$13"}</definedName>
    <definedName name="PETSia04" hidden="1">{"'Supply Chain'!$B$1:$AB$13"}</definedName>
    <definedName name="PETSia04_1" localSheetId="10" hidden="1">{"'Supply Chain'!$B$1:$AB$13"}</definedName>
    <definedName name="PETSia04_1" localSheetId="9" hidden="1">{"'Supply Chain'!$B$1:$AB$13"}</definedName>
    <definedName name="PETSia04_1" hidden="1">{"'Supply Chain'!$B$1:$AB$13"}</definedName>
    <definedName name="pharma" localSheetId="10" hidden="1">{#N/A,#N/A,FALSE,"Sales Graph";#N/A,#N/A,FALSE,"PSBM";#N/A,#N/A,FALSE,"BUC Graph";#N/A,#N/A,FALSE,"P&amp;L - YTD"}</definedName>
    <definedName name="pharma" localSheetId="9" hidden="1">{#N/A,#N/A,FALSE,"Sales Graph";#N/A,#N/A,FALSE,"PSBM";#N/A,#N/A,FALSE,"BUC Graph";#N/A,#N/A,FALSE,"P&amp;L - YTD"}</definedName>
    <definedName name="pharma" hidden="1">{#N/A,#N/A,FALSE,"Sales Graph";#N/A,#N/A,FALSE,"PSBM";#N/A,#N/A,FALSE,"BUC Graph";#N/A,#N/A,FALSE,"P&amp;L - YTD"}</definedName>
    <definedName name="pl" localSheetId="10" hidden="1">{#N/A,#N/A,FALSE,"REPORT"}</definedName>
    <definedName name="pl" localSheetId="9" hidden="1">{#N/A,#N/A,FALSE,"REPORT"}</definedName>
    <definedName name="pl" hidden="1">{#N/A,#N/A,FALSE,"REPORT"}</definedName>
    <definedName name="PLaaa" localSheetId="10" hidden="1">{"china1",#N/A,FALSE,"輸format_Asia";"China2",#N/A,FALSE,"輸format_Asia";"Hongkong1",#N/A,FALSE,"輸format_Asia";"indonesia",#N/A,FALSE,"輸format_Asia";"indonesia2",#N/A,FALSE,"輸format_Asia";"Philippines2",#N/A,FALSE,"輸format_Asia";"philippines3",#N/A,FALSE,"輸format_Asia";"Phillipppines",#N/A,FALSE,"輸format_Asia";"taiwan",#N/A,FALSE,"輸format_Asia";"taiwan2",#N/A,FALSE,"輸format_Asia";"thailand",#N/A,FALSE,"輸format_Asia";"thailand2",#N/A,FALSE,"輸format_Asia"}</definedName>
    <definedName name="PLaaa" localSheetId="9" hidden="1">{"china1",#N/A,FALSE,"輸format_Asia";"China2",#N/A,FALSE,"輸format_Asia";"Hongkong1",#N/A,FALSE,"輸format_Asia";"indonesia",#N/A,FALSE,"輸format_Asia";"indonesia2",#N/A,FALSE,"輸format_Asia";"Philippines2",#N/A,FALSE,"輸format_Asia";"philippines3",#N/A,FALSE,"輸format_Asia";"Phillipppines",#N/A,FALSE,"輸format_Asia";"taiwan",#N/A,FALSE,"輸format_Asia";"taiwan2",#N/A,FALSE,"輸format_Asia";"thailand",#N/A,FALSE,"輸format_Asia";"thailand2",#N/A,FALSE,"輸format_Asia"}</definedName>
    <definedName name="PLaaa" hidden="1">{"china1",#N/A,FALSE,"輸format_Asia";"China2",#N/A,FALSE,"輸format_Asia";"Hongkong1",#N/A,FALSE,"輸format_Asia";"indonesia",#N/A,FALSE,"輸format_Asia";"indonesia2",#N/A,FALSE,"輸format_Asia";"Philippines2",#N/A,FALSE,"輸format_Asia";"philippines3",#N/A,FALSE,"輸format_Asia";"Phillipppines",#N/A,FALSE,"輸format_Asia";"taiwan",#N/A,FALSE,"輸format_Asia";"taiwan2",#N/A,FALSE,"輸format_Asia";"thailand",#N/A,FALSE,"輸format_Asia";"thailand2",#N/A,FALSE,"輸format_Asia"}</definedName>
    <definedName name="PLaaa_C" localSheetId="10" hidden="1">{"china1",#N/A,FALSE,"輸format_Asia";"China2",#N/A,FALSE,"輸format_Asia";"Hongkong1",#N/A,FALSE,"輸format_Asia";"indonesia",#N/A,FALSE,"輸format_Asia";"indonesia2",#N/A,FALSE,"輸format_Asia";"Philippines2",#N/A,FALSE,"輸format_Asia";"philippines3",#N/A,FALSE,"輸format_Asia";"Phillipppines",#N/A,FALSE,"輸format_Asia";"taiwan",#N/A,FALSE,"輸format_Asia";"taiwan2",#N/A,FALSE,"輸format_Asia";"thailand",#N/A,FALSE,"輸format_Asia";"thailand2",#N/A,FALSE,"輸format_Asia"}</definedName>
    <definedName name="PLaaa_C" localSheetId="9" hidden="1">{"china1",#N/A,FALSE,"輸format_Asia";"China2",#N/A,FALSE,"輸format_Asia";"Hongkong1",#N/A,FALSE,"輸format_Asia";"indonesia",#N/A,FALSE,"輸format_Asia";"indonesia2",#N/A,FALSE,"輸format_Asia";"Philippines2",#N/A,FALSE,"輸format_Asia";"philippines3",#N/A,FALSE,"輸format_Asia";"Phillipppines",#N/A,FALSE,"輸format_Asia";"taiwan",#N/A,FALSE,"輸format_Asia";"taiwan2",#N/A,FALSE,"輸format_Asia";"thailand",#N/A,FALSE,"輸format_Asia";"thailand2",#N/A,FALSE,"輸format_Asia"}</definedName>
    <definedName name="PLaaa_C" hidden="1">{"china1",#N/A,FALSE,"輸format_Asia";"China2",#N/A,FALSE,"輸format_Asia";"Hongkong1",#N/A,FALSE,"輸format_Asia";"indonesia",#N/A,FALSE,"輸format_Asia";"indonesia2",#N/A,FALSE,"輸format_Asia";"Philippines2",#N/A,FALSE,"輸format_Asia";"philippines3",#N/A,FALSE,"輸format_Asia";"Phillipppines",#N/A,FALSE,"輸format_Asia";"taiwan",#N/A,FALSE,"輸format_Asia";"taiwan2",#N/A,FALSE,"輸format_Asia";"thailand",#N/A,FALSE,"輸format_Asia";"thailand2",#N/A,FALSE,"輸format_Asia"}</definedName>
    <definedName name="plaaaa" localSheetId="10" hidden="1">{"china1",#N/A,FALSE,"輸format_Asia";"China2",#N/A,FALSE,"輸format_Asia";"Hongkong1",#N/A,FALSE,"輸format_Asia";"indonesia",#N/A,FALSE,"輸format_Asia";"indonesia2",#N/A,FALSE,"輸format_Asia";"Philippines2",#N/A,FALSE,"輸format_Asia";"philippines3",#N/A,FALSE,"輸format_Asia";"Phillipppines",#N/A,FALSE,"輸format_Asia";"taiwan",#N/A,FALSE,"輸format_Asia";"taiwan2",#N/A,FALSE,"輸format_Asia";"thailand",#N/A,FALSE,"輸format_Asia";"thailand2",#N/A,FALSE,"輸format_Asia"}</definedName>
    <definedName name="plaaaa" localSheetId="9" hidden="1">{"china1",#N/A,FALSE,"輸format_Asia";"China2",#N/A,FALSE,"輸format_Asia";"Hongkong1",#N/A,FALSE,"輸format_Asia";"indonesia",#N/A,FALSE,"輸format_Asia";"indonesia2",#N/A,FALSE,"輸format_Asia";"Philippines2",#N/A,FALSE,"輸format_Asia";"philippines3",#N/A,FALSE,"輸format_Asia";"Phillipppines",#N/A,FALSE,"輸format_Asia";"taiwan",#N/A,FALSE,"輸format_Asia";"taiwan2",#N/A,FALSE,"輸format_Asia";"thailand",#N/A,FALSE,"輸format_Asia";"thailand2",#N/A,FALSE,"輸format_Asia"}</definedName>
    <definedName name="plaaaa" hidden="1">{"china1",#N/A,FALSE,"輸format_Asia";"China2",#N/A,FALSE,"輸format_Asia";"Hongkong1",#N/A,FALSE,"輸format_Asia";"indonesia",#N/A,FALSE,"輸format_Asia";"indonesia2",#N/A,FALSE,"輸format_Asia";"Philippines2",#N/A,FALSE,"輸format_Asia";"philippines3",#N/A,FALSE,"輸format_Asia";"Phillipppines",#N/A,FALSE,"輸format_Asia";"taiwan",#N/A,FALSE,"輸format_Asia";"taiwan2",#N/A,FALSE,"輸format_Asia";"thailand",#N/A,FALSE,"輸format_Asia";"thailand2",#N/A,FALSE,"輸format_Asia"}</definedName>
    <definedName name="placeholder" localSheetId="10" hidden="1">{#N/A,#N/A,FALSE,"Performance Flash Report"}</definedName>
    <definedName name="placeholder" localSheetId="9" hidden="1">{#N/A,#N/A,FALSE,"Performance Flash Report"}</definedName>
    <definedName name="placeholder" hidden="1">{#N/A,#N/A,FALSE,"Performance Flash Report"}</definedName>
    <definedName name="placeholder_1" localSheetId="10" hidden="1">{#N/A,#N/A,FALSE,"Performance Flash Report"}</definedName>
    <definedName name="placeholder_1" localSheetId="9" hidden="1">{#N/A,#N/A,FALSE,"Performance Flash Report"}</definedName>
    <definedName name="placeholder_1" hidden="1">{#N/A,#N/A,FALSE,"Performance Flash Report"}</definedName>
    <definedName name="placeholder_1_1" localSheetId="10" hidden="1">{#N/A,#N/A,FALSE,"Performance Flash Report"}</definedName>
    <definedName name="placeholder_1_1" localSheetId="9" hidden="1">{#N/A,#N/A,FALSE,"Performance Flash Report"}</definedName>
    <definedName name="placeholder_1_1" hidden="1">{#N/A,#N/A,FALSE,"Performance Flash Report"}</definedName>
    <definedName name="placeholder_1_2" localSheetId="10" hidden="1">{#N/A,#N/A,FALSE,"Performance Flash Report"}</definedName>
    <definedName name="placeholder_1_2" localSheetId="9" hidden="1">{#N/A,#N/A,FALSE,"Performance Flash Report"}</definedName>
    <definedName name="placeholder_1_2" hidden="1">{#N/A,#N/A,FALSE,"Performance Flash Report"}</definedName>
    <definedName name="placeholder_1_3" localSheetId="10" hidden="1">{#N/A,#N/A,FALSE,"Performance Flash Report"}</definedName>
    <definedName name="placeholder_1_3" localSheetId="9" hidden="1">{#N/A,#N/A,FALSE,"Performance Flash Report"}</definedName>
    <definedName name="placeholder_1_3" hidden="1">{#N/A,#N/A,FALSE,"Performance Flash Report"}</definedName>
    <definedName name="placeholder_1_4" localSheetId="10" hidden="1">{#N/A,#N/A,FALSE,"Performance Flash Report"}</definedName>
    <definedName name="placeholder_1_4" localSheetId="9" hidden="1">{#N/A,#N/A,FALSE,"Performance Flash Report"}</definedName>
    <definedName name="placeholder_1_4" hidden="1">{#N/A,#N/A,FALSE,"Performance Flash Report"}</definedName>
    <definedName name="placeholder_2" localSheetId="10" hidden="1">{#N/A,#N/A,FALSE,"Performance Flash Report"}</definedName>
    <definedName name="placeholder_2" localSheetId="9" hidden="1">{#N/A,#N/A,FALSE,"Performance Flash Report"}</definedName>
    <definedName name="placeholder_2" hidden="1">{#N/A,#N/A,FALSE,"Performance Flash Report"}</definedName>
    <definedName name="placeholder_2_1" localSheetId="10" hidden="1">{#N/A,#N/A,FALSE,"Performance Flash Report"}</definedName>
    <definedName name="placeholder_2_1" localSheetId="9" hidden="1">{#N/A,#N/A,FALSE,"Performance Flash Report"}</definedName>
    <definedName name="placeholder_2_1" hidden="1">{#N/A,#N/A,FALSE,"Performance Flash Report"}</definedName>
    <definedName name="placeholder_2_2" localSheetId="10" hidden="1">{#N/A,#N/A,FALSE,"Performance Flash Report"}</definedName>
    <definedName name="placeholder_2_2" localSheetId="9" hidden="1">{#N/A,#N/A,FALSE,"Performance Flash Report"}</definedName>
    <definedName name="placeholder_2_2" hidden="1">{#N/A,#N/A,FALSE,"Performance Flash Report"}</definedName>
    <definedName name="placeholder_2_3" localSheetId="10" hidden="1">{#N/A,#N/A,FALSE,"Performance Flash Report"}</definedName>
    <definedName name="placeholder_2_3" localSheetId="9" hidden="1">{#N/A,#N/A,FALSE,"Performance Flash Report"}</definedName>
    <definedName name="placeholder_2_3" hidden="1">{#N/A,#N/A,FALSE,"Performance Flash Report"}</definedName>
    <definedName name="placeholder_2_4" localSheetId="10" hidden="1">{#N/A,#N/A,FALSE,"Performance Flash Report"}</definedName>
    <definedName name="placeholder_2_4" localSheetId="9" hidden="1">{#N/A,#N/A,FALSE,"Performance Flash Report"}</definedName>
    <definedName name="placeholder_2_4" hidden="1">{#N/A,#N/A,FALSE,"Performance Flash Report"}</definedName>
    <definedName name="placeholder_3" localSheetId="10" hidden="1">{#N/A,#N/A,FALSE,"Performance Flash Report"}</definedName>
    <definedName name="placeholder_3" localSheetId="9" hidden="1">{#N/A,#N/A,FALSE,"Performance Flash Report"}</definedName>
    <definedName name="placeholder_3" hidden="1">{#N/A,#N/A,FALSE,"Performance Flash Report"}</definedName>
    <definedName name="placeholder_3_1" localSheetId="10" hidden="1">{#N/A,#N/A,FALSE,"Performance Flash Report"}</definedName>
    <definedName name="placeholder_3_1" localSheetId="9" hidden="1">{#N/A,#N/A,FALSE,"Performance Flash Report"}</definedName>
    <definedName name="placeholder_3_1" hidden="1">{#N/A,#N/A,FALSE,"Performance Flash Report"}</definedName>
    <definedName name="placeholder_3_2" localSheetId="10" hidden="1">{#N/A,#N/A,FALSE,"Performance Flash Report"}</definedName>
    <definedName name="placeholder_3_2" localSheetId="9" hidden="1">{#N/A,#N/A,FALSE,"Performance Flash Report"}</definedName>
    <definedName name="placeholder_3_2" hidden="1">{#N/A,#N/A,FALSE,"Performance Flash Report"}</definedName>
    <definedName name="placeholder_3_3" localSheetId="10" hidden="1">{#N/A,#N/A,FALSE,"Performance Flash Report"}</definedName>
    <definedName name="placeholder_3_3" localSheetId="9" hidden="1">{#N/A,#N/A,FALSE,"Performance Flash Report"}</definedName>
    <definedName name="placeholder_3_3" hidden="1">{#N/A,#N/A,FALSE,"Performance Flash Report"}</definedName>
    <definedName name="placeholder_3_4" localSheetId="10" hidden="1">{#N/A,#N/A,FALSE,"Performance Flash Report"}</definedName>
    <definedName name="placeholder_3_4" localSheetId="9" hidden="1">{#N/A,#N/A,FALSE,"Performance Flash Report"}</definedName>
    <definedName name="placeholder_3_4" hidden="1">{#N/A,#N/A,FALSE,"Performance Flash Report"}</definedName>
    <definedName name="placeholder_4" localSheetId="10" hidden="1">{#N/A,#N/A,FALSE,"Performance Flash Report"}</definedName>
    <definedName name="placeholder_4" localSheetId="9" hidden="1">{#N/A,#N/A,FALSE,"Performance Flash Report"}</definedName>
    <definedName name="placeholder_4" hidden="1">{#N/A,#N/A,FALSE,"Performance Flash Report"}</definedName>
    <definedName name="placeholder_4_1" localSheetId="10" hidden="1">{#N/A,#N/A,FALSE,"Performance Flash Report"}</definedName>
    <definedName name="placeholder_4_1" localSheetId="9" hidden="1">{#N/A,#N/A,FALSE,"Performance Flash Report"}</definedName>
    <definedName name="placeholder_4_1" hidden="1">{#N/A,#N/A,FALSE,"Performance Flash Report"}</definedName>
    <definedName name="placeholder_4_2" localSheetId="10" hidden="1">{#N/A,#N/A,FALSE,"Performance Flash Report"}</definedName>
    <definedName name="placeholder_4_2" localSheetId="9" hidden="1">{#N/A,#N/A,FALSE,"Performance Flash Report"}</definedName>
    <definedName name="placeholder_4_2" hidden="1">{#N/A,#N/A,FALSE,"Performance Flash Report"}</definedName>
    <definedName name="placeholder_4_3" localSheetId="10" hidden="1">{#N/A,#N/A,FALSE,"Performance Flash Report"}</definedName>
    <definedName name="placeholder_4_3" localSheetId="9" hidden="1">{#N/A,#N/A,FALSE,"Performance Flash Report"}</definedName>
    <definedName name="placeholder_4_3" hidden="1">{#N/A,#N/A,FALSE,"Performance Flash Report"}</definedName>
    <definedName name="placeholder_4_4" localSheetId="10" hidden="1">{#N/A,#N/A,FALSE,"Performance Flash Report"}</definedName>
    <definedName name="placeholder_4_4" localSheetId="9" hidden="1">{#N/A,#N/A,FALSE,"Performance Flash Report"}</definedName>
    <definedName name="placeholder_4_4" hidden="1">{#N/A,#N/A,FALSE,"Performance Flash Report"}</definedName>
    <definedName name="placeholder_5" localSheetId="10" hidden="1">{#N/A,#N/A,FALSE,"Performance Flash Report"}</definedName>
    <definedName name="placeholder_5" localSheetId="9" hidden="1">{#N/A,#N/A,FALSE,"Performance Flash Report"}</definedName>
    <definedName name="placeholder_5" hidden="1">{#N/A,#N/A,FALSE,"Performance Flash Report"}</definedName>
    <definedName name="placeholder_5_1" localSheetId="10" hidden="1">{#N/A,#N/A,FALSE,"Performance Flash Report"}</definedName>
    <definedName name="placeholder_5_1" localSheetId="9" hidden="1">{#N/A,#N/A,FALSE,"Performance Flash Report"}</definedName>
    <definedName name="placeholder_5_1" hidden="1">{#N/A,#N/A,FALSE,"Performance Flash Report"}</definedName>
    <definedName name="placeholder_5_2" localSheetId="10" hidden="1">{#N/A,#N/A,FALSE,"Performance Flash Report"}</definedName>
    <definedName name="placeholder_5_2" localSheetId="9" hidden="1">{#N/A,#N/A,FALSE,"Performance Flash Report"}</definedName>
    <definedName name="placeholder_5_2" hidden="1">{#N/A,#N/A,FALSE,"Performance Flash Report"}</definedName>
    <definedName name="placeholder_5_3" localSheetId="10" hidden="1">{#N/A,#N/A,FALSE,"Performance Flash Report"}</definedName>
    <definedName name="placeholder_5_3" localSheetId="9" hidden="1">{#N/A,#N/A,FALSE,"Performance Flash Report"}</definedName>
    <definedName name="placeholder_5_3" hidden="1">{#N/A,#N/A,FALSE,"Performance Flash Report"}</definedName>
    <definedName name="placeholder_5_4" localSheetId="10" hidden="1">{#N/A,#N/A,FALSE,"Performance Flash Report"}</definedName>
    <definedName name="placeholder_5_4" localSheetId="9" hidden="1">{#N/A,#N/A,FALSE,"Performance Flash Report"}</definedName>
    <definedName name="placeholder_5_4" hidden="1">{#N/A,#N/A,FALSE,"Performance Flash Report"}</definedName>
    <definedName name="Players" localSheetId="1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Players" localSheetId="9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Players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PLCepi" localSheetId="10" hidden="1">{#N/A,#N/A,FALSE,"REPORT"}</definedName>
    <definedName name="PLCepi" localSheetId="9" hidden="1">{#N/A,#N/A,FALSE,"REPORT"}</definedName>
    <definedName name="PLCepi" hidden="1">{#N/A,#N/A,FALSE,"REPORT"}</definedName>
    <definedName name="PLProcef" localSheetId="10" hidden="1">{#N/A,#N/A,FALSE,"REPORT"}</definedName>
    <definedName name="PLProcef" localSheetId="9" hidden="1">{#N/A,#N/A,FALSE,"REPORT"}</definedName>
    <definedName name="PLProcef" hidden="1">{#N/A,#N/A,FALSE,"REPORT"}</definedName>
    <definedName name="PLTaxol" localSheetId="10" hidden="1">{#N/A,#N/A,FALSE,"REPORT"}</definedName>
    <definedName name="PLTaxol" localSheetId="9" hidden="1">{#N/A,#N/A,FALSE,"REPORT"}</definedName>
    <definedName name="PLTaxol" hidden="1">{#N/A,#N/A,FALSE,"REPORT"}</definedName>
    <definedName name="PNL" localSheetId="10" hidden="1">{#N/A,#N/A,FALSE,"Inc. St.";#N/A,#N/A,FALSE,"FYear";#N/A,#N/A,FALSE,"Revs.";#N/A,#N/A,FALSE,"RevsYear";#N/A,#N/A,FALSE,"Balance";#N/A,#N/A,FALSE,"CompVal";#N/A,#N/A,FALSE,"Val.";#N/A,#N/A,FALSE,"DCFval"}</definedName>
    <definedName name="PNL" localSheetId="9" hidden="1">{#N/A,#N/A,FALSE,"Inc. St.";#N/A,#N/A,FALSE,"FYear";#N/A,#N/A,FALSE,"Revs.";#N/A,#N/A,FALSE,"RevsYear";#N/A,#N/A,FALSE,"Balance";#N/A,#N/A,FALSE,"CompVal";#N/A,#N/A,FALSE,"Val.";#N/A,#N/A,FALSE,"DCFval"}</definedName>
    <definedName name="PNL" hidden="1">{#N/A,#N/A,FALSE,"Inc. St.";#N/A,#N/A,FALSE,"FYear";#N/A,#N/A,FALSE,"Revs.";#N/A,#N/A,FALSE,"RevsYear";#N/A,#N/A,FALSE,"Balance";#N/A,#N/A,FALSE,"CompVal";#N/A,#N/A,FALSE,"Val.";#N/A,#N/A,FALSE,"DCFval"}</definedName>
    <definedName name="PNL_1" localSheetId="10" hidden="1">{#N/A,#N/A,FALSE,"Inc. St.";#N/A,#N/A,FALSE,"FYear";#N/A,#N/A,FALSE,"Revs.";#N/A,#N/A,FALSE,"RevsYear";#N/A,#N/A,FALSE,"Balance";#N/A,#N/A,FALSE,"CompVal";#N/A,#N/A,FALSE,"Val.";#N/A,#N/A,FALSE,"DCFval"}</definedName>
    <definedName name="PNL_1" localSheetId="9" hidden="1">{#N/A,#N/A,FALSE,"Inc. St.";#N/A,#N/A,FALSE,"FYear";#N/A,#N/A,FALSE,"Revs.";#N/A,#N/A,FALSE,"RevsYear";#N/A,#N/A,FALSE,"Balance";#N/A,#N/A,FALSE,"CompVal";#N/A,#N/A,FALSE,"Val.";#N/A,#N/A,FALSE,"DCFval"}</definedName>
    <definedName name="PNL_1" hidden="1">{#N/A,#N/A,FALSE,"Inc. St.";#N/A,#N/A,FALSE,"FYear";#N/A,#N/A,FALSE,"Revs.";#N/A,#N/A,FALSE,"RevsYear";#N/A,#N/A,FALSE,"Balance";#N/A,#N/A,FALSE,"CompVal";#N/A,#N/A,FALSE,"Val.";#N/A,#N/A,FALSE,"DCFval"}</definedName>
    <definedName name="PopCache_GL_INTERFACE_REFERENCE7" hidden="1">#REF!</definedName>
    <definedName name="port29" localSheetId="10" hidden="1">{#N/A,#N/A,FALSE,"Pharm";#N/A,#N/A,FALSE,"WWCM"}</definedName>
    <definedName name="port29" localSheetId="9" hidden="1">{#N/A,#N/A,FALSE,"Pharm";#N/A,#N/A,FALSE,"WWCM"}</definedName>
    <definedName name="port29" hidden="1">{#N/A,#N/A,FALSE,"Pharm";#N/A,#N/A,FALSE,"WWCM"}</definedName>
    <definedName name="Portfarma" hidden="1">#REF!</definedName>
    <definedName name="PPK" localSheetId="10" hidden="1">{#N/A,#N/A,FALSE,"96 3월물량표";#N/A,#N/A,FALSE,"96 4월물량표";#N/A,#N/A,FALSE,"96 5월물량표"}</definedName>
    <definedName name="PPK" localSheetId="9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res" localSheetId="1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localSheetId="9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nt" localSheetId="10" hidden="1">{#N/A,#N/A,TRUE,"SUMMARY";#N/A,#N/A,TRUE,"ASSUM GEN";#N/A,#N/A,TRUE,"ASSUM TRAFFIC";#N/A,#N/A,TRUE,"ASSUM OP. COST";#N/A,#N/A,TRUE,"ASSUM CAPEX";#N/A,#N/A,TRUE,"CAPEX";#N/A,#N/A,TRUE,"DEBT M";#N/A,#N/A,TRUE,"DEBT Y";#N/A,#N/A,TRUE,"REVENUE";#N/A,#N/A,TRUE,"OPERATION";#N/A,#N/A,TRUE,"F. ASSETS";#N/A,#N/A,TRUE,"CASH CON";#N/A,#N/A,TRUE,"CASH OP";#N/A,#N/A,TRUE,"INCOME";#N/A,#N/A,TRUE,"BAL SHEET"}</definedName>
    <definedName name="presnt" localSheetId="9" hidden="1">{#N/A,#N/A,TRUE,"SUMMARY";#N/A,#N/A,TRUE,"ASSUM GEN";#N/A,#N/A,TRUE,"ASSUM TRAFFIC";#N/A,#N/A,TRUE,"ASSUM OP. COST";#N/A,#N/A,TRUE,"ASSUM CAPEX";#N/A,#N/A,TRUE,"CAPEX";#N/A,#N/A,TRUE,"DEBT M";#N/A,#N/A,TRUE,"DEBT Y";#N/A,#N/A,TRUE,"REVENUE";#N/A,#N/A,TRUE,"OPERATION";#N/A,#N/A,TRUE,"F. ASSETS";#N/A,#N/A,TRUE,"CASH CON";#N/A,#N/A,TRUE,"CASH OP";#N/A,#N/A,TRUE,"INCOME";#N/A,#N/A,TRUE,"BAL SHEET"}</definedName>
    <definedName name="presnt" hidden="1">{#N/A,#N/A,TRUE,"SUMMARY";#N/A,#N/A,TRUE,"ASSUM GEN";#N/A,#N/A,TRUE,"ASSUM TRAFFIC";#N/A,#N/A,TRUE,"ASSUM OP. COST";#N/A,#N/A,TRUE,"ASSUM CAPEX";#N/A,#N/A,TRUE,"CAPEX";#N/A,#N/A,TRUE,"DEBT M";#N/A,#N/A,TRUE,"DEBT Y";#N/A,#N/A,TRUE,"REVENUE";#N/A,#N/A,TRUE,"OPERATION";#N/A,#N/A,TRUE,"F. ASSETS";#N/A,#N/A,TRUE,"CASH CON";#N/A,#N/A,TRUE,"CASH OP";#N/A,#N/A,TRUE,"INCOME";#N/A,#N/A,TRUE,"BAL SHEET"}</definedName>
    <definedName name="PrintBuyer" localSheetId="10" hidden="1">{#N/A,"DR",FALSE,"increm pf";#N/A,"MAMSI",FALSE,"increm pf";#N/A,"MAXI",FALSE,"increm pf";#N/A,"PCAM",FALSE,"increm pf";#N/A,"PHSV",FALSE,"increm pf";#N/A,"SIE",FALSE,"increm pf"}</definedName>
    <definedName name="PrintBuyer" localSheetId="9" hidden="1">{#N/A,"DR",FALSE,"increm pf";#N/A,"MAMSI",FALSE,"increm pf";#N/A,"MAXI",FALSE,"increm pf";#N/A,"PCAM",FALSE,"increm pf";#N/A,"PHSV",FALSE,"increm pf";#N/A,"SIE",FALSE,"increm pf"}</definedName>
    <definedName name="PrintBuyer" hidden="1">{#N/A,"DR",FALSE,"increm pf";#N/A,"MAMSI",FALSE,"increm pf";#N/A,"MAXI",FALSE,"increm pf";#N/A,"PCAM",FALSE,"increm pf";#N/A,"PHSV",FALSE,"increm pf";#N/A,"SIE",FALSE,"increm pf"}</definedName>
    <definedName name="PrintStart" hidden="1">#REF!</definedName>
    <definedName name="Procef" localSheetId="10" hidden="1">{#N/A,#N/A,FALSE,"Pharm";#N/A,#N/A,FALSE,"WWCM"}</definedName>
    <definedName name="Procef" localSheetId="9" hidden="1">{#N/A,#N/A,FALSE,"Pharm";#N/A,#N/A,FALSE,"WWCM"}</definedName>
    <definedName name="Procef" hidden="1">{#N/A,#N/A,FALSE,"Pharm";#N/A,#N/A,FALSE,"WWCM"}</definedName>
    <definedName name="prod" localSheetId="10" hidden="1">{#N/A,#N/A,FALSE,"Pharm";#N/A,#N/A,FALSE,"WWCM"}</definedName>
    <definedName name="prod" localSheetId="9" hidden="1">{#N/A,#N/A,FALSE,"Pharm";#N/A,#N/A,FALSE,"WWCM"}</definedName>
    <definedName name="prod" hidden="1">{#N/A,#N/A,FALSE,"Pharm";#N/A,#N/A,FALSE,"WWCM"}</definedName>
    <definedName name="prod." localSheetId="10" hidden="1">{"summary",#N/A,FALSE,"2000 vs 1999";"detail",#N/A,FALSE,"2000 vs 1999"}</definedName>
    <definedName name="prod." localSheetId="9" hidden="1">{"summary",#N/A,FALSE,"2000 vs 1999";"detail",#N/A,FALSE,"2000 vs 1999"}</definedName>
    <definedName name="prod." hidden="1">{"summary",#N/A,FALSE,"2000 vs 1999";"detail",#N/A,FALSE,"2000 vs 1999"}</definedName>
    <definedName name="prod._1" localSheetId="10" hidden="1">{"summary",#N/A,FALSE,"2000 vs 1999";"detail",#N/A,FALSE,"2000 vs 1999"}</definedName>
    <definedName name="prod._1" localSheetId="9" hidden="1">{"summary",#N/A,FALSE,"2000 vs 1999";"detail",#N/A,FALSE,"2000 vs 1999"}</definedName>
    <definedName name="prod._1" hidden="1">{"summary",#N/A,FALSE,"2000 vs 1999";"detail",#N/A,FALSE,"2000 vs 1999"}</definedName>
    <definedName name="Prod_Chem_East" hidden="1">"3VDP4WT35C17EWKXGR5TO37RA"</definedName>
    <definedName name="ProdForm" hidden="1">#REF!</definedName>
    <definedName name="Product" hidden="1">#REF!</definedName>
    <definedName name="PUB_FileID" hidden="1">"L10003363.xls"</definedName>
    <definedName name="PUB_UserID" hidden="1">"MAYERX"</definedName>
    <definedName name="Q1123432" localSheetId="10" hidden="1">{#N/A,#N/A,FALSE,"Aging Summary";#N/A,#N/A,FALSE,"Ratio Analysis";#N/A,#N/A,FALSE,"Test 120 Day Accts";#N/A,#N/A,FALSE,"Tickmarks"}</definedName>
    <definedName name="Q1123432" localSheetId="9" hidden="1">{#N/A,#N/A,FALSE,"Aging Summary";#N/A,#N/A,FALSE,"Ratio Analysis";#N/A,#N/A,FALSE,"Test 120 Day Accts";#N/A,#N/A,FALSE,"Tickmarks"}</definedName>
    <definedName name="Q1123432" hidden="1">{#N/A,#N/A,FALSE,"Aging Summary";#N/A,#N/A,FALSE,"Ratio Analysis";#N/A,#N/A,FALSE,"Test 120 Day Accts";#N/A,#N/A,FALSE,"Tickmarks"}</definedName>
    <definedName name="q234562456" localSheetId="10" hidden="1">{"'용역비'!$A$4:$C$8"}</definedName>
    <definedName name="q234562456" localSheetId="9" hidden="1">{"'용역비'!$A$4:$C$8"}</definedName>
    <definedName name="q234562456" hidden="1">{"'용역비'!$A$4:$C$8"}</definedName>
    <definedName name="Q3vsSeg" localSheetId="10" hidden="1">{"Monthly6Q",#N/A,FALSE,"0614ESL"}</definedName>
    <definedName name="Q3vsSeg" localSheetId="9" hidden="1">{"Monthly6Q",#N/A,FALSE,"0614ESL"}</definedName>
    <definedName name="Q3vsSeg" hidden="1">{"Monthly6Q",#N/A,FALSE,"0614ESL"}</definedName>
    <definedName name="Q3vsSeg_1" localSheetId="10" hidden="1">{"Monthly6Q",#N/A,FALSE,"0614ESL"}</definedName>
    <definedName name="Q3vsSeg_1" localSheetId="9" hidden="1">{"Monthly6Q",#N/A,FALSE,"0614ESL"}</definedName>
    <definedName name="Q3vsSeg_1" hidden="1">{"Monthly6Q",#N/A,FALSE,"0614ESL"}</definedName>
    <definedName name="qaz" localSheetId="10" hidden="1">{#N/A,#N/A,FALSE,"Pharm";#N/A,#N/A,FALSE,"WWCM"}</definedName>
    <definedName name="qaz" localSheetId="9" hidden="1">{#N/A,#N/A,FALSE,"Pharm";#N/A,#N/A,FALSE,"WWCM"}</definedName>
    <definedName name="qaz" hidden="1">{#N/A,#N/A,FALSE,"Pharm";#N/A,#N/A,FALSE,"WWCM"}</definedName>
    <definedName name="QC_2" localSheetId="10" hidden="1">{#N/A,#N/A,FALSE,"Pharm";#N/A,#N/A,FALSE,"WWCM"}</definedName>
    <definedName name="QC_2" localSheetId="9" hidden="1">{#N/A,#N/A,FALSE,"Pharm";#N/A,#N/A,FALSE,"WWCM"}</definedName>
    <definedName name="QC_2" hidden="1">{#N/A,#N/A,FALSE,"Pharm";#N/A,#N/A,FALSE,"WWCM"}</definedName>
    <definedName name="qe" localSheetId="10" hidden="1">{"toptrial",#N/A,TRUE,"toptrial";"adjustment",#N/A,TRUE,"toptrial";"voucher",#N/A,TRUE,"toptrial"}</definedName>
    <definedName name="qe" localSheetId="9" hidden="1">{"toptrial",#N/A,TRUE,"toptrial";"adjustment",#N/A,TRUE,"toptrial";"voucher",#N/A,TRUE,"toptrial"}</definedName>
    <definedName name="qe" hidden="1">{"toptrial",#N/A,TRUE,"toptrial";"adjustment",#N/A,TRUE,"toptrial";"voucher",#N/A,TRUE,"toptrial"}</definedName>
    <definedName name="qe_1" localSheetId="10" hidden="1">{"toptrial",#N/A,TRUE,"toptrial";"adjustment",#N/A,TRUE,"toptrial";"voucher",#N/A,TRUE,"toptrial"}</definedName>
    <definedName name="qe_1" localSheetId="9" hidden="1">{"toptrial",#N/A,TRUE,"toptrial";"adjustment",#N/A,TRUE,"toptrial";"voucher",#N/A,TRUE,"toptrial"}</definedName>
    <definedName name="qe_1" hidden="1">{"toptrial",#N/A,TRUE,"toptrial";"adjustment",#N/A,TRUE,"toptrial";"voucher",#N/A,TRUE,"toptrial"}</definedName>
    <definedName name="qertweyu" localSheetId="10" hidden="1">{#N/A,#N/A,FALSE,"REPORT"}</definedName>
    <definedName name="qertweyu" localSheetId="9" hidden="1">{#N/A,#N/A,FALSE,"REPORT"}</definedName>
    <definedName name="qertweyu" hidden="1">{#N/A,#N/A,FALSE,"REPORT"}</definedName>
    <definedName name="qetryywt" localSheetId="10" hidden="1">{#N/A,#N/A,FALSE,"REPORT"}</definedName>
    <definedName name="qetryywt" localSheetId="9" hidden="1">{#N/A,#N/A,FALSE,"REPORT"}</definedName>
    <definedName name="qetryywt" hidden="1">{#N/A,#N/A,FALSE,"REPORT"}</definedName>
    <definedName name="qkrk" localSheetId="1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krk" localSheetId="9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krk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krk_1" localSheetId="1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krk_1" localSheetId="9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krk_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QQAAASSS" localSheetId="10" hidden="1">{#N/A,#N/A,TRUE,"Y생산";#N/A,#N/A,TRUE,"Y판매";#N/A,#N/A,TRUE,"Y총물량";#N/A,#N/A,TRUE,"Y능력";#N/A,#N/A,TRUE,"YKD"}</definedName>
    <definedName name="QQQAAASSS" localSheetId="9" hidden="1">{#N/A,#N/A,TRUE,"Y생산";#N/A,#N/A,TRUE,"Y판매";#N/A,#N/A,TRUE,"Y총물량";#N/A,#N/A,TRUE,"Y능력";#N/A,#N/A,TRUE,"YKD"}</definedName>
    <definedName name="QQQAAASSS" hidden="1">{#N/A,#N/A,TRUE,"Y생산";#N/A,#N/A,TRUE,"Y판매";#N/A,#N/A,TRUE,"Y총물량";#N/A,#N/A,TRUE,"Y능력";#N/A,#N/A,TRUE,"YKD"}</definedName>
    <definedName name="qqqqq" localSheetId="10" hidden="1">{"cashflow",#N/A,FALSE,"cash flow"}</definedName>
    <definedName name="qqqqq" localSheetId="9" hidden="1">{"cashflow",#N/A,FALSE,"cash flow"}</definedName>
    <definedName name="qqqqq" hidden="1">{"cashflow",#N/A,FALSE,"cash flow"}</definedName>
    <definedName name="QQQQQQQ" localSheetId="10" hidden="1">{#N/A,#N/A,TRUE,"Y생산";#N/A,#N/A,TRUE,"Y판매";#N/A,#N/A,TRUE,"Y총물량";#N/A,#N/A,TRUE,"Y능력";#N/A,#N/A,TRUE,"YKD"}</definedName>
    <definedName name="QQQQQQQ" localSheetId="9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qwtweryey" localSheetId="10" hidden="1">{#N/A,#N/A,FALSE,"REPORT"}</definedName>
    <definedName name="qqwtweryey" localSheetId="9" hidden="1">{#N/A,#N/A,FALSE,"REPORT"}</definedName>
    <definedName name="qqwtweryey" hidden="1">{#N/A,#N/A,FALSE,"REPORT"}</definedName>
    <definedName name="qw" localSheetId="10" hidden="1">{"'下期集計（10.27迄・速報値）'!$Q$16"}</definedName>
    <definedName name="qw" localSheetId="9" hidden="1">{"'下期集計（10.27迄・速報値）'!$Q$16"}</definedName>
    <definedName name="qw" hidden="1">{"'下期集計（10.27迄・速報値）'!$Q$16"}</definedName>
    <definedName name="qw_1" localSheetId="10" hidden="1">{"'下期集計（10.27迄・速報値）'!$Q$16"}</definedName>
    <definedName name="qw_1" localSheetId="9" hidden="1">{"'下期集計（10.27迄・速報値）'!$Q$16"}</definedName>
    <definedName name="qw_1" hidden="1">{"'下期集計（10.27迄・速報値）'!$Q$16"}</definedName>
    <definedName name="QWE" localSheetId="10" hidden="1">{"Monthly6Q",#N/A,FALSE,"0614ESL"}</definedName>
    <definedName name="QWE" localSheetId="9" hidden="1">{"Monthly6Q",#N/A,FALSE,"0614ESL"}</definedName>
    <definedName name="QWE" hidden="1">{"Monthly6Q",#N/A,FALSE,"0614ESL"}</definedName>
    <definedName name="QWE_1" localSheetId="10" hidden="1">{"Monthly6Q",#N/A,FALSE,"0614ESL"}</definedName>
    <definedName name="QWE_1" localSheetId="9" hidden="1">{"Monthly6Q",#N/A,FALSE,"0614ESL"}</definedName>
    <definedName name="QWE_1" hidden="1">{"Monthly6Q",#N/A,FALSE,"0614ESL"}</definedName>
    <definedName name="QWER" localSheetId="10" hidden="1">{#N/A,#N/A,FALSE,"이태원철근"}</definedName>
    <definedName name="QWER" localSheetId="9" hidden="1">{#N/A,#N/A,FALSE,"이태원철근"}</definedName>
    <definedName name="QWER" hidden="1">{#N/A,#N/A,FALSE,"이태원철근"}</definedName>
    <definedName name="qwertqry" localSheetId="10" hidden="1">{#N/A,#N/A,FALSE,"REPORT"}</definedName>
    <definedName name="qwertqry" localSheetId="9" hidden="1">{#N/A,#N/A,FALSE,"REPORT"}</definedName>
    <definedName name="qwertqry" hidden="1">{#N/A,#N/A,FALSE,"REPORT"}</definedName>
    <definedName name="qwetqryetytu" localSheetId="10" hidden="1">{#N/A,#N/A,FALSE,"Pharm";#N/A,#N/A,FALSE,"WWCM"}</definedName>
    <definedName name="qwetqryetytu" localSheetId="9" hidden="1">{#N/A,#N/A,FALSE,"Pharm";#N/A,#N/A,FALSE,"WWCM"}</definedName>
    <definedName name="qwetqryetytu" hidden="1">{#N/A,#N/A,FALSE,"Pharm";#N/A,#N/A,FALSE,"WWCM"}</definedName>
    <definedName name="qyk" localSheetId="10" hidden="1">{"'용역비'!$A$4:$C$8"}</definedName>
    <definedName name="qyk" localSheetId="9" hidden="1">{"'용역비'!$A$4:$C$8"}</definedName>
    <definedName name="qyk" hidden="1">{"'용역비'!$A$4:$C$8"}</definedName>
    <definedName name="r.CashFlow" hidden="1">#REF!</definedName>
    <definedName name="r.Leverage" hidden="1">#REF!</definedName>
    <definedName name="r.Liquidity" hidden="1">#REF!</definedName>
    <definedName name="r.Market" hidden="1">#REF!</definedName>
    <definedName name="r.Profitability" hidden="1">#REF!</definedName>
    <definedName name="r.Summary" hidden="1">#REF!</definedName>
    <definedName name="R_COVER" localSheetId="10" hidden="1">{#N/A,#N/A,FALSE,"단축1";#N/A,#N/A,FALSE,"단축2";#N/A,#N/A,FALSE,"단축3";#N/A,#N/A,FALSE,"장축";#N/A,#N/A,FALSE,"4WD"}</definedName>
    <definedName name="R_COVER" localSheetId="9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arewt" localSheetId="10" hidden="1">{#N/A,#N/A,FALSE,"CCTV"}</definedName>
    <definedName name="rarewt" localSheetId="9" hidden="1">{#N/A,#N/A,FALSE,"CCTV"}</definedName>
    <definedName name="rarewt" hidden="1">{#N/A,#N/A,FALSE,"CCTV"}</definedName>
    <definedName name="ＲＡＲＯＡ" localSheetId="10" hidden="1">{"'下期集計（10.27迄・速報値）'!$Q$16"}</definedName>
    <definedName name="ＲＡＲＯＡ" localSheetId="9" hidden="1">{"'下期集計（10.27迄・速報値）'!$Q$16"}</definedName>
    <definedName name="ＲＡＲＯＡ" hidden="1">{"'下期集計（10.27迄・速報値）'!$Q$16"}</definedName>
    <definedName name="ＲＡＲＯＡ_1" localSheetId="10" hidden="1">{"'下期集計（10.27迄・速報値）'!$Q$16"}</definedName>
    <definedName name="ＲＡＲＯＡ_1" localSheetId="9" hidden="1">{"'下期集計（10.27迄・速報値）'!$Q$16"}</definedName>
    <definedName name="ＲＡＲＯＡ_1" hidden="1">{"'下期集計（10.27迄・速報値）'!$Q$16"}</definedName>
    <definedName name="RCArea" hidden="1">#REF!</definedName>
    <definedName name="reconciliation" localSheetId="10" hidden="1">{#N/A,#N/A,FALSE,"供料净化车间"}</definedName>
    <definedName name="reconciliation" localSheetId="9" hidden="1">{#N/A,#N/A,FALSE,"供料净化车间"}</definedName>
    <definedName name="reconciliation" hidden="1">{#N/A,#N/A,FALSE,"供料净化车间"}</definedName>
    <definedName name="reconciliation_1" localSheetId="10" hidden="1">{#N/A,#N/A,FALSE,"供料净化车间"}</definedName>
    <definedName name="reconciliation_1" localSheetId="9" hidden="1">{#N/A,#N/A,FALSE,"供料净化车间"}</definedName>
    <definedName name="reconciliation_1" hidden="1">{#N/A,#N/A,FALSE,"供料净化车间"}</definedName>
    <definedName name="RedefinePrintTableRange" hidden="1">#REF!</definedName>
    <definedName name="redo" localSheetId="10" hidden="1">{#N/A,#N/A,FALSE,"ACQ_GRAPHS";#N/A,#N/A,FALSE,"T_1 GRAPHS";#N/A,#N/A,FALSE,"T_2 GRAPHS";#N/A,#N/A,FALSE,"COMB_GRAPHS"}</definedName>
    <definedName name="redo" localSheetId="9" hidden="1">{#N/A,#N/A,FALSE,"ACQ_GRAPHS";#N/A,#N/A,FALSE,"T_1 GRAPHS";#N/A,#N/A,FALSE,"T_2 GRAPHS";#N/A,#N/A,FALSE,"COMB_GRAPHS"}</definedName>
    <definedName name="redo" hidden="1">{#N/A,#N/A,FALSE,"ACQ_GRAPHS";#N/A,#N/A,FALSE,"T_1 GRAPHS";#N/A,#N/A,FALSE,"T_2 GRAPHS";#N/A,#N/A,FALSE,"COMB_GRAPHS"}</definedName>
    <definedName name="reggie" localSheetId="10" hidden="1">{#N/A,#N/A,FALSE,"Pharm";#N/A,#N/A,FALSE,"WWCM"}</definedName>
    <definedName name="reggie" localSheetId="9" hidden="1">{#N/A,#N/A,FALSE,"Pharm";#N/A,#N/A,FALSE,"WWCM"}</definedName>
    <definedName name="reggie" hidden="1">{#N/A,#N/A,FALSE,"Pharm";#N/A,#N/A,FALSE,"WWCM"}</definedName>
    <definedName name="RepairedName0004" hidden="1">"iQShowAnnual"</definedName>
    <definedName name="RepairedName0035" hidden="1">"iQShowAnnual"</definedName>
    <definedName name="RepairedName0074" hidden="1">"iQShowAnnual"</definedName>
    <definedName name="RepairedName2249" hidden="1">"iQShowAnnual"</definedName>
    <definedName name="ReportGroup" hidden="1">0</definedName>
    <definedName name="resp." localSheetId="10" hidden="1">{#N/A,#N/A,FALSE,"Pharm";#N/A,#N/A,FALSE,"WWCM"}</definedName>
    <definedName name="resp." localSheetId="9" hidden="1">{#N/A,#N/A,FALSE,"Pharm";#N/A,#N/A,FALSE,"WWCM"}</definedName>
    <definedName name="resp." hidden="1">{#N/A,#N/A,FALSE,"Pharm";#N/A,#N/A,FALSE,"WWCM"}</definedName>
    <definedName name="retertw" localSheetId="10" hidden="1">{"summary",#N/A,FALSE,"2000 vs 1999";"detail",#N/A,FALSE,"2000 vs 1999"}</definedName>
    <definedName name="retertw" localSheetId="9" hidden="1">{"summary",#N/A,FALSE,"2000 vs 1999";"detail",#N/A,FALSE,"2000 vs 1999"}</definedName>
    <definedName name="retertw" hidden="1">{"summary",#N/A,FALSE,"2000 vs 1999";"detail",#N/A,FALSE,"2000 vs 1999"}</definedName>
    <definedName name="retertw_1" localSheetId="10" hidden="1">{"summary",#N/A,FALSE,"2000 vs 1999";"detail",#N/A,FALSE,"2000 vs 1999"}</definedName>
    <definedName name="retertw_1" localSheetId="9" hidden="1">{"summary",#N/A,FALSE,"2000 vs 1999";"detail",#N/A,FALSE,"2000 vs 1999"}</definedName>
    <definedName name="retertw_1" hidden="1">{"summary",#N/A,FALSE,"2000 vs 1999";"detail",#N/A,FALSE,"2000 vs 1999"}</definedName>
    <definedName name="revise" hidden="1">#REF!</definedName>
    <definedName name="revise2" hidden="1">#REF!</definedName>
    <definedName name="revise3" hidden="1">#REF!</definedName>
    <definedName name="revise4" localSheetId="10" hidden="1">#REF!</definedName>
    <definedName name="revise4" hidden="1">#REF!</definedName>
    <definedName name="revise5" localSheetId="10" hidden="1">#REF!</definedName>
    <definedName name="revise5" hidden="1">#REF!</definedName>
    <definedName name="Revlon" localSheetId="10" hidden="1">{"ASCONGRP","COMPANIES",TRUE}</definedName>
    <definedName name="Revlon" localSheetId="9" hidden="1">{"ASCONGRP","COMPANIES",TRUE}</definedName>
    <definedName name="Revlon" hidden="1">{"ASCONGRP","COMPANIES",TRUE}</definedName>
    <definedName name="RF" localSheetId="10" hidden="1">{#N/A,#N/A,FALSE,"기안지";#N/A,#N/A,FALSE,"통신지"}</definedName>
    <definedName name="RF" localSheetId="9" hidden="1">{#N/A,#N/A,FALSE,"기안지";#N/A,#N/A,FALSE,"통신지"}</definedName>
    <definedName name="RF" hidden="1">{#N/A,#N/A,FALSE,"기안지";#N/A,#N/A,FALSE,"통신지"}</definedName>
    <definedName name="rf2e" localSheetId="10" hidden="1">{#N/A,#N/A,FALSE,"Pharm";#N/A,#N/A,FALSE,"WWCM"}</definedName>
    <definedName name="rf2e" localSheetId="9" hidden="1">{#N/A,#N/A,FALSE,"Pharm";#N/A,#N/A,FALSE,"WWCM"}</definedName>
    <definedName name="rf2e" hidden="1">{#N/A,#N/A,FALSE,"Pharm";#N/A,#N/A,FALSE,"WWCM"}</definedName>
    <definedName name="RH" localSheetId="10" hidden="1">{"'용역비'!$A$4:$C$8"}</definedName>
    <definedName name="RH" localSheetId="9" hidden="1">{"'용역비'!$A$4:$C$8"}</definedName>
    <definedName name="RH" hidden="1">{"'용역비'!$A$4:$C$8"}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KSK" hidden="1">#REF!</definedName>
    <definedName name="RLA" localSheetId="10" hidden="1">{#N/A,#N/A,TRUE,"Y생산";#N/A,#N/A,TRUE,"Y판매";#N/A,#N/A,TRUE,"Y총물량";#N/A,#N/A,TRUE,"Y능력";#N/A,#N/A,TRUE,"YKD"}</definedName>
    <definedName name="RLA" localSheetId="9" hidden="1">{#N/A,#N/A,TRUE,"Y생산";#N/A,#N/A,TRUE,"Y판매";#N/A,#N/A,TRUE,"Y총물량";#N/A,#N/A,TRUE,"Y능력";#N/A,#N/A,TRUE,"YKD"}</definedName>
    <definedName name="RLA" hidden="1">{#N/A,#N/A,TRUE,"Y생산";#N/A,#N/A,TRUE,"Y판매";#N/A,#N/A,TRUE,"Y총물량";#N/A,#N/A,TRUE,"Y능력";#N/A,#N/A,TRUE,"YKD"}</definedName>
    <definedName name="rOSTOV" localSheetId="10" hidden="1">{"comp1",#N/A,FALSE,"COMPS";"footnotes",#N/A,FALSE,"COMPS"}</definedName>
    <definedName name="rOSTOV" localSheetId="9" hidden="1">{"comp1",#N/A,FALSE,"COMPS";"footnotes",#N/A,FALSE,"COMPS"}</definedName>
    <definedName name="rOSTOV" hidden="1">{"comp1",#N/A,FALSE,"COMPS";"footnotes",#N/A,FALSE,"COMPS"}</definedName>
    <definedName name="roy" hidden="1">#REF!</definedName>
    <definedName name="rPghlr" localSheetId="10" hidden="1">{#N/A,#N/A,FALSE,"기술료 비교"}</definedName>
    <definedName name="rPghlr" localSheetId="9" hidden="1">{#N/A,#N/A,FALSE,"기술료 비교"}</definedName>
    <definedName name="rPghlr" hidden="1">{#N/A,#N/A,FALSE,"기술료 비교"}</definedName>
    <definedName name="RPSIA" localSheetId="10" hidden="1">{"'Supply Chain'!$B$1:$AB$13"}</definedName>
    <definedName name="RPSIA" localSheetId="9" hidden="1">{"'Supply Chain'!$B$1:$AB$13"}</definedName>
    <definedName name="RPSIA" hidden="1">{"'Supply Chain'!$B$1:$AB$13"}</definedName>
    <definedName name="RPSIA_1" localSheetId="10" hidden="1">{"'Supply Chain'!$B$1:$AB$13"}</definedName>
    <definedName name="RPSIA_1" localSheetId="9" hidden="1">{"'Supply Chain'!$B$1:$AB$13"}</definedName>
    <definedName name="RPSIA_1" hidden="1">{"'Supply Chain'!$B$1:$AB$13"}</definedName>
    <definedName name="rrr" localSheetId="10" hidden="1">{#N/A,#N/A,FALSE,"UNIT";#N/A,#N/A,FALSE,"UNIT";#N/A,#N/A,FALSE,"계정"}</definedName>
    <definedName name="rrr" localSheetId="9" hidden="1">{#N/A,#N/A,FALSE,"UNIT";#N/A,#N/A,FALSE,"UNIT";#N/A,#N/A,FALSE,"계정"}</definedName>
    <definedName name="rrr" hidden="1">{#N/A,#N/A,FALSE,"UNIT";#N/A,#N/A,FALSE,"UNIT";#N/A,#N/A,FALSE,"계정"}</definedName>
    <definedName name="rrrr" localSheetId="10" hidden="1">{#N/A,#N/A,FALSE,"UNIT";#N/A,#N/A,FALSE,"UNIT";#N/A,#N/A,FALSE,"계정"}</definedName>
    <definedName name="rrrr" localSheetId="9" hidden="1">{#N/A,#N/A,FALSE,"UNIT";#N/A,#N/A,FALSE,"UNIT";#N/A,#N/A,FALSE,"계정"}</definedName>
    <definedName name="rrrr" hidden="1">{#N/A,#N/A,FALSE,"UNIT";#N/A,#N/A,FALSE,"UNIT";#N/A,#N/A,FALSE,"계정"}</definedName>
    <definedName name="rrrr_1" localSheetId="10" hidden="1">{#N/A,#N/A,FALSE,"UNIT";#N/A,#N/A,FALSE,"UNIT";#N/A,#N/A,FALSE,"계정"}</definedName>
    <definedName name="rrrr_1" localSheetId="9" hidden="1">{#N/A,#N/A,FALSE,"UNIT";#N/A,#N/A,FALSE,"UNIT";#N/A,#N/A,FALSE,"계정"}</definedName>
    <definedName name="rrrr_1" hidden="1">{#N/A,#N/A,FALSE,"UNIT";#N/A,#N/A,FALSE,"UNIT";#N/A,#N/A,FALSE,"계정"}</definedName>
    <definedName name="rrrrr" localSheetId="10" hidden="1">{#N/A,#N/A,FALSE,"Pharm";#N/A,#N/A,FALSE,"WWCM"}</definedName>
    <definedName name="rrrrr" localSheetId="9" hidden="1">{#N/A,#N/A,FALSE,"Pharm";#N/A,#N/A,FALSE,"WWCM"}</definedName>
    <definedName name="rrrrr" hidden="1">{#N/A,#N/A,FALSE,"Pharm";#N/A,#N/A,FALSE,"WWCM"}</definedName>
    <definedName name="rrrrrrrr" localSheetId="10" hidden="1">{"cap_structure",#N/A,FALSE,"Graph-Mkt Cap";"price",#N/A,FALSE,"Graph-Price";"ebit",#N/A,FALSE,"Graph-EBITDA";"ebitda",#N/A,FALSE,"Graph-EBITDA"}</definedName>
    <definedName name="rrrrrrrr" localSheetId="9" hidden="1">{"cap_structure",#N/A,FALSE,"Graph-Mkt Cap";"price",#N/A,FALSE,"Graph-Price";"ebit",#N/A,FALSE,"Graph-EBITDA";"ebitda",#N/A,FALSE,"Graph-EBITDA"}</definedName>
    <definedName name="rrrrrrrr" hidden="1">{"cap_structure",#N/A,FALSE,"Graph-Mkt Cap";"price",#N/A,FALSE,"Graph-Price";"ebit",#N/A,FALSE,"Graph-EBITDA";"ebitda",#N/A,FALSE,"Graph-EBITDA"}</definedName>
    <definedName name="RS_IQ_DIV_Payment_Date" hidden="1">"c2205"</definedName>
    <definedName name="RS_IQ_Div_Record_Date" hidden="1">"c2204"</definedName>
    <definedName name="RS_IQ_XDiv_Date" hidden="1">"c2203"</definedName>
    <definedName name="RS2_IQ_div_payment_date" hidden="1">"c2205"</definedName>
    <definedName name="RS2_IQ_div_record_date" hidden="1">"c2204"</definedName>
    <definedName name="RS2_IQ_Xdiv_date" hidden="1">"c2203"</definedName>
    <definedName name="RT" localSheetId="10" hidden="1">{#N/A,#N/A,FALSE,"이태원철근"}</definedName>
    <definedName name="RT" localSheetId="9" hidden="1">{#N/A,#N/A,FALSE,"이태원철근"}</definedName>
    <definedName name="RT" hidden="1">{#N/A,#N/A,FALSE,"이태원철근"}</definedName>
    <definedName name="rth" localSheetId="10" hidden="1">{"'용역비'!$A$4:$C$8"}</definedName>
    <definedName name="rth" localSheetId="9" hidden="1">{"'용역비'!$A$4:$C$8"}</definedName>
    <definedName name="rth" hidden="1">{"'용역비'!$A$4:$C$8"}</definedName>
    <definedName name="rtwe" localSheetId="10" hidden="1">{"summary",#N/A,FALSE,"2000 vs 1999";"detail",#N/A,FALSE,"2000 vs 1999"}</definedName>
    <definedName name="rtwe" localSheetId="9" hidden="1">{"summary",#N/A,FALSE,"2000 vs 1999";"detail",#N/A,FALSE,"2000 vs 1999"}</definedName>
    <definedName name="rtwe" hidden="1">{"summary",#N/A,FALSE,"2000 vs 1999";"detail",#N/A,FALSE,"2000 vs 1999"}</definedName>
    <definedName name="rtwe_1" localSheetId="10" hidden="1">{"summary",#N/A,FALSE,"2000 vs 1999";"detail",#N/A,FALSE,"2000 vs 1999"}</definedName>
    <definedName name="rtwe_1" localSheetId="9" hidden="1">{"summary",#N/A,FALSE,"2000 vs 1999";"detail",#N/A,FALSE,"2000 vs 1999"}</definedName>
    <definedName name="rtwe_1" hidden="1">{"summary",#N/A,FALSE,"2000 vs 1999";"detail",#N/A,FALSE,"2000 vs 1999"}</definedName>
    <definedName name="rty" localSheetId="10" hidden="1">{"'용역비'!$A$4:$C$8"}</definedName>
    <definedName name="rty" localSheetId="9" hidden="1">{"'용역비'!$A$4:$C$8"}</definedName>
    <definedName name="rty" hidden="1">{"'용역비'!$A$4:$C$8"}</definedName>
    <definedName name="RTYRYRT" localSheetId="10" hidden="1">{#N/A,#N/A,FALSE,"JANLN2"}</definedName>
    <definedName name="RTYRYRT" localSheetId="9" hidden="1">{#N/A,#N/A,FALSE,"JANLN2"}</definedName>
    <definedName name="RTYRYRT" hidden="1">{#N/A,#N/A,FALSE,"JANLN2"}</definedName>
    <definedName name="RTYRYRT_1" localSheetId="10" hidden="1">{#N/A,#N/A,FALSE,"JANLN2"}</definedName>
    <definedName name="RTYRYRT_1" localSheetId="9" hidden="1">{#N/A,#N/A,FALSE,"JANLN2"}</definedName>
    <definedName name="RTYRYRT_1" hidden="1">{#N/A,#N/A,FALSE,"JANLN2"}</definedName>
    <definedName name="RTYRYTRY" localSheetId="10" hidden="1">{"summary",#N/A,FALSE,"2000 vs 1999";"detail",#N/A,FALSE,"2000 vs 1999"}</definedName>
    <definedName name="RTYRYTRY" localSheetId="9" hidden="1">{"summary",#N/A,FALSE,"2000 vs 1999";"detail",#N/A,FALSE,"2000 vs 1999"}</definedName>
    <definedName name="RTYRYTRY" hidden="1">{"summary",#N/A,FALSE,"2000 vs 1999";"detail",#N/A,FALSE,"2000 vs 1999"}</definedName>
    <definedName name="RTYRYTRY_1" localSheetId="10" hidden="1">{"summary",#N/A,FALSE,"2000 vs 1999";"detail",#N/A,FALSE,"2000 vs 1999"}</definedName>
    <definedName name="RTYRYTRY_1" localSheetId="9" hidden="1">{"summary",#N/A,FALSE,"2000 vs 1999";"detail",#N/A,FALSE,"2000 vs 1999"}</definedName>
    <definedName name="RTYRYTRY_1" hidden="1">{"summary",#N/A,FALSE,"2000 vs 1999";"detail",#N/A,FALSE,"2000 vs 1999"}</definedName>
    <definedName name="russ" localSheetId="10" hidden="1">{"'Inventory &amp; Anal-Cur Wkbk'!$A$7:$AP$71"}</definedName>
    <definedName name="russ" localSheetId="9" hidden="1">{"'Inventory &amp; Anal-Cur Wkbk'!$A$7:$AP$71"}</definedName>
    <definedName name="russ" hidden="1">{"'Inventory &amp; Anal-Cur Wkbk'!$A$7:$AP$71"}</definedName>
    <definedName name="russ_1" localSheetId="10" hidden="1">{"'Inventory &amp; Anal-Cur Wkbk'!$A$7:$AP$71"}</definedName>
    <definedName name="russ_1" localSheetId="9" hidden="1">{"'Inventory &amp; Anal-Cur Wkbk'!$A$7:$AP$71"}</definedName>
    <definedName name="russ_1" hidden="1">{"'Inventory &amp; Anal-Cur Wkbk'!$A$7:$AP$71"}</definedName>
    <definedName name="rwert" localSheetId="10" hidden="1">{#N/A,#N/A,FALSE,"Pharm";#N/A,#N/A,FALSE,"WWCM"}</definedName>
    <definedName name="rwert" localSheetId="9" hidden="1">{#N/A,#N/A,FALSE,"Pharm";#N/A,#N/A,FALSE,"WWCM"}</definedName>
    <definedName name="rwert" hidden="1">{#N/A,#N/A,FALSE,"Pharm";#N/A,#N/A,FALSE,"WWCM"}</definedName>
    <definedName name="RYRTYRT" localSheetId="10" hidden="1">{#N/A,#N/A,FALSE,"JANLN2"}</definedName>
    <definedName name="RYRTYRT" localSheetId="9" hidden="1">{#N/A,#N/A,FALSE,"JANLN2"}</definedName>
    <definedName name="RYRTYRT" hidden="1">{#N/A,#N/A,FALSE,"JANLN2"}</definedName>
    <definedName name="RYRTYRT_1" localSheetId="10" hidden="1">{#N/A,#N/A,FALSE,"JANLN2"}</definedName>
    <definedName name="RYRTYRT_1" localSheetId="9" hidden="1">{#N/A,#N/A,FALSE,"JANLN2"}</definedName>
    <definedName name="RYRTYRT_1" hidden="1">{#N/A,#N/A,FALSE,"JANLN2"}</definedName>
    <definedName name="RYRYRTY" localSheetId="10" hidden="1">{"summary",#N/A,FALSE,"2000 vs 1999";"detail",#N/A,FALSE,"2000 vs 1999"}</definedName>
    <definedName name="RYRYRTY" localSheetId="9" hidden="1">{"summary",#N/A,FALSE,"2000 vs 1999";"detail",#N/A,FALSE,"2000 vs 1999"}</definedName>
    <definedName name="RYRYRTY" hidden="1">{"summary",#N/A,FALSE,"2000 vs 1999";"detail",#N/A,FALSE,"2000 vs 1999"}</definedName>
    <definedName name="RYRYRTY_1" localSheetId="10" hidden="1">{"summary",#N/A,FALSE,"2000 vs 1999";"detail",#N/A,FALSE,"2000 vs 1999"}</definedName>
    <definedName name="RYRYRTY_1" localSheetId="9" hidden="1">{"summary",#N/A,FALSE,"2000 vs 1999";"detail",#N/A,FALSE,"2000 vs 1999"}</definedName>
    <definedName name="RYRYRTY_1" hidden="1">{"summary",#N/A,FALSE,"2000 vs 1999";"detail",#N/A,FALSE,"2000 vs 1999"}</definedName>
    <definedName name="RYTR" localSheetId="10" hidden="1">{"summary",#N/A,FALSE,"2000 vs 1999";"detail",#N/A,FALSE,"2000 vs 1999"}</definedName>
    <definedName name="RYTR" localSheetId="9" hidden="1">{"summary",#N/A,FALSE,"2000 vs 1999";"detail",#N/A,FALSE,"2000 vs 1999"}</definedName>
    <definedName name="RYTR" hidden="1">{"summary",#N/A,FALSE,"2000 vs 1999";"detail",#N/A,FALSE,"2000 vs 1999"}</definedName>
    <definedName name="RYTR_1" localSheetId="10" hidden="1">{"summary",#N/A,FALSE,"2000 vs 1999";"detail",#N/A,FALSE,"2000 vs 1999"}</definedName>
    <definedName name="RYTR_1" localSheetId="9" hidden="1">{"summary",#N/A,FALSE,"2000 vs 1999";"detail",#N/A,FALSE,"2000 vs 1999"}</definedName>
    <definedName name="RYTR_1" hidden="1">{"summary",#N/A,FALSE,"2000 vs 1999";"detail",#N/A,FALSE,"2000 vs 1999"}</definedName>
    <definedName name="RYTRTYTY" localSheetId="10" hidden="1">{"summary",#N/A,FALSE,"2000 vs 1999";"detail",#N/A,FALSE,"2000 vs 1999"}</definedName>
    <definedName name="RYTRTYTY" localSheetId="9" hidden="1">{"summary",#N/A,FALSE,"2000 vs 1999";"detail",#N/A,FALSE,"2000 vs 1999"}</definedName>
    <definedName name="RYTRTYTY" hidden="1">{"summary",#N/A,FALSE,"2000 vs 1999";"detail",#N/A,FALSE,"2000 vs 1999"}</definedName>
    <definedName name="RYTRTYTY_1" localSheetId="10" hidden="1">{"summary",#N/A,FALSE,"2000 vs 1999";"detail",#N/A,FALSE,"2000 vs 1999"}</definedName>
    <definedName name="RYTRTYTY_1" localSheetId="9" hidden="1">{"summary",#N/A,FALSE,"2000 vs 1999";"detail",#N/A,FALSE,"2000 vs 1999"}</definedName>
    <definedName name="RYTRTYTY_1" hidden="1">{"summary",#N/A,FALSE,"2000 vs 1999";"detail",#N/A,FALSE,"2000 vs 1999"}</definedName>
    <definedName name="ryuk" localSheetId="10" hidden="1">{"'용역비'!$A$4:$C$8"}</definedName>
    <definedName name="ryuk" localSheetId="9" hidden="1">{"'용역비'!$A$4:$C$8"}</definedName>
    <definedName name="ryuk" hidden="1">{"'용역비'!$A$4:$C$8"}</definedName>
    <definedName name="s_Pro." localSheetId="10" hidden="1">{#N/A,#N/A,FALSE,"UNIT";#N/A,#N/A,FALSE,"UNIT";#N/A,#N/A,FALSE,"계정"}</definedName>
    <definedName name="s_Pro." localSheetId="9" hidden="1">{#N/A,#N/A,FALSE,"UNIT";#N/A,#N/A,FALSE,"UNIT";#N/A,#N/A,FALSE,"계정"}</definedName>
    <definedName name="s_Pro." hidden="1">{#N/A,#N/A,FALSE,"UNIT";#N/A,#N/A,FALSE,"UNIT";#N/A,#N/A,FALSE,"계정"}</definedName>
    <definedName name="s_Pro._1" localSheetId="10" hidden="1">{#N/A,#N/A,FALSE,"UNIT";#N/A,#N/A,FALSE,"UNIT";#N/A,#N/A,FALSE,"계정"}</definedName>
    <definedName name="s_Pro._1" localSheetId="9" hidden="1">{#N/A,#N/A,FALSE,"UNIT";#N/A,#N/A,FALSE,"UNIT";#N/A,#N/A,FALSE,"계정"}</definedName>
    <definedName name="s_Pro._1" hidden="1">{#N/A,#N/A,FALSE,"UNIT";#N/A,#N/A,FALSE,"UNIT";#N/A,#N/A,FALSE,"계정"}</definedName>
    <definedName name="s50c1" localSheetId="10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s50c1" localSheetId="9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s50c1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s50c1_1" localSheetId="10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s50c1_1" localSheetId="9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s50c1_1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SA" hidden="1">#REF!</definedName>
    <definedName name="sadd" localSheetId="10" hidden="1">{"DCF","UPSIDE CASE",FALSE,"Sheet1";"DCF","BASE CASE",FALSE,"Sheet1";"DCF","DOWNSIDE CASE",FALSE,"Sheet1"}</definedName>
    <definedName name="sadd" localSheetId="9" hidden="1">{"DCF","UPSIDE CASE",FALSE,"Sheet1";"DCF","BASE CASE",FALSE,"Sheet1";"DCF","DOWNSIDE CASE",FALSE,"Sheet1"}</definedName>
    <definedName name="sadd" hidden="1">{"DCF","UPSIDE CASE",FALSE,"Sheet1";"DCF","BASE CASE",FALSE,"Sheet1";"DCF","DOWNSIDE CASE",FALSE,"Sheet1"}</definedName>
    <definedName name="sadd_1" localSheetId="10" hidden="1">{"DCF","UPSIDE CASE",FALSE,"Sheet1";"DCF","BASE CASE",FALSE,"Sheet1";"DCF","DOWNSIDE CASE",FALSE,"Sheet1"}</definedName>
    <definedName name="sadd_1" localSheetId="9" hidden="1">{"DCF","UPSIDE CASE",FALSE,"Sheet1";"DCF","BASE CASE",FALSE,"Sheet1";"DCF","DOWNSIDE CASE",FALSE,"Sheet1"}</definedName>
    <definedName name="sadd_1" hidden="1">{"DCF","UPSIDE CASE",FALSE,"Sheet1";"DCF","BASE CASE",FALSE,"Sheet1";"DCF","DOWNSIDE CASE",FALSE,"Sheet1"}</definedName>
    <definedName name="safds" localSheetId="10" hidden="1">{"summary",#N/A,FALSE,"2000 vs 1999";"detail",#N/A,FALSE,"2000 vs 1999"}</definedName>
    <definedName name="safds" localSheetId="9" hidden="1">{"summary",#N/A,FALSE,"2000 vs 1999";"detail",#N/A,FALSE,"2000 vs 1999"}</definedName>
    <definedName name="safds" hidden="1">{"summary",#N/A,FALSE,"2000 vs 1999";"detail",#N/A,FALSE,"2000 vs 1999"}</definedName>
    <definedName name="safds_1" localSheetId="10" hidden="1">{"summary",#N/A,FALSE,"2000 vs 1999";"detail",#N/A,FALSE,"2000 vs 1999"}</definedName>
    <definedName name="safds_1" localSheetId="9" hidden="1">{"summary",#N/A,FALSE,"2000 vs 1999";"detail",#N/A,FALSE,"2000 vs 1999"}</definedName>
    <definedName name="safds_1" hidden="1">{"summary",#N/A,FALSE,"2000 vs 1999";"detail",#N/A,FALSE,"2000 vs 1999"}</definedName>
    <definedName name="safdsagsa" localSheetId="10" hidden="1">{"summary",#N/A,FALSE,"2000 vs 1999";"detail",#N/A,FALSE,"2000 vs 1999"}</definedName>
    <definedName name="safdsagsa" localSheetId="9" hidden="1">{"summary",#N/A,FALSE,"2000 vs 1999";"detail",#N/A,FALSE,"2000 vs 1999"}</definedName>
    <definedName name="safdsagsa" hidden="1">{"summary",#N/A,FALSE,"2000 vs 1999";"detail",#N/A,FALSE,"2000 vs 1999"}</definedName>
    <definedName name="safdsagsa_1" localSheetId="10" hidden="1">{"summary",#N/A,FALSE,"2000 vs 1999";"detail",#N/A,FALSE,"2000 vs 1999"}</definedName>
    <definedName name="safdsagsa_1" localSheetId="9" hidden="1">{"summary",#N/A,FALSE,"2000 vs 1999";"detail",#N/A,FALSE,"2000 vs 1999"}</definedName>
    <definedName name="safdsagsa_1" hidden="1">{"summary",#N/A,FALSE,"2000 vs 1999";"detail",#N/A,FALSE,"2000 vs 1999"}</definedName>
    <definedName name="safdsg" localSheetId="10" hidden="1">{"summary",#N/A,FALSE,"2000 vs 1999";"detail",#N/A,FALSE,"2000 vs 1999"}</definedName>
    <definedName name="safdsg" localSheetId="9" hidden="1">{"summary",#N/A,FALSE,"2000 vs 1999";"detail",#N/A,FALSE,"2000 vs 1999"}</definedName>
    <definedName name="safdsg" hidden="1">{"summary",#N/A,FALSE,"2000 vs 1999";"detail",#N/A,FALSE,"2000 vs 1999"}</definedName>
    <definedName name="safdsg_1" localSheetId="10" hidden="1">{"summary",#N/A,FALSE,"2000 vs 1999";"detail",#N/A,FALSE,"2000 vs 1999"}</definedName>
    <definedName name="safdsg_1" localSheetId="9" hidden="1">{"summary",#N/A,FALSE,"2000 vs 1999";"detail",#N/A,FALSE,"2000 vs 1999"}</definedName>
    <definedName name="safdsg_1" hidden="1">{"summary",#N/A,FALSE,"2000 vs 1999";"detail",#N/A,FALSE,"2000 vs 1999"}</definedName>
    <definedName name="sagdsgds" localSheetId="10" hidden="1">{"summary",#N/A,FALSE,"2000 vs 1999";"detail",#N/A,FALSE,"2000 vs 1999"}</definedName>
    <definedName name="sagdsgds" localSheetId="9" hidden="1">{"summary",#N/A,FALSE,"2000 vs 1999";"detail",#N/A,FALSE,"2000 vs 1999"}</definedName>
    <definedName name="sagdsgds" hidden="1">{"summary",#N/A,FALSE,"2000 vs 1999";"detail",#N/A,FALSE,"2000 vs 1999"}</definedName>
    <definedName name="sagdsgds_1" localSheetId="10" hidden="1">{"summary",#N/A,FALSE,"2000 vs 1999";"detail",#N/A,FALSE,"2000 vs 1999"}</definedName>
    <definedName name="sagdsgds_1" localSheetId="9" hidden="1">{"summary",#N/A,FALSE,"2000 vs 1999";"detail",#N/A,FALSE,"2000 vs 1999"}</definedName>
    <definedName name="sagdsgds_1" hidden="1">{"summary",#N/A,FALSE,"2000 vs 1999";"detail",#N/A,FALSE,"2000 vs 1999"}</definedName>
    <definedName name="sagfdsgads" localSheetId="10" hidden="1">{"summary",#N/A,FALSE,"2000 vs 1999";"detail",#N/A,FALSE,"2000 vs 1999"}</definedName>
    <definedName name="sagfdsgads" localSheetId="9" hidden="1">{"summary",#N/A,FALSE,"2000 vs 1999";"detail",#N/A,FALSE,"2000 vs 1999"}</definedName>
    <definedName name="sagfdsgads" hidden="1">{"summary",#N/A,FALSE,"2000 vs 1999";"detail",#N/A,FALSE,"2000 vs 1999"}</definedName>
    <definedName name="sagfdsgads_1" localSheetId="10" hidden="1">{"summary",#N/A,FALSE,"2000 vs 1999";"detail",#N/A,FALSE,"2000 vs 1999"}</definedName>
    <definedName name="sagfdsgads_1" localSheetId="9" hidden="1">{"summary",#N/A,FALSE,"2000 vs 1999";"detail",#N/A,FALSE,"2000 vs 1999"}</definedName>
    <definedName name="sagfdsgads_1" hidden="1">{"summary",#N/A,FALSE,"2000 vs 1999";"detail",#N/A,FALSE,"2000 vs 1999"}</definedName>
    <definedName name="sally" localSheetId="10" hidden="1">{#N/A,#N/A,FALSE,"Pharm";#N/A,#N/A,FALSE,"WWCM"}</definedName>
    <definedName name="sally" localSheetId="9" hidden="1">{#N/A,#N/A,FALSE,"Pharm";#N/A,#N/A,FALSE,"WWCM"}</definedName>
    <definedName name="sally" hidden="1">{#N/A,#N/A,FALSE,"Pharm";#N/A,#N/A,FALSE,"WWCM"}</definedName>
    <definedName name="SAPBEXdnldView" hidden="1">"08SZ3NKQUGWZHKXT7YOBM8PHC"</definedName>
    <definedName name="SAPBEXhrIndnt" hidden="1">"Wide"</definedName>
    <definedName name="SAPBEXrevision" hidden="1">2</definedName>
    <definedName name="SAPBEXsysID" hidden="1">"BP0"</definedName>
    <definedName name="SAPBEXwbID" hidden="1">"3VW2QXS9UBU3SPGWH531QKIIM"</definedName>
    <definedName name="SAPFuncF4Help" hidden="1">#N/A</definedName>
    <definedName name="SAPsysID" hidden="1">"708C5W7SBKP804JT78WJ0JNKI"</definedName>
    <definedName name="SAPwbID" hidden="1">"ARS"</definedName>
    <definedName name="sbe" localSheetId="10" hidden="1">{#N/A,#N/A,FALSE,"P&amp;L Variance";#N/A,#N/A,FALSE,"Location P&amp;L (Actual)";#N/A,#N/A,FALSE,"Location P&amp;L (Budget)";#N/A,#N/A,FALSE,"Location P&amp;L (Variance)";#N/A,#N/A,FALSE,"By Month P&amp;L"}</definedName>
    <definedName name="sbe" localSheetId="9" hidden="1">{#N/A,#N/A,FALSE,"P&amp;L Variance";#N/A,#N/A,FALSE,"Location P&amp;L (Actual)";#N/A,#N/A,FALSE,"Location P&amp;L (Budget)";#N/A,#N/A,FALSE,"Location P&amp;L (Variance)";#N/A,#N/A,FALSE,"By Month P&amp;L"}</definedName>
    <definedName name="sbe" hidden="1">{#N/A,#N/A,FALSE,"P&amp;L Variance";#N/A,#N/A,FALSE,"Location P&amp;L (Actual)";#N/A,#N/A,FALSE,"Location P&amp;L (Budget)";#N/A,#N/A,FALSE,"Location P&amp;L (Variance)";#N/A,#N/A,FALSE,"By Month P&amp;L"}</definedName>
    <definedName name="sbe_1" localSheetId="10" hidden="1">{#N/A,#N/A,FALSE,"P&amp;L Variance";#N/A,#N/A,FALSE,"Location P&amp;L (Actual)";#N/A,#N/A,FALSE,"Location P&amp;L (Budget)";#N/A,#N/A,FALSE,"Location P&amp;L (Variance)";#N/A,#N/A,FALSE,"By Month P&amp;L"}</definedName>
    <definedName name="sbe_1" localSheetId="9" hidden="1">{#N/A,#N/A,FALSE,"P&amp;L Variance";#N/A,#N/A,FALSE,"Location P&amp;L (Actual)";#N/A,#N/A,FALSE,"Location P&amp;L (Budget)";#N/A,#N/A,FALSE,"Location P&amp;L (Variance)";#N/A,#N/A,FALSE,"By Month P&amp;L"}</definedName>
    <definedName name="sbe_1" hidden="1">{#N/A,#N/A,FALSE,"P&amp;L Variance";#N/A,#N/A,FALSE,"Location P&amp;L (Actual)";#N/A,#N/A,FALSE,"Location P&amp;L (Budget)";#N/A,#N/A,FALSE,"Location P&amp;L (Variance)";#N/A,#N/A,FALSE,"By Month P&amp;L"}</definedName>
    <definedName name="sda" hidden="1">#REF!</definedName>
    <definedName name="sdaf" localSheetId="10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sdaf" localSheetId="9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sdaf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sdafd" hidden="1">#REF!</definedName>
    <definedName name="sdafgs" localSheetId="10" hidden="1">{#N/A,#N/A,FALSE,"Pharm";#N/A,#N/A,FALSE,"WWCM"}</definedName>
    <definedName name="sdafgs" localSheetId="9" hidden="1">{#N/A,#N/A,FALSE,"Pharm";#N/A,#N/A,FALSE,"WWCM"}</definedName>
    <definedName name="sdafgs" hidden="1">{#N/A,#N/A,FALSE,"Pharm";#N/A,#N/A,FALSE,"WWCM"}</definedName>
    <definedName name="sdagds" localSheetId="10" hidden="1">{"summary",#N/A,FALSE,"2000 vs 1999";"detail",#N/A,FALSE,"2000 vs 1999"}</definedName>
    <definedName name="sdagds" localSheetId="9" hidden="1">{"summary",#N/A,FALSE,"2000 vs 1999";"detail",#N/A,FALSE,"2000 vs 1999"}</definedName>
    <definedName name="sdagds" hidden="1">{"summary",#N/A,FALSE,"2000 vs 1999";"detail",#N/A,FALSE,"2000 vs 1999"}</definedName>
    <definedName name="sdagds_1" localSheetId="10" hidden="1">{"summary",#N/A,FALSE,"2000 vs 1999";"detail",#N/A,FALSE,"2000 vs 1999"}</definedName>
    <definedName name="sdagds_1" localSheetId="9" hidden="1">{"summary",#N/A,FALSE,"2000 vs 1999";"detail",#N/A,FALSE,"2000 vs 1999"}</definedName>
    <definedName name="sdagds_1" hidden="1">{"summary",#N/A,FALSE,"2000 vs 1999";"detail",#N/A,FALSE,"2000 vs 1999"}</definedName>
    <definedName name="sdas" hidden="1">#REF!</definedName>
    <definedName name="sddd" localSheetId="10" hidden="1">{"summary",#N/A,FALSE,"2000 vs 1999";"detail",#N/A,FALSE,"2000 vs 1999"}</definedName>
    <definedName name="sddd" localSheetId="9" hidden="1">{"summary",#N/A,FALSE,"2000 vs 1999";"detail",#N/A,FALSE,"2000 vs 1999"}</definedName>
    <definedName name="sddd" hidden="1">{"summary",#N/A,FALSE,"2000 vs 1999";"detail",#N/A,FALSE,"2000 vs 1999"}</definedName>
    <definedName name="sddd_1" localSheetId="10" hidden="1">{"summary",#N/A,FALSE,"2000 vs 1999";"detail",#N/A,FALSE,"2000 vs 1999"}</definedName>
    <definedName name="sddd_1" localSheetId="9" hidden="1">{"summary",#N/A,FALSE,"2000 vs 1999";"detail",#N/A,FALSE,"2000 vs 1999"}</definedName>
    <definedName name="sddd_1" hidden="1">{"summary",#N/A,FALSE,"2000 vs 1999";"detail",#N/A,FALSE,"2000 vs 1999"}</definedName>
    <definedName name="sdf" hidden="1">#REF!</definedName>
    <definedName name="sdf_1" localSheetId="10" hidden="1">{#N/A,#N/A,FALSE,"BS";#N/A,#N/A,FALSE,"PL";#N/A,#N/A,FALSE,"처분";#N/A,#N/A,FALSE,"현금";#N/A,#N/A,FALSE,"매출";#N/A,#N/A,FALSE,"원가";#N/A,#N/A,FALSE,"경영"}</definedName>
    <definedName name="sdf_1" localSheetId="9" hidden="1">{#N/A,#N/A,FALSE,"BS";#N/A,#N/A,FALSE,"PL";#N/A,#N/A,FALSE,"처분";#N/A,#N/A,FALSE,"현금";#N/A,#N/A,FALSE,"매출";#N/A,#N/A,FALSE,"원가";#N/A,#N/A,FALSE,"경영"}</definedName>
    <definedName name="sdf_1" hidden="1">{#N/A,#N/A,FALSE,"BS";#N/A,#N/A,FALSE,"PL";#N/A,#N/A,FALSE,"처분";#N/A,#N/A,FALSE,"현금";#N/A,#N/A,FALSE,"매출";#N/A,#N/A,FALSE,"원가";#N/A,#N/A,FALSE,"경영"}</definedName>
    <definedName name="sdfa" localSheetId="10" hidden="1">{#N/A,#N/A,FALSE,"YTD ,99"}</definedName>
    <definedName name="sdfa" localSheetId="9" hidden="1">{#N/A,#N/A,FALSE,"YTD ,99"}</definedName>
    <definedName name="sdfa" hidden="1">{#N/A,#N/A,FALSE,"YTD ,99"}</definedName>
    <definedName name="sdfa_1" localSheetId="10" hidden="1">{#N/A,#N/A,FALSE,"YTD ,99"}</definedName>
    <definedName name="sdfa_1" localSheetId="9" hidden="1">{#N/A,#N/A,FALSE,"YTD ,99"}</definedName>
    <definedName name="sdfa_1" hidden="1">{#N/A,#N/A,FALSE,"YTD ,99"}</definedName>
    <definedName name="sdfgsdfg" localSheetId="10" hidden="1">{#N/A,#N/A,FALSE,"UNIT";#N/A,#N/A,FALSE,"UNIT";#N/A,#N/A,FALSE,"계정"}</definedName>
    <definedName name="sdfgsdfg" localSheetId="9" hidden="1">{#N/A,#N/A,FALSE,"UNIT";#N/A,#N/A,FALSE,"UNIT";#N/A,#N/A,FALSE,"계정"}</definedName>
    <definedName name="sdfgsdfg" hidden="1">{#N/A,#N/A,FALSE,"UNIT";#N/A,#N/A,FALSE,"UNIT";#N/A,#N/A,FALSE,"계정"}</definedName>
    <definedName name="sdfgsdfg_1" localSheetId="10" hidden="1">{#N/A,#N/A,FALSE,"UNIT";#N/A,#N/A,FALSE,"UNIT";#N/A,#N/A,FALSE,"계정"}</definedName>
    <definedName name="sdfgsdfg_1" localSheetId="9" hidden="1">{#N/A,#N/A,FALSE,"UNIT";#N/A,#N/A,FALSE,"UNIT";#N/A,#N/A,FALSE,"계정"}</definedName>
    <definedName name="sdfgsdfg_1" hidden="1">{#N/A,#N/A,FALSE,"UNIT";#N/A,#N/A,FALSE,"UNIT";#N/A,#N/A,FALSE,"계정"}</definedName>
    <definedName name="sdfgsdg" localSheetId="10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sdfgsdg" localSheetId="9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sdfgsdg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sdfh" localSheetId="10" hidden="1">{#N/A,#N/A,FALSE,"Pharm";#N/A,#N/A,FALSE,"WWCM"}</definedName>
    <definedName name="sdfh" localSheetId="9" hidden="1">{#N/A,#N/A,FALSE,"Pharm";#N/A,#N/A,FALSE,"WWCM"}</definedName>
    <definedName name="sdfh" hidden="1">{#N/A,#N/A,FALSE,"Pharm";#N/A,#N/A,FALSE,"WWCM"}</definedName>
    <definedName name="sdfsadgds" localSheetId="10" hidden="1">{"summary",#N/A,FALSE,"2000 vs 1999";"detail",#N/A,FALSE,"2000 vs 1999"}</definedName>
    <definedName name="sdfsadgds" localSheetId="9" hidden="1">{"summary",#N/A,FALSE,"2000 vs 1999";"detail",#N/A,FALSE,"2000 vs 1999"}</definedName>
    <definedName name="sdfsadgds" hidden="1">{"summary",#N/A,FALSE,"2000 vs 1999";"detail",#N/A,FALSE,"2000 vs 1999"}</definedName>
    <definedName name="sdfsadgds_1" localSheetId="10" hidden="1">{"summary",#N/A,FALSE,"2000 vs 1999";"detail",#N/A,FALSE,"2000 vs 1999"}</definedName>
    <definedName name="sdfsadgds_1" localSheetId="9" hidden="1">{"summary",#N/A,FALSE,"2000 vs 1999";"detail",#N/A,FALSE,"2000 vs 1999"}</definedName>
    <definedName name="sdfsadgds_1" hidden="1">{"summary",#N/A,FALSE,"2000 vs 1999";"detail",#N/A,FALSE,"2000 vs 1999"}</definedName>
    <definedName name="sdfsd" hidden="1">#REF!</definedName>
    <definedName name="sdfsdf" localSheetId="10" hidden="1">{#N/A,#N/A,TRUE,"Check Sheet";#N/A,#N/A,TRUE,"IBD";#N/A,#N/A,TRUE,"ADJ";#N/A,#N/A,TRUE,"current intrafid";#N/A,#N/A,TRUE,"current daily"}</definedName>
    <definedName name="sdfsdf" localSheetId="9" hidden="1">{#N/A,#N/A,TRUE,"Check Sheet";#N/A,#N/A,TRUE,"IBD";#N/A,#N/A,TRUE,"ADJ";#N/A,#N/A,TRUE,"current intrafid";#N/A,#N/A,TRUE,"current daily"}</definedName>
    <definedName name="sdfsdf" hidden="1">{#N/A,#N/A,TRUE,"Check Sheet";#N/A,#N/A,TRUE,"IBD";#N/A,#N/A,TRUE,"ADJ";#N/A,#N/A,TRUE,"current intrafid";#N/A,#N/A,TRUE,"current daily"}</definedName>
    <definedName name="sdfsdfsdf" localSheetId="1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sdfsdfsdf" localSheetId="9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sdfsdfsdf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sdfwfdes" localSheetId="10" hidden="1">{"summary",#N/A,FALSE,"2000 vs 1999";"detail",#N/A,FALSE,"2000 vs 1999"}</definedName>
    <definedName name="sdfwfdes" localSheetId="9" hidden="1">{"summary",#N/A,FALSE,"2000 vs 1999";"detail",#N/A,FALSE,"2000 vs 1999"}</definedName>
    <definedName name="sdfwfdes" hidden="1">{"summary",#N/A,FALSE,"2000 vs 1999";"detail",#N/A,FALSE,"2000 vs 1999"}</definedName>
    <definedName name="sdfwfdes_1" localSheetId="10" hidden="1">{"summary",#N/A,FALSE,"2000 vs 1999";"detail",#N/A,FALSE,"2000 vs 1999"}</definedName>
    <definedName name="sdfwfdes_1" localSheetId="9" hidden="1">{"summary",#N/A,FALSE,"2000 vs 1999";"detail",#N/A,FALSE,"2000 vs 1999"}</definedName>
    <definedName name="sdfwfdes_1" hidden="1">{"summary",#N/A,FALSE,"2000 vs 1999";"detail",#N/A,FALSE,"2000 vs 1999"}</definedName>
    <definedName name="sdgagf" localSheetId="10" hidden="1">{#N/A,#N/A,FALSE,"Pharm";#N/A,#N/A,FALSE,"WWCM"}</definedName>
    <definedName name="sdgagf" localSheetId="9" hidden="1">{#N/A,#N/A,FALSE,"Pharm";#N/A,#N/A,FALSE,"WWCM"}</definedName>
    <definedName name="sdgagf" hidden="1">{#N/A,#N/A,FALSE,"Pharm";#N/A,#N/A,FALSE,"WWCM"}</definedName>
    <definedName name="sdgdsfg" localSheetId="10" hidden="1">{"summary",#N/A,FALSE,"2000 vs 1999";"detail",#N/A,FALSE,"2000 vs 1999"}</definedName>
    <definedName name="sdgdsfg" localSheetId="9" hidden="1">{"summary",#N/A,FALSE,"2000 vs 1999";"detail",#N/A,FALSE,"2000 vs 1999"}</definedName>
    <definedName name="sdgdsfg" hidden="1">{"summary",#N/A,FALSE,"2000 vs 1999";"detail",#N/A,FALSE,"2000 vs 1999"}</definedName>
    <definedName name="sdgdsfg_1" localSheetId="10" hidden="1">{"summary",#N/A,FALSE,"2000 vs 1999";"detail",#N/A,FALSE,"2000 vs 1999"}</definedName>
    <definedName name="sdgdsfg_1" localSheetId="9" hidden="1">{"summary",#N/A,FALSE,"2000 vs 1999";"detail",#N/A,FALSE,"2000 vs 1999"}</definedName>
    <definedName name="sdgdsfg_1" hidden="1">{"summary",#N/A,FALSE,"2000 vs 1999";"detail",#N/A,FALSE,"2000 vs 1999"}</definedName>
    <definedName name="sdgdsgs" localSheetId="10" hidden="1">{"summary",#N/A,FALSE,"2000 vs 1999";"detail",#N/A,FALSE,"2000 vs 1999"}</definedName>
    <definedName name="sdgdsgs" localSheetId="9" hidden="1">{"summary",#N/A,FALSE,"2000 vs 1999";"detail",#N/A,FALSE,"2000 vs 1999"}</definedName>
    <definedName name="sdgdsgs" hidden="1">{"summary",#N/A,FALSE,"2000 vs 1999";"detail",#N/A,FALSE,"2000 vs 1999"}</definedName>
    <definedName name="sdgdsgs_1" localSheetId="10" hidden="1">{"summary",#N/A,FALSE,"2000 vs 1999";"detail",#N/A,FALSE,"2000 vs 1999"}</definedName>
    <definedName name="sdgdsgs_1" localSheetId="9" hidden="1">{"summary",#N/A,FALSE,"2000 vs 1999";"detail",#N/A,FALSE,"2000 vs 1999"}</definedName>
    <definedName name="sdgdsgs_1" hidden="1">{"summary",#N/A,FALSE,"2000 vs 1999";"detail",#N/A,FALSE,"2000 vs 1999"}</definedName>
    <definedName name="sdgsdg" localSheetId="10" hidden="1">{"summary",#N/A,FALSE,"2000 vs 1999";"detail",#N/A,FALSE,"2000 vs 1999"}</definedName>
    <definedName name="sdgsdg" localSheetId="9" hidden="1">{"summary",#N/A,FALSE,"2000 vs 1999";"detail",#N/A,FALSE,"2000 vs 1999"}</definedName>
    <definedName name="sdgsdg" hidden="1">{"summary",#N/A,FALSE,"2000 vs 1999";"detail",#N/A,FALSE,"2000 vs 1999"}</definedName>
    <definedName name="sdgsdg_1" localSheetId="10" hidden="1">{"summary",#N/A,FALSE,"2000 vs 1999";"detail",#N/A,FALSE,"2000 vs 1999"}</definedName>
    <definedName name="sdgsdg_1" localSheetId="9" hidden="1">{"summary",#N/A,FALSE,"2000 vs 1999";"detail",#N/A,FALSE,"2000 vs 1999"}</definedName>
    <definedName name="sdgsdg_1" hidden="1">{"summary",#N/A,FALSE,"2000 vs 1999";"detail",#N/A,FALSE,"2000 vs 1999"}</definedName>
    <definedName name="SDHYIOFUWEIOFYUWEIO" localSheetId="10" hidden="1">{"'Jibu9811 (3)'!$B$1:$J$433"}</definedName>
    <definedName name="SDHYIOFUWEIOFYUWEIO" localSheetId="9" hidden="1">{"'Jibu9811 (3)'!$B$1:$J$433"}</definedName>
    <definedName name="SDHYIOFUWEIOFYUWEIO" hidden="1">{"'Jibu9811 (3)'!$B$1:$J$433"}</definedName>
    <definedName name="sdryhj" localSheetId="10" hidden="1">{"'용역비'!$A$4:$C$8"}</definedName>
    <definedName name="sdryhj" localSheetId="9" hidden="1">{"'용역비'!$A$4:$C$8"}</definedName>
    <definedName name="sdryhj" hidden="1">{"'용역비'!$A$4:$C$8"}</definedName>
    <definedName name="sds" localSheetId="10" hidden="1">{"'보고양식'!$A$58:$K$111"}</definedName>
    <definedName name="sds" localSheetId="9" hidden="1">{"'보고양식'!$A$58:$K$111"}</definedName>
    <definedName name="sds" hidden="1">{"'보고양식'!$A$58:$K$111"}</definedName>
    <definedName name="sdsadasd" localSheetId="10" hidden="1">{#N/A,#N/A,FALSE,"Pharm";#N/A,#N/A,FALSE,"WWCM"}</definedName>
    <definedName name="sdsadasd" localSheetId="9" hidden="1">{#N/A,#N/A,FALSE,"Pharm";#N/A,#N/A,FALSE,"WWCM"}</definedName>
    <definedName name="sdsadasd" hidden="1">{#N/A,#N/A,FALSE,"Pharm";#N/A,#N/A,FALSE,"WWCM"}</definedName>
    <definedName name="sdsd" localSheetId="10" hidden="1">{#N/A,#N/A,FALSE,"Corporate_Digital";#N/A,#N/A,FALSE,"Corporate_Analog";#N/A,#N/A,FALSE,"RetailDigBuckets";#N/A,#N/A,FALSE,"Retail_19.99";#N/A,#N/A,FALSE,"Companion Plan"}</definedName>
    <definedName name="sdsd" localSheetId="9" hidden="1">{#N/A,#N/A,FALSE,"Corporate_Digital";#N/A,#N/A,FALSE,"Corporate_Analog";#N/A,#N/A,FALSE,"RetailDigBuckets";#N/A,#N/A,FALSE,"Retail_19.99";#N/A,#N/A,FALSE,"Companion Plan"}</definedName>
    <definedName name="sdsd" hidden="1">{#N/A,#N/A,FALSE,"Corporate_Digital";#N/A,#N/A,FALSE,"Corporate_Analog";#N/A,#N/A,FALSE,"RetailDigBuckets";#N/A,#N/A,FALSE,"Retail_19.99";#N/A,#N/A,FALSE,"Companion Plan"}</definedName>
    <definedName name="sdsd_1" localSheetId="10" hidden="1">{#N/A,#N/A,FALSE,"Corporate_Digital";#N/A,#N/A,FALSE,"Corporate_Analog";#N/A,#N/A,FALSE,"RetailDigBuckets";#N/A,#N/A,FALSE,"Retail_19.99";#N/A,#N/A,FALSE,"Companion Plan"}</definedName>
    <definedName name="sdsd_1" localSheetId="9" hidden="1">{#N/A,#N/A,FALSE,"Corporate_Digital";#N/A,#N/A,FALSE,"Corporate_Analog";#N/A,#N/A,FALSE,"RetailDigBuckets";#N/A,#N/A,FALSE,"Retail_19.99";#N/A,#N/A,FALSE,"Companion Plan"}</definedName>
    <definedName name="sdsd_1" hidden="1">{#N/A,#N/A,FALSE,"Corporate_Digital";#N/A,#N/A,FALSE,"Corporate_Analog";#N/A,#N/A,FALSE,"RetailDigBuckets";#N/A,#N/A,FALSE,"Retail_19.99";#N/A,#N/A,FALSE,"Companion Plan"}</definedName>
    <definedName name="SEJINBS" localSheetId="10" hidden="1">{#N/A,#N/A,FALSE,"정공"}</definedName>
    <definedName name="SEJINBS" localSheetId="9" hidden="1">{#N/A,#N/A,FALSE,"정공"}</definedName>
    <definedName name="SEJINBS" hidden="1">{#N/A,#N/A,FALSE,"정공"}</definedName>
    <definedName name="sencount" hidden="1">1</definedName>
    <definedName name="Sep" hidden="1">#REF!</definedName>
    <definedName name="set" localSheetId="10" hidden="1">{"'Jibu9811 (3)'!$B$1:$J$433"}</definedName>
    <definedName name="set" localSheetId="9" hidden="1">{"'Jibu9811 (3)'!$B$1:$J$433"}</definedName>
    <definedName name="set" hidden="1">{"'Jibu9811 (3)'!$B$1:$J$433"}</definedName>
    <definedName name="seth" localSheetId="1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seth" localSheetId="9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seth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sethgd" localSheetId="10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sethgd" localSheetId="9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sethgd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sf" hidden="1">#REF!</definedName>
    <definedName name="sfasgdf" localSheetId="10" hidden="1">{"summary",#N/A,FALSE,"2000 vs 1999";"detail",#N/A,FALSE,"2000 vs 1999"}</definedName>
    <definedName name="sfasgdf" localSheetId="9" hidden="1">{"summary",#N/A,FALSE,"2000 vs 1999";"detail",#N/A,FALSE,"2000 vs 1999"}</definedName>
    <definedName name="sfasgdf" hidden="1">{"summary",#N/A,FALSE,"2000 vs 1999";"detail",#N/A,FALSE,"2000 vs 1999"}</definedName>
    <definedName name="sfasgdf_1" localSheetId="10" hidden="1">{"summary",#N/A,FALSE,"2000 vs 1999";"detail",#N/A,FALSE,"2000 vs 1999"}</definedName>
    <definedName name="sfasgdf_1" localSheetId="9" hidden="1">{"summary",#N/A,FALSE,"2000 vs 1999";"detail",#N/A,FALSE,"2000 vs 1999"}</definedName>
    <definedName name="sfasgdf_1" hidden="1">{"summary",#N/A,FALSE,"2000 vs 1999";"detail",#N/A,FALSE,"2000 vs 1999"}</definedName>
    <definedName name="sfasgds" localSheetId="10" hidden="1">{"summary",#N/A,FALSE,"2000 vs 1999";"detail",#N/A,FALSE,"2000 vs 1999"}</definedName>
    <definedName name="sfasgds" localSheetId="9" hidden="1">{"summary",#N/A,FALSE,"2000 vs 1999";"detail",#N/A,FALSE,"2000 vs 1999"}</definedName>
    <definedName name="sfasgds" hidden="1">{"summary",#N/A,FALSE,"2000 vs 1999";"detail",#N/A,FALSE,"2000 vs 1999"}</definedName>
    <definedName name="sfasgds_1" localSheetId="10" hidden="1">{"summary",#N/A,FALSE,"2000 vs 1999";"detail",#N/A,FALSE,"2000 vs 1999"}</definedName>
    <definedName name="sfasgds_1" localSheetId="9" hidden="1">{"summary",#N/A,FALSE,"2000 vs 1999";"detail",#N/A,FALSE,"2000 vs 1999"}</definedName>
    <definedName name="sfasgds_1" hidden="1">{"summary",#N/A,FALSE,"2000 vs 1999";"detail",#N/A,FALSE,"2000 vs 1999"}</definedName>
    <definedName name="SFD" localSheetId="10" hidden="1">{"summary",#N/A,FALSE,"2000 vs 1999";"detail",#N/A,FALSE,"2000 vs 1999"}</definedName>
    <definedName name="SFD" localSheetId="9" hidden="1">{"summary",#N/A,FALSE,"2000 vs 1999";"detail",#N/A,FALSE,"2000 vs 1999"}</definedName>
    <definedName name="SFD" hidden="1">{"summary",#N/A,FALSE,"2000 vs 1999";"detail",#N/A,FALSE,"2000 vs 1999"}</definedName>
    <definedName name="SFD_1" localSheetId="10" hidden="1">{"summary",#N/A,FALSE,"2000 vs 1999";"detail",#N/A,FALSE,"2000 vs 1999"}</definedName>
    <definedName name="SFD_1" localSheetId="9" hidden="1">{"summary",#N/A,FALSE,"2000 vs 1999";"detail",#N/A,FALSE,"2000 vs 1999"}</definedName>
    <definedName name="SFD_1" hidden="1">{"summary",#N/A,FALSE,"2000 vs 1999";"detail",#N/A,FALSE,"2000 vs 1999"}</definedName>
    <definedName name="sfdasgdg" localSheetId="10" hidden="1">{#N/A,#N/A,FALSE,"JANLN2"}</definedName>
    <definedName name="sfdasgdg" localSheetId="9" hidden="1">{#N/A,#N/A,FALSE,"JANLN2"}</definedName>
    <definedName name="sfdasgdg" hidden="1">{#N/A,#N/A,FALSE,"JANLN2"}</definedName>
    <definedName name="sfdasgdg_1" localSheetId="10" hidden="1">{#N/A,#N/A,FALSE,"JANLN2"}</definedName>
    <definedName name="sfdasgdg_1" localSheetId="9" hidden="1">{#N/A,#N/A,FALSE,"JANLN2"}</definedName>
    <definedName name="sfdasgdg_1" hidden="1">{#N/A,#N/A,FALSE,"JANLN2"}</definedName>
    <definedName name="sfdirect" localSheetId="10" hidden="1">{#N/A,#N/A,FALSE,"REPORT"}</definedName>
    <definedName name="sfdirect" localSheetId="9" hidden="1">{#N/A,#N/A,FALSE,"REPORT"}</definedName>
    <definedName name="sfdirect" hidden="1">{#N/A,#N/A,FALSE,"REPORT"}</definedName>
    <definedName name="SFDS" localSheetId="10" hidden="1">{"summary",#N/A,FALSE,"2000 vs 1999";"detail",#N/A,FALSE,"2000 vs 1999"}</definedName>
    <definedName name="SFDS" localSheetId="9" hidden="1">{"summary",#N/A,FALSE,"2000 vs 1999";"detail",#N/A,FALSE,"2000 vs 1999"}</definedName>
    <definedName name="SFDS" hidden="1">{"summary",#N/A,FALSE,"2000 vs 1999";"detail",#N/A,FALSE,"2000 vs 1999"}</definedName>
    <definedName name="SFDS_1" localSheetId="10" hidden="1">{"summary",#N/A,FALSE,"2000 vs 1999";"detail",#N/A,FALSE,"2000 vs 1999"}</definedName>
    <definedName name="SFDS_1" localSheetId="9" hidden="1">{"summary",#N/A,FALSE,"2000 vs 1999";"detail",#N/A,FALSE,"2000 vs 1999"}</definedName>
    <definedName name="SFDS_1" hidden="1">{"summary",#N/A,FALSE,"2000 vs 1999";"detail",#N/A,FALSE,"2000 vs 1999"}</definedName>
    <definedName name="sfdsf" localSheetId="10" hidden="1">{"summary",#N/A,FALSE,"2000 vs 1999";"detail",#N/A,FALSE,"2000 vs 1999"}</definedName>
    <definedName name="sfdsf" localSheetId="9" hidden="1">{"summary",#N/A,FALSE,"2000 vs 1999";"detail",#N/A,FALSE,"2000 vs 1999"}</definedName>
    <definedName name="sfdsf" hidden="1">{"summary",#N/A,FALSE,"2000 vs 1999";"detail",#N/A,FALSE,"2000 vs 1999"}</definedName>
    <definedName name="sfdsf_1" localSheetId="10" hidden="1">{"summary",#N/A,FALSE,"2000 vs 1999";"detail",#N/A,FALSE,"2000 vs 1999"}</definedName>
    <definedName name="sfdsf_1" localSheetId="9" hidden="1">{"summary",#N/A,FALSE,"2000 vs 1999";"detail",#N/A,FALSE,"2000 vs 1999"}</definedName>
    <definedName name="sfdsf_1" hidden="1">{"summary",#N/A,FALSE,"2000 vs 1999";"detail",#N/A,FALSE,"2000 vs 1999"}</definedName>
    <definedName name="sfdsfs" hidden="1">#REF!</definedName>
    <definedName name="sfgasd" localSheetId="10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fgasd" localSheetId="9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fgasd_1" localSheetId="10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fgasd_1" localSheetId="9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fgasd_1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fghtj" localSheetId="10" hidden="1">{#N/A,#N/A,FALSE,"UNIT";#N/A,#N/A,FALSE,"UNIT";#N/A,#N/A,FALSE,"계정"}</definedName>
    <definedName name="sfghtj" localSheetId="9" hidden="1">{#N/A,#N/A,FALSE,"UNIT";#N/A,#N/A,FALSE,"UNIT";#N/A,#N/A,FALSE,"계정"}</definedName>
    <definedName name="sfghtj" hidden="1">{#N/A,#N/A,FALSE,"UNIT";#N/A,#N/A,FALSE,"UNIT";#N/A,#N/A,FALSE,"계정"}</definedName>
    <definedName name="sfghtj_1" localSheetId="10" hidden="1">{#N/A,#N/A,FALSE,"UNIT";#N/A,#N/A,FALSE,"UNIT";#N/A,#N/A,FALSE,"계정"}</definedName>
    <definedName name="sfghtj_1" localSheetId="9" hidden="1">{#N/A,#N/A,FALSE,"UNIT";#N/A,#N/A,FALSE,"UNIT";#N/A,#N/A,FALSE,"계정"}</definedName>
    <definedName name="sfghtj_1" hidden="1">{#N/A,#N/A,FALSE,"UNIT";#N/A,#N/A,FALSE,"UNIT";#N/A,#N/A,FALSE,"계정"}</definedName>
    <definedName name="sfsd" localSheetId="10" hidden="1">{"summary",#N/A,FALSE,"2000 vs 1999";"detail",#N/A,FALSE,"2000 vs 1999"}</definedName>
    <definedName name="sfsd" localSheetId="9" hidden="1">{"summary",#N/A,FALSE,"2000 vs 1999";"detail",#N/A,FALSE,"2000 vs 1999"}</definedName>
    <definedName name="sfsd" hidden="1">{"summary",#N/A,FALSE,"2000 vs 1999";"detail",#N/A,FALSE,"2000 vs 1999"}</definedName>
    <definedName name="sfsd_1" localSheetId="10" hidden="1">{"summary",#N/A,FALSE,"2000 vs 1999";"detail",#N/A,FALSE,"2000 vs 1999"}</definedName>
    <definedName name="sfsd_1" localSheetId="9" hidden="1">{"summary",#N/A,FALSE,"2000 vs 1999";"detail",#N/A,FALSE,"2000 vs 1999"}</definedName>
    <definedName name="sfsd_1" hidden="1">{"summary",#N/A,FALSE,"2000 vs 1999";"detail",#N/A,FALSE,"2000 vs 1999"}</definedName>
    <definedName name="sgasgds" localSheetId="10" hidden="1">{"summary",#N/A,FALSE,"2000 vs 1999";"detail",#N/A,FALSE,"2000 vs 1999"}</definedName>
    <definedName name="sgasgds" localSheetId="9" hidden="1">{"summary",#N/A,FALSE,"2000 vs 1999";"detail",#N/A,FALSE,"2000 vs 1999"}</definedName>
    <definedName name="sgasgds" hidden="1">{"summary",#N/A,FALSE,"2000 vs 1999";"detail",#N/A,FALSE,"2000 vs 1999"}</definedName>
    <definedName name="sgasgds_1" localSheetId="10" hidden="1">{"summary",#N/A,FALSE,"2000 vs 1999";"detail",#N/A,FALSE,"2000 vs 1999"}</definedName>
    <definedName name="sgasgds_1" localSheetId="9" hidden="1">{"summary",#N/A,FALSE,"2000 vs 1999";"detail",#N/A,FALSE,"2000 vs 1999"}</definedName>
    <definedName name="sgasgds_1" hidden="1">{"summary",#N/A,FALSE,"2000 vs 1999";"detail",#N/A,FALSE,"2000 vs 1999"}</definedName>
    <definedName name="sgdfagdsgd" localSheetId="10" hidden="1">{"summary",#N/A,FALSE,"2000 vs 1999";"detail",#N/A,FALSE,"2000 vs 1999"}</definedName>
    <definedName name="sgdfagdsgd" localSheetId="9" hidden="1">{"summary",#N/A,FALSE,"2000 vs 1999";"detail",#N/A,FALSE,"2000 vs 1999"}</definedName>
    <definedName name="sgdfagdsgd" hidden="1">{"summary",#N/A,FALSE,"2000 vs 1999";"detail",#N/A,FALSE,"2000 vs 1999"}</definedName>
    <definedName name="sgdfagdsgd_1" localSheetId="10" hidden="1">{"summary",#N/A,FALSE,"2000 vs 1999";"detail",#N/A,FALSE,"2000 vs 1999"}</definedName>
    <definedName name="sgdfagdsgd_1" localSheetId="9" hidden="1">{"summary",#N/A,FALSE,"2000 vs 1999";"detail",#N/A,FALSE,"2000 vs 1999"}</definedName>
    <definedName name="sgdfagdsgd_1" hidden="1">{"summary",#N/A,FALSE,"2000 vs 1999";"detail",#N/A,FALSE,"2000 vs 1999"}</definedName>
    <definedName name="sgdsagd" localSheetId="10" hidden="1">{"summary",#N/A,FALSE,"2000 vs 1999";"detail",#N/A,FALSE,"2000 vs 1999"}</definedName>
    <definedName name="sgdsagd" localSheetId="9" hidden="1">{"summary",#N/A,FALSE,"2000 vs 1999";"detail",#N/A,FALSE,"2000 vs 1999"}</definedName>
    <definedName name="sgdsagd" hidden="1">{"summary",#N/A,FALSE,"2000 vs 1999";"detail",#N/A,FALSE,"2000 vs 1999"}</definedName>
    <definedName name="sgdsagd_1" localSheetId="10" hidden="1">{"summary",#N/A,FALSE,"2000 vs 1999";"detail",#N/A,FALSE,"2000 vs 1999"}</definedName>
    <definedName name="sgdsagd_1" localSheetId="9" hidden="1">{"summary",#N/A,FALSE,"2000 vs 1999";"detail",#N/A,FALSE,"2000 vs 1999"}</definedName>
    <definedName name="sgdsagd_1" hidden="1">{"summary",#N/A,FALSE,"2000 vs 1999";"detail",#N/A,FALSE,"2000 vs 1999"}</definedName>
    <definedName name="sgdsgsg" localSheetId="10" hidden="1">{"summary",#N/A,FALSE,"2000 vs 1999";"detail",#N/A,FALSE,"2000 vs 1999"}</definedName>
    <definedName name="sgdsgsg" localSheetId="9" hidden="1">{"summary",#N/A,FALSE,"2000 vs 1999";"detail",#N/A,FALSE,"2000 vs 1999"}</definedName>
    <definedName name="sgdsgsg" hidden="1">{"summary",#N/A,FALSE,"2000 vs 1999";"detail",#N/A,FALSE,"2000 vs 1999"}</definedName>
    <definedName name="sgdsgsg_1" localSheetId="10" hidden="1">{"summary",#N/A,FALSE,"2000 vs 1999";"detail",#N/A,FALSE,"2000 vs 1999"}</definedName>
    <definedName name="sgdsgsg_1" localSheetId="9" hidden="1">{"summary",#N/A,FALSE,"2000 vs 1999";"detail",#N/A,FALSE,"2000 vs 1999"}</definedName>
    <definedName name="sgdsgsg_1" hidden="1">{"summary",#N/A,FALSE,"2000 vs 1999";"detail",#N/A,FALSE,"2000 vs 1999"}</definedName>
    <definedName name="sha" localSheetId="10" hidden="1">{#N/A,#N/A,FALSE,"供料净化车间"}</definedName>
    <definedName name="sha" localSheetId="9" hidden="1">{#N/A,#N/A,FALSE,"供料净化车间"}</definedName>
    <definedName name="sha" hidden="1">{#N/A,#N/A,FALSE,"供料净化车间"}</definedName>
    <definedName name="sha_1" localSheetId="10" hidden="1">{#N/A,#N/A,FALSE,"供料净化车间"}</definedName>
    <definedName name="sha_1" localSheetId="9" hidden="1">{#N/A,#N/A,FALSE,"供料净化车间"}</definedName>
    <definedName name="sha_1" hidden="1">{#N/A,#N/A,FALSE,"供料净化车间"}</definedName>
    <definedName name="SHIN" localSheetId="10" hidden="1">{#N/A,#N/A,FALSE,"P.C.B"}</definedName>
    <definedName name="SHIN" localSheetId="9" hidden="1">{#N/A,#N/A,FALSE,"P.C.B"}</definedName>
    <definedName name="SHIN" hidden="1">{#N/A,#N/A,FALSE,"P.C.B"}</definedName>
    <definedName name="shrs" localSheetId="1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hrs" localSheetId="9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hrs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j" hidden="1">#REF!</definedName>
    <definedName name="solver_adj" hidden="1">#REF!,#REF!</definedName>
    <definedName name="solver_cvg" hidden="1">0.0001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1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rel1" hidden="1">2</definedName>
    <definedName name="solver_rhs1" hidden="1">2</definedName>
    <definedName name="solver_scl" hidden="1">0</definedName>
    <definedName name="solver_sho" hidden="1">0</definedName>
    <definedName name="solver_tim" hidden="1">100</definedName>
    <definedName name="solver_tmp" hidden="1">#REF!,#REF!</definedName>
    <definedName name="solver_tol" hidden="1">0.05</definedName>
    <definedName name="solver_typ" hidden="1">1</definedName>
    <definedName name="solver_val" hidden="1">0</definedName>
    <definedName name="SOON" localSheetId="10" hidden="1">{#N/A,#N/A,FALSE,"P.C.B"}</definedName>
    <definedName name="SOON" localSheetId="9" hidden="1">{#N/A,#N/A,FALSE,"P.C.B"}</definedName>
    <definedName name="SOON" hidden="1">{#N/A,#N/A,FALSE,"P.C.B"}</definedName>
    <definedName name="SORT" hidden="1">#REF!</definedName>
    <definedName name="SpecialPrice" hidden="1">#REF!</definedName>
    <definedName name="SpreadsheetBuilder_1" hidden="1">#REF!</definedName>
    <definedName name="SpreadsheetBuilder_2" hidden="1">#REF!</definedName>
    <definedName name="sql_statement" hidden="1">#REF!</definedName>
    <definedName name="srefcongm3" hidden="1">#REF!</definedName>
    <definedName name="srf" localSheetId="10" hidden="1">{#N/A,#N/A,FALSE,"BS";#N/A,#N/A,FALSE,"PL";#N/A,#N/A,FALSE,"처분";#N/A,#N/A,FALSE,"현금";#N/A,#N/A,FALSE,"매출";#N/A,#N/A,FALSE,"원가";#N/A,#N/A,FALSE,"경영"}</definedName>
    <definedName name="srf" localSheetId="9" hidden="1">{#N/A,#N/A,FALSE,"BS";#N/A,#N/A,FALSE,"PL";#N/A,#N/A,FALSE,"처분";#N/A,#N/A,FALSE,"현금";#N/A,#N/A,FALSE,"매출";#N/A,#N/A,FALSE,"원가";#N/A,#N/A,FALSE,"경영"}</definedName>
    <definedName name="srf" hidden="1">{#N/A,#N/A,FALSE,"BS";#N/A,#N/A,FALSE,"PL";#N/A,#N/A,FALSE,"처분";#N/A,#N/A,FALSE,"현금";#N/A,#N/A,FALSE,"매출";#N/A,#N/A,FALSE,"원가";#N/A,#N/A,FALSE,"경영"}</definedName>
    <definedName name="srf_1" localSheetId="10" hidden="1">{#N/A,#N/A,FALSE,"BS";#N/A,#N/A,FALSE,"PL";#N/A,#N/A,FALSE,"처분";#N/A,#N/A,FALSE,"현금";#N/A,#N/A,FALSE,"매출";#N/A,#N/A,FALSE,"원가";#N/A,#N/A,FALSE,"경영"}</definedName>
    <definedName name="srf_1" localSheetId="9" hidden="1">{#N/A,#N/A,FALSE,"BS";#N/A,#N/A,FALSE,"PL";#N/A,#N/A,FALSE,"처분";#N/A,#N/A,FALSE,"현금";#N/A,#N/A,FALSE,"매출";#N/A,#N/A,FALSE,"원가";#N/A,#N/A,FALSE,"경영"}</definedName>
    <definedName name="srf_1" hidden="1">{#N/A,#N/A,FALSE,"BS";#N/A,#N/A,FALSE,"PL";#N/A,#N/A,FALSE,"처분";#N/A,#N/A,FALSE,"현금";#N/A,#N/A,FALSE,"매출";#N/A,#N/A,FALSE,"원가";#N/A,#N/A,FALSE,"경영"}</definedName>
    <definedName name="srth" localSheetId="10" hidden="1">{"'용역비'!$A$4:$C$8"}</definedName>
    <definedName name="srth" localSheetId="9" hidden="1">{"'용역비'!$A$4:$C$8"}</definedName>
    <definedName name="srth" hidden="1">{"'용역비'!$A$4:$C$8"}</definedName>
    <definedName name="ssasd" localSheetId="10" hidden="1">{"'분양원가'!$B$1:$F$113"}</definedName>
    <definedName name="ssasd" localSheetId="9" hidden="1">{"'분양원가'!$B$1:$F$113"}</definedName>
    <definedName name="ssasd" hidden="1">{"'분양원가'!$B$1:$F$113"}</definedName>
    <definedName name="SSD" localSheetId="10" hidden="1">{#N/A,#N/A,FALSE,"REPORT"}</definedName>
    <definedName name="SSD" localSheetId="9" hidden="1">{#N/A,#N/A,FALSE,"REPORT"}</definedName>
    <definedName name="SSD" hidden="1">{#N/A,#N/A,FALSE,"REPORT"}</definedName>
    <definedName name="SSDP" localSheetId="10" hidden="1">{#N/A,#N/A,FALSE,"Cipta-All";#N/A,#N/A,FALSE,"Individual"}</definedName>
    <definedName name="SSDP" localSheetId="9" hidden="1">{#N/A,#N/A,FALSE,"Cipta-All";#N/A,#N/A,FALSE,"Individual"}</definedName>
    <definedName name="SSDP" hidden="1">{#N/A,#N/A,FALSE,"Cipta-All";#N/A,#N/A,FALSE,"Individual"}</definedName>
    <definedName name="SSS" localSheetId="10" hidden="1">{"UNCONYEAR",#N/A,FALSE,"UNCON"}</definedName>
    <definedName name="SSS" localSheetId="9" hidden="1">{"UNCONYEAR",#N/A,FALSE,"UNCON"}</definedName>
    <definedName name="SSS" hidden="1">{"UNCONYEAR",#N/A,FALSE,"UNCON"}</definedName>
    <definedName name="SSS_1" localSheetId="10" hidden="1">{"UNCONYEAR",#N/A,FALSE,"UNCON"}</definedName>
    <definedName name="SSS_1" localSheetId="9" hidden="1">{"UNCONYEAR",#N/A,FALSE,"UNCON"}</definedName>
    <definedName name="SSS_1" hidden="1">{"UNCONYEAR",#N/A,FALSE,"UNCON"}</definedName>
    <definedName name="sssd" localSheetId="10" hidden="1">{"summary",#N/A,FALSE,"2000 vs 1999";"detail",#N/A,FALSE,"2000 vs 1999"}</definedName>
    <definedName name="sssd" localSheetId="9" hidden="1">{"summary",#N/A,FALSE,"2000 vs 1999";"detail",#N/A,FALSE,"2000 vs 1999"}</definedName>
    <definedName name="sssd" hidden="1">{"summary",#N/A,FALSE,"2000 vs 1999";"detail",#N/A,FALSE,"2000 vs 1999"}</definedName>
    <definedName name="sssd_1" localSheetId="10" hidden="1">{"summary",#N/A,FALSE,"2000 vs 1999";"detail",#N/A,FALSE,"2000 vs 1999"}</definedName>
    <definedName name="sssd_1" localSheetId="9" hidden="1">{"summary",#N/A,FALSE,"2000 vs 1999";"detail",#N/A,FALSE,"2000 vs 1999"}</definedName>
    <definedName name="sssd_1" hidden="1">{"summary",#N/A,FALSE,"2000 vs 1999";"detail",#N/A,FALSE,"2000 vs 1999"}</definedName>
    <definedName name="SSSEE" localSheetId="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localSheetId="10" hidden="1">{#N/A,#N/A,FALSE,"UNIT";#N/A,#N/A,FALSE,"UNIT";#N/A,#N/A,FALSE,"계정"}</definedName>
    <definedName name="ssss" localSheetId="9" hidden="1">{#N/A,#N/A,FALSE,"UNIT";#N/A,#N/A,FALSE,"UNIT";#N/A,#N/A,FALSE,"계정"}</definedName>
    <definedName name="ssss" hidden="1">{#N/A,#N/A,FALSE,"UNIT";#N/A,#N/A,FALSE,"UNIT";#N/A,#N/A,FALSE,"계정"}</definedName>
    <definedName name="ssss_1" localSheetId="10" hidden="1">{#N/A,#N/A,FALSE,"UNIT";#N/A,#N/A,FALSE,"UNIT";#N/A,#N/A,FALSE,"계정"}</definedName>
    <definedName name="ssss_1" localSheetId="9" hidden="1">{#N/A,#N/A,FALSE,"UNIT";#N/A,#N/A,FALSE,"UNIT";#N/A,#N/A,FALSE,"계정"}</definedName>
    <definedName name="ssss_1" hidden="1">{#N/A,#N/A,FALSE,"UNIT";#N/A,#N/A,FALSE,"UNIT";#N/A,#N/A,FALSE,"계정"}</definedName>
    <definedName name="ssssdsdsada" localSheetId="10" hidden="1">{#N/A,#N/A,TRUE,"Overall";#N/A,#N/A,TRUE,"Region Wise ";#N/A,#N/A,TRUE,"Client Wise"}</definedName>
    <definedName name="ssssdsdsada" localSheetId="9" hidden="1">{#N/A,#N/A,TRUE,"Overall";#N/A,#N/A,TRUE,"Region Wise ";#N/A,#N/A,TRUE,"Client Wise"}</definedName>
    <definedName name="ssssdsdsada" hidden="1">{#N/A,#N/A,TRUE,"Overall";#N/A,#N/A,TRUE,"Region Wise ";#N/A,#N/A,TRUE,"Client Wise"}</definedName>
    <definedName name="ssssdsdsada_1" localSheetId="10" hidden="1">{#N/A,#N/A,TRUE,"Overall";#N/A,#N/A,TRUE,"Region Wise ";#N/A,#N/A,TRUE,"Client Wise"}</definedName>
    <definedName name="ssssdsdsada_1" localSheetId="9" hidden="1">{#N/A,#N/A,TRUE,"Overall";#N/A,#N/A,TRUE,"Region Wise ";#N/A,#N/A,TRUE,"Client Wise"}</definedName>
    <definedName name="ssssdsdsada_1" hidden="1">{#N/A,#N/A,TRUE,"Overall";#N/A,#N/A,TRUE,"Region Wise ";#N/A,#N/A,TRUE,"Client Wise"}</definedName>
    <definedName name="SSSSS" localSheetId="1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" localSheetId="9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aril" localSheetId="10" hidden="1">{#N/A,#N/A,FALSE,"REPORT"}</definedName>
    <definedName name="Staril" localSheetId="9" hidden="1">{#N/A,#N/A,FALSE,"REPORT"}</definedName>
    <definedName name="Staril" hidden="1">{#N/A,#N/A,FALSE,"REPORT"}</definedName>
    <definedName name="stef" localSheetId="1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localSheetId="9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ratPlanAP" localSheetId="10" hidden="1">{#N/A,#N/A,FALSE,"Pharm";#N/A,#N/A,FALSE,"WWCM"}</definedName>
    <definedName name="StratPlanAP" localSheetId="9" hidden="1">{#N/A,#N/A,FALSE,"Pharm";#N/A,#N/A,FALSE,"WWCM"}</definedName>
    <definedName name="StratPlanAP" hidden="1">{#N/A,#N/A,FALSE,"Pharm";#N/A,#N/A,FALSE,"WWCM"}</definedName>
    <definedName name="strhgd" localSheetId="10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strhgd" localSheetId="9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strhgd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STS" localSheetId="10" hidden="1">{"'용역비'!$A$4:$C$8"}</definedName>
    <definedName name="STS" localSheetId="9" hidden="1">{"'용역비'!$A$4:$C$8"}</definedName>
    <definedName name="STS" hidden="1">{"'용역비'!$A$4:$C$8"}</definedName>
    <definedName name="SumFlash" localSheetId="10" hidden="1">{#N/A,#N/A,FALSE,"YTD ,99"}</definedName>
    <definedName name="SumFlash" localSheetId="9" hidden="1">{#N/A,#N/A,FALSE,"YTD ,99"}</definedName>
    <definedName name="SumFlash" hidden="1">{#N/A,#N/A,FALSE,"YTD ,99"}</definedName>
    <definedName name="SumFlash_1" localSheetId="10" hidden="1">{#N/A,#N/A,FALSE,"YTD ,99"}</definedName>
    <definedName name="SumFlash_1" localSheetId="9" hidden="1">{#N/A,#N/A,FALSE,"YTD ,99"}</definedName>
    <definedName name="SumFlash_1" hidden="1">{#N/A,#N/A,FALSE,"YTD ,99"}</definedName>
    <definedName name="sumflash02" localSheetId="10" hidden="1">{#N/A,#N/A,FALSE,"YTD ,99"}</definedName>
    <definedName name="sumflash02" localSheetId="9" hidden="1">{#N/A,#N/A,FALSE,"YTD ,99"}</definedName>
    <definedName name="sumflash02" hidden="1">{#N/A,#N/A,FALSE,"YTD ,99"}</definedName>
    <definedName name="sumflash02_1" localSheetId="10" hidden="1">{#N/A,#N/A,FALSE,"YTD ,99"}</definedName>
    <definedName name="sumflash02_1" localSheetId="9" hidden="1">{#N/A,#N/A,FALSE,"YTD ,99"}</definedName>
    <definedName name="sumflash02_1" hidden="1">{#N/A,#N/A,FALSE,"YTD ,99"}</definedName>
    <definedName name="summary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summary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Summary_IS" localSheetId="1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ummary_IS" localSheetId="9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ummary_I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ummary_IS_1" localSheetId="1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ummary_IS_1" localSheetId="9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ummary_IS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ummary_IS_2" localSheetId="1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ummary_IS_2" localSheetId="9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ummary_IS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UMMARYT" hidden="1">#REF!</definedName>
    <definedName name="Sumpage1" localSheetId="10" hidden="1">{#N/A,#N/A,FALSE,"JAN195"}</definedName>
    <definedName name="Sumpage1" localSheetId="9" hidden="1">{#N/A,#N/A,FALSE,"JAN195"}</definedName>
    <definedName name="Sumpage1" hidden="1">{#N/A,#N/A,FALSE,"JAN195"}</definedName>
    <definedName name="Sumpage1_1" localSheetId="10" hidden="1">{#N/A,#N/A,FALSE,"JAN195"}</definedName>
    <definedName name="Sumpage1_1" localSheetId="9" hidden="1">{#N/A,#N/A,FALSE,"JAN195"}</definedName>
    <definedName name="Sumpage1_1" hidden="1">{#N/A,#N/A,FALSE,"JAN195"}</definedName>
    <definedName name="Sumpage2" localSheetId="10" hidden="1">{#N/A,#N/A,FALSE,"JAN195"}</definedName>
    <definedName name="Sumpage2" localSheetId="9" hidden="1">{#N/A,#N/A,FALSE,"JAN195"}</definedName>
    <definedName name="Sumpage2" hidden="1">{#N/A,#N/A,FALSE,"JAN195"}</definedName>
    <definedName name="Sumpage2_1" localSheetId="10" hidden="1">{#N/A,#N/A,FALSE,"JAN195"}</definedName>
    <definedName name="Sumpage2_1" localSheetId="9" hidden="1">{#N/A,#N/A,FALSE,"JAN195"}</definedName>
    <definedName name="Sumpage2_1" hidden="1">{#N/A,#N/A,FALSE,"JAN195"}</definedName>
    <definedName name="SV_AUTO_CONN_CATALOG" hidden="1">"VIPBIM094"</definedName>
    <definedName name="SV_AUTO_CONN_SERVER" hidden="1">""</definedName>
    <definedName name="SV_ENCPT_AUTO_CONN_PASSWORD" hidden="1">"083096084083070124106113058056052051050062"</definedName>
    <definedName name="SV_ENCPT_AUTO_CONN_USER" hidden="1">"095094088070084124106113"</definedName>
    <definedName name="SV_SOLUTION_ID" hidden="1">"7"</definedName>
    <definedName name="SWEED" hidden="1">#REF!</definedName>
    <definedName name="SWEED1" hidden="1">#REF!</definedName>
    <definedName name="swgf" localSheetId="10" hidden="1">{#N/A,#N/A,FALSE,"UNIT";#N/A,#N/A,FALSE,"UNIT";#N/A,#N/A,FALSE,"계정"}</definedName>
    <definedName name="swgf" localSheetId="9" hidden="1">{#N/A,#N/A,FALSE,"UNIT";#N/A,#N/A,FALSE,"UNIT";#N/A,#N/A,FALSE,"계정"}</definedName>
    <definedName name="swgf" hidden="1">{#N/A,#N/A,FALSE,"UNIT";#N/A,#N/A,FALSE,"UNIT";#N/A,#N/A,FALSE,"계정"}</definedName>
    <definedName name="swgf_1" localSheetId="10" hidden="1">{#N/A,#N/A,FALSE,"UNIT";#N/A,#N/A,FALSE,"UNIT";#N/A,#N/A,FALSE,"계정"}</definedName>
    <definedName name="swgf_1" localSheetId="9" hidden="1">{#N/A,#N/A,FALSE,"UNIT";#N/A,#N/A,FALSE,"UNIT";#N/A,#N/A,FALSE,"계정"}</definedName>
    <definedName name="swgf_1" hidden="1">{#N/A,#N/A,FALSE,"UNIT";#N/A,#N/A,FALSE,"UNIT";#N/A,#N/A,FALSE,"계정"}</definedName>
    <definedName name="Swvu.inputs._.raw._.data." hidden="1">#REF!</definedName>
    <definedName name="Swvu.steve." hidden="1">#REF!</definedName>
    <definedName name="Swvu.summary1." hidden="1">#REF!</definedName>
    <definedName name="Swvu.summary2." hidden="1">#REF!</definedName>
    <definedName name="Swvu.summary3." hidden="1">#REF!</definedName>
    <definedName name="t" localSheetId="10" hidden="1">{#N/A,#N/A,FALSE,"UNIT";#N/A,#N/A,FALSE,"UNIT";#N/A,#N/A,FALSE,"계정"}</definedName>
    <definedName name="t" localSheetId="9" hidden="1">{#N/A,#N/A,FALSE,"UNIT";#N/A,#N/A,FALSE,"UNIT";#N/A,#N/A,FALSE,"계정"}</definedName>
    <definedName name="t" hidden="1">{#N/A,#N/A,FALSE,"UNIT";#N/A,#N/A,FALSE,"UNIT";#N/A,#N/A,FALSE,"계정"}</definedName>
    <definedName name="ta" localSheetId="10" hidden="1">{"EBIT 5",#N/A,FALSE,"EBIT";"NPAT 5",#N/A,FALSE,"EBIT";"EBITDA 5",#N/A,FALSE,"EBIT";"INTEREST 5",#N/A,FALSE,"EBIT";"TAX 5",#N/A,FALSE,"EBIT";"MI 5",#N/A,FALSE,"EBIT";"3G 5",#N/A,FALSE,"EBIT";"E-Com 5",#N/A,FALSE,"EBIT";"EBIT 12",#N/A,FALSE,"EBIT";"NPAT 12",#N/A,FALSE,"EBIT";"EBITDA 12",#N/A,FALSE,"EBIT";"INTEREST 12",#N/A,FALSE,"EBIT";"TAX 12",#N/A,FALSE,"EBIT";"MI 12",#N/A,FALSE,"EBIT"}</definedName>
    <definedName name="ta" localSheetId="9" hidden="1">{"EBIT 5",#N/A,FALSE,"EBIT";"NPAT 5",#N/A,FALSE,"EBIT";"EBITDA 5",#N/A,FALSE,"EBIT";"INTEREST 5",#N/A,FALSE,"EBIT";"TAX 5",#N/A,FALSE,"EBIT";"MI 5",#N/A,FALSE,"EBIT";"3G 5",#N/A,FALSE,"EBIT";"E-Com 5",#N/A,FALSE,"EBIT";"EBIT 12",#N/A,FALSE,"EBIT";"NPAT 12",#N/A,FALSE,"EBIT";"EBITDA 12",#N/A,FALSE,"EBIT";"INTEREST 12",#N/A,FALSE,"EBIT";"TAX 12",#N/A,FALSE,"EBIT";"MI 12",#N/A,FALSE,"EBIT"}</definedName>
    <definedName name="ta" hidden="1">{"EBIT 5",#N/A,FALSE,"EBIT";"NPAT 5",#N/A,FALSE,"EBIT";"EBITDA 5",#N/A,FALSE,"EBIT";"INTEREST 5",#N/A,FALSE,"EBIT";"TAX 5",#N/A,FALSE,"EBIT";"MI 5",#N/A,FALSE,"EBIT";"3G 5",#N/A,FALSE,"EBIT";"E-Com 5",#N/A,FALSE,"EBIT";"EBIT 12",#N/A,FALSE,"EBIT";"NPAT 12",#N/A,FALSE,"EBIT";"EBITDA 12",#N/A,FALSE,"EBIT";"INTEREST 12",#N/A,FALSE,"EBIT";"TAX 12",#N/A,FALSE,"EBIT";"MI 12",#N/A,FALSE,"EBIT"}</definedName>
    <definedName name="Tables" localSheetId="10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Tables" localSheetId="9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Tables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taxol" localSheetId="10" hidden="1">{#N/A,#N/A,FALSE,"Pharm";#N/A,#N/A,FALSE,"WWCM"}</definedName>
    <definedName name="taxol" localSheetId="9" hidden="1">{#N/A,#N/A,FALSE,"Pharm";#N/A,#N/A,FALSE,"WWCM"}</definedName>
    <definedName name="taxol" hidden="1">{#N/A,#N/A,FALSE,"Pharm";#N/A,#N/A,FALSE,"WWCM"}</definedName>
    <definedName name="TB0000798a_d3a3_414c_94ac_1bc349276ca4" hidden="1">#REF!</definedName>
    <definedName name="TB000daf41_74c9_4137_9ba6_41c0d3330485" hidden="1">#REF!</definedName>
    <definedName name="TB000f97ce_1262_4336_8356_9eec57f2b4f5" hidden="1">#REF!</definedName>
    <definedName name="TB001968fd_8322_4731_816a_26d86d6521f8" hidden="1">#REF!</definedName>
    <definedName name="TB0025b13a_0c8f_42a8_b7ce_49876fc893d7" hidden="1">#REF!</definedName>
    <definedName name="TB002eb9d1_038d_4ea8_822e_d6a97257590a" hidden="1">#REF!</definedName>
    <definedName name="TB003b4a55_16db_4d3a_be32_f5b99e555acf" hidden="1">#REF!</definedName>
    <definedName name="TB003b65a6_0659_4276_be36_f2d0811cb90f" hidden="1">#REF!</definedName>
    <definedName name="TB003fff0a_d591_49bd_b679_59ed0e70b716" hidden="1">#REF!</definedName>
    <definedName name="TB0040b412_ae85_4cd4_94e8_d095c9989613" hidden="1">#REF!</definedName>
    <definedName name="TB004de17f_a3f5_408b_85d8_bd842067d48a" hidden="1">#REF!</definedName>
    <definedName name="TB005849be_2996_4f77_b8b7_50a10a09b6b5" hidden="1">#REF!</definedName>
    <definedName name="TB005a65b7_ff09_48bf_9afc_d38bcf36bfd2" hidden="1">#REF!</definedName>
    <definedName name="TB0076e15a_a3c1_4ebd_9402_e4edba16e762" hidden="1">#REF!</definedName>
    <definedName name="TB00829abe_d2f1_4373_8bdb_5f5528284e9a" hidden="1">#REF!</definedName>
    <definedName name="TB008cd1f8_04a4_41b6_91f5_6094b07aa995" hidden="1">#REF!</definedName>
    <definedName name="TB00a18548_ee90_4ec8_a225_05f24e2b14fc" hidden="1">#REF!</definedName>
    <definedName name="TB00a48b39_2814_4c47_b6bf_919d69abe1b1" hidden="1">#REF!</definedName>
    <definedName name="TB00a84201_2723_47b5_935e_42241b9bdbe9" hidden="1">#REF!</definedName>
    <definedName name="TB00ac4fb4_2cba_4782_bb30_e204898b250d" hidden="1">#REF!</definedName>
    <definedName name="TB00bc645f_f446_43bb_bf47_73071c010a1d" hidden="1">#REF!</definedName>
    <definedName name="TB00bf96d2_bb37_41ff_a3ee_e1743ff72eaa" hidden="1">#REF!</definedName>
    <definedName name="TB00dfa07e_33f4_4607_9678_5132bcbeab99" hidden="1">#REF!</definedName>
    <definedName name="TB00e0196b_c2bd_424f_8cdb_f52a533b069b" hidden="1">#REF!</definedName>
    <definedName name="TB00e03497_047a_4f3d_9ddd_35ff690b102e" hidden="1">#REF!</definedName>
    <definedName name="TB00f6d4e3_4815_4d50_a705_2b13b7177797" hidden="1">#REF!</definedName>
    <definedName name="TB0114150f_d723_4f42_a6f6_3bf719875679" hidden="1">#REF!</definedName>
    <definedName name="TB01271b7c_5e02_444f_a22e_efcf50be5728" hidden="1">#REF!</definedName>
    <definedName name="TB01411e59_b908_4d3a_adde_0c782cd67ccf" hidden="1">#REF!</definedName>
    <definedName name="TB014672e4_baab_40bc_91da_9a6f6b3d3621" hidden="1">#REF!</definedName>
    <definedName name="TB01504925_79a3_4ea6_a6d6_1f68a0cf91c5" hidden="1">#REF!</definedName>
    <definedName name="TB015b3232_5107_4181_9c1c_035962a18a23" hidden="1">#REF!</definedName>
    <definedName name="TB01617468_948d_4653_8e69_06271793bd97" hidden="1">#REF!</definedName>
    <definedName name="TB0163e49a_6729_4264_a2b2_bd7850d9d539" hidden="1">#REF!</definedName>
    <definedName name="TB01810487_357d_4f95_8941_baa47fab4dfa" hidden="1">#REF!</definedName>
    <definedName name="TB01814ed9_7161_412f_9695_2f51478a5c32" hidden="1">#REF!</definedName>
    <definedName name="TB01849a47_aa0b_4c6e_862f_3549f2c74987" hidden="1">#REF!</definedName>
    <definedName name="TB01862706_8355_4783_99dc_8d546f70a9d9" hidden="1">#REF!</definedName>
    <definedName name="TB019875c0_6ad6_4f86_838a_effceaddb217" hidden="1">#REF!</definedName>
    <definedName name="TB0198d0f9_ced3_4746_b079_a9e35d23b2dd" hidden="1">#REF!</definedName>
    <definedName name="TB019a119c_6b29_4575_837f_1eb05e722242" hidden="1">#REF!</definedName>
    <definedName name="TB01aa383f_8e86_4c2c_a27e_f53fc32a1f00" hidden="1">#REF!</definedName>
    <definedName name="TB01c19333_8b16_425f_9bba_12a301b7136e" hidden="1">#REF!</definedName>
    <definedName name="TB01d22f0e_d5e9_45a3_945d_27c934ac3855" hidden="1">#REF!</definedName>
    <definedName name="TB01d34ad5_eead_44ae_b12b_366fd3b4c892" hidden="1">#REF!</definedName>
    <definedName name="TB01d49513_5e61_41f4_881e_d4859bd37ba8" hidden="1">#REF!</definedName>
    <definedName name="TB01d84b98_10dc_4414_a968_f29fb8c07fb3" hidden="1">#REF!</definedName>
    <definedName name="TB01e4b1d5_d8b0_4696_abaa_b4c9390d256d" hidden="1">#REF!</definedName>
    <definedName name="TB01ee0e64_c78f_48b9_8aa7_09932ef1c22c" hidden="1">#REF!</definedName>
    <definedName name="TB01f96aa0_7d35_4fe5_8283_d1b7d51565a0" hidden="1">#REF!</definedName>
    <definedName name="TB01ffd944_44dd_4724_b518_3aebc2455074" hidden="1">#REF!</definedName>
    <definedName name="TB021364f5_5483_474a_81b7_f2fdd76db2c1" hidden="1">#REF!</definedName>
    <definedName name="TB021c8be7_872c_427b_84dd_35921e4f1c1a" hidden="1">#REF!</definedName>
    <definedName name="TB022a9fcc_a8de_4950_bc06_81f8c9e26614" hidden="1">#REF!</definedName>
    <definedName name="TB022e6c1d_69ae_4892_949d_06f9cfbc1a56" hidden="1">#REF!</definedName>
    <definedName name="TB0236c972_21cb_400a_8f5b_e6cacb37b1e8" hidden="1">#REF!</definedName>
    <definedName name="TB024c0937_14d3_4bd7_82e3_477e4f5baef2" hidden="1">#REF!</definedName>
    <definedName name="TB024d36ce_36d0_408d_b458_b80d989b861d" hidden="1">#REF!</definedName>
    <definedName name="TB024e6db9_fcc4_445d_87be_e822a1e7d9b3" hidden="1">#REF!</definedName>
    <definedName name="TB0251c304_bb86_4532_bd24_4e745bd9631f" hidden="1">#REF!</definedName>
    <definedName name="TB0255d2fd_3fb5_46a6_8cce_a40d1d45f8a9" hidden="1">#REF!</definedName>
    <definedName name="TB027c02f7_5a65_435e_997e_30d184120494" hidden="1">#REF!</definedName>
    <definedName name="TB027f5693_5f00_44ee_b183_07c6832ed950" hidden="1">#REF!</definedName>
    <definedName name="TB0284caf9_890d_401d_9492_2b1fde654e4f" hidden="1">#REF!</definedName>
    <definedName name="TB0284ee2e_e818_4bbf_8073_b53810170b0e" hidden="1">#REF!</definedName>
    <definedName name="TB029462ec_65b5_40af_aef2_56e96083faa1" hidden="1">#REF!</definedName>
    <definedName name="TB02dc7239_dea6_4dfb_97be_943473ae2f79" hidden="1">#REF!</definedName>
    <definedName name="TB02def6e2_021d_410e_a3bc_46ae2568004a" hidden="1">#REF!</definedName>
    <definedName name="TB02e2cdcc_dad5_498d_bfaf_2020124c1a11" hidden="1">#REF!</definedName>
    <definedName name="TB02e84a61_0af4_49bf_b8f7_940ccb6927c8" hidden="1">#REF!</definedName>
    <definedName name="TB02f0c8b2_d431_4933_9605_14f4b655ba44" hidden="1">#REF!</definedName>
    <definedName name="TB02f6b214_18fe_488f_a017_d5495f44a8ec" hidden="1">#REF!</definedName>
    <definedName name="TB02f817c4_3434_4dac_a0a3_b0a9115dc127" hidden="1">#REF!</definedName>
    <definedName name="TB02fe8802_e509_42aa_8fad_e2afc668dffd" hidden="1">#REF!</definedName>
    <definedName name="TB0313eb03_4e52_4b1b_b52e_2a70fb06b2ed" hidden="1">#REF!</definedName>
    <definedName name="TB03294482_ef0f_40cd_b523_3b1984733faf" hidden="1">#REF!</definedName>
    <definedName name="TB03333857_240f_4a37_b2ca_4ad6a68ee000" hidden="1">#REF!</definedName>
    <definedName name="TB03359cf3_9912_4262_9c5d_89e8895aaa26" hidden="1">#REF!</definedName>
    <definedName name="TB03386f85_73f2_41d8_80fa_4721b8d8be60" hidden="1">#REF!</definedName>
    <definedName name="TB03473996_cdfa_48a3_8959_02bdebbaede0" hidden="1">#REF!</definedName>
    <definedName name="TB034e861b_6f22_446a_9a69_136aeecd8d9e" hidden="1">#REF!</definedName>
    <definedName name="TB03607d86_d401_47b6_af5b_137c0d4f34b5" hidden="1">#REF!</definedName>
    <definedName name="TB036c7db5_34e1_4cca_b673_ce1cd7dc6f4f" hidden="1">#REF!</definedName>
    <definedName name="TB038b97a7_56ee_4d88_abf8_f372a7c2470f" hidden="1">#REF!</definedName>
    <definedName name="TB0399645c_b198_49e7_b747_a0702ee5fc71" hidden="1">#REF!</definedName>
    <definedName name="TB03bbc36c_0d09_448e_a1f1_3a40e1e465dd" hidden="1">#REF!</definedName>
    <definedName name="TB03cd0218_9eab_4518_9293_73b7852dc3e1" hidden="1">#REF!</definedName>
    <definedName name="TB03eead79_0152_47eb_962e_df070df053a0" hidden="1">#REF!</definedName>
    <definedName name="TB03ef97bb_bd03_4ac7_90a6_c7b5fc1a2381" hidden="1">#REF!</definedName>
    <definedName name="TB03f0db3d_7bc7_456f_b26a_9f21b9c3c73d" hidden="1">#REF!</definedName>
    <definedName name="TB04064333_c7f4_4529_bcd2_e91ee4a26237" hidden="1">#REF!</definedName>
    <definedName name="TB0407aa80_948c_44a0_b1f7_04cbee99b54f" hidden="1">#REF!</definedName>
    <definedName name="TB0410beb3_b6f6_49d0_9263_30f1fe8e89a9" hidden="1">#REF!</definedName>
    <definedName name="TB0416e5bf_f7cd_4033_8d03_be9484aa1579" hidden="1">#REF!</definedName>
    <definedName name="TB041c10fb_210d_4fa7_bf41_92eb746e474d" hidden="1">#REF!</definedName>
    <definedName name="TB04467270_b396_4019_a582_6ec071da3135" hidden="1">#REF!</definedName>
    <definedName name="TB044d3115_d17e_49c3_a7d5_1c22da67275c" hidden="1">#REF!</definedName>
    <definedName name="TB0466f36a_4552_4ec5_bf6b_8e3fd1247984" hidden="1">#REF!</definedName>
    <definedName name="TB046cce66_c1ef_4c95_b639_fea101419b4d" hidden="1">#REF!</definedName>
    <definedName name="TB047262f8_66c8_43b5_9a66_f1d0c29eef99" hidden="1">#REF!</definedName>
    <definedName name="TB047ad63a_4004_4e60_bfda_6cd0c4881bb9" hidden="1">#REF!</definedName>
    <definedName name="TB047ff511_53e9_4464_81cf_8563c6680244" hidden="1">#REF!</definedName>
    <definedName name="TB04975ad7_f632_40c5_abf0_67d5dc40caf7" hidden="1">#REF!</definedName>
    <definedName name="TB04a0c81c_ce4e_4a4c_bfd0_8b63160ce765" hidden="1">#REF!</definedName>
    <definedName name="TB04a92ddf_5856_46ef_b967_806798e63176" hidden="1">#REF!</definedName>
    <definedName name="TB04c55f85_4ae9_4afb_bc10_06dae8b1a45a" hidden="1">#REF!</definedName>
    <definedName name="TB04d9ad28_406d_484a_8bfa_d2ca2d6ed014" hidden="1">#REF!</definedName>
    <definedName name="TB04df0250_e7d1_41dd_a148_d4b27ec6d06f" hidden="1">#REF!</definedName>
    <definedName name="TB04e63ca2_5673_4b02_b911_12f3251742fa" hidden="1">#REF!</definedName>
    <definedName name="TB050208c5_dfc1_4ba6_b56b_9976752ebdc1" hidden="1">#REF!</definedName>
    <definedName name="TB0506d5fe_8244_469a_b97e_17b54c771b3c" hidden="1">#REF!</definedName>
    <definedName name="TB05176be0_1740_49c1_80c5_0353c174baa4" hidden="1">#REF!</definedName>
    <definedName name="TB051a1fe4_778a_40b2_b0a1_3bdbd5774526" hidden="1">#REF!</definedName>
    <definedName name="TB051fbd01_1424_49e3_9258_7db499e901f2" hidden="1">#REF!</definedName>
    <definedName name="TB0525c613_518a_4cd9_8ebc_30515dd35cad" hidden="1">#REF!</definedName>
    <definedName name="TB05262a95_b181_4f97_9d2f_594909dc7f49" hidden="1">#REF!</definedName>
    <definedName name="TB0526d0bc_290b_4375_918a_18e5dba22c58" hidden="1">#REF!</definedName>
    <definedName name="TB05328c9d_e658_4f4f_ae2c_a58e44335d9d" hidden="1">#REF!</definedName>
    <definedName name="TB0537687e_d2d7_4daf_a447_666128ce74e3" hidden="1">#REF!</definedName>
    <definedName name="TB05398980_904f_47ff_aee7_c9e1c907dcac" hidden="1">#REF!</definedName>
    <definedName name="TB053fc02a_a242_4e48_b31d_a0dc7d7364a1" hidden="1">#REF!</definedName>
    <definedName name="TB05472f87_41a4_40f6_8a49_41f0695650ba" hidden="1">#REF!</definedName>
    <definedName name="TB05515274_5e53_4d37_a36d_3a5f1bb34587" hidden="1">#REF!</definedName>
    <definedName name="TB0555529c_b251_482d_8dab_3d6c2426aa2a" hidden="1">#REF!</definedName>
    <definedName name="TB057158a4_ac6d_4d56_8cc0_764e08a5f816" hidden="1">#REF!</definedName>
    <definedName name="TB0578bb92_f2fd_4746_bd57_6883cfb0e8a1" hidden="1">#REF!</definedName>
    <definedName name="TB0593f1ca_9a91_416d_b0e1_7561f35aeac5" hidden="1">#REF!</definedName>
    <definedName name="TB05ae7d48_db69_4c0e_a2f5_3f03da7de89d" hidden="1">#REF!</definedName>
    <definedName name="TB05af7204_6a5e_41c2_8d9c_28a2fd3a0e1f" hidden="1">#REF!</definedName>
    <definedName name="TB05b09fa1_f1be_44f9_b804_cd794d65e7a3" hidden="1">#REF!</definedName>
    <definedName name="TB05b16db5_06aa_4739_8684_ba152b6c0607" hidden="1">#REF!</definedName>
    <definedName name="TB05b1d463_cf3c_4bfc_a6f7_8686d36cc267" hidden="1">#REF!</definedName>
    <definedName name="TB05bd24c0_303f_4406_b645_65d74a793d23" hidden="1">#REF!</definedName>
    <definedName name="TB05be4ad1_a4bc_41c0_9cca_dbe3c88c05ee" hidden="1">#REF!</definedName>
    <definedName name="TB05c32c98_9c2c_446b_9952_d3d1bb9b685b" hidden="1">#REF!</definedName>
    <definedName name="TB05c79057_384b_4287_88eb_0be4fcecaca3" hidden="1">#REF!</definedName>
    <definedName name="TB05d942e7_5d15_4d5b_9009_d1402e8dfa9c" hidden="1">#REF!</definedName>
    <definedName name="TB05f4762c_2947_495e_9e0b_96adbe3bc0f1" hidden="1">#REF!</definedName>
    <definedName name="TB05f5f0a7_a6d1_4c9c_a25b_e3ad3a6df77e" hidden="1">#REF!</definedName>
    <definedName name="TB05f9a8b1_a889_4480_a6a3_80230e852bea" hidden="1">#REF!</definedName>
    <definedName name="TB060a7f71_d33f_4afc_bfa2_bbc404ea8712" hidden="1">#REF!</definedName>
    <definedName name="TB060fb2eb_386d_457b_8fc2_2f589b648af3" hidden="1">#REF!</definedName>
    <definedName name="TB06105874_ea79_47f2_bcd9_1384ad636b86" hidden="1">#REF!</definedName>
    <definedName name="TB061402fc_3864_40a0_a8d8_e6c014e2c4c9" hidden="1">#REF!</definedName>
    <definedName name="TB0620268a_502a_4811_b12a_df2a3444714e" hidden="1">#REF!</definedName>
    <definedName name="TB06209a8d_a3b0_41c8_bfc0_58b33352ef22" hidden="1">#REF!</definedName>
    <definedName name="TB062570e3_3bdb_47a9_a3d0_a8887a08506b" hidden="1">#REF!</definedName>
    <definedName name="TB0630e8c2_d71b_4610_85d3_4be5973698ee" hidden="1">#REF!</definedName>
    <definedName name="TB0631a3fb_f963_41f6_a530_b08015bd7594" hidden="1">#REF!</definedName>
    <definedName name="TB0647f809_5ee0_443d_8618_fd38b761fa0e" hidden="1">#REF!</definedName>
    <definedName name="TB0656fb26_5ce0_472d_8f55_619f780ff8dd" hidden="1">#REF!</definedName>
    <definedName name="TB065accb4_e6c6_40aa_a44f_045aa9aba70d" hidden="1">#REF!</definedName>
    <definedName name="TB06709fd2_ba71_4278_b09b_fc39e6576b86" hidden="1">#REF!</definedName>
    <definedName name="TB067874a7_cfcd_49b4_b16e_2905bda65936" hidden="1">#REF!</definedName>
    <definedName name="TB068ad8d0_543e_45b9_ab02_e0cce69989a6" hidden="1">#REF!</definedName>
    <definedName name="TB068ed70e_a79e_4a5c_af0b_f922632da50f" hidden="1">#REF!</definedName>
    <definedName name="TB069dd506_7811_455b_a011_18f2ad3bcf79" hidden="1">#REF!</definedName>
    <definedName name="TB06c4f79c_b2c0_4ce8_9205_a44865ea3213" hidden="1">#REF!</definedName>
    <definedName name="TB06c5acf5_eb9b_43d7_a578_be564fe8173a" hidden="1">#REF!</definedName>
    <definedName name="TB06d13b4b_531e_4876_95b6_c7aba3b1bd33" hidden="1">#REF!</definedName>
    <definedName name="TB06dc4fb8_1055_4199_92a6_3aad607cd505" hidden="1">#REF!</definedName>
    <definedName name="TB06defebd_1964_47e4_8bb0_ea189fd7279a" hidden="1">#REF!</definedName>
    <definedName name="TB06df7662_cd64_4002_9828_033eac27d240" hidden="1">#REF!</definedName>
    <definedName name="TB06e15adb_d6c1_449e_8434_e8426bd8fa84" hidden="1">#REF!</definedName>
    <definedName name="TB06f2a02a_8446_4ce3_bf17_4854aab608b1" hidden="1">#REF!</definedName>
    <definedName name="TB06f88f33_1d1c_4b97_8505_7c04ba8bafd2" hidden="1">#REF!</definedName>
    <definedName name="TB06ff0618_0557_4fda_b7e5_28d2f50ba10a" hidden="1">#REF!</definedName>
    <definedName name="TB0704acf3_5bd1_445b_af67_24b30e998ebd" hidden="1">#REF!</definedName>
    <definedName name="TB0708b5dc_9c04_419f_938f_a512cc84d330" hidden="1">#REF!</definedName>
    <definedName name="TB070ade25_90b8_4f8b_b14d_90b15c864cb4" hidden="1">#REF!</definedName>
    <definedName name="TB07140132_77e5_49ec_94c4_76d2753a2149" hidden="1">#REF!</definedName>
    <definedName name="TB0714d747_004c_4993_9118_1267d6c8f2d0" hidden="1">#REF!</definedName>
    <definedName name="TB071d8881_9963_444e_87b6_918e72864a8f" hidden="1">#REF!</definedName>
    <definedName name="TB073e0c29_61a0_4315_855c_22ae6dd32f02" hidden="1">#REF!</definedName>
    <definedName name="TB0760cc7f_a784_4d63_bf29_c054c3ac446b" hidden="1">#REF!</definedName>
    <definedName name="TB076f0d04_6b60_4384_887a_52648eb60472" hidden="1">#REF!</definedName>
    <definedName name="TB077476b0_289a_4b1c_9895_78cc2deeed26" hidden="1">#REF!</definedName>
    <definedName name="TB07786215_bd1f_412b_81f7_f8098a0c9617" hidden="1">#REF!</definedName>
    <definedName name="TB0779cd30_e211_47a3_a058_ea6839c6ce00" hidden="1">#REF!</definedName>
    <definedName name="TB07a49810_6858_4138_969c_db82788f3793" hidden="1">#REF!</definedName>
    <definedName name="TB07a71371_dfa4_490d_bb61_7ab17a91c24b" hidden="1">#REF!</definedName>
    <definedName name="TB07ab2576_2a62_47c1_b4d8_6cd736b1d037" hidden="1">#REF!</definedName>
    <definedName name="TB07b1e77a_1b0b_47f3_827a_06d251f8eaca" hidden="1">#REF!</definedName>
    <definedName name="TB07ce3aa9_865f_4dd8_9e42_c2ab04a4e760" hidden="1">#REF!</definedName>
    <definedName name="TB07f696fb_9499_42c3_9d64_afe522cbfc83" hidden="1">#REF!</definedName>
    <definedName name="TB080007cd_19de_4943_b840_cb7792056181" hidden="1">#REF!</definedName>
    <definedName name="TB080d888b_2234_4fdd_bf66_c30ca9cb9177" hidden="1">#REF!</definedName>
    <definedName name="TB08115711_07c0_4667_88e3_c87123f11350" hidden="1">#REF!</definedName>
    <definedName name="TB08175885_cb09_429a_9568_c91168c53c48" hidden="1">#REF!</definedName>
    <definedName name="TB0820f3dc_82b7_4192_8691_a78bddae3407" hidden="1">#REF!</definedName>
    <definedName name="TB08359c87_3114_4083_b56b_7db6d5a35961" hidden="1">#REF!</definedName>
    <definedName name="TB084b7884_fcca_4439_b828_ea0cb6ff9faf" hidden="1">#REF!</definedName>
    <definedName name="TB08511bee_feb3_471a_a466_bbc05928759f" hidden="1">#REF!</definedName>
    <definedName name="TB08516b2e_947a_428e_97f2_ccd7781de111" hidden="1">#REF!</definedName>
    <definedName name="TB08623eec_874a_4e56_8f8b_80fd55c235af" hidden="1">#REF!</definedName>
    <definedName name="TB086ff91e_f317_44dc_b5d0_4e4820bdcd55" hidden="1">#REF!</definedName>
    <definedName name="TB08785da9_0cd1_41fe_872f_7586467c56d3" hidden="1">#REF!</definedName>
    <definedName name="TB089503b9_aef6_4c4f_99b7_882162beb231" hidden="1">#REF!</definedName>
    <definedName name="TB089f6355_7ce1_43c4_b2cd_4433a6f1cc14" hidden="1">#REF!</definedName>
    <definedName name="TB08a55d8d_d6f9_4639_8b81_ad54a94bd190" hidden="1">#REF!</definedName>
    <definedName name="TB08ac12e4_1d8e_46fb_a321_50bdd0b54ff1" hidden="1">#REF!</definedName>
    <definedName name="TB08aec5ef_61e3_44f6_8d08_e7052a309b37" hidden="1">#REF!</definedName>
    <definedName name="TB08b62cd3_71fa_44b7_bf58_3d6b93c7a451" hidden="1">#REF!</definedName>
    <definedName name="TB08b80e1e_c292_4e30_baa8_a590675af96e" hidden="1">#REF!</definedName>
    <definedName name="TB08bc82ce_2cc8_4e10_9cd2_c45524bf1061" hidden="1">#REF!</definedName>
    <definedName name="TB08cd6539_18c4_4463_8107_5d94c6bb6f27" hidden="1">#REF!</definedName>
    <definedName name="TB08ee209f_20d8_4825_848d_eda33bfba76b" hidden="1">#REF!</definedName>
    <definedName name="TB08eeedc7_4471_4cde_acea_cd2309572a02" hidden="1">#REF!</definedName>
    <definedName name="TB08f4b635_5af4_424b_828a_1e01cd6c4276" hidden="1">#REF!</definedName>
    <definedName name="TB08f67142_6f81_4e59_973e_784b4b899785" hidden="1">#REF!</definedName>
    <definedName name="TB090dd162_9b0c_4242_bbc6_230c887560b5" hidden="1">#REF!</definedName>
    <definedName name="TB091059b2_80d0_44c5_89b9_8781f359bbdc" hidden="1">#REF!</definedName>
    <definedName name="TB09178f94_e969_416d_8803_e2bb792cea11" hidden="1">#REF!</definedName>
    <definedName name="TB09184f22_a3b6_4ae3_a7bb_258fa7aa64ef" hidden="1">#REF!</definedName>
    <definedName name="TB09193a2f_76ad_4587_892c_af0b5a65439a" hidden="1">#REF!</definedName>
    <definedName name="TB091ded64_80e7_40ba_a7bc_3dc35fb7e7dc" hidden="1">#REF!</definedName>
    <definedName name="TB0922fe13_8a50_4479_be11_db0952be1e9f" hidden="1">#REF!</definedName>
    <definedName name="TB0923da74_5c54_420f_b4ef_9deda8bb35cf" hidden="1">#REF!</definedName>
    <definedName name="TB0931c433_d1b9_48be_99f8_bd277721891a" hidden="1">#REF!</definedName>
    <definedName name="TB09451aec_b7ba_4712_8335_c47feef37be4" hidden="1">#REF!</definedName>
    <definedName name="TB095838cc_f8c6_4d03_9450_8216acc9d906" hidden="1">#REF!</definedName>
    <definedName name="TB095bcc4f_7fe4_418a_9516_fc21593707c2" hidden="1">#REF!</definedName>
    <definedName name="TB09644628_fc7e_430c_8061_11e71b88f6a9" hidden="1">#REF!</definedName>
    <definedName name="TB096da2a0_6735_4c65_bc47_26ac95a6f61b" hidden="1">#REF!</definedName>
    <definedName name="TB098bf3a1_972a_4c28_a165_a5e7e950d122" hidden="1">#REF!</definedName>
    <definedName name="TB09a8ab37_d926_45b6_844a_00b44799711a" hidden="1">#REF!</definedName>
    <definedName name="TB09aa560d_d7e2_4105_a08d_7acdd40733ff" hidden="1">#REF!</definedName>
    <definedName name="TB09b19933_884b_4961_8fbb_a2b079bbb8f7" hidden="1">#REF!</definedName>
    <definedName name="TB09b7fe07_a773_412b_8232_db4f614ba6ef" hidden="1">#REF!</definedName>
    <definedName name="TB09ceb7dd_1ed9_492a_986d_d2edf1763eaf" hidden="1">#REF!</definedName>
    <definedName name="TB09e499ad_b158_4b23_9a1f_718982952ad0" hidden="1">#REF!</definedName>
    <definedName name="TB09e8962a_a360_4e81_94dc_d1b2f7ff1e26" hidden="1">#REF!</definedName>
    <definedName name="TB09efaf66_7e0d_4251_a576_482c3ad0a083" hidden="1">#REF!</definedName>
    <definedName name="TB0a01094d_9b74_4ac3_a963_02926eee734b" hidden="1">#REF!</definedName>
    <definedName name="TB0a2dd772_44d2_4a88_a132_47c7ed922bcd" hidden="1">#REF!</definedName>
    <definedName name="TB0a2f06a9_3302_4ea5_a89c_7457eca11eef" hidden="1">#REF!</definedName>
    <definedName name="TB0a3b132b_4bbf_45d4_a653_bd4c1f8e178d" hidden="1">#REF!</definedName>
    <definedName name="TB0a3b78ef_a12b_4bf3_8362_a5141655964e" hidden="1">#REF!</definedName>
    <definedName name="TB0a4cc611_0de7_40dd_8f2c_efa8f67c7457" hidden="1">#REF!</definedName>
    <definedName name="TB0a553c8c_7574_4164_9a0b_a81d038b6111" hidden="1">#REF!</definedName>
    <definedName name="TB0a59c53e_8527_4930_88ad_b0e22e5e66d5" hidden="1">#REF!</definedName>
    <definedName name="TB0a5a93a6_c0f4_4af8_b2a2_8c8fdbe10083" hidden="1">#REF!</definedName>
    <definedName name="TB0a6222eb_4f8f_4653_8bac_b5447890385b" hidden="1">#REF!</definedName>
    <definedName name="TB0a638780_7470_4cea_9b21_c4478f2eb115" hidden="1">#REF!</definedName>
    <definedName name="TB0a69f8a0_3e38_4003_b331_23ff7e1f839e" hidden="1">#REF!</definedName>
    <definedName name="TB0a6db0d1_b3ff_49ce_9699_225c0689a8dc" hidden="1">#REF!</definedName>
    <definedName name="TB0a72a258_6d2d_42ff_bd88_ae9a3b7227ab" hidden="1">#REF!</definedName>
    <definedName name="TB0a819903_f132_43d0_b97a_f8b6cf90fe9d" hidden="1">#REF!</definedName>
    <definedName name="TB0a8d5f98_d070_4d46_8b85_fbc7ba79022d" hidden="1">#REF!</definedName>
    <definedName name="TB0a8eb6eb_9334_4086_a52d_0e2870a02f2c" hidden="1">#REF!</definedName>
    <definedName name="TB0a9968bb_3f56_4195_b958_2415f1147f44" hidden="1">#REF!</definedName>
    <definedName name="TB0aa63f66_089d_43e1_bfeb_5f3f5c774fda" hidden="1">#REF!</definedName>
    <definedName name="TB0aa699b5_724f_4d6e_9758_91111f12660c" hidden="1">#REF!</definedName>
    <definedName name="TB0ab74a5c_9548_4157_86ef_014017a01cd6" hidden="1">#REF!</definedName>
    <definedName name="TB0ab7b618_1290_45b5_b13b_82b524a6e908" hidden="1">#REF!</definedName>
    <definedName name="TB0aba8807_5555_4664_a020_ef631604607c" hidden="1">#REF!</definedName>
    <definedName name="TB0abc79c8_ea2f_420d_a844_2c76a8360816" hidden="1">#REF!</definedName>
    <definedName name="TB0abe0af1_cc20_4185_bdaf_403aa93e68b3" hidden="1">#REF!</definedName>
    <definedName name="TB0ac0c6df_27f3_4691_93b4_e4a7936f8031" hidden="1">#REF!</definedName>
    <definedName name="TB0ace14d5_5b52_4138_891f_33323e4e5fd5" hidden="1">#REF!</definedName>
    <definedName name="TB0ad53859_5c0f_4580_a605_c74bb8cca025" hidden="1">#REF!</definedName>
    <definedName name="TB0ad60635_051d_40f9_a3c6_aca31f2babcc" hidden="1">#REF!</definedName>
    <definedName name="TB0ae4e6f2_9505_4ce7_ac43_bb495a5880a8" hidden="1">#REF!</definedName>
    <definedName name="TB0aedf344_9046_4f88_bfd6_8db8c4e96cb9" hidden="1">#REF!</definedName>
    <definedName name="TB0af15ef8_2261_4188_afb8_2fe403967cd4" hidden="1">#REF!</definedName>
    <definedName name="TB0b00298c_b4d2_4238_b680_143587494fd4" hidden="1">#REF!</definedName>
    <definedName name="TB0b03a8c4_55f6_4a33_b62c_6c33be807096" hidden="1">#REF!</definedName>
    <definedName name="TB0b069968_af63_4a11_9fc6_d3e9e0248533" hidden="1">#REF!</definedName>
    <definedName name="TB0b0ff29d_944f_4655_8101_95ffcda82e62" hidden="1">#REF!</definedName>
    <definedName name="TB0b1f770b_3f9d_4e9e_9b69_d6435eb2cdc2" hidden="1">#REF!</definedName>
    <definedName name="TB0b23d82b_50c3_4088_a051_8f36378d3a2d" hidden="1">#REF!</definedName>
    <definedName name="TB0b28ebff_233b_4390_a3e4_541400d074db" hidden="1">#REF!</definedName>
    <definedName name="TB0b2d5e23_f7a5_491c_84b0_cd04099cb08a" hidden="1">#REF!</definedName>
    <definedName name="TB0b32847a_0907_47e4_8e61_1c050d3ee894" hidden="1">#REF!</definedName>
    <definedName name="TB0b37fafa_2233_4e8f_8f59_4eed026b1e3d" hidden="1">#REF!</definedName>
    <definedName name="TB0b3b28ec_7171_46af_9d7b_e62cf72593b0" hidden="1">#REF!</definedName>
    <definedName name="TB0b4e5ba6_5007_4266_a8a4_1204d18186c7" hidden="1">#REF!</definedName>
    <definedName name="TB0b565455_aa55_4bec_a195_250487ae7d6e" hidden="1">#REF!</definedName>
    <definedName name="TB0b602a9d_372d_4b6f_af4c_1b36b51bb373" hidden="1">#REF!</definedName>
    <definedName name="TB0b6772a1_b851_43f8_a860_0de35d2cd707" hidden="1">#REF!</definedName>
    <definedName name="TB0b74f10d_9c90_4c28_bf75_36452ef345a6" hidden="1">#REF!</definedName>
    <definedName name="TB0b777f39_eb6f_4fdc_8c68_f2aff1f1a0e4" hidden="1">#REF!</definedName>
    <definedName name="TB0b780987_957e_4dd3_a3d3_d6ff1dce3460" hidden="1">#REF!</definedName>
    <definedName name="TB0b7f94a3_e1ba_4158_b0f8_9eadd0f0eb37" hidden="1">#REF!</definedName>
    <definedName name="TB0b829b8f_28ba_47e9_8337_3425118641d6" hidden="1">#REF!</definedName>
    <definedName name="TB0b894cfe_d211_4cb2_8ffc_1b97c617e559" hidden="1">#REF!</definedName>
    <definedName name="TB0b99ce32_d013_48f0_8080_f1fe0923ef8e" hidden="1">#REF!</definedName>
    <definedName name="TB0ba47a0f_fdfc_498f_be76_ebc3c9570f96" hidden="1">#REF!</definedName>
    <definedName name="TB0bc50bb2_6e7d_402c_bf80_72e4f57b9175" hidden="1">#REF!</definedName>
    <definedName name="TB0bcc8b77_f9b9_4265_8869_f1a0a11d8bfb" hidden="1">#REF!</definedName>
    <definedName name="TB0bdd174c_ecf5_4536_97e6_37f1f1dffcfb" hidden="1">#REF!</definedName>
    <definedName name="TB0beb3ecf_144f_4a6e_9b41_2648e584564b" hidden="1">#REF!</definedName>
    <definedName name="TB0beb7326_27ba_40ed_a98d_d5eb0a99c649" hidden="1">#REF!</definedName>
    <definedName name="TB0bf08a6d_c750_4fa7_92fb_199034121d0a" hidden="1">#REF!</definedName>
    <definedName name="TB0c023bf4_ae00_4279_9cb1_66606ce871b4" hidden="1">#REF!</definedName>
    <definedName name="TB0c0306e9_1c94_41ce_a6bc_4794bae6f327" hidden="1">#REF!</definedName>
    <definedName name="TB0c0fad89_c808_48b8_aaf9_9dfe425f6a23" hidden="1">#REF!</definedName>
    <definedName name="TB0c13062b_3f24_4ef9_8599_532c6b99def6" hidden="1">#REF!</definedName>
    <definedName name="TB0c167e86_c236_4e45_8413_efeeeb98b6fd" hidden="1">#REF!</definedName>
    <definedName name="TB0c1ab001_0aa2_4982_a261_706dd9b0fb3e" hidden="1">#REF!</definedName>
    <definedName name="TB0c1d42e0_25dd_4422_940c_5e40af22199e" hidden="1">#REF!</definedName>
    <definedName name="TB0c1fe98f_aa15_48cd_a3a1_6d5e37696304" hidden="1">#REF!</definedName>
    <definedName name="TB0c2b1e57_f4e7_4f4d_b78f_52d4f23a12ef" hidden="1">#REF!</definedName>
    <definedName name="TB0c2fb36f_51f7_4af5_b014_95ae8cb44100" hidden="1">#REF!</definedName>
    <definedName name="TB0c303e58_56da_479b_a0aa_a0cc965e688b" hidden="1">#REF!</definedName>
    <definedName name="TB0c3bcd4b_ed8d_4fba_8af6_fc0964f43ff9" hidden="1">#REF!</definedName>
    <definedName name="TB0c486d7c_1dfc_49e3_b932_40b64ffcba24" hidden="1">#REF!</definedName>
    <definedName name="TB0c56443e_299c_454e_9429_0f7bc7dfcac1" hidden="1">#REF!</definedName>
    <definedName name="TB0c62d996_c35b_4218_8091_358879d4d0d0" hidden="1">#REF!</definedName>
    <definedName name="TB0c6fd9a9_2b8a_49df_a64b_1ffff8f57300" hidden="1">#REF!</definedName>
    <definedName name="TB0c70af67_8ba1_48fc_bb27_fb6159af5c1d" hidden="1">#REF!</definedName>
    <definedName name="TB0c7bb387_c037_4a2f_8816_3880671afb5a" hidden="1">#REF!</definedName>
    <definedName name="TB0c8f32cb_b6b4_434b_b816_fb57cd94e65d" hidden="1">#REF!</definedName>
    <definedName name="TB0c93d1d3_bf2a_48fb_9dff_2872329a0135" hidden="1">#REF!</definedName>
    <definedName name="TB0ca33299_2881_4a84_bb99_1fb4c318daeb" hidden="1">#REF!</definedName>
    <definedName name="TB0ca46df9_8023_4e1a_8c20_3f50a7115146" hidden="1">#REF!</definedName>
    <definedName name="TB0cacf4e0_0ea4_4939_b3ad_02b01505ae6c" hidden="1">#REF!</definedName>
    <definedName name="TB0cb13609_82d0_485a_b29b_f81a6799809e" hidden="1">#REF!</definedName>
    <definedName name="TB0ce43d52_86a1_46e6_b5f5_b18e03a58623" hidden="1">#REF!</definedName>
    <definedName name="TB0ce7d917_d898_45a5_8c1c_e81d708e5b64" hidden="1">#REF!</definedName>
    <definedName name="TB0cfbd975_3792_4cf3_9ce8_8c21aa6d932a" hidden="1">#REF!</definedName>
    <definedName name="TB0d06ca19_2171_4630_b4b6_9487f70165c4" hidden="1">#REF!</definedName>
    <definedName name="TB0d0768dc_cc9f_4ffc_b69d_b2a9445dfaad" hidden="1">#REF!</definedName>
    <definedName name="TB0d11dfea_74b5_4e3f_bffb_c6b449a5d6ef" hidden="1">#REF!</definedName>
    <definedName name="TB0d30970f_f81a_4503_8b45_1bb6e0e2175b" hidden="1">#REF!</definedName>
    <definedName name="TB0d315401_6115_426e_9426_ad24ab4c68c8" hidden="1">#REF!</definedName>
    <definedName name="TB0d32b401_0c40_4622_9ee1_0d2bc854ab91" hidden="1">#REF!</definedName>
    <definedName name="TB0d34ad2c_cd29_4fac_aa86_9b12c1fc0d8d" hidden="1">#REF!</definedName>
    <definedName name="TB0d4970a9_e0f8_424b_a6b6_aa0b26e467b4" hidden="1">#REF!</definedName>
    <definedName name="TB0d53fa37_d65f_4a76_ba88_5beba834266e" hidden="1">#REF!</definedName>
    <definedName name="TB0d68dc88_3320_4e2f_a04a_c00d6e24f5bd" hidden="1">#REF!</definedName>
    <definedName name="TB0d76be53_4743_4186_9b04_a89e4d07ca50" hidden="1">#REF!</definedName>
    <definedName name="TB0d8e4c82_4eee_4066_a2d4_608b16c56e13" hidden="1">#REF!</definedName>
    <definedName name="TB0d9ce0b4_681a_44c0_99ce_e1325d55cc53" hidden="1">#REF!</definedName>
    <definedName name="TB0dab1cb3_a0f4_475c_b275_caefc45848e8" hidden="1">#REF!</definedName>
    <definedName name="TB0db9391d_1ba2_4677_afe0_f2b8006073f0" hidden="1">#REF!</definedName>
    <definedName name="TB0dc1c628_b45e_4021_9b8f_83e057daf315" hidden="1">#REF!</definedName>
    <definedName name="TB0dd2851f_bc4f_4078_94b0_863cd00c1ace" hidden="1">#REF!</definedName>
    <definedName name="TB0df376d9_9c6e_41ee_9b45_9f929ea52176" hidden="1">#REF!</definedName>
    <definedName name="TB0e0911dc_f999_49ab_bf4f_f51b5f79ae41" hidden="1">#REF!</definedName>
    <definedName name="TB0e09a8fd_7274_47fc_b527_498dfad35221" hidden="1">#REF!</definedName>
    <definedName name="TB0e0b44f1_273c_4f21_8b70_83a76809172e" hidden="1">#REF!</definedName>
    <definedName name="TB0e1bca2b_2fd9_4e43_8744_a8300ad18b7c" hidden="1">#REF!</definedName>
    <definedName name="TB0e328272_53dd_4d96_a314_b3662e5fbcd2" hidden="1">#REF!</definedName>
    <definedName name="TB0e3f80aa_235f_48ce_891f_576038cf9050" hidden="1">#REF!</definedName>
    <definedName name="TB0e4814f7_8ea5_48ee_bb2e_a8912fdbfc25" hidden="1">#REF!</definedName>
    <definedName name="TB0e611d9c_aa0f_4eb6_a904_1ed6f655f9aa" hidden="1">#REF!</definedName>
    <definedName name="TB0e74fa4d_90eb_4a19_8eb2_a265f11e5683" hidden="1">#REF!</definedName>
    <definedName name="TB0e7c6bc5_5032_4aea_8ca4_cb0f3aa11bdd" hidden="1">#REF!</definedName>
    <definedName name="TB0e85577b_8ed9_4d04_9a0b_fec91357154e" hidden="1">#REF!</definedName>
    <definedName name="TB0e8a0430_89ab_4218_8f86_2bf7b6c72ecc" hidden="1">#REF!</definedName>
    <definedName name="TB0e8e1e16_ba04_410b_a399_ee076ef14c71" hidden="1">#REF!</definedName>
    <definedName name="TB0e9aeb16_623a_4fac_a369_c303895f8ac0" hidden="1">#REF!</definedName>
    <definedName name="TB0e9d55e0_ecaa_4b7b_9b3b_029d1a7a53b2" hidden="1">#REF!</definedName>
    <definedName name="TB0eb2db3e_db55_4129_9233_7cdde67357ca" hidden="1">#REF!</definedName>
    <definedName name="TB0eb4e979_82bf_4ebe_8963_72f83e70b6d8" hidden="1">#REF!</definedName>
    <definedName name="TB0eb755c0_9d86_431b_866c_42b65bfe1181" hidden="1">#REF!</definedName>
    <definedName name="TB0ebaafe4_f9df_4605_b879_25cb5d505365" hidden="1">#REF!</definedName>
    <definedName name="TB0ec85207_2709_4cfa_a846_b037f94d30d8" hidden="1">#REF!</definedName>
    <definedName name="TB0ed8b6a3_d222_4a2f_b0b8_0bf4ba927fad" hidden="1">#REF!</definedName>
    <definedName name="TB0efceafb_9a9b_4ac3_95ed_c0905a9dbebd" hidden="1">#REF!</definedName>
    <definedName name="TB0f036734_a795_4c08_926b_ae91c7b95859" hidden="1">#REF!</definedName>
    <definedName name="TB0f072fa3_5fbd_41c4_8684_a8eb45a55844" hidden="1">#REF!</definedName>
    <definedName name="TB0f1813d5_eb89_4bd9_9245_96d985e629ed" hidden="1">#REF!</definedName>
    <definedName name="TB0f235042_ca61_4488_bd88_90441f3e8061" hidden="1">#REF!</definedName>
    <definedName name="TB0f2b524a_d01f_4563_9f25_a86bdbc90624" hidden="1">#REF!</definedName>
    <definedName name="TB0f2fdf34_fc53_4d0d_a77a_fdabd2f8ea0d" hidden="1">#REF!</definedName>
    <definedName name="TB0f319b35_667a_4da3_8ce7_d63e94daafca" hidden="1">#REF!</definedName>
    <definedName name="TB0f351eb7_ac5c_48eb_b0ca_82a9f97edf12" hidden="1">#REF!</definedName>
    <definedName name="TB0f4dd565_5730_4294_8fdc_a53eacd5d92a" hidden="1">#REF!</definedName>
    <definedName name="TB0f4ee765_0925_48e4_95a0_af8d459e7b5e" hidden="1">#REF!</definedName>
    <definedName name="TB0f59dde9_19c9_41bd_a2d8_2dc5d27192b9" hidden="1">#REF!</definedName>
    <definedName name="TB0f63114e_29d1_4e70_b37a_e842a64c61da" hidden="1">#REF!</definedName>
    <definedName name="TB0f6bb440_54e7_4878_8764_82e576f4e2f7" hidden="1">#REF!</definedName>
    <definedName name="TB0f6cc9fc_e24d_4467_bf24_3a244ce87b13" hidden="1">#REF!</definedName>
    <definedName name="TB0f6cf0e9_ec56_4c1d_87a8_aa0e8ac6de22" hidden="1">#REF!</definedName>
    <definedName name="TB0f6de63f_446d_493a_a94a_a8848a2958c7" hidden="1">#REF!</definedName>
    <definedName name="TB0f6eadcb_5fc2_4adb_83d8_73a9fc3f966b" hidden="1">#REF!</definedName>
    <definedName name="TB0f6f8abb_31c7_4f8d_84d4_06524c962be1" hidden="1">#REF!</definedName>
    <definedName name="TB0f72bde2_2695_434a_8cdb_304ca6f99406" hidden="1">#REF!</definedName>
    <definedName name="TB0f75a74e_1b70_4d90_b60d_5f55f964dd7b" hidden="1">#REF!</definedName>
    <definedName name="TB0f7e6af6_dd3a_47e0_bb83_d442d372d3c4" hidden="1">#REF!</definedName>
    <definedName name="TB0f818560_6ac6_412c_9414_0d43972eea17" hidden="1">#REF!</definedName>
    <definedName name="TB0f829e8d_e970_48b7_92a7_1f563fe9194d" hidden="1">#REF!</definedName>
    <definedName name="TB0f845394_aae5_4457_a71a_f9235bed0a53" hidden="1">#REF!</definedName>
    <definedName name="TB0f8a3bb1_a4ee_41a6_bdee_7a1b54774668" hidden="1">#REF!</definedName>
    <definedName name="TB0f8aad6a_4eb6_4505_a3b8_4128609236eb" hidden="1">#REF!</definedName>
    <definedName name="TB0f8dcc46_ab0a_4995_ac8e_c1f837ae34e5" hidden="1">#REF!</definedName>
    <definedName name="TB0f911669_a6ed_4a5d_b33a_969ef5a9aee7" hidden="1">#REF!</definedName>
    <definedName name="TB0f91ef29_d506_4d3c_95ec_60da8dea28d1" hidden="1">#REF!</definedName>
    <definedName name="TB0f93eb1e_d199_4b82_8b96_e8965d1ceb72" hidden="1">#REF!</definedName>
    <definedName name="TB0f95f9e9_3314_4885_8bf1_631f37068bad" hidden="1">#REF!</definedName>
    <definedName name="TB0f9c2c13_1ca3_4ee9_8740_6fffacf23bda" hidden="1">#REF!</definedName>
    <definedName name="TB0fab6ae3_7cfc_48fa_9369_fa21d08607c2" hidden="1">#REF!</definedName>
    <definedName name="TB0fb5f545_d63c_491a_87ca_704e39db7161" hidden="1">#REF!</definedName>
    <definedName name="TB0fb72c3b_a2f7_41fc_99b9_d66d03bffaea" hidden="1">#REF!</definedName>
    <definedName name="TB0fb86971_d347_4852_8924_31af10a3d02f" hidden="1">#REF!</definedName>
    <definedName name="TB0fbcd8a7_753c_478b_b88a_a728d08336b0" hidden="1">#REF!</definedName>
    <definedName name="TB0fd0799f_ec58_4713_a998_976695a7a510" hidden="1">#REF!</definedName>
    <definedName name="TB0fe6263d_2037_4eeb_8b95_103b63299319" hidden="1">#REF!</definedName>
    <definedName name="TB0ff1fc37_5e34_4bef_afcf_515a51b47539" hidden="1">#REF!</definedName>
    <definedName name="TB0ff2227a_8c40_4942_925a_66145973e66a" hidden="1">#REF!</definedName>
    <definedName name="TB0ffa8764_1af3_4d57_aca0_7d3ea985dbc7" hidden="1">#REF!</definedName>
    <definedName name="TB1005179e_bd8f_421d_8a42_5b9c23669b9e" hidden="1">#REF!</definedName>
    <definedName name="TB101427f2_e1f2_43b2_ae17_d2c68fe96e27" hidden="1">#REF!</definedName>
    <definedName name="TB10172d70_c4b0_4ca8_a661_d7bd81d96857" hidden="1">#REF!</definedName>
    <definedName name="TB1020aa6d_70ee_47d4_9b7b_c85f6073cdfb" hidden="1">#REF!</definedName>
    <definedName name="TB103c1133_308d_49f6_a6e6_1e25a0a95b4a" hidden="1">#REF!</definedName>
    <definedName name="TB103e0abb_53ee_463c_bdff_93dce0008cd3" hidden="1">#REF!</definedName>
    <definedName name="TB104ee028_9f81_4277_adea_d077fc8461a5" hidden="1">#REF!</definedName>
    <definedName name="TB10565471_12d3_4843_aa44_a8d97a958e1c" hidden="1">#REF!</definedName>
    <definedName name="TB107a0ab6_913d_4f1c_a54b_5164c14cd9fa" hidden="1">#REF!</definedName>
    <definedName name="TB10808d4b_a559_4d03_9ad5_77c6b3087123" hidden="1">#REF!</definedName>
    <definedName name="TB10991ebf_f186_4578_ad6d_c03a0eb46640" hidden="1">#REF!</definedName>
    <definedName name="TB10a88401_5a10_4df4_b3b1_54897870bdd5" hidden="1">#REF!</definedName>
    <definedName name="TB10bce48e_a662_4d05_b498_e932f2a9eee9" hidden="1">#REF!</definedName>
    <definedName name="TB10cb298f_2dcc_4c8d_bf99_731eee3ffedc" hidden="1">#REF!</definedName>
    <definedName name="TB10deb385_a23f_47b3_9bf4_ad97a0ecf148" hidden="1">#REF!</definedName>
    <definedName name="TB10e4b224_0ca5_4b26_b055_3220feeca71b" hidden="1">#REF!</definedName>
    <definedName name="TB10e5c648_3cbc_4105_96fe_38fdf7de5217" hidden="1">#REF!</definedName>
    <definedName name="TB10ed6849_5efd_4594_86ee_fc08884c857d" hidden="1">#REF!</definedName>
    <definedName name="TB110b28c6_f3d0_4e28_9fed_36943dae959b" hidden="1">#REF!</definedName>
    <definedName name="TB1118f51f_2301_40e1_897d_d0dc43d1d3f4" hidden="1">#REF!</definedName>
    <definedName name="TB111daf07_887b_4f14_83bc_b62df696dd64" hidden="1">#REF!</definedName>
    <definedName name="TB1124110a_836f_451d_b904_6f6a02a6fe8f" hidden="1">#REF!</definedName>
    <definedName name="TB112762ba_3b58_4c36_9159_ac8fd210cdc6" hidden="1">#REF!</definedName>
    <definedName name="TB112d7efc_785d_401e_ac50_155a29f0f454" hidden="1">#REF!</definedName>
    <definedName name="TB11430a65_97cf_476e_82b8_6804cb1711f4" hidden="1">#REF!</definedName>
    <definedName name="TB1148ac60_e48a_4634_9069_1f83759729e0" hidden="1">#REF!</definedName>
    <definedName name="TB1163176c_cc20_47b2_97a9_9a7ccc45ca80" hidden="1">#REF!</definedName>
    <definedName name="TB116cd2cb_7e69_4071_b178_7a438b5b3c60" hidden="1">#REF!</definedName>
    <definedName name="TB11832d68_b035_482b_b1e4_8fb94e020eb3" hidden="1">#REF!</definedName>
    <definedName name="TB11a6071b_1188_4c67_8ce6_508880a64c33" hidden="1">#REF!</definedName>
    <definedName name="TB11ae9ff7_b034_4765_a9c2_a27471e669a6" hidden="1">#REF!</definedName>
    <definedName name="TB11bfa71a_0764_46ef_8068_73cddf833f5d" hidden="1">#REF!</definedName>
    <definedName name="TB11c005c6_a8e5_48a0_8604_58cdccae703a" hidden="1">#REF!</definedName>
    <definedName name="TB11dc7a92_8aca_49a2_9dab_f58789fad1e5" hidden="1">#REF!</definedName>
    <definedName name="TB11eb2623_b4d8_4698_896b_e6a3bf965636" hidden="1">#REF!</definedName>
    <definedName name="TB11ed9e03_346a_4f95_ba09_49ef0121a261" hidden="1">#REF!</definedName>
    <definedName name="TB12041c57_2fbc_44ae_ac52_35b41e4e2f27" hidden="1">#REF!</definedName>
    <definedName name="TB121f5f57_ab26_412e_a9f6_f9c80949f327" hidden="1">#REF!</definedName>
    <definedName name="TB122f2888_a191_42f7_8037_de5ecb2b96d6" hidden="1">#REF!</definedName>
    <definedName name="TB123180b6_c1b0_48c1_b4f3_3d81270bb348" hidden="1">#REF!</definedName>
    <definedName name="TB123e1595_8b5d_4d1f_bdcd_2f4e6301824f" hidden="1">#REF!</definedName>
    <definedName name="TB12429765_5877_4be0_8801_f04b423520c9" hidden="1">#REF!</definedName>
    <definedName name="TB12602f1e_6855_4a27_bfa6_6182fd0ec259" hidden="1">#REF!</definedName>
    <definedName name="TB126d123c_b88c_455d_8dc5_15a0c901831d" hidden="1">#REF!</definedName>
    <definedName name="TB1273c81a_5235_413d_8271_617a3dd6f8af" hidden="1">#REF!</definedName>
    <definedName name="TB1276b7b3_51c2_446d_b6b5_58b44fbcf21e" hidden="1">#REF!</definedName>
    <definedName name="TB127ce161_8217_4560_a8db_bee3d2b50e8b" hidden="1">#REF!</definedName>
    <definedName name="TB127d04a8_48b2_4c8a_9172_83da74d4123e" hidden="1">#REF!</definedName>
    <definedName name="TB1287de13_6246_4f80_94e4_229b8dfda20a" hidden="1">#REF!</definedName>
    <definedName name="TB12954a6f_658a_4cca_848f_8e612d2cb0ca" hidden="1">#REF!</definedName>
    <definedName name="TB12994c97_f9a1_49cc_81fc_edff09303926" hidden="1">#REF!</definedName>
    <definedName name="TB12d806df_8306_41fe_ae64_4305b5378bb2" hidden="1">#REF!</definedName>
    <definedName name="TB12dd83e8_41b4_46cb_b5f2_802f457ac43f" hidden="1">#REF!</definedName>
    <definedName name="TB12e1605b_d8e6_4174_a8e6_f0e44890c6f1" hidden="1">#REF!</definedName>
    <definedName name="TB12f760fc_3a7e_499a_97fb_3e3ddaa7a2d2" hidden="1">#REF!</definedName>
    <definedName name="TB13071ab4_35f0_48c9_963b_d289ff4b30a9" hidden="1">#REF!</definedName>
    <definedName name="TB130bb8bc_aa4b_4b85_addc_fe8457d9175c" hidden="1">#REF!</definedName>
    <definedName name="TB13144597_7970_47bc_a4c6_4ce706bd7626" hidden="1">#REF!</definedName>
    <definedName name="TB1315a9e4_1a45_4c8c_87a3_76c065ca9aaf" hidden="1">#REF!</definedName>
    <definedName name="TB1321f73d_afdc_46ca_87f6_5e5a708cd588" hidden="1">#REF!</definedName>
    <definedName name="TB1328e77b_e330_40ac_8d3e_00e551f6a983" hidden="1">#REF!</definedName>
    <definedName name="TB132f269b_76cd_4d1f_96b3_7e050c3d506f" hidden="1">#REF!</definedName>
    <definedName name="TB135e3df0_2977_47b9_b7f8_24cefbfd73b8" hidden="1">#REF!</definedName>
    <definedName name="TB136afc3a_f58e_4285_bfec_76981699b6c5" hidden="1">#REF!</definedName>
    <definedName name="TB136c5c9f_1044_4ea4_a1a0_83c85a9031cc" hidden="1">#REF!</definedName>
    <definedName name="TB1379811d_fc63_4d8c_8cf0_dc80d5cab639" hidden="1">#REF!</definedName>
    <definedName name="TB1396b7ea_9f08_4d7e_b90b_b714d89e9b55" hidden="1">#REF!</definedName>
    <definedName name="TB139d2b18_40e2_45e6_83a8_d2045acfa5b9" hidden="1">#REF!</definedName>
    <definedName name="TB13a89787_7356_42ef_a5dc_2572d1156a60" hidden="1">#REF!</definedName>
    <definedName name="TB13a8cc0c_e579_41b4_bb87_c03f1af285aa" hidden="1">#REF!</definedName>
    <definedName name="TB13b29c4b_bd8b_41ad_9545_c79ac2269e83" hidden="1">#REF!</definedName>
    <definedName name="TB13b4bd06_610d_444d_9956_a1d9e4c189c4" hidden="1">#REF!</definedName>
    <definedName name="TB13c22747_afc3_47af_9c0e_d3793d31ce04" hidden="1">#REF!</definedName>
    <definedName name="TB13c287d0_0fa1_4817_9c8b_9066b040e7e7" hidden="1">#REF!</definedName>
    <definedName name="TB13c83452_3b2e_42b9_9867_f38c50525f70" hidden="1">#REF!</definedName>
    <definedName name="TB13daaeb4_26d3_4022_a808_8945be945d5e" hidden="1">#REF!</definedName>
    <definedName name="TB13e5ab96_d521_4ecf_88c0_2804f2ce2a5a" hidden="1">#REF!</definedName>
    <definedName name="TB13ef007d_5c4a_4810_af6b_8ad9c27170e8" hidden="1">#REF!</definedName>
    <definedName name="TB13f6adac_2d72_4503_a21a_29963074a6c0" hidden="1">#REF!</definedName>
    <definedName name="TB13f75c2a_7ccb_4b41_b0fb_805d03d56446" hidden="1">#REF!</definedName>
    <definedName name="TB13f783fd_def2_464e_9a26_4cffed86fcf0" hidden="1">#REF!</definedName>
    <definedName name="TB13fa1bc2_77b1_4c41_92bd_80b6ad33cbbf" hidden="1">#REF!</definedName>
    <definedName name="TB13facbf5_3423_48b2_a98f_06154b3e0841" hidden="1">#REF!</definedName>
    <definedName name="TB1406fc5e_8557_423d_bc7f_993efa478605" hidden="1">#REF!</definedName>
    <definedName name="TB14084121_bec3_4aa6_b857_b6f4d8d91798" hidden="1">#REF!</definedName>
    <definedName name="TB140cfdbb_3dd7_44dd_9a02_54ba98313cba" hidden="1">#REF!</definedName>
    <definedName name="TB14187beb_c219_46c7_9202_4fc07e5bc3be" hidden="1">#REF!</definedName>
    <definedName name="TB141dec6c_e344_4b08_917a_2885b05dddca" hidden="1">#REF!</definedName>
    <definedName name="TB14278678_b295_4548_b14f_01e16746570c" hidden="1">#REF!</definedName>
    <definedName name="TB142b271a_64ae_4ce5_ad88_6ca058ae653a" hidden="1">#REF!</definedName>
    <definedName name="TB14358969_a174_443b_baf8_c4e70830be16" hidden="1">#REF!</definedName>
    <definedName name="TB14512cb7_3bf0_4729_9176_5b16c56f1db3" hidden="1">#REF!</definedName>
    <definedName name="TB1458eb75_8b22_40cf_ac06_a18d793fd6c1" hidden="1">#REF!</definedName>
    <definedName name="TB146693e9_dab4_4a80_9bc0_66f40dc8d291" hidden="1">#REF!</definedName>
    <definedName name="TB1477030a_711f_4dec_b6cd_f3c5a61f632d" hidden="1">#REF!</definedName>
    <definedName name="TB1478712c_8c11_4d81_afa5_ba3e2f6c865f" hidden="1">#REF!</definedName>
    <definedName name="TB14812f0e_2201_42fa_94d7_387827efebbb" hidden="1">#REF!</definedName>
    <definedName name="TB148188ff_fdd1_47e3_a42a_b8070a6a3100" hidden="1">#REF!</definedName>
    <definedName name="TB1484fb4f_a711_4a9c_a2d6_12fb35fe4bae" hidden="1">#REF!</definedName>
    <definedName name="TB14891a34_8a67_4954_a8cf_69f052980587" hidden="1">#REF!</definedName>
    <definedName name="TB14a2c6d2_ff6f_4f01_af6b_3bd60752e978" hidden="1">#REF!</definedName>
    <definedName name="TB14ad0101_17fc_4e87_97b7_aa2217405135" hidden="1">#REF!</definedName>
    <definedName name="TB14b24e59_886f_488b_8f43_98c02916161a" hidden="1">#REF!</definedName>
    <definedName name="TB14bd6c26_52ff_4ba5_9708_cfb6cf8c691a" hidden="1">#REF!</definedName>
    <definedName name="TB14be9907_936d_43ea_8e1b_f6859d1bfe78" hidden="1">#REF!</definedName>
    <definedName name="TB14bf655e_3b54_4a7b_b978_6032d2210bb1" hidden="1">#REF!</definedName>
    <definedName name="TB14c37175_1ad5_4d42_bf80_934a389807b8" hidden="1">#REF!</definedName>
    <definedName name="TB1519a310_28c4_4cbe_ad77_6a68c32a4df5" hidden="1">#REF!</definedName>
    <definedName name="TB1519c12a_d2c2_45b1_ac17_79e83a8040e5" hidden="1">#REF!</definedName>
    <definedName name="TB1530844c_ea3f_44f0_9c4f_c3d459110ed9" hidden="1">#REF!</definedName>
    <definedName name="TB15353c04_c23a_41de_aeb2_a5000fec5168" hidden="1">#REF!</definedName>
    <definedName name="TB153afdfc_e35e_468a_a8e9_f540b7b2a89f" hidden="1">#REF!</definedName>
    <definedName name="TB153e6dc1_37df_467e_8f1a_703f32ac0038" hidden="1">#REF!</definedName>
    <definedName name="TB1548a91d_abd8_4c83_9cb5_b22bcc7eee65" hidden="1">#REF!</definedName>
    <definedName name="TB1565ada5_26e2_43b9_9a63_01f2bc747408" hidden="1">#REF!</definedName>
    <definedName name="TB1572252f_c50f_4a2f_9e52_fd5528b8711f" hidden="1">#REF!</definedName>
    <definedName name="TB157d072e_8f39_4f1b_a462_37e70b25eb86" hidden="1">#REF!</definedName>
    <definedName name="TB15840c9b_d33b_45b5_a13a_fc6b3d5d0c15" hidden="1">#REF!</definedName>
    <definedName name="TB15982b3e_236d_4a69_ab75_66e7feda38b4" hidden="1">#REF!</definedName>
    <definedName name="TB15abba20_65ff_4118_922f_13c3f6f7a294" hidden="1">#REF!</definedName>
    <definedName name="TB15b35a82_4e57_48c1_a7c4_94fa746d68af" hidden="1">#REF!</definedName>
    <definedName name="TB15b40939_2b37_4024_b999_78fda2cb748f" hidden="1">#REF!</definedName>
    <definedName name="TB15b4f776_9317_47f4_b41e_7f93ffe578b5" hidden="1">#REF!</definedName>
    <definedName name="TB15b5482e_f610_4a02_a903_d7dd49642abe" hidden="1">#REF!</definedName>
    <definedName name="TB15cc4d5c_5d1a_4e45_b9b0_4fed2ec88b2a" hidden="1">#REF!</definedName>
    <definedName name="TB15cf7293_4a94_4afb_b56b_1f9864f1dba3" hidden="1">#REF!</definedName>
    <definedName name="TB15de8d9d_8a9e_423d_bec3_dc8106c1d001" hidden="1">#REF!</definedName>
    <definedName name="TB15e40b2f_0a33_4f7a_bed2_a602814f8847" hidden="1">#REF!</definedName>
    <definedName name="TB1603661a_8f40_466f_afd6_78e6fb8b9626" hidden="1">#REF!</definedName>
    <definedName name="TB161f3df0_e13a_4176_a16c_f8bd978db77e" hidden="1">#REF!</definedName>
    <definedName name="TB162cca15_17d1_4c46_aeec_f3b772552d37" hidden="1">#REF!</definedName>
    <definedName name="TB162f7514_532d_4433_8f17_bc891f56a1ec" hidden="1">#REF!</definedName>
    <definedName name="TB163058c2_35a0_44fe_9c0e_0cb569278bb8" hidden="1">#REF!</definedName>
    <definedName name="TB163b391e_03aa_48a5_8ef6_6113ee9de42a" hidden="1">#REF!</definedName>
    <definedName name="TB163b8375_3fa0_4a8a_9dd3_710d0a0d0af7" hidden="1">#REF!</definedName>
    <definedName name="TB16401fe4_415d_4d60_a229_8c2e0cdf553f" hidden="1">#REF!</definedName>
    <definedName name="TB164fbf90_097e_4428_9082_5a13b4898cd3" hidden="1">#REF!</definedName>
    <definedName name="TB165aa9ca_a329_4e11_b2f9_526384f1600b" hidden="1">#REF!</definedName>
    <definedName name="TB1660e26f_11b0_4a3d_8176_dd8e86ed88cf" hidden="1">#REF!</definedName>
    <definedName name="TB16771247_1be2_4d81_a18e_8cb8710ee7fa" hidden="1">#REF!</definedName>
    <definedName name="TB167c5506_c711_43b7_9d8f_907a4d1ed0c1" hidden="1">#REF!</definedName>
    <definedName name="TB1682594a_8f65_4ebe_b62e_8deb39e9c852" hidden="1">#REF!</definedName>
    <definedName name="TB1692a4f4_1e06_4e33_857a_6f22de79f51b" hidden="1">#REF!</definedName>
    <definedName name="TB16bb7327_18ae_44ec_9f94_8e97b2dbffaf" hidden="1">#REF!</definedName>
    <definedName name="TB16bd1886_eebc_47d9_a2d4_a117aefabc8d" hidden="1">#REF!</definedName>
    <definedName name="TB16d0f0c1_c4ad_4b76_9fe3_782c00ff4749" hidden="1">#REF!</definedName>
    <definedName name="TB16ddb8ae_86e8_4149_a444_84d719ec6106" hidden="1">#REF!</definedName>
    <definedName name="TB16e242bf_91b3_4c28_8b01_747bbd7a3a5a" hidden="1">#REF!</definedName>
    <definedName name="TB16eaaf41_e059_432b_8e30_f534ea167ebc" hidden="1">#REF!</definedName>
    <definedName name="TB16fe0fbc_9efd_49c0_a30a_b3552e3b91fc" hidden="1">#REF!</definedName>
    <definedName name="TB17092248_68f3_4eab_8c9e_d7ce2d02af30" hidden="1">#REF!</definedName>
    <definedName name="TB17144a15_7d68_49cb_b903_de7ad7e45dbc" hidden="1">#REF!</definedName>
    <definedName name="TB1715179c_c091_406f_ad01_d853aa53f88b" hidden="1">#REF!</definedName>
    <definedName name="TB1725b95a_c05e_47cb_94d7_01e6db2b3cf8" hidden="1">#REF!</definedName>
    <definedName name="TB1730b05b_1448_4ac3_b63a_3aef6ca03a53" hidden="1">#REF!</definedName>
    <definedName name="TB1732f9e1_13b5_42ab_8653_07fbc77e6c68" hidden="1">#REF!</definedName>
    <definedName name="TB17331767_b1c2_4b7f_bef2_aece5d0cfdfb" hidden="1">#REF!</definedName>
    <definedName name="TB17436a30_366c_42a4_9aaf_01572d46af4c" hidden="1">#REF!</definedName>
    <definedName name="TB175bfbb0_d097_42a2_9467_9c46fe7d0c7f" hidden="1">#REF!</definedName>
    <definedName name="TB17621671_aa82_49de_b489_5c8d06d3083b" hidden="1">#REF!</definedName>
    <definedName name="TB17678f25_6ac0_432e_9017_b374c36ddf93" hidden="1">#REF!</definedName>
    <definedName name="TB1772fac7_9e66_4b73_8ddc_032adbcb6d8c" hidden="1">#REF!</definedName>
    <definedName name="TB17878176_346c_48ff_9462_c744019fa1b4" hidden="1">#REF!</definedName>
    <definedName name="TB178ddae0_c240_4d8a_8704_2f7ef37151b0" hidden="1">#REF!</definedName>
    <definedName name="TB17a21633_ea3c_474e_951f_4dcc71c8e7ba" hidden="1">#REF!</definedName>
    <definedName name="TB17a2a93a_117a_4b6a_be48_d0fad8ffcdae" hidden="1">#REF!</definedName>
    <definedName name="TB17a3c7a2_b216_48aa_8986_0fafc39cf289" hidden="1">#REF!</definedName>
    <definedName name="TB17b55385_7da8_47bd_a6b1_50c36375afac" hidden="1">#REF!</definedName>
    <definedName name="TB17bc38c4_f3d5_461b_8d95_dd488998e219" hidden="1">#REF!</definedName>
    <definedName name="TB17c0e8c8_50f8_4f7a_8002_2940eb228966" hidden="1">#REF!</definedName>
    <definedName name="TB17c41475_0d8c_415f_b40b_b334bc4c653a" hidden="1">#REF!</definedName>
    <definedName name="TB17e6ff40_5c93_46d1_947a_0e01c99e48fa" hidden="1">#REF!</definedName>
    <definedName name="TB17ea2f11_c507_4e08_8f6e_1cad55f391de" hidden="1">#REF!</definedName>
    <definedName name="TB17ea93dc_36d0_4780_ac2e_db05d3d4ac38" hidden="1">#REF!</definedName>
    <definedName name="TB17fac11d_f576_4089_a534_64cf9fb3ff6d" hidden="1">#REF!</definedName>
    <definedName name="TB18068127_8601_4905_bb78_aefffc79ee00" hidden="1">#REF!</definedName>
    <definedName name="TB180ea5bf_2814_4d6b_b1ba_ec0aa0aa2728" hidden="1">#REF!</definedName>
    <definedName name="TB18134cf7_c5a6_43fd_ae8e_f575b04525bb" hidden="1">#REF!</definedName>
    <definedName name="TB181b5c85_a7a0_4354_a9ab_2c1dcc613d9a" hidden="1">#REF!</definedName>
    <definedName name="TB1828a941_343c_4766_a20a_e47a906608fd" hidden="1">#REF!</definedName>
    <definedName name="TB18390782_9211_49c3_ac6b_a7c7cb4a8c55" hidden="1">#REF!</definedName>
    <definedName name="TB1844643e_1fa3_43aa_ba59_3f6669248085" hidden="1">#REF!</definedName>
    <definedName name="TB184e29bc_457b_493c_a1df_a4fb8fa93668" hidden="1">#REF!</definedName>
    <definedName name="TB1851e3fe_52c5_48b6_bffe_08e27ff91696" hidden="1">#REF!</definedName>
    <definedName name="TB1860b83e_0198_4b63_8774_2ce9b0a48753" hidden="1">#REF!</definedName>
    <definedName name="TB18614d6e_9ff0_4d47_afbc_b4d095d1f3ac" hidden="1">#REF!</definedName>
    <definedName name="TB18656485_b097_4328_a7af_11ae02b89a1b" hidden="1">#REF!</definedName>
    <definedName name="TB187c69c7_b69e_4ce8_8729_0a3044ea7f49" hidden="1">#REF!</definedName>
    <definedName name="TB1884d523_57dc_49b9_a995_6add98b21801" hidden="1">#REF!</definedName>
    <definedName name="TB1888abe8_821b_47ed_aa4e_b66418dfbb71" hidden="1">#REF!</definedName>
    <definedName name="TB18a23e07_42c5_4495_8df4_9f0ab419be49" hidden="1">#REF!</definedName>
    <definedName name="TB18a920b8_26de_4ec0_94e2_3b23c330a563" hidden="1">#REF!</definedName>
    <definedName name="TB18aa4802_8f2e_4c9b_a5ac_4796ed25f8d6" hidden="1">#REF!</definedName>
    <definedName name="TB18ad5e3a_df2b_4098_af58_8c4f11f2b273" hidden="1">#REF!</definedName>
    <definedName name="TB18b4405c_33fd_4060_ae12_8dcf30bac2a3" hidden="1">#REF!</definedName>
    <definedName name="TB18c3abbd_d40d_4335_a1d5_e1525789f68f" hidden="1">#REF!</definedName>
    <definedName name="TB18cd4884_3c3f_4936_930a_a35249e7fc49" hidden="1">#REF!</definedName>
    <definedName name="TB18d8d05c_5ba0_4e9f_971d_66b79381235c" hidden="1">#REF!</definedName>
    <definedName name="TB18ec2c4e_f02a_4799_be7d_e35b27ef89f9" hidden="1">#REF!</definedName>
    <definedName name="TB18f39d33_286b_44d3_b005_31db2d795380" hidden="1">#REF!</definedName>
    <definedName name="TB190425e5_8bad_4fdf_b6a0_ba56705822d3" hidden="1">#REF!</definedName>
    <definedName name="TB191e81da_c601_4829_a085_89431de12b96" hidden="1">#REF!</definedName>
    <definedName name="TB191f379c_9a11_4307_a1ab_4a1c1df986d8" hidden="1">#REF!</definedName>
    <definedName name="TB1927c11c_c6e6_4dff_b1d1_d0312e0e1fc0" hidden="1">#REF!</definedName>
    <definedName name="TB192e5dcb_0561_4b97_8f57_cbce49f0831d" hidden="1">#REF!</definedName>
    <definedName name="TB194afc6b_81f5_41de_a8f8_6994a0f53a39" hidden="1">#REF!</definedName>
    <definedName name="TB194f76ce_ac10_4f45_b348_f067ea86f919" hidden="1">#REF!</definedName>
    <definedName name="TB1955f02b_9cd2_4fc3_9d49_df3ce5e55603" hidden="1">#REF!</definedName>
    <definedName name="TB19661a0d_926c_4cd1_95ef_c77b1b805d04" hidden="1">#REF!</definedName>
    <definedName name="TB196e2d38_d8f0_4a1c_b568_93f4b081c27e" hidden="1">#REF!</definedName>
    <definedName name="TB19823a21_9f12_447c_a5b8_ec1bdcd81b79" hidden="1">#REF!</definedName>
    <definedName name="TB198df632_d1da_4977_968c_4c715e3de02f" hidden="1">#REF!</definedName>
    <definedName name="TB199a3d83_11bc_4bc8_bbcf_55410715eee9" hidden="1">#REF!</definedName>
    <definedName name="TB199bb668_8fac_48e9_b6d1_72ff8e49e58f" hidden="1">#REF!</definedName>
    <definedName name="TB19a91d0a_352f_40cb_928e_5d782f01ee7f" hidden="1">#REF!</definedName>
    <definedName name="TB19b7821d_cd95_4e4a_adb1_23e0df1d07eb" hidden="1">#REF!</definedName>
    <definedName name="TB19bac584_6f5f_4389_9429_6b65bf12dc90" hidden="1">#REF!</definedName>
    <definedName name="TB19c741da_1aa2_414e_9e78_b94da7d5a1ea" hidden="1">#REF!</definedName>
    <definedName name="TB19c87931_31a0_480e_99c3_db607c90f246" hidden="1">#REF!</definedName>
    <definedName name="TB19dd2059_b994_46ea_9e7a_32dcd9595bd9" hidden="1">#REF!</definedName>
    <definedName name="TB19df5986_a97d_48b1_a8aa_706a9f6a2a80" hidden="1">#REF!</definedName>
    <definedName name="TB19e26922_52ff_4db6_b480_adfe4f38c42a" hidden="1">#REF!</definedName>
    <definedName name="TB19e6b020_8136_4a1e_995f_16fa48a77c21" hidden="1">#REF!</definedName>
    <definedName name="TB19f8e52a_2099_4f25_be52_0b54bbbc238a" hidden="1">#REF!</definedName>
    <definedName name="TB1a03703e_ff8d_411c_9d4e_60f46aa958c3" hidden="1">#REF!</definedName>
    <definedName name="TB1a0fac83_254c_4b92_8e2d_76bb95eccb9c" hidden="1">#REF!</definedName>
    <definedName name="TB1a1b5585_d0e2_41f7_95c3_cdf5f61640ca" hidden="1">#REF!</definedName>
    <definedName name="TB1a31a9eb_391c_44ee_9da3_c1aba7efb13d" hidden="1">#REF!</definedName>
    <definedName name="TB1a3a8ead_b916_4401_abe3_082670ed5d5b" hidden="1">#REF!</definedName>
    <definedName name="TB1a52f169_0cc6_4188_8537_6ad99e52db91" hidden="1">#REF!</definedName>
    <definedName name="TB1a53cb90_1e03_454c_964a_e899cd68cf89" hidden="1">#REF!</definedName>
    <definedName name="TB1a624b44_b295_4dba_b1cf_780356ddce43" hidden="1">#REF!</definedName>
    <definedName name="TB1a74843b_8aca_4860_8b42_94d6a0188aee" hidden="1">#REF!</definedName>
    <definedName name="TB1a75b58e_bf60_4f0a_8f7e_b3cb453064a7" hidden="1">#REF!</definedName>
    <definedName name="TB1a7a6138_7be8_413b_88a2_3d44ff65062a" hidden="1">#REF!</definedName>
    <definedName name="TB1a882cbc_e3d7_48c9_b071_7dd3b1065317" hidden="1">#REF!</definedName>
    <definedName name="TB1a8abab7_2624_4393_9183_dc4553ce25b3" hidden="1">#REF!</definedName>
    <definedName name="TB1a9d0485_7146_4d07_91e8_1c8ed5ac10a3" hidden="1">#REF!</definedName>
    <definedName name="TB1aa0490e_aacb_48bb_84c9_3a63698a84c7" hidden="1">#REF!</definedName>
    <definedName name="TB1ab70a01_a989_4ad6_ae16_d7ce9a197f3a" hidden="1">#REF!</definedName>
    <definedName name="TB1ac3d986_81bb_483a_addc_a36527c6f4e0" hidden="1">#REF!</definedName>
    <definedName name="TB1ae0c7e9_33ac_4f90_98ea_6a33aea23bf4" hidden="1">#REF!</definedName>
    <definedName name="TB1ae228ae_9ecd_4d47_a92a_cd17799ee56a" hidden="1">#REF!</definedName>
    <definedName name="TB1aed55fd_a309_4643_bc03_287575a8cc5c" hidden="1">#REF!</definedName>
    <definedName name="TB1afb4c6e_b1f2_4c93_a77c_809dfe49ce14" hidden="1">#REF!</definedName>
    <definedName name="TB1afcda61_3563_4491_ab67_7bcf09ff294f" hidden="1">#REF!</definedName>
    <definedName name="TB1b00d94a_906f_416a_b58b_88a1a7781e0f" hidden="1">#REF!</definedName>
    <definedName name="TB1b03bdb5_ee57_41ff_a311_026626112427" hidden="1">#REF!</definedName>
    <definedName name="TB1b0ecb5c_d412_47e9_b9cb_b2d0c0766a2a" hidden="1">#REF!</definedName>
    <definedName name="TB1b16a911_0ce0_4a00_8886_cebea3fb8fc0" hidden="1">#REF!</definedName>
    <definedName name="TB1b217fa6_0aaf_48f0_9b9a_5038f1343473" hidden="1">#REF!</definedName>
    <definedName name="TB1b2f916f_48c8_4c1c_b6cf_ddd8e8c8aeac" hidden="1">#REF!</definedName>
    <definedName name="TB1b3118b8_95ea_46f9_809b_2b30ca611564" hidden="1">#REF!</definedName>
    <definedName name="TB1b3b7611_9599_4eef_a282_d4f7af79dc84" hidden="1">#REF!</definedName>
    <definedName name="TB1b3d48e6_6823_41bd_bd68_e54046881130" hidden="1">#REF!</definedName>
    <definedName name="TB1b460507_5865_4236_ad35_fe22ad90bdaf" hidden="1">#REF!</definedName>
    <definedName name="TB1b4ec93d_d552_441a_819a_c2f181be8fa6" hidden="1">#REF!</definedName>
    <definedName name="TB1b52dcaa_5272_4421_8169_882cdf659618" hidden="1">#REF!</definedName>
    <definedName name="TB1b5abfd8_ad7c_4de2_af61_51265b0b10f7" hidden="1">#REF!</definedName>
    <definedName name="TB1b5c6791_c86b_49d7_bc84_a9d3b9317d1d" hidden="1">#REF!</definedName>
    <definedName name="TB1b5e9567_d97d_442b_81a6_ec804d39af26" hidden="1">#REF!</definedName>
    <definedName name="TB1b6754c4_f5e2_494f_b154_c5673be5cfa2" hidden="1">#REF!</definedName>
    <definedName name="TB1b744243_e88b_4a89_810c_18810e08c1fd" hidden="1">#REF!</definedName>
    <definedName name="TB1b7685a5_e40d_4c3b_9b06_fbc7061380c7" hidden="1">#REF!</definedName>
    <definedName name="TB1b82be72_77ec_45d4_abe2_449a26af7bd4" hidden="1">#REF!</definedName>
    <definedName name="TB1b91d25d_0d9a_4187_b37d_b6f6cbccc5f6" hidden="1">#REF!</definedName>
    <definedName name="TB1ba50663_7796_4eb3_89de_3be0094ed04b" hidden="1">#REF!</definedName>
    <definedName name="TB1babbd0e_593f_4400_a3d7_07ee2f5ca151" hidden="1">#REF!</definedName>
    <definedName name="TB1bcb0d60_7a15_4f25_be96_c3ea2e02f036" hidden="1">#REF!</definedName>
    <definedName name="TB1bcbc201_9fdf_46ed_be82_711f0d98d9f2" hidden="1">#REF!</definedName>
    <definedName name="TB1be6d6a8_201e_4823_81c8_c6757dd12490" hidden="1">#REF!</definedName>
    <definedName name="TB1beb16b8_8cea_4d4e_9056_1037d660de24" hidden="1">#REF!</definedName>
    <definedName name="TB1bf201aa_8fbe_43f1_bfc9_1f077280f06f" hidden="1">#REF!</definedName>
    <definedName name="TB1bf71327_dc2a_4211_9f02_61269a432481" hidden="1">#REF!</definedName>
    <definedName name="TB1bf84583_0a79_4306_98d4_a6db7ba0bb74" hidden="1">#REF!</definedName>
    <definedName name="TB1bfa132a_5b33_4cf8_806d_409bb8d66616" hidden="1">#REF!</definedName>
    <definedName name="TB1bfb67be_b585_462f_afe8_e64564e5b5db" hidden="1">#REF!</definedName>
    <definedName name="TB1c00ebdb_1702_493c_a462_5b010213c7fd" hidden="1">#REF!</definedName>
    <definedName name="TB1c03927c_dacf_482d_9fad_e7d0d633bf8e" hidden="1">#REF!</definedName>
    <definedName name="TB1c054395_4d45_4d23_b242_c34464357686" hidden="1">#REF!</definedName>
    <definedName name="TB1c14eaea_16a1_411c_837f_41211d853c47" hidden="1">#REF!</definedName>
    <definedName name="TB1c2153f6_7576_4f62_8932_9122e7cd4902" hidden="1">#REF!</definedName>
    <definedName name="TB1c2f1c4e_76a8_4ff7_a145_b12bd6cbda65" hidden="1">#REF!</definedName>
    <definedName name="TB1c329cd3_1afe_4c5a_a2dc_59cbaa5277d5" hidden="1">#REF!</definedName>
    <definedName name="TB1c343d72_b97e_476c_ab2d_0660e91d0856" hidden="1">#REF!</definedName>
    <definedName name="TB1c35a938_af6b_4f8a_97e3_c09ff9f0f0e8" hidden="1">#REF!</definedName>
    <definedName name="TB1c3f7212_db49_4bf1_8712_0c943140988a" hidden="1">#REF!</definedName>
    <definedName name="TB1c45e74a_fc5e_4c49_922e_d1d915dccb81" hidden="1">#REF!</definedName>
    <definedName name="TB1c480b5d_38a5_4305_9e28_e49ca1bc77af" hidden="1">#REF!</definedName>
    <definedName name="TB1c4b3fc4_167d_4190_b875_24d52984b7f9" hidden="1">#REF!</definedName>
    <definedName name="TB1c5dadb4_b5fd_46da_9ef3_757dfbc35643" hidden="1">#REF!</definedName>
    <definedName name="TB1c6587e9_3406_481f_a9cd_aa4de137375a" hidden="1">#REF!</definedName>
    <definedName name="TB1c739040_3330_4b46_9d02_3fb5fd43fce7" hidden="1">#REF!</definedName>
    <definedName name="TB1c7eeede_2c52_4d09_a9bc_f9b5c007af8c" hidden="1">#REF!</definedName>
    <definedName name="TB1ca18af0_9b6b_4fc5_bc6b_ac0dbb215e3e" hidden="1">#REF!</definedName>
    <definedName name="TB1caa1e47_2980_41c1_bc6c_d590ddb4d438" hidden="1">#REF!</definedName>
    <definedName name="TB1cae01d2_ef32_4c81_a4be_c4bd77d631c0" hidden="1">#REF!</definedName>
    <definedName name="TB1cb8b00d_9934_4573_b4d9_cf87b29b3db5" hidden="1">#REF!</definedName>
    <definedName name="TB1cc21b70_845b_4601_8f9b_129dfa694450" hidden="1">#REF!</definedName>
    <definedName name="TB1cc25d0e_07e4_4760_82d2_55670d3dfd81" hidden="1">#REF!</definedName>
    <definedName name="TB1cc89f7a_29dc_413c_90b6_6fd11cf2acf6" hidden="1">#REF!</definedName>
    <definedName name="TB1cc8c6ef_6ed6_4497_b84e_5a751bddb73e" hidden="1">#REF!</definedName>
    <definedName name="TB1cd1bae3_e6c4_40d3_a5b2_c7a1cd86ec8f" hidden="1">#REF!</definedName>
    <definedName name="TB1cd63924_28b0_49c7_9c5c_7d00fe4bda82" hidden="1">#REF!</definedName>
    <definedName name="TB1cd89901_f5e0_4946_a3f4_6bcfce8ec5e7" hidden="1">#REF!</definedName>
    <definedName name="TB1cdbb317_4fc2_49e9_add5_ad2ce55c209b" hidden="1">#REF!</definedName>
    <definedName name="TB1ce60046_c882_4692_84ad_65871a49317c" hidden="1">#REF!</definedName>
    <definedName name="TB1cef2f34_d732_4e6a_b0cc_9e3d8052c355" hidden="1">#REF!</definedName>
    <definedName name="TB1cf6b6b8_b9cd_40c8_8473_48fdcc0f77de" hidden="1">#REF!</definedName>
    <definedName name="TB1cf844d9_8eda_4a0e_a3f6_f41288ac2a8d" hidden="1">#REF!</definedName>
    <definedName name="TB1d0dbbf8_fbe7_43ce_8f67_b8adf4e4c720" hidden="1">#REF!</definedName>
    <definedName name="TB1d10cd36_66d0_4329_9e74_2931b6c3651a" hidden="1">#REF!</definedName>
    <definedName name="TB1d12f6bd_efc2_401c_82a3_1b3ffcbac820" hidden="1">#REF!</definedName>
    <definedName name="TB1d1e0744_8426_42d3_ad64_072ba2eed11e" hidden="1">#REF!</definedName>
    <definedName name="TB1d233281_3eb5_446e_98ee_35e8357f8c79" hidden="1">#REF!</definedName>
    <definedName name="TB1d23eb4c_9ca7_4bc3_94aa_eab9afa7fe7c" hidden="1">#REF!</definedName>
    <definedName name="TB1d30c111_918d_433c_b437_6e569124717d" hidden="1">#REF!</definedName>
    <definedName name="TB1d341b3e_d193_4fb5_a2fd_4eab0d5ad771" hidden="1">#REF!</definedName>
    <definedName name="TB1d54f665_dfc2_4095_9e53_bd8846a63274" hidden="1">#REF!</definedName>
    <definedName name="TB1d6bbae5_a475_4e0f_9a96_dcfa4593a66e" hidden="1">#REF!</definedName>
    <definedName name="TB1d6d6516_99ab_49d3_a972_e90b8e11cb05" hidden="1">#REF!</definedName>
    <definedName name="TB1d7b3ee8_88b4_49e9_b313_49c2e00a8d7a" hidden="1">#REF!</definedName>
    <definedName name="TB1d85fb85_ce6d_405c_a608_58066f014ae5" hidden="1">#REF!</definedName>
    <definedName name="TB1d9acb4c_fb9d_4ad5_a509_5139fd3c8020" hidden="1">#REF!</definedName>
    <definedName name="TB1da43b5b_6c8d_4856_a604_d8e5fa018134" hidden="1">#REF!</definedName>
    <definedName name="TB1dbc2be1_17e2_43cb_b2da_c7c6be3f62ef" hidden="1">#REF!</definedName>
    <definedName name="TB1dc0ae01_9f5a_492c_8381_cc65bec7fc38" hidden="1">#REF!</definedName>
    <definedName name="TB1dceb69b_d872_4003_b585_d216e21fbe92" hidden="1">#REF!</definedName>
    <definedName name="TB1dcfdf03_80f8_4684_9e18_c483843a8767" hidden="1">#REF!</definedName>
    <definedName name="TB1dd088e4_f1a0_48f4_b48e_05d4ca9f92c0" hidden="1">#REF!</definedName>
    <definedName name="TB1dd91e23_a58b_445e_b50d_2e1729076e31" hidden="1">#REF!</definedName>
    <definedName name="TB1de82cc8_c5c8_41fd_b377_d499c0fed566" hidden="1">#REF!</definedName>
    <definedName name="TB1dee0219_b228_43b1_891c_eadb086a35a0" hidden="1">#REF!</definedName>
    <definedName name="TB1e0705a5_c356_43b8_b4eb_16217f27cf24" hidden="1">#REF!</definedName>
    <definedName name="TB1e0a0da0_9130_4a4d_98e9_45bafd434805" hidden="1">#REF!</definedName>
    <definedName name="TB1e16a956_f971_432c_b444_0066945acd3f" hidden="1">#REF!</definedName>
    <definedName name="TB1e1b1af0_5b9d_4b80_811f_de225956806b" hidden="1">#REF!</definedName>
    <definedName name="TB1e449c80_5db5_4733_9f6f_86d5ba00f797" hidden="1">#REF!</definedName>
    <definedName name="TB1e636741_469d_44d6_a2dd_28a5d226e851" hidden="1">#REF!</definedName>
    <definedName name="TB1e6b1e8c_c29c_4071_b591_17cdb860692e" hidden="1">#REF!</definedName>
    <definedName name="TB1e70a068_1341_489b_be24_055e763ece4b" hidden="1">#REF!</definedName>
    <definedName name="TB1e765057_53b1_49e0_966f_054f9a70929f" hidden="1">#REF!</definedName>
    <definedName name="TB1e770fda_982c_425f_92e0_ac36349f7aee" hidden="1">#REF!</definedName>
    <definedName name="TB1e8d5298_e6e8_4252_b1ad_05e945cc8ffb" hidden="1">#REF!</definedName>
    <definedName name="TB1e9a386d_bf9e_41d8_a883_d93fb5270673" hidden="1">#REF!</definedName>
    <definedName name="TB1eb1fe39_43f1_4cd7_9aef_fa5824ca0e9e" hidden="1">#REF!</definedName>
    <definedName name="TB1eba1b5b_fec8_443a_8a7a_ad19d42cb38d" hidden="1">#REF!</definedName>
    <definedName name="TB1ec57286_f746_42bb_ad5e_7348efd92512" hidden="1">#REF!</definedName>
    <definedName name="TB1ecc4b83_7ccc_43ef_aa7c_5f52777b2e4c" hidden="1">#REF!</definedName>
    <definedName name="TB1ecc76b1_dbc7_4128_a2f8_e9879454fcf9" hidden="1">#REF!</definedName>
    <definedName name="TB1ed10cbe_9a97_4aa7_b2fa_58efc5670e9b" hidden="1">#REF!</definedName>
    <definedName name="TB1ed530e9_60de_4555_83a6_246848c6a006" hidden="1">#REF!</definedName>
    <definedName name="TB1ee7af6f_436e_44fe_a80f_4439429c7dfe" hidden="1">#REF!</definedName>
    <definedName name="TB1ee9b947_db2b_40ce_bc01_48a19e679e8b" hidden="1">#REF!</definedName>
    <definedName name="TB1eea6744_9f90_48a4_9916_3e333591f360" hidden="1">#REF!</definedName>
    <definedName name="TB1ef6c743_0812_46f6_a544_24f4916e7cb9" hidden="1">#REF!</definedName>
    <definedName name="TB1f04d816_1bf4_4953_918d_dda982f22836" hidden="1">#REF!</definedName>
    <definedName name="TB1f06a61e_8ad8_499f_86d8_11569c99fe53" hidden="1">#REF!</definedName>
    <definedName name="TB1f0ff7e9_0937_4226_a660_53f9b00e02ac" hidden="1">#REF!</definedName>
    <definedName name="TB1f1663e0_b3f5_451a_a8d2_34ab61bd6639" hidden="1">#REF!</definedName>
    <definedName name="TB1f1669ef_4110_4e9d_81b8_a99c3cb3aac2" hidden="1">#REF!</definedName>
    <definedName name="TB1f265278_dc67_4d0a_b821_628344b884ad" hidden="1">#REF!</definedName>
    <definedName name="TB1f287f8e_e8b4_4182_aba8_7068ce60011f" hidden="1">#REF!</definedName>
    <definedName name="TB1f2ec4ff_dd24_47bb_9cb0_fc0be3e7427c" hidden="1">#REF!</definedName>
    <definedName name="TB1f32fcdb_f94e_4267_aa28_17eeaab856e5" hidden="1">#REF!</definedName>
    <definedName name="TB1f38e5c9_5b0c_4cd3_a80e_89262f3a7d7d" hidden="1">#REF!</definedName>
    <definedName name="TB1f43531c_d34d_4c14_be92_56066418fb96" hidden="1">#REF!</definedName>
    <definedName name="TB1f462bba_43c3_4178_bc7c_76c4013a4e58" hidden="1">#REF!</definedName>
    <definedName name="TB1f470df5_a593_4538_b20e_5112fb4b2dc5" hidden="1">#REF!</definedName>
    <definedName name="TB1f4723e8_8fd3_42dc_94a0_8fc608ace061" hidden="1">#REF!</definedName>
    <definedName name="TB1f4e1dad_78ed_4934_b9f8_72eee2e884eb" hidden="1">#REF!</definedName>
    <definedName name="TB1f519d05_4150_4eb6_afd9_8bcbdb569287" hidden="1">#REF!</definedName>
    <definedName name="TB1f544c8a_253c_4871_baf2_0e78a288debf" hidden="1">#REF!</definedName>
    <definedName name="TB1f649c33_bfa4_432f_97be_5ee8cc7aff52" hidden="1">#REF!</definedName>
    <definedName name="TB1f668ac1_a4da_4f11_a85d_88e2370952ba" hidden="1">#REF!</definedName>
    <definedName name="TB1f68793a_5bc4_4940_a091_4346cd8ffd7f" hidden="1">#REF!</definedName>
    <definedName name="TB1f732407_71e7_407c_bc78_453fb45af22b" hidden="1">#REF!</definedName>
    <definedName name="TB1f88c0eb_55ca_44e3_8c70_c27fc41380f1" hidden="1">#REF!</definedName>
    <definedName name="TB1f89de22_545f_4179_acd5_1e86fec3fbad" hidden="1">#REF!</definedName>
    <definedName name="TB1f90379e_b12f_4217_b7aa_73eae3901856" hidden="1">#REF!</definedName>
    <definedName name="TB1fa35e12_04e9_4210_ba03_cddf1764c79e" hidden="1">#REF!</definedName>
    <definedName name="TB1fafc94a_d35f_4f3e_85fa_96838dd1b77a" hidden="1">#REF!</definedName>
    <definedName name="TB1fc28d1f_bd37_4ff3_b4c0_f9f99febfed5" hidden="1">#REF!</definedName>
    <definedName name="TB1fc856d0_7e6e_410c_87be_8d373216ebe1" hidden="1">#REF!</definedName>
    <definedName name="TB1fd09a34_aa2b_4a43_8040_1e826aa9e573" hidden="1">#REF!</definedName>
    <definedName name="TB1fd10bab_58fd_42d6_8abd_2695a257f42c" hidden="1">#REF!</definedName>
    <definedName name="TB1fd79b88_905c_41e5_a475_4fd4833debee" hidden="1">#REF!</definedName>
    <definedName name="TB1fe485a2_d18a_46e1_90af_0f36a6fd2ab7" hidden="1">#REF!</definedName>
    <definedName name="TB1fe601af_5550_47b6_bf71_bd4ba31ea1cf" hidden="1">#REF!</definedName>
    <definedName name="TB1feb42e6_d4d6_4dd6_bbd7_e89d193e8d3e" hidden="1">#REF!</definedName>
    <definedName name="TB1fed1f2a_3d83_4785_9f19_b21ee3529b5a" hidden="1">#REF!</definedName>
    <definedName name="TB1ff8ec25_f61a_4093_8821_b83f63c66e8f" hidden="1">#REF!</definedName>
    <definedName name="TB1ff9f7dc_c557_487e_b3d7_18760117e382" hidden="1">#REF!</definedName>
    <definedName name="TB1ffc9ab5_5042_40f8_8366_23e35de0b98c" hidden="1">#REF!</definedName>
    <definedName name="TB20011d3a_a9ef_4ce1_a9eb_67f0bb52f9a5" hidden="1">#REF!</definedName>
    <definedName name="TB2006d740_46d0_4a9d_87c9_67fea9bae870" hidden="1">#REF!</definedName>
    <definedName name="TB20158e91_b94e_4b09_9754_a08958f518c0" hidden="1">#REF!</definedName>
    <definedName name="TB201d1ca5_ec48_439a_8bd8_26d81b90f8f4" hidden="1">#REF!</definedName>
    <definedName name="TB2029996f_5763_472e_b309_71256d631173" hidden="1">#REF!</definedName>
    <definedName name="TB202df1b3_e701_4a70_9713_9a6bf978d1c6" hidden="1">#REF!</definedName>
    <definedName name="TB2035f1b1_cba9_4b2e_900c_614d7336bfe4" hidden="1">#REF!</definedName>
    <definedName name="TB205458ca_7658_4803_8baf_3a6cb6b53e76" hidden="1">#REF!</definedName>
    <definedName name="TB205663a5_dd33_421f_9d8d_6d8998f867f9" hidden="1">#REF!</definedName>
    <definedName name="TB205e9622_5071_40b8_93b5_ec9d8841e259" hidden="1">#REF!</definedName>
    <definedName name="TB20615578_c2d3_4e22_b55a_6a2af2b3236a" hidden="1">#REF!</definedName>
    <definedName name="TB20629e9a_27c9_4482_8842_eaf438e4109e" hidden="1">#REF!</definedName>
    <definedName name="TB206a9f80_b7ac_4b6b_abb3_11d9bd0392d7" hidden="1">#REF!</definedName>
    <definedName name="TB207cee60_8137_4364_88db_8251efe69f3e" hidden="1">#REF!</definedName>
    <definedName name="TB207ef552_4f48_4bb4_8821_d773ee1881a2" hidden="1">#REF!</definedName>
    <definedName name="TB20831bbf_dacb_4c11_94c9_ffa327b985ea" hidden="1">#REF!</definedName>
    <definedName name="TB2087924a_70aa_4d85_b8d2_c2aef0decffc" hidden="1">#REF!</definedName>
    <definedName name="TB2098bae3_4493_49b6_95f5_cf5c9c7a6e3c" hidden="1">#REF!</definedName>
    <definedName name="TB20a24270_5c7d_4671_9ff6_38ecc790e029" hidden="1">#REF!</definedName>
    <definedName name="TB20a3b6fd_c2f0_4f1c_a472_d08722bb0af9" hidden="1">#REF!</definedName>
    <definedName name="TB20a97137_de10_4a4e_a2ea_5f3027b08f3a" hidden="1">#REF!</definedName>
    <definedName name="TB20ae2116_1e46_4535_9d4d_6d54d3dd389d" hidden="1">#REF!</definedName>
    <definedName name="TB20b1cb81_7973_4f7a_8730_eafbf3257404" hidden="1">#REF!</definedName>
    <definedName name="TB20b36947_c1ee_4e6f_959f_0952c2fb679d" hidden="1">#REF!</definedName>
    <definedName name="TB20b445f3_1b66_4b43_8af9_d08b06100267" hidden="1">#REF!</definedName>
    <definedName name="TB20d2440e_7207_49cc_9304_7aedbd26f9ae" hidden="1">#REF!</definedName>
    <definedName name="TB20d560ff_3bd8_464b_848a_476d9d3c4e8f" hidden="1">#REF!</definedName>
    <definedName name="TB20dc82c3_5c58_46e1_8800_40960197b58c" hidden="1">#REF!</definedName>
    <definedName name="TB20e85d55_bf57_4a1b_a1a3_cf0af88c59c2" hidden="1">#REF!</definedName>
    <definedName name="TB20f4e31b_b196_4ced_becb_09f2109445a6" hidden="1">#REF!</definedName>
    <definedName name="TB20fb67f4_9fb5_4c82_b649_e1487b2ab65d" hidden="1">#REF!</definedName>
    <definedName name="TB2116b160_8235_442b_afcd_174efefd0969" hidden="1">#REF!</definedName>
    <definedName name="TB211e958b_5607_4229_871f_92261b59fe1b" hidden="1">#REF!</definedName>
    <definedName name="TB214b5bbb_f3a6_47d9_a429_d146c2968d93" hidden="1">#REF!</definedName>
    <definedName name="TB214efbac_5fa4_4caf_80ed_227c2dcab940" hidden="1">#REF!</definedName>
    <definedName name="TB2151bff4_cc7c_4db4_833b_ab38e65d8632" hidden="1">#REF!</definedName>
    <definedName name="TB2153b951_c2cd_4abd_8236_7ac65e93a85d" hidden="1">#REF!</definedName>
    <definedName name="TB215520bf_e43c_42cc_9a60_709a153fa5e6" hidden="1">#REF!</definedName>
    <definedName name="TB2159b747_8ae5_44fa_9df4_5e3668aac9f8" hidden="1">#REF!</definedName>
    <definedName name="TB215cab9d_e8ed_4c15_8f5c_acc0008c5abe" hidden="1">#REF!</definedName>
    <definedName name="TB216a5f29_a6bb_4f6c_8223_7b6f2f0ca629" hidden="1">#REF!</definedName>
    <definedName name="TB216c93c0_8578_4999_bb2c_cb90a74145e9" hidden="1">#REF!</definedName>
    <definedName name="TB217214ce_d2e8_44f8_b8f5_50194a50dae1" hidden="1">#REF!</definedName>
    <definedName name="TB2174aa44_d03b_4550_b9eb_c538839f13a8" hidden="1">#REF!</definedName>
    <definedName name="TB217a5eac_379d_4456_b280_58411b3fe3be" hidden="1">#REF!</definedName>
    <definedName name="TB218b8cba_c5c9_4eaa_bc2c_c8fb95401484" hidden="1">#REF!</definedName>
    <definedName name="TB219b5aad_64d6_40ce_a543_14826db048df" hidden="1">#REF!</definedName>
    <definedName name="TB219d5631_29ae_4141_8063_5707c619d835" hidden="1">#REF!</definedName>
    <definedName name="TB21a492e9_471f_4d35_84db_40e0be53715f" hidden="1">#REF!</definedName>
    <definedName name="TB21abf529_ffcc_4470_b9c2_e3ebaa4f5476" hidden="1">#REF!</definedName>
    <definedName name="TB21abf9de_0412_4d20_9aeb_c7920e311ac7" hidden="1">#REF!</definedName>
    <definedName name="TB21acca41_36bd_4b80_a3c7_314ce88b59dc" hidden="1">#REF!</definedName>
    <definedName name="TB21aea42e_e6dd_4873_afa2_855f73ba9637" hidden="1">#REF!</definedName>
    <definedName name="TB21b460f6_1c8b_4b97_b071_1ec69b5f9522" hidden="1">#REF!</definedName>
    <definedName name="TB21b723ff_35ea_40a3_906d_bbdd11c04401" hidden="1">#REF!</definedName>
    <definedName name="TB21ba97fc_b3d5_417e_81ff_c06d031212b9" hidden="1">#REF!</definedName>
    <definedName name="TB21cae1ea_578f_4091_b5cf_a5da0dd48f99" hidden="1">#REF!</definedName>
    <definedName name="TB21d3fa20_64af_426d_bcae_1332c79a9a30" hidden="1">#REF!</definedName>
    <definedName name="TB21d97cb3_92bc_4c57_ad48_ca7c3617900e" hidden="1">#REF!</definedName>
    <definedName name="TB21db5a4f_7cc5_4b50_8c3d_56040ffac448" hidden="1">#REF!</definedName>
    <definedName name="TB21e0727e_7711_4c1f_a3be_adfd7e6b7211" hidden="1">#REF!</definedName>
    <definedName name="TB21eab86d_1725_43b0_bdd6_324128a8f106" hidden="1">#REF!</definedName>
    <definedName name="TB21ef1f6b_5c69_4f4d_bb3e_64a447e9e9c4" hidden="1">#REF!</definedName>
    <definedName name="TB21f4e105_8aa8_413b_b803_52b557d1f12c" hidden="1">#REF!</definedName>
    <definedName name="TB2202eaa8_917a_4b55_9031_7ad8de4ae8cf" hidden="1">#REF!</definedName>
    <definedName name="TB223996ac_1deb_4593_b339_244629428abf" hidden="1">#REF!</definedName>
    <definedName name="TB223f674c_7ba1_477d_81f2_8d6846d61aaf" hidden="1">#REF!</definedName>
    <definedName name="TB2243d057_2d5d_4515_9717_2c60b68fdf8d" hidden="1">#REF!</definedName>
    <definedName name="TB2244364a_510b_489a_8a66_fb0b43147f4f" hidden="1">#REF!</definedName>
    <definedName name="TB22535a10_e7c4_4ed0_a04c_c375b952c538" hidden="1">#REF!</definedName>
    <definedName name="TB225f24f8_c6ee_41b2_9a1e_7f0faa6d07c7" hidden="1">#REF!</definedName>
    <definedName name="TB227a6b88_9459_46a1_bd4c_43135f281b6d" hidden="1">#REF!</definedName>
    <definedName name="TB22809758_8342_4ff9_b393_4613cfea2eda" hidden="1">#REF!</definedName>
    <definedName name="TB228214a7_a6e9_4dc8_9f88_62365eceef4c" hidden="1">#REF!</definedName>
    <definedName name="TB22851e8b_9ca8_4f67_9993_90247c6d97a4" hidden="1">#REF!</definedName>
    <definedName name="TB228b8b6f_dd2b_490d_8513_4aa08b5a1c57" hidden="1">#REF!</definedName>
    <definedName name="TB228d59b1_7440_43d2_a30c_ab50169b8f40" hidden="1">#REF!</definedName>
    <definedName name="TB228eff67_b566_4c40_95bf_b7c48236605c" hidden="1">#REF!</definedName>
    <definedName name="TB229088d3_9625_4b43_8f45_b6790daa361d" hidden="1">#REF!</definedName>
    <definedName name="TB22a2fd58_7f4d_4050_8e9b_8e55a8048797" hidden="1">#REF!</definedName>
    <definedName name="TB22a94478_049d_41ea_b882_8f821387f57c" hidden="1">#REF!</definedName>
    <definedName name="TB22b724cc_5f60_4fcb_b480_7197ce5512de" hidden="1">#REF!</definedName>
    <definedName name="TB22bab966_f7a5_4c6e_9993_a74b252eb54d" hidden="1">#REF!</definedName>
    <definedName name="TB22c96fe3_a6aa_4f02_8da7_936b92d28c2f" hidden="1">#REF!</definedName>
    <definedName name="TB22d68bcc_69a2_48e9_9c79_aec421256124" hidden="1">#REF!</definedName>
    <definedName name="TB22e60c41_cb60_4b3e_af5c_398811674a3b" hidden="1">#REF!</definedName>
    <definedName name="TB22e63829_6c15_4b6c_b6c1_40409b5fa0da" hidden="1">#REF!</definedName>
    <definedName name="TB22e6b24f_d81b_44b0_b228_3af28aedd86c" hidden="1">#REF!</definedName>
    <definedName name="TB2307da9a_af00_4156_b3d6_701bdd1ba0af" hidden="1">#REF!</definedName>
    <definedName name="TB230c805e_c03a_4104_8080_7416dedf72a4" hidden="1">#REF!</definedName>
    <definedName name="TB232cce08_0961_4a9e_a7b7_7f789b8d0353" hidden="1">#REF!</definedName>
    <definedName name="TB23334503_7a11_49c4_aa5a_45e2676ec55d" hidden="1">#REF!</definedName>
    <definedName name="TB2335f197_615d_4182_af15_29f360547e89" hidden="1">#REF!</definedName>
    <definedName name="TB23425b58_b640_4af1_9d56_8ce41f3ceda1" hidden="1">#REF!</definedName>
    <definedName name="TB2342e163_8924_4d50_9449_20857d90baab" hidden="1">#REF!</definedName>
    <definedName name="TB235a0029_8714_430c_bf6b_8ab53a90b7b4" hidden="1">#REF!</definedName>
    <definedName name="TB23604c8f_1398_43ce_ae53_34d99a86cb6b" hidden="1">#REF!</definedName>
    <definedName name="TB23685cca_d541_41a7_ba8d_a0e68d3574c8" hidden="1">#REF!</definedName>
    <definedName name="TB236c5e3d_f8d2_460d_82b3_0c94b4110f0d" hidden="1">#REF!</definedName>
    <definedName name="TB238d50f7_cba6_4fe0_9a67_d5e077275f0b" hidden="1">#REF!</definedName>
    <definedName name="TB23922436_da3b_478a_a711_b85ce3211a70" hidden="1">#REF!</definedName>
    <definedName name="TB2395918f_df1e_486c_8790_d59aa329ab76" hidden="1">#REF!</definedName>
    <definedName name="TB23969d0d_dc1d_42ab_be08_7d9229ddd052" hidden="1">#REF!</definedName>
    <definedName name="TB2397da43_8618_4876_80c1_5784552ca487" hidden="1">#REF!</definedName>
    <definedName name="TB23a14a11_902e_4caa_a599_f2b8ebf25282" hidden="1">#REF!</definedName>
    <definedName name="TB23ab9c33_2f46_4510_9355_19d439cd9d26" hidden="1">#REF!</definedName>
    <definedName name="TB23beb5a8_2662_452c_bcc7_c1c1ca083eed" hidden="1">#REF!</definedName>
    <definedName name="TB23c847d9_459c_4c49_958b_9b5c21a1e9b8" hidden="1">#REF!</definedName>
    <definedName name="TB23d04062_247c_4dd7_aaa9_2f584d565f4a" hidden="1">#REF!</definedName>
    <definedName name="TB23d26f3f_17bb_43ae_a048_6db7081a6d88" hidden="1">#REF!</definedName>
    <definedName name="TB23d71002_4d39_4170_8d38_e1bb8cd6b661" hidden="1">#REF!</definedName>
    <definedName name="TB23d77fd7_d18e_4cf4_9aed_9f844e447ea1" hidden="1">#REF!</definedName>
    <definedName name="TB23e21171_adbb_4c9e_9c70_3615394151f9" hidden="1">#REF!</definedName>
    <definedName name="TB23e67f6c_8372_4259_9a5c_443ac1f9e919" hidden="1">#REF!</definedName>
    <definedName name="TB23eb8563_480a_4a3e_8e83_0fd72cb3426f" hidden="1">#REF!</definedName>
    <definedName name="TB23f4a1d8_51b8_4671_b566_c57ec488de88" hidden="1">#REF!</definedName>
    <definedName name="TB2401116a_2f7d_41d5_9047_9c6b02026ed6" hidden="1">#REF!</definedName>
    <definedName name="TB2401cc7f_5a1f_428a_8ba6_658061cb437a" hidden="1">#REF!</definedName>
    <definedName name="TB24086a79_24cf_4e47_83d9_9749811a12cf" hidden="1">#REF!</definedName>
    <definedName name="TB240ade7d_52f2_4cbd_b996_a3cca61006ec" hidden="1">#REF!</definedName>
    <definedName name="TB240f17e4_8906_4031_b5fb_f6ef8ffdc338" hidden="1">#REF!</definedName>
    <definedName name="TB24113538_758a_423d_bb23_3f518cdfc110" hidden="1">#REF!</definedName>
    <definedName name="TB24138c4d_765d_4a20_8ad9_7b1b1810d560" hidden="1">#REF!</definedName>
    <definedName name="TB241b19b9_76d6_44ea_bbf4_66c7f1a5fb0b" hidden="1">#REF!</definedName>
    <definedName name="TB241e1d33_4edb_4616_801e_e8f2f9616861" hidden="1">#REF!</definedName>
    <definedName name="TB24228735_3810_4db5_8349_725a0c8fb548" hidden="1">#REF!</definedName>
    <definedName name="TB2423b60a_b85d_48b1_b5cd_f8171037831c" hidden="1">#REF!</definedName>
    <definedName name="TB242bb28e_624f_481b_87b5_8a27b472092c" hidden="1">#REF!</definedName>
    <definedName name="TB242bd87f_f658_4137_a240_07b917c38f78" hidden="1">#REF!</definedName>
    <definedName name="TB242fe714_3993_4b77_aa8c_7389cb511a8d" hidden="1">#REF!</definedName>
    <definedName name="TB243b81b8_2299_424f_8955_184666823026" hidden="1">#REF!</definedName>
    <definedName name="TB2447c275_1673_4f10_98a4_f51365f858ae" hidden="1">#REF!</definedName>
    <definedName name="TB2457185f_d34e_43c7_abc6_dd8f400f003e" hidden="1">#REF!</definedName>
    <definedName name="TB246f0a2b_a889_4b9a_9729_5a27f8d5f3aa" hidden="1">#REF!</definedName>
    <definedName name="TB2474374a_50d2_4b12_9e1e_8f2c10783309" hidden="1">#REF!</definedName>
    <definedName name="TB247cf6a4_c4e6_4df1_ae33_28b70e091ed5" hidden="1">#REF!</definedName>
    <definedName name="TB247de206_f086_4d37_9867_a7276170b465" hidden="1">#REF!</definedName>
    <definedName name="TB247f0c69_682e_415e_badf_aceaabea7657" hidden="1">#REF!</definedName>
    <definedName name="TB24887e83_aae0_4a9b_8ad4_04ac2a8b820f" hidden="1">#REF!</definedName>
    <definedName name="TB248d7e7d_e433_4068_86b2_1393a1e54772" hidden="1">#REF!</definedName>
    <definedName name="TB2493ed00_180d_4993_9198_d410da178fc6" hidden="1">#REF!</definedName>
    <definedName name="TB24997d57_8d0d_498a_8608_0d1accc291a9" hidden="1">#REF!</definedName>
    <definedName name="TB24a09b8f_dccb_4199_9f57_9ebf8b8ea531" hidden="1">#REF!</definedName>
    <definedName name="TB24aa3748_9178_4303_a2c3_f8e757fd9518" hidden="1">#REF!</definedName>
    <definedName name="TB24b75a1c_956b_4e5e_8674_997ff1ec2d2f" hidden="1">#REF!</definedName>
    <definedName name="TB24ca6a64_0bd9_4da3_a475_af184bb860ff" hidden="1">#REF!</definedName>
    <definedName name="TB24d24f06_247a_4109_9c9b_92185c29c19f" hidden="1">#REF!</definedName>
    <definedName name="TB25212f65_885d_4533_ae1b_43f235706a46" hidden="1">#REF!</definedName>
    <definedName name="TB252403c1_ad8d_4427_ba2c_596920bfa6a5" hidden="1">#REF!</definedName>
    <definedName name="TB254ae85e_3c86_427a_acc1_b0876a2e3b7f" hidden="1">#REF!</definedName>
    <definedName name="TB255abb61_eb47_4548_9f00_fce4e81a8fa9" hidden="1">#REF!</definedName>
    <definedName name="TB256c06b7_093f_45f5_815d_2399ed6e934b" hidden="1">#REF!</definedName>
    <definedName name="TB25738e4b_6016_4df9_ac61_69717ac3f5c6" hidden="1">#REF!</definedName>
    <definedName name="TB2579cac9_7fcd_4f88_bf74_6dbf92a438a7" hidden="1">#REF!</definedName>
    <definedName name="TB258f47b6_9007_4452_bd55_f2a273a10895" hidden="1">#REF!</definedName>
    <definedName name="TB2594ab3a_4e5b_4584_a1c7_ac466ae630ed" hidden="1">#REF!</definedName>
    <definedName name="TB25a9c5ce_2552_4e5e_9fb5_975e667340f7" hidden="1">#REF!</definedName>
    <definedName name="TB25b0f357_0b66_4489_9f14_3f99ab8c850e" hidden="1">#REF!</definedName>
    <definedName name="TB25b797cc_0be8_406c_b3f9_5a06964f7b6d" hidden="1">#REF!</definedName>
    <definedName name="TB25bb15d9_9a60_4fbf_a882_7de3e6f49724" hidden="1">#REF!</definedName>
    <definedName name="TB25c4bff0_c944_40f6_8474_b8298db25db9" hidden="1">#REF!</definedName>
    <definedName name="TB25c88ffc_3617_419e_9919_502560cf19e7" hidden="1">#REF!</definedName>
    <definedName name="TB25d0c0cd_474b_41c2_a348_452d6f7d035a" hidden="1">#REF!</definedName>
    <definedName name="TB25eaea7d_9c9c_4e37_98e8_f4090bc9d60c" hidden="1">#REF!</definedName>
    <definedName name="TB25f0210d_8201_4bf5_975c_3ab7c349a38d" hidden="1">#REF!</definedName>
    <definedName name="TB25f2d619_7ae5_45ac_8c19_847958accd69" hidden="1">#REF!</definedName>
    <definedName name="TB2614f0ed_5411_4350_9eb7_4a353f00f889" hidden="1">#REF!</definedName>
    <definedName name="TB2623234d_7866_4cc0_912b_4f0446964d5d" hidden="1">#REF!</definedName>
    <definedName name="TB26319ab0_de4b_4c4e_8ee9_26ecfb357953" hidden="1">#REF!</definedName>
    <definedName name="TB26372cd5_f39a_4db9_8be0_5f6b814af068" hidden="1">#REF!</definedName>
    <definedName name="TB2652c577_4b86_4ca0_9c1e_e64425360869" hidden="1">#REF!</definedName>
    <definedName name="TB2653054a_e431_4993_90af_fa3d13715a5f" hidden="1">#REF!</definedName>
    <definedName name="TB26663eef_38a6_429d_9f56_afe3a5bbf636" hidden="1">#REF!</definedName>
    <definedName name="TB26730d9b_e9ac_4ab5_acbb_14d5cbc0c882" hidden="1">#REF!</definedName>
    <definedName name="TB267d191f_5c43_42b1_9799_2b9bb03ce87e" hidden="1">#REF!</definedName>
    <definedName name="TB2693f451_fe6e_489b_8838_c190600946cf" hidden="1">#REF!</definedName>
    <definedName name="TB26b428a7_540d_4e3b_bbe8_9d70cb22d6bb" hidden="1">#REF!</definedName>
    <definedName name="TB26c3b556_c65c_4d4d_9b92_277ad03e189a" hidden="1">#REF!</definedName>
    <definedName name="TB26cb30d4_9def_431a_83a5_a6a2478dbe95" hidden="1">#REF!</definedName>
    <definedName name="TB26cdd5ca_f7b3_4b82_8a40_6fab9047dd4a" hidden="1">#REF!</definedName>
    <definedName name="TB26d08020_0759_42c2_8ffc_bfc3dd88bd75" hidden="1">#REF!</definedName>
    <definedName name="TB26d92c05_948e_4151_b7b7_d502e163c493" hidden="1">#REF!</definedName>
    <definedName name="TB26dae887_045d_4971_abef_34f0fb69e7a9" hidden="1">#REF!</definedName>
    <definedName name="TB26e2aa52_f095_42f1_8340_53bd2d34744d" hidden="1">#REF!</definedName>
    <definedName name="TB26e96442_d98f_4dc7_b744_64ed98224e3f" hidden="1">#REF!</definedName>
    <definedName name="TB26ea0ad6_2ee5_47bc_b1d1_379a976fff6b" hidden="1">#REF!</definedName>
    <definedName name="TB26f5ccc2_3712_4733_8822_fa4298482f66" hidden="1">#REF!</definedName>
    <definedName name="TB270c054c_e10a_428b_b2d6_f18cad52c1c6" hidden="1">#REF!</definedName>
    <definedName name="TB2710fd92_d866_4c88_a97c_e304779d8b60" hidden="1">#REF!</definedName>
    <definedName name="TB27185829_3c22_4409_b79b_32e3f225c919" hidden="1">#REF!</definedName>
    <definedName name="TB2725335b_5bb7_4c1c_bd87_bcdaafb6c41e" hidden="1">#REF!</definedName>
    <definedName name="TB272df8c5_9849_43ca_adf6_f7984dbe0c64" hidden="1">#REF!</definedName>
    <definedName name="TB2730006c_261d_42ce_94e5_9911749cb890" hidden="1">#REF!</definedName>
    <definedName name="TB27583b79_aaeb_4452_a83f_c9ce7baf46b7" hidden="1">#REF!</definedName>
    <definedName name="TB2764f00f_9017_4d13_8074_edb9ca66a641" hidden="1">#REF!</definedName>
    <definedName name="TB27679cfa_8dd8_44b7_9e96_104c3fb26df4" hidden="1">#REF!</definedName>
    <definedName name="TB2783b5dd_35ad_4f41_8d6d_16b3514c1366" hidden="1">#REF!</definedName>
    <definedName name="TB278b2bcf_4fb5_4e7c_915a_d40717ebf503" hidden="1">#REF!</definedName>
    <definedName name="TB278de5e8_be80_402b_a7b7_4f74eb74fedd" hidden="1">#REF!</definedName>
    <definedName name="TB2797405e_36b1_4974_bee3_ca1a99505301" hidden="1">#REF!</definedName>
    <definedName name="TB279777ad_235e_4695_89f4_5b0777cc36b7" hidden="1">#REF!</definedName>
    <definedName name="TB279a52cd_852d_4adc_b3f9_333985826881" hidden="1">#REF!</definedName>
    <definedName name="TB27ad7b63_4222_4d86_aba0_41855328fdc2" hidden="1">#REF!</definedName>
    <definedName name="TB27b6d3b6_60b7_4cab_892a_5b037d1cf426" hidden="1">#REF!</definedName>
    <definedName name="TB27b7c766_9bcb_4b7d_a299_7f60b60399f4" hidden="1">#REF!</definedName>
    <definedName name="TB27ddd551_efbb_4c1c_8a60_34632ae19332" hidden="1">#REF!</definedName>
    <definedName name="TB27e88b48_21e5_41cf_a96f_8ad9ded1bcd4" hidden="1">#REF!</definedName>
    <definedName name="TB27ef4d66_72fc_41a1_82ea_d489d9f59ec5" hidden="1">#REF!</definedName>
    <definedName name="TB27fafcf2_f0a3_4ee8_9f7d_5bb6936773da" hidden="1">#REF!</definedName>
    <definedName name="TB280a8e2e_b62d_4cf7_b999_65a0b596e03c" hidden="1">#REF!</definedName>
    <definedName name="TB281597d6_fa60_4605_a81d_40f37c1ed64d" hidden="1">#REF!</definedName>
    <definedName name="TB2816ca98_322e_42c9_8132_a05f2754c230" hidden="1">#REF!</definedName>
    <definedName name="TB28281305_da26_493f_8b28_786e8c615459" hidden="1">#REF!</definedName>
    <definedName name="TB28290a84_1f13_4f1f_b34e_c286f3a493c1" hidden="1">#REF!</definedName>
    <definedName name="TB282a67da_bb58_40c8_a5a0_a1b315ee5103" hidden="1">#REF!</definedName>
    <definedName name="TB282f12ac_057b_4ea6_a85f_599ee498e239" hidden="1">#REF!</definedName>
    <definedName name="TB283bacac_d992_467e_9294_1ed2980ca3d6" hidden="1">#REF!</definedName>
    <definedName name="TB283ff255_ff68_45f6_9359_6cfc67d8dce7" hidden="1">#REF!</definedName>
    <definedName name="TB28467558_7a56_4afc_ba5b_8eddcc78f34b" hidden="1">#REF!</definedName>
    <definedName name="TB285816ee_47dd_4340_ab5a_302e066015c3" hidden="1">#REF!</definedName>
    <definedName name="TB286caeaa_e404_4021_ae30_843e59573ac5" hidden="1">#REF!</definedName>
    <definedName name="TB2874a136_1873_4485_bd56_4dda5a10180e" hidden="1">#REF!</definedName>
    <definedName name="TB28789212_07a5_4483_85be_04a43049e256" hidden="1">#REF!</definedName>
    <definedName name="TB289a8a05_a5e2_45e2_b3cb_cc45886a43fb" hidden="1">#REF!</definedName>
    <definedName name="TB28a0d40b_77a4_4d18_b2ae_5c731a19593f" hidden="1">#REF!</definedName>
    <definedName name="TB28ac34f2_c6d5_467c_a8a4_8c7e470df593" hidden="1">#REF!</definedName>
    <definedName name="TB28ad931f_94f4_4452_9a3e_eb35f7c24958" hidden="1">#REF!</definedName>
    <definedName name="TB28ada3f5_7282_4f0a_9de2_ffa927aa18e4" hidden="1">#REF!</definedName>
    <definedName name="TB28b410c7_5c8d_4b64_86e9_919ea8a2b9b7" hidden="1">#REF!</definedName>
    <definedName name="TB28b5d354_221b_4b69_800f_408f18b958e8" hidden="1">#REF!</definedName>
    <definedName name="TB28c940a8_1f2f_4b60_aa10_7e61c55e8948" hidden="1">#REF!</definedName>
    <definedName name="TB28cf6b0b_cfbd_4e44_abfd_36ec2ff99722" hidden="1">#REF!</definedName>
    <definedName name="TB28f1435a_bfb7_4631_a241_d28cf1366a7c" hidden="1">#REF!</definedName>
    <definedName name="TB29211895_d052_40a7_ad37_52fc9e10c9ce" hidden="1">#REF!</definedName>
    <definedName name="TB29347e55_438a_4021_8d35_1e498212c728" hidden="1">#REF!</definedName>
    <definedName name="TB2947848e_961e_4f0c_beb5_3b58ab1b5a8a" hidden="1">#REF!</definedName>
    <definedName name="TB294d86c1_3228_44d8_a4a5_fdd37d61b871" hidden="1">#REF!</definedName>
    <definedName name="TB2959854f_7d6a_468c_8cd0_c1561ba11f7b" hidden="1">#REF!</definedName>
    <definedName name="TB296245c6_3e4b_40b2_bea0_4dd2d37767f3" hidden="1">#REF!</definedName>
    <definedName name="TB296f3abb_88a6_4e29_8529_142194905193" hidden="1">#REF!</definedName>
    <definedName name="TB297b522a_edc8_4bd5_a7c8_c702950a01b6" hidden="1">#REF!</definedName>
    <definedName name="TB298a719a_ea6e_4df5_967d_ea8336d127da" hidden="1">#REF!</definedName>
    <definedName name="TB29911c16_9325_4baf_9247_38836cf2f9ac" hidden="1">#REF!</definedName>
    <definedName name="TB29972ea8_ff5b_4610_ac5c_b6e98ddd40f1" hidden="1">#REF!</definedName>
    <definedName name="TB299e8444_c15c_4193_8cc5_e3b87a6c9a26" hidden="1">#REF!</definedName>
    <definedName name="TB29aace49_a4f9_4431_a690_9e361e436132" hidden="1">#REF!</definedName>
    <definedName name="TB29ae283d_361e_4fc4_a866_cc8d06dc77dc" hidden="1">#REF!</definedName>
    <definedName name="TB29cdd9b7_5975_4cd5_a829_db07822c85f6" hidden="1">#REF!</definedName>
    <definedName name="TB29cf7669_9957_4ad2_9a15_b6efde4a85ff" hidden="1">#REF!</definedName>
    <definedName name="TB29f499a7_46b3_476a_82c1_640fce6a28a3" hidden="1">#REF!</definedName>
    <definedName name="TB29f63a4f_f116_41c9_9c31_d6dfc89f90ee" hidden="1">#REF!</definedName>
    <definedName name="TB2a01099a_cab0_4b2c_b36a_894051c58e54" hidden="1">#REF!</definedName>
    <definedName name="TB2a0626ea_1eec_4c7e_b375_068f067f32f0" hidden="1">#REF!</definedName>
    <definedName name="TB2a124ad1_5f93_4e40_acf7_8d8c5161ea10" hidden="1">#REF!</definedName>
    <definedName name="TB2a312fb8_6b8c_46ff_9d86_b18283d1db87" hidden="1">#REF!</definedName>
    <definedName name="TB2a39cd3f_49e9_4090_bda4_6e998fa6fc8e" hidden="1">#REF!</definedName>
    <definedName name="TB2a3e54a0_d5e9_468c_afe1_0cee048039ab" hidden="1">#REF!</definedName>
    <definedName name="TB2a4872e5_6388_4eac_abc2_b88220a964cc" hidden="1">#REF!</definedName>
    <definedName name="TB2a6ffa97_22ef_4045_b49c_54b8e726f989" hidden="1">#REF!</definedName>
    <definedName name="TB2a795b4c_0ac9_4b68_b27d_dc53c39afb5c" hidden="1">#REF!</definedName>
    <definedName name="TB2a810362_59ca_4c53_9177_455ae6e89ff1" hidden="1">#REF!</definedName>
    <definedName name="TB2a8b4d70_b3f0_495e_9247_f29664572edb" hidden="1">#REF!</definedName>
    <definedName name="TB2a9bf52f_c46b_4504_be6e_c653c088e420" hidden="1">#REF!</definedName>
    <definedName name="TB2a9d683e_bdbe_4ecb_aa2f_21d740eef162" hidden="1">#REF!</definedName>
    <definedName name="TB2a9faf91_6574_41dc_9376_7f1772ba0c9f" hidden="1">#REF!</definedName>
    <definedName name="TB2ab9fa9e_14f8_4ea7_a29b_31d2204a79dd" hidden="1">#REF!</definedName>
    <definedName name="TB2abcfcdf_457c_43ba_a8d2_bb14f19626b0" hidden="1">#REF!</definedName>
    <definedName name="TB2abd910a_aff3_4819_9b30_e52b8476b11b" hidden="1">#REF!</definedName>
    <definedName name="TB2ac49d3b_e26f_4964_a7ab_14e54a7cc70f" hidden="1">#REF!</definedName>
    <definedName name="TB2ac51f1a_780e_4cf6_82ac_3d15c110f0b8" hidden="1">#REF!</definedName>
    <definedName name="TB2ac59cf4_a095_4ae0_9d3a_e8027b8de2aa" hidden="1">#REF!</definedName>
    <definedName name="TB2ae16edc_bbf6_4bfe_829b_9369dafddb5c" hidden="1">#REF!</definedName>
    <definedName name="TB2aea3695_5de8_4bc6_855e_48e06fe84afa" hidden="1">#REF!</definedName>
    <definedName name="TB2afc56ba_5aec_4e21_96c1_96de6656af77" hidden="1">#REF!</definedName>
    <definedName name="TB2b035c05_8130_4fac_90f9_eba47a162705" hidden="1">#REF!</definedName>
    <definedName name="TB2b0eb2c4_a271_4700_ad62_a60641660eaf" hidden="1">#REF!</definedName>
    <definedName name="TB2b222839_79ae_4374_bff5_566374f6d7cc" hidden="1">#REF!</definedName>
    <definedName name="TB2b2f59c6_c2da_4725_8d27_f96b81b40a54" hidden="1">#REF!</definedName>
    <definedName name="TB2b34cd36_1737_4191_a3ae_e5a05e56a7f5" hidden="1">#REF!</definedName>
    <definedName name="TB2b359a33_a604_4b11_915d_2b306dfbc59d" hidden="1">#REF!</definedName>
    <definedName name="TB2b3ae174_865d_4e1f_ad6e_85e0083d1d5d" hidden="1">#REF!</definedName>
    <definedName name="TB2b42579c_ae5c_4591_a47d_2a79dba6e99e" hidden="1">#REF!</definedName>
    <definedName name="TB2b42a42b_a8b2_4ffc_b082_03b2b93c8933" hidden="1">#REF!</definedName>
    <definedName name="TB2b4f4433_6e69_4d4e_8341_dff7267a107f" hidden="1">#REF!</definedName>
    <definedName name="TB2b5818df_06d8_4a23_be13_1081ebc63990" hidden="1">#REF!</definedName>
    <definedName name="TB2b5e5a12_ec67_4ae0_9ea3_5f572af224c6" hidden="1">#REF!</definedName>
    <definedName name="TB2b6ec7fd_e1ba_4b54_ba67_f4a50244c5f6" hidden="1">#REF!</definedName>
    <definedName name="TB2b715f18_9d68_4896_8a08_86287fa2ffff" hidden="1">#REF!</definedName>
    <definedName name="TB2b7a8b66_a405_4989_9970_93833638b3dd" hidden="1">#REF!</definedName>
    <definedName name="TB2ba45ffc_ac5f_4057_a413_756fb62b71fc" hidden="1">#REF!</definedName>
    <definedName name="TB2ba8c9fa_db1a_44dd_bced_4c9689887ca2" hidden="1">#REF!</definedName>
    <definedName name="TB2baa08fc_3285_4ac6_9c30_606f5eddcd7a" hidden="1">#REF!</definedName>
    <definedName name="TB2bc86fd6_de2a_4ce2_a936_5a5dfa101324" hidden="1">#REF!</definedName>
    <definedName name="TB2bd73d8e_a536_494d_a290_54f9147990d1" hidden="1">#REF!</definedName>
    <definedName name="TB2bec406b_5c28_42d0_a93a_67e0906a3062" hidden="1">#REF!</definedName>
    <definedName name="TB2beebe2e_58ad_4956_b218_377023124710" hidden="1">#REF!</definedName>
    <definedName name="TB2bf493f4_024c_403c_a1a0_27f5b0e5b062" hidden="1">#REF!</definedName>
    <definedName name="TB2bfb0a58_76ed_4bae_a2e6_59de96b8d712" hidden="1">#REF!</definedName>
    <definedName name="TB2c0c6c17_d828_40cb_ab86_ba487df82890" hidden="1">#REF!</definedName>
    <definedName name="TB2c10d036_fe32_44b6_95b7_1ff866d8df13" hidden="1">#REF!</definedName>
    <definedName name="TB2c3357cd_4745_4cc9_b383_812507c8018c" hidden="1">#REF!</definedName>
    <definedName name="TB2c36f102_1f21_40c7_b54b_c040ed851f77" hidden="1">#REF!</definedName>
    <definedName name="TB2c54ef57_8aff_4d2e_8ce0_6c21bbf71587" hidden="1">#REF!</definedName>
    <definedName name="TB2c6dd4bb_7d71_476d_8c49_4e44f6991e87" hidden="1">#REF!</definedName>
    <definedName name="TB2c8c3e39_cc0f_4d8b_8c55_f423e14f0bfa" hidden="1">#REF!</definedName>
    <definedName name="TB2ca06423_8e4a_4b9a_9ee0_bd3be5d723cc" hidden="1">#REF!</definedName>
    <definedName name="TB2ca50bf1_9192_4d27_b131_b64d2ae76776" hidden="1">#REF!</definedName>
    <definedName name="TB2ca68fe6_1b15_428e_8a49_0f879cf1c51d" hidden="1">#REF!</definedName>
    <definedName name="TB2ca9066b_203c_4e12_b8de_c2f53cd84d33" hidden="1">#REF!</definedName>
    <definedName name="TB2cb5f035_74dc_4d1a_b958_b652481e7cc7" hidden="1">#REF!</definedName>
    <definedName name="TB2cbe16e9_3531_4ceb_b739_821a2adbf501" hidden="1">#REF!</definedName>
    <definedName name="TB2cc1ecd5_0811_4d66_8ccf_ecb57dd22de3" hidden="1">#REF!</definedName>
    <definedName name="TB2ce015e1_c836_4173_a025_f30b3b36da0f" hidden="1">#REF!</definedName>
    <definedName name="TB2ceadc14_856f_499d_93dd_0684c3df1da6" hidden="1">#REF!</definedName>
    <definedName name="TB2cece774_d6e1_4858_8fbf_a76d378c1740" hidden="1">#REF!</definedName>
    <definedName name="TB2cf5fdf8_cd9e_41ab_a5ca_fabaa38ee9b1" hidden="1">#REF!</definedName>
    <definedName name="TB2d007cd5_2890_4ab3_a7d1_cbd99561739d" hidden="1">#REF!</definedName>
    <definedName name="TB2d052831_e1a9_4fd1_9225_4bdbc09c56ab" hidden="1">#REF!</definedName>
    <definedName name="TB2d0d4b3a_a7b3_48a6_9633_8bbf5ecd8e53" hidden="1">#REF!</definedName>
    <definedName name="TB2d1d8f12_e4b8_4cad_99b1_7303df5c34d2" hidden="1">#REF!</definedName>
    <definedName name="TB2d24a724_1433_4cca_9ef6_bdf7175b4fab" hidden="1">#REF!</definedName>
    <definedName name="TB2d3759d8_28d1_4515_a525_a01c4ee6a5b5" hidden="1">#REF!</definedName>
    <definedName name="TB2d3d1d13_c903_43ce_8a45_6ffe25837e53" hidden="1">#REF!</definedName>
    <definedName name="TB2d3dad1f_368f_4b73_a429_bcdc55a3bcd4" hidden="1">#REF!</definedName>
    <definedName name="TB2d40aa10_1e98_4ed4_b033_efa1c3c66e9f" hidden="1">#REF!</definedName>
    <definedName name="TB2d4c54ee_be81_4202_9583_d1d3f0e9753c" hidden="1">#REF!</definedName>
    <definedName name="TB2d5b9464_43a9_4bfa_becc_f2a8e9ca1c4a" hidden="1">#REF!</definedName>
    <definedName name="TB2d75952b_6218_4126_a8ba_4bb901465be4" hidden="1">#REF!</definedName>
    <definedName name="TB2d7b54a5_6c9b_42f3_b875_1c0ee43ec272" hidden="1">#REF!</definedName>
    <definedName name="TB2d844e25_a289_4af1_b196_c740eb466d5a" hidden="1">#REF!</definedName>
    <definedName name="TB2d847760_3f70_469a_a7ae_0d5e608acceb" hidden="1">#REF!</definedName>
    <definedName name="TB2d985546_54be_406e_92b2_4a17e625196f" hidden="1">#REF!</definedName>
    <definedName name="TB2dbb252d_ed70_4de2_b847_3dd803eeb088" hidden="1">#REF!</definedName>
    <definedName name="TB2dc3e554_05c1_40b9_ad9e_44cdb14c8577" hidden="1">#REF!</definedName>
    <definedName name="TB2ddda3a4_fa8b_49f7_ba1b_5c3c2b7f6877" hidden="1">#REF!</definedName>
    <definedName name="TB2de78d37_d3c5_405f_8a98_21a9ce30746a" hidden="1">#REF!</definedName>
    <definedName name="TB2de89bd9_8cfb_4814_923a_aab729289b66" hidden="1">#REF!</definedName>
    <definedName name="TB2df56b57_b481_41bd_a4d8_25afba1eb25d" hidden="1">#REF!</definedName>
    <definedName name="TB2e111eb2_f454_475e_b11f_90f900398830" hidden="1">#REF!</definedName>
    <definedName name="TB2e1cb953_4bc8_42ad_9c5a_c6a0fcb594fc" hidden="1">#REF!</definedName>
    <definedName name="TB2e204994_662e_4749_993f_83cca4906aae" hidden="1">#REF!</definedName>
    <definedName name="TB2e24e091_2600_4545_8f2b_4731f20f26fc" hidden="1">#REF!</definedName>
    <definedName name="TB2e2bcaad_4d49_456e_b64c_2051c760382e" hidden="1">#REF!</definedName>
    <definedName name="TB2e3c8bd9_9843_49f0_9d1d_9c37b199e711" hidden="1">#REF!</definedName>
    <definedName name="TB2e3cf4ac_773b_4d10_8b92_94eb81829c60" hidden="1">#REF!</definedName>
    <definedName name="TB2e437de8_4828_4209_96e7_7b14e12a71c0" hidden="1">#REF!</definedName>
    <definedName name="TB2e4d212b_9743_4501_8135_1484153e8f38" hidden="1">#REF!</definedName>
    <definedName name="TB2e5551a9_9e7a_4174_b536_d07ab074ca93" hidden="1">#REF!</definedName>
    <definedName name="TB2e556bc0_0205_48e8_9e0b_5b5448b6023c" hidden="1">#REF!</definedName>
    <definedName name="TB2e5a896b_ffc4_4a52_b2eb_5e8aaf54a8ee" hidden="1">#REF!</definedName>
    <definedName name="TB2e621932_9aec_4833_a789_e650209faae9" hidden="1">#REF!</definedName>
    <definedName name="TB2e73102e_d558_4c2b_a472_118fe3c83be3" hidden="1">#REF!</definedName>
    <definedName name="TB2e7935ae_0164_4a3f_b22d_b0be019fc08f" hidden="1">#REF!</definedName>
    <definedName name="TB2e924604_b483_432a_be44_211d071e38ca" hidden="1">#REF!</definedName>
    <definedName name="TB2e97d172_9a15_4705_b59d_778ac05b914c" hidden="1">#REF!</definedName>
    <definedName name="TB2ea2c93b_bed3_4691_bdbe_e0372549e14d" hidden="1">#REF!</definedName>
    <definedName name="TB2ea5a8d0_7484_45dd_b107_0b8a3d1860a4" hidden="1">#REF!</definedName>
    <definedName name="TB2ec9b628_ee71_4942_b6cd_700be7278539" hidden="1">#REF!</definedName>
    <definedName name="TB2edd74a0_8379_4de1_a366_fea05161e614" hidden="1">#REF!</definedName>
    <definedName name="TB2eddd693_dddf_406a_8a25_c65d96c70546" hidden="1">#REF!</definedName>
    <definedName name="TB2ede8b98_fa59_4d2c_b778_5c9eb8391078" hidden="1">#REF!</definedName>
    <definedName name="TB2eecba8d_bac3_4f4c_aa11_593da0fbada8" hidden="1">#REF!</definedName>
    <definedName name="TB2effe178_0710_43b4_a583_efd174e8e904" hidden="1">#REF!</definedName>
    <definedName name="TB2f080cd0_aa8b_47a3_9680_386224940258" hidden="1">#REF!</definedName>
    <definedName name="TB2f33abe6_afef_40f4_8834_0ac6ce6ff6e5" hidden="1">#REF!</definedName>
    <definedName name="TB2f459d80_5cef_4a82_b0a3_a0a62bb1d63d" hidden="1">#REF!</definedName>
    <definedName name="TB2f4983c6_e5b9_415f_8188_43d3529debb3" hidden="1">#REF!</definedName>
    <definedName name="TB2f525a1b_c6e7_4321_b3cb_7faed229ae92" hidden="1">#REF!</definedName>
    <definedName name="TB2f668ff8_3a4b_4b10_8383_89d0ce1d403f" hidden="1">#REF!</definedName>
    <definedName name="TB2f6d04a4_ed65_49c2_a28e_2905808c5e83" hidden="1">#REF!</definedName>
    <definedName name="TB2f71e4c9_8469_49eb_ba21_7a2f64e73ce0" hidden="1">#REF!</definedName>
    <definedName name="TB2f787f4e_f643_4ab0_9528_4796ceed8205" hidden="1">#REF!</definedName>
    <definedName name="TB2f7e340c_27fd_4a39_8924_0e8ca06a0a77" hidden="1">#REF!</definedName>
    <definedName name="TB2f81a331_e760_48b0_8357_dc0ea742e406" hidden="1">#REF!</definedName>
    <definedName name="TB2f860881_fd5e_4e37_b892_dc6beccea6e6" hidden="1">#REF!</definedName>
    <definedName name="TB2f8f4bf2_8e78_4299_9e53_e9424505a7ac" hidden="1">#REF!</definedName>
    <definedName name="TB2f9e76f4_7cf0_40e7_a2bf_813968109203" hidden="1">#REF!</definedName>
    <definedName name="TB2fa99c9c_cfb9_4792_9ab3_e275699d8df0" hidden="1">#REF!</definedName>
    <definedName name="TB2fad65a2_ca39_43fd_9cd0_2a8a6de45ede" hidden="1">#REF!</definedName>
    <definedName name="TB2fada62e_01c2_466b_8e63_64be1c4c7a35" hidden="1">#REF!</definedName>
    <definedName name="TB2fb0769b_6a96_4765_a992_f523bc7488fa" hidden="1">#REF!</definedName>
    <definedName name="TB2fbb992a_4901_487b_9ad8_890d4644d422" hidden="1">#REF!</definedName>
    <definedName name="TB2fc624c7_fdda_4fb5_8591_0a71829c708a" hidden="1">#REF!</definedName>
    <definedName name="TB2fcf2241_6214_4ef1_b95c_2ce30801b33d" hidden="1">#REF!</definedName>
    <definedName name="TB2fe283b4_9164_4a4e_9a7b_73b8ce1291bc" hidden="1">#REF!</definedName>
    <definedName name="TB2fe7a419_d320_412f_93d9_4f4b00e36f95" hidden="1">#REF!</definedName>
    <definedName name="TB2ff33c0b_3297_4b27_ba10_5ec69c85d7b1" hidden="1">#REF!</definedName>
    <definedName name="TB2fff9014_2ab5_48e1_8c04_e64ee0e3466d" hidden="1">#REF!</definedName>
    <definedName name="TB30061234_9e10_4d82_bca8_769d0251d25d" hidden="1">#REF!</definedName>
    <definedName name="TB300a1a7f_07e3_4893_8a68_ea23b352dae4" hidden="1">#REF!</definedName>
    <definedName name="TB30140ae7_8f22_4b15_b8d0_bd6d85d61b85" hidden="1">#REF!</definedName>
    <definedName name="TB30255630_7d36_422d_b0f7_8c237e78442d" hidden="1">#REF!</definedName>
    <definedName name="TB302b07bb_ffee_4d8f_b30c_6e720c641883" hidden="1">#REF!</definedName>
    <definedName name="TB30325ef5_dc8a_4582_9f3c_4e75804b608f" hidden="1">#REF!</definedName>
    <definedName name="TB3037496f_db4b_4268_b185_284339c397bf" hidden="1">#REF!</definedName>
    <definedName name="TB30416515_0859_49ad_82b0_ff3c362abb7c" hidden="1">#REF!</definedName>
    <definedName name="TB30433edb_2d7e_42c8_a9a5_1a468e0a7085" hidden="1">#REF!</definedName>
    <definedName name="TB304377a3_ef74_417f_bf3b_55b20dd74ba9" hidden="1">#REF!</definedName>
    <definedName name="TB305ca360_74b2_4b7b_b963_dc7346b3dd82" hidden="1">#REF!</definedName>
    <definedName name="TB3074174c_c3be_4b6d_b34d_11c28bc33d62" hidden="1">#REF!</definedName>
    <definedName name="TB3076c074_3af0_49b7_8b58_e25bcfd02332" hidden="1">#REF!</definedName>
    <definedName name="TB30844b2c_cab6_42a2_b786_cad52dbcfb0a" hidden="1">#REF!</definedName>
    <definedName name="TB30906d03_d25a_4f5e_8006_f0f71c68c57d" hidden="1">#REF!</definedName>
    <definedName name="TB30991e73_3927_4178_9bf9_1a4f9ad5501b" hidden="1">#REF!</definedName>
    <definedName name="TB309ae6c2_36ea_4984_87d4_dd13714f34a8" hidden="1">#REF!</definedName>
    <definedName name="TB30a72ef5_a0a2_4cf3_ab53_838299b6404e" hidden="1">#REF!</definedName>
    <definedName name="TB30aab965_6ab6_4e49_80a8_da97f3178e02" hidden="1">#REF!</definedName>
    <definedName name="TB30acbb56_2269_4824_ae8e_c7ad5609f0fe" hidden="1">#REF!</definedName>
    <definedName name="TB30b0e5ca_458b_4b1e_a4d9_1dd1275e79a3" hidden="1">#REF!</definedName>
    <definedName name="TB30b6b2ca_e3e0_4880_991e_9f8987530269" hidden="1">#REF!</definedName>
    <definedName name="TB30ba3c22_8f1f_4b51_87cb_a9e40a50031f" hidden="1">#REF!</definedName>
    <definedName name="TB30c3a06d_6b7c_41e9_aaf1_e862f8c3cc90" hidden="1">#REF!</definedName>
    <definedName name="TB30cf1596_9564_442f_9039_cea58953831d" hidden="1">#REF!</definedName>
    <definedName name="TB30da9764_b805_46df_831b_03758bd5e9ea" hidden="1">#REF!</definedName>
    <definedName name="TB30e47dcf_14f4_4389_9224_276380a926ed" hidden="1">#REF!</definedName>
    <definedName name="TB30f844aa_588a_40c5_a771_4481669d2e5d" hidden="1">#REF!</definedName>
    <definedName name="TB312ef507_0131_4f1d_addc_faf94880d29d" hidden="1">#REF!</definedName>
    <definedName name="TB3130239a_ff44_4dd7_9432_d1092a61d582" hidden="1">#REF!</definedName>
    <definedName name="TB31415edc_f412_4526_8e31_c3dcabd95e6a" hidden="1">#REF!</definedName>
    <definedName name="TB31427080_90eb_4b35_afc7_43ced44e0601" hidden="1">#REF!</definedName>
    <definedName name="TB314cf314_3555_4662_8d37_3d4b4213b428" hidden="1">#REF!</definedName>
    <definedName name="TB315adcb6_f2cd_42a8_a724_56bb497b1388" hidden="1">#REF!</definedName>
    <definedName name="TB31686813_6259_41e1_b990_32d17aaec1fb" hidden="1">#REF!</definedName>
    <definedName name="TB31709d72_6681_4d26_872b_39079e8ef158" hidden="1">#REF!</definedName>
    <definedName name="TB3174fe70_157f_4b2b_aa2f_d09571aa3345" hidden="1">#REF!</definedName>
    <definedName name="TB317dd07a_2893_4c67_abdc_befaf39e2c47" hidden="1">#REF!</definedName>
    <definedName name="TB3180aa21_8c34_489f_ae14_fff5cf26dd63" hidden="1">#REF!</definedName>
    <definedName name="TB318530f1_ba3b_4070_906f_d2c9026b4e21" hidden="1">#REF!</definedName>
    <definedName name="TB31998151_da83_4d9d_8466_148981c69bbf" hidden="1">#REF!</definedName>
    <definedName name="TB31b0c030_8653_4798_aef5_3b73e9fa44a5" hidden="1">#REF!</definedName>
    <definedName name="TB31bff17a_a5df_491a_9360_52f8f531d041" hidden="1">#REF!</definedName>
    <definedName name="TB31c16507_1070_4667_a60f_efeacc7a6c8d" hidden="1">#REF!</definedName>
    <definedName name="TB31ce4de8_24f3_4ed5_a8c8_66bb9fbc7491" hidden="1">#REF!</definedName>
    <definedName name="TB31d096d2_dbcb_474d_ab8b_f9ded1609b51" hidden="1">#REF!</definedName>
    <definedName name="TB31d956a3_b2ff_4caf_bc9f_ddec4f9ace05" hidden="1">#REF!</definedName>
    <definedName name="TB32024f5b_38e6_44da_a57f_a2a9a963a0a7" hidden="1">#REF!</definedName>
    <definedName name="TB32094e50_6ef2_4502_9e03_e46dc38156de" hidden="1">#REF!</definedName>
    <definedName name="TB320cdd1f_3dee_4309_a028_6692fc8b9000" hidden="1">#REF!</definedName>
    <definedName name="TB3216796c_bdce_4908_8c15_b1a57bd96feb" hidden="1">#REF!</definedName>
    <definedName name="TB3220e98b_794f_4b75_b22e_6d4811741ed1" hidden="1">#REF!</definedName>
    <definedName name="TB3232dba2_ffae_4e98_848a_15bb4311d994" hidden="1">#REF!</definedName>
    <definedName name="TB32362330_532e_486f_9eef_cd758ec458e0" hidden="1">#REF!</definedName>
    <definedName name="TB3238614e_13d9_4718_84cf_509b0951efe4" hidden="1">#REF!</definedName>
    <definedName name="TB3238978c_12f7_42cb_bb9e_eb7cf6cc3f8d" hidden="1">#REF!</definedName>
    <definedName name="TB323c189d_7799_4385_a375_3683b5e092f0" hidden="1">#REF!</definedName>
    <definedName name="TB326266a9_c82a_46f8_9ed1_ea641ac9c7f2" hidden="1">#REF!</definedName>
    <definedName name="TB3266d087_8b74_4c61_a5e3_ce736c3dcb6c" hidden="1">#REF!</definedName>
    <definedName name="TB3266eba2_ed88_46bd_9e2e_4e9cc75d7f0d" hidden="1">#REF!</definedName>
    <definedName name="TB326ee0ea_a8b7_4977_b1f2_84729394edc6" hidden="1">#REF!</definedName>
    <definedName name="TB32891a85_6b23_4e72_ac7f_75b3693e18e3" hidden="1">#REF!</definedName>
    <definedName name="TB32964022_dddd_4b9e_a50f_6344e06826b9" hidden="1">#REF!</definedName>
    <definedName name="TB32972feb_29db_4507_9c63_8e9dadc73adf" hidden="1">#REF!</definedName>
    <definedName name="TB32a72d03_0745_4f98_a600_10b82ce9b0ed" hidden="1">#REF!</definedName>
    <definedName name="TB32a7c676_2368_41b1_9fa8_93c6d9f2cfdb" hidden="1">#REF!</definedName>
    <definedName name="TB32c96a20_cf77_4afb_8318_12db7fcdd399" hidden="1">#REF!</definedName>
    <definedName name="TB32cfa69f_9e7d_4581_8d3e_922c14de55aa" hidden="1">#REF!</definedName>
    <definedName name="TB32eac7d0_cef5_4dad_9f43_c374331cdd18" hidden="1">#REF!</definedName>
    <definedName name="TB32fbff21_3b74_4eda_b15c_d53f7e996fda" hidden="1">#REF!</definedName>
    <definedName name="TB33051326_62ff_490d_8394_488fe932e941" hidden="1">#REF!</definedName>
    <definedName name="TB330c769b_56aa_4306_9768_404175d96d14" hidden="1">#REF!</definedName>
    <definedName name="TB331a44d0_f889_4d6d_b320_4c25fceb9e1d" hidden="1">#REF!</definedName>
    <definedName name="TB334f3c86_2d11_4e4f_ab9b_9175089cf81e" hidden="1">#REF!</definedName>
    <definedName name="TB335bbdb4_a08a_488a_880a_02bfb4c28af1" hidden="1">#REF!</definedName>
    <definedName name="TB335c6e24_947e_4ad2_bf82_701a506d95b5" hidden="1">#REF!</definedName>
    <definedName name="TB3377116d_d3fb_48a2_945e_caeb7f376cb0" hidden="1">#REF!</definedName>
    <definedName name="TB33918238_c930_4103_8184_47e6f30e597e" hidden="1">#REF!</definedName>
    <definedName name="TB33a3e493_8f74_4bdf_befc_e2abd84f9e15" hidden="1">#REF!</definedName>
    <definedName name="TB33a74c3e_5c2e_4b7d_8c7b_38144cd8ae3f" hidden="1">#REF!</definedName>
    <definedName name="TB33c845a1_d911_4aa7_8b19_398d6cfa0f33" hidden="1">#REF!</definedName>
    <definedName name="TB33d7c6f0_5114_498e_ad77_14841263e6b1" hidden="1">#REF!</definedName>
    <definedName name="TB33e05159_e911_4ea1_b4c8_61f55350324f" hidden="1">#REF!</definedName>
    <definedName name="TB33e88334_ec44_4db1_a856_2b0286eec855" hidden="1">#REF!</definedName>
    <definedName name="TB33f21941_d0dc_4cfd_afaa_6bca764777df" hidden="1">#REF!</definedName>
    <definedName name="TB33f59143_d4fd_45a9_8fe0_d1b70f623ea8" hidden="1">#REF!</definedName>
    <definedName name="TB33fbdf57_db1e_43a6_a1e0_351e828aed2e" hidden="1">#REF!</definedName>
    <definedName name="TB33fec8fc_a92b_423b_9451_69b85c36b213" hidden="1">#REF!</definedName>
    <definedName name="TB3401cf74_f56a_4328_abd6_e9efb5ffa624" hidden="1">#REF!</definedName>
    <definedName name="TB34047752_998c_4b29_8e4a_1f8a59197c41" hidden="1">#REF!</definedName>
    <definedName name="TB3419a9ee_3a47_4c70_ad8b_eb41315c03f5" hidden="1">#REF!</definedName>
    <definedName name="TB341dce2c_68d7_4006_8ef7_3164d4ab3078" hidden="1">#REF!</definedName>
    <definedName name="TB342c7699_2d89_41b0_9727_8074940a9847" hidden="1">#REF!</definedName>
    <definedName name="TB343855d9_ef80_4f0e_97f6_c075d791d77c" hidden="1">#REF!</definedName>
    <definedName name="TB344ede08_1206_4396_b025_2ace166c3577" hidden="1">#REF!</definedName>
    <definedName name="TB345587eb_63f9_44e9_b549_fb597f9292ad" hidden="1">#REF!</definedName>
    <definedName name="TB345b7a6b_fcd4_4dea_ab8e_8abd9e149e45" hidden="1">#REF!</definedName>
    <definedName name="TB34726a5b_2480_4fce_9420_c0f0655c0b81" hidden="1">#REF!</definedName>
    <definedName name="TB3475750d_b8e6_4dda_82e8_8ecdf74bcdcb" hidden="1">#REF!</definedName>
    <definedName name="TB34859ef1_8501_4480_bf54_3c8cfa0e80aa" hidden="1">#REF!</definedName>
    <definedName name="TB34885c8e_2a1e_4b01_b581_295d8d01c586" hidden="1">#REF!</definedName>
    <definedName name="TB348b118f_7061_4c96_8339_13aa2ba9f7d6" hidden="1">#REF!</definedName>
    <definedName name="TB349ff699_ded7_466f_b819_b302ef2df4df" hidden="1">#REF!</definedName>
    <definedName name="TB34c2f3fc_9375_4714_986a_e3d7d844e795" hidden="1">#REF!</definedName>
    <definedName name="TB34d02417_baa5_47f8_8609_69eb9a67073d" hidden="1">#REF!</definedName>
    <definedName name="TB34d381ec_d114_434e_8ea3_eef2b6fd6865" hidden="1">#REF!</definedName>
    <definedName name="TB34d4a99b_9acb_45b9_9742_af817f5c340f" hidden="1">#REF!</definedName>
    <definedName name="TB34f2cdca_19d0_4748_a6d8_08c60b293ab6" hidden="1">#REF!</definedName>
    <definedName name="TB34f36659_a343_4ed4_9d71_f70e6113114a" hidden="1">#REF!</definedName>
    <definedName name="TB34f36a12_a4be_4e1a_9e56_bdbcd15528c0" hidden="1">#REF!</definedName>
    <definedName name="TB34f46fad_d360_4297_85e5_2b7e02faa3a5" hidden="1">#REF!</definedName>
    <definedName name="TB34fd20e8_d72f_4e4a_bfde_93a7ddc4f111" hidden="1">#REF!</definedName>
    <definedName name="TB3524398e_3466_4212_9102_37e7f0e1eb25" hidden="1">#REF!</definedName>
    <definedName name="TB3528e5c0_9b98_447b_a2cc_96dee429195d" hidden="1">#REF!</definedName>
    <definedName name="TB352d3f1e_b228_4f27_b84e_02db601239d4" hidden="1">#REF!</definedName>
    <definedName name="TB3536486c_2d02_4a37_a8a6_4ae60e2f773a" hidden="1">#REF!</definedName>
    <definedName name="TB35378275_3a38_46fd_a816_9e3f9cb2f283" hidden="1">#REF!</definedName>
    <definedName name="TB3538c864_6028_44c1_b373_278b97adfd98" hidden="1">#REF!</definedName>
    <definedName name="TB3541eb72_28d5_496b_8f12_f3d33b629c17" hidden="1">#REF!</definedName>
    <definedName name="TB3548b82d_34c3_4e5c_89bc_5aa1fd5a665d" hidden="1">#REF!</definedName>
    <definedName name="TB355911b0_e668_4edc_b3dc_e5bbf76d259e" hidden="1">#REF!</definedName>
    <definedName name="TB355b90f8_cf08_459e_a1db_56c8109c8b3c" hidden="1">#REF!</definedName>
    <definedName name="TB355d99df_ea8e_47c2_bc5a_6090e68e85c4" hidden="1">#REF!</definedName>
    <definedName name="TB35675a92_4e1f_45d0_a0ab_dd2dcb433246" hidden="1">#REF!</definedName>
    <definedName name="TB3570b379_49ab_402b_b37c_970fdf9329e6" hidden="1">#REF!</definedName>
    <definedName name="TB357187f2_1559_4bec_bf77_71f4a4c7a107" hidden="1">#REF!</definedName>
    <definedName name="TB357e1e86_13eb_47b0_b124_7679a24ca0d0" hidden="1">#REF!</definedName>
    <definedName name="TB3599e026_fc9f_44bf_b370_362aa2c83a49" hidden="1">#REF!</definedName>
    <definedName name="TB359aa1d1_90a0_40c6_98ef_152a616bb7e6" hidden="1">#REF!</definedName>
    <definedName name="TB35a00523_c9ad_4a6f_b4f6_cc3409626147" hidden="1">#REF!</definedName>
    <definedName name="TB35a368d3_4fb7_47bf_85b4_101b491c05cd" hidden="1">#REF!</definedName>
    <definedName name="TB35a90f58_33a2_4d86_b70b_e3c076a3f31f" hidden="1">#REF!</definedName>
    <definedName name="TB35aa3572_1c37_4e81_be43_83c2c6e311b3" hidden="1">#REF!</definedName>
    <definedName name="TB35aebd28_4357_454c_bbf4_a15d9a5aeee6" hidden="1">#REF!</definedName>
    <definedName name="TB35bf14bf_7eb0_4cad_bfab_0bd4d43ddebb" hidden="1">#REF!</definedName>
    <definedName name="TB35d5c7e7_502a_490d_a247_5dfb2d73e742" hidden="1">#REF!</definedName>
    <definedName name="TB35dc31af_a9c6_411b_ae93_1e95677177a9" hidden="1">#REF!</definedName>
    <definedName name="TB35e06e89_fe76_430d_bc5f_aefe3974f831" hidden="1">#REF!</definedName>
    <definedName name="TB35ecfe3c_1fc9_41ce_bef1_0d7cef65e176" hidden="1">#REF!</definedName>
    <definedName name="TB35efe617_94f7_414a_8b32_bf742b8598d0" hidden="1">#REF!</definedName>
    <definedName name="TB35ffe4af_be35_482f_be0c_d1ed806682a3" hidden="1">#REF!</definedName>
    <definedName name="TB361cac16_0880_49e2_b83d_467ac70bdd1d" hidden="1">#REF!</definedName>
    <definedName name="TB3625303f_4808_4f90_8602_7a40c31d1f58" hidden="1">#REF!</definedName>
    <definedName name="TB36473ecc_3e92_49d6_919e_bd22ece5b58a" hidden="1">#REF!</definedName>
    <definedName name="TB3649f032_c646_4f21_8ed8_edbee6c58ad6" hidden="1">#REF!</definedName>
    <definedName name="TB36660a25_d02a_4525_828c_259ca129f2ff" hidden="1">#REF!</definedName>
    <definedName name="TB367f3569_ea1e_4800_a399_21459dc0b43a" hidden="1">#REF!</definedName>
    <definedName name="TB36805eb7_a89e_48ac_92ab_e4d3fbde6234" hidden="1">#REF!</definedName>
    <definedName name="TB3688823d_09c9_4585_9367_7cf42b0d98ae" hidden="1">#REF!</definedName>
    <definedName name="TB369bf620_cc61_4135_ae8f_e9fe628d2cab" hidden="1">#REF!</definedName>
    <definedName name="TB36cd23fd_89ca_4d53_93a0_0083dec9a3bc" hidden="1">#REF!</definedName>
    <definedName name="TB36d07f17_081e_4ad4_84c0_65d254903399" hidden="1">#REF!</definedName>
    <definedName name="TB36d0d604_f2d8_4e37_a37e_ff8c93cf6785" hidden="1">#REF!</definedName>
    <definedName name="TB36db9d1a_35b2_4457_b99c_d24c66ddc5dd" hidden="1">#REF!</definedName>
    <definedName name="TB36e07a06_6cee_4f4b_96f2_93f0e34f5950" hidden="1">#REF!</definedName>
    <definedName name="TB36f1b2e4_5a4e_4513_ba76_5230d383e8f5" hidden="1">#REF!</definedName>
    <definedName name="TB3719c246_97b7_40ec_8eac_ba3fde00871f" hidden="1">#REF!</definedName>
    <definedName name="TB371ead7f_0b5e_42ed_81b3_2001e3700d3f" hidden="1">#REF!</definedName>
    <definedName name="TB3726f20d_e217_4177_a9d9_74fc97d42870" hidden="1">#REF!</definedName>
    <definedName name="TB372bb3a1_76f6_400d_a8b6_6e5cca452f13" hidden="1">#REF!</definedName>
    <definedName name="TB3739dca5_fe08_4bec_b1cf_e61dd9c9bf4b" hidden="1">#REF!</definedName>
    <definedName name="TB3743c764_1be7_4861_9a3f_4cc12fe33f24" hidden="1">#REF!</definedName>
    <definedName name="TB3747accd_e570_451f_9b95_a5d59d5efa62" hidden="1">#REF!</definedName>
    <definedName name="TB375f6ac5_4668_4ba4_ae36_07f69b0b1a5f" hidden="1">#REF!</definedName>
    <definedName name="TB376fa0d6_26ab_41bb_9842_53ffd127c380" hidden="1">#REF!</definedName>
    <definedName name="TB3778f155_a7d8_4b0b_a941_ac3ec55757c3" hidden="1">#REF!</definedName>
    <definedName name="TB377f8ba8_7375_47bd_91b1_29c094c0f7b7" hidden="1">#REF!</definedName>
    <definedName name="TB37957e30_6b73_4c2e_86ea_b57c17a721d0" hidden="1">#REF!</definedName>
    <definedName name="TB37a17424_0f4c_48ed_ade2_af1154f88f19" hidden="1">#REF!</definedName>
    <definedName name="TB37a2e441_e05c_4549_9e76_8d954e403f15" hidden="1">#REF!</definedName>
    <definedName name="TB37b7a6fa_34ba_494f_ba3a_b24b5f2116ae" hidden="1">#REF!</definedName>
    <definedName name="TB37c9249e_7086_4c49_9925_91d6f1b6d34a" hidden="1">#REF!</definedName>
    <definedName name="TB37d5206e_d3fd_4d5b_b37d_cf8710ed0ef3" hidden="1">#REF!</definedName>
    <definedName name="TB37d99035_00e2_4343_a48c_a9f197f91efd" hidden="1">#REF!</definedName>
    <definedName name="TB37e29572_f229_42b7_aa56_bde97f763dc7" hidden="1">#REF!</definedName>
    <definedName name="TB37e59619_099b_4eca_8c9a_fadd58bd4065" hidden="1">#REF!</definedName>
    <definedName name="TB37e7e6a8_987f_4d1e_a85f_11b5cd0b24e9" hidden="1">#REF!</definedName>
    <definedName name="TB37f24df9_f7f1_43d3_b4f1_29bee040dc2b" hidden="1">#REF!</definedName>
    <definedName name="TB38030b7f_029e_42bd_9d75_95a407c6ebef" hidden="1">#REF!</definedName>
    <definedName name="TB3807e2e6_16eb_472d_b122_0d274ecf9785" hidden="1">#REF!</definedName>
    <definedName name="TB38219de0_0dd7_42d3_834c_d89cb6081f7f" hidden="1">#REF!</definedName>
    <definedName name="TB38256148_9075_4c33_9a45_568b29964d52" hidden="1">#REF!</definedName>
    <definedName name="TB382b1163_959e_4ee5_a95a_913d8fb8fb7a" hidden="1">#REF!</definedName>
    <definedName name="TB383050f5_dcc6_440a_8efa_c15c076b6cc2" hidden="1">#REF!</definedName>
    <definedName name="TB38332d3a_7b8c_4b07_8835_d935a7d297a2" hidden="1">#REF!</definedName>
    <definedName name="TB3845d9bb_2837_4754_9bd9_21bf88d05ab5" hidden="1">#REF!</definedName>
    <definedName name="TB38489d83_d7f6_418c_9643_9038dbb3f7f6" hidden="1">#REF!</definedName>
    <definedName name="TB384b24a3_a6a1_409e_b44d_7a049bb26b21" hidden="1">#REF!</definedName>
    <definedName name="TB384f6951_d60a_452a_9a04_a37e27a88ab2" hidden="1">#REF!</definedName>
    <definedName name="TB3852ec1e_2850_416e_a62f_45d074ef54b4" hidden="1">#REF!</definedName>
    <definedName name="TB385517c1_ddf5_4d3a_b049_31a1b590ff5f" hidden="1">#REF!</definedName>
    <definedName name="TB385af46b_948c_435d_bb7c_c4c91364f200" hidden="1">#REF!</definedName>
    <definedName name="TB385cdd47_a684_4497_b381_7a39e0b7bcb8" hidden="1">#REF!</definedName>
    <definedName name="TB385cfd7b_196e_4d20_a175_86b8e4b592e9" hidden="1">#REF!</definedName>
    <definedName name="TB3863d9b4_e792_4c5c_86d3_ecaf15102478" hidden="1">#REF!</definedName>
    <definedName name="TB387ae582_2ffe_448a_bed5_abcbf656f13e" hidden="1">#REF!</definedName>
    <definedName name="TB38888c90_24ba_4c04_90eb_8496907c3366" hidden="1">#REF!</definedName>
    <definedName name="TB388b55e7_bff8_4a86_a0fd_4ef79ca7a234" hidden="1">#REF!</definedName>
    <definedName name="TB388d32f7_2d64_4002_a387_1fdd8b9db8eb" hidden="1">#REF!</definedName>
    <definedName name="TB3897480b_ec25_4575_b3cb_00a570f4f168" hidden="1">#REF!</definedName>
    <definedName name="TB38a0b713_22a0_4b33_9794_a3654e7c1f97" hidden="1">#REF!</definedName>
    <definedName name="TB38a41530_af51_40e4_ac8b_693dab379c0f" hidden="1">#REF!</definedName>
    <definedName name="TB38a7bf5c_a3f8_42b2_90be_10ca4a8ac996" hidden="1">#REF!</definedName>
    <definedName name="TB38abf9d2_bef2_46ec_b379_b30118027b83" hidden="1">#REF!</definedName>
    <definedName name="TB38af6fd1_6835_41a1_a134_7793316b0087" hidden="1">#REF!</definedName>
    <definedName name="TB38af8ab0_5200_415b_895f_aec335f3eae8" hidden="1">#REF!</definedName>
    <definedName name="TB38b37116_c9b5_4271_95d2_fc92f0ea0bdf" hidden="1">#REF!</definedName>
    <definedName name="TB38b5ab37_b4fa_4535_985d_5249756f3557" hidden="1">#REF!</definedName>
    <definedName name="TB38b71568_655b_4582_ae30_1dbc7327e42c" hidden="1">#REF!</definedName>
    <definedName name="TB38bd2102_9491_4392_8837_d1fc57aa7e34" hidden="1">#REF!</definedName>
    <definedName name="TB38ce668e_8ad4_4c0b_a8c7_bdf3a54f8d54" hidden="1">#REF!</definedName>
    <definedName name="TB38e13c86_5811_449f_83f4_0671fa31d3cc" hidden="1">#REF!</definedName>
    <definedName name="TB38e98f1a_c010_4fe8_af33_cdbaa9a3b8d1" hidden="1">#REF!</definedName>
    <definedName name="TB38f52788_ad5c_483c_a8df_3b42670f2b80" hidden="1">#REF!</definedName>
    <definedName name="TB38f5eb2f_e634_48f7_9d3d_221b2f6b45de" hidden="1">#REF!</definedName>
    <definedName name="TB38f87697_7536_4bc8_9857_e6365a1cbd41" hidden="1">#REF!</definedName>
    <definedName name="TB38f8fbe6_b35c_4609_8291_8b40d8034e90" hidden="1">#REF!</definedName>
    <definedName name="TB38faeecc_7331_40ab_acff_2b631d71ffa9" hidden="1">#REF!</definedName>
    <definedName name="TB38fdc26e_4c63_4a03_97ba_8248fe4e72e1" hidden="1">#REF!</definedName>
    <definedName name="TB391a4794_b696_4491_a76c_d7462ec32981" hidden="1">#REF!</definedName>
    <definedName name="TB3927ca75_5dad_46d0_9e24_39e12f5ec2cc" hidden="1">#REF!</definedName>
    <definedName name="TB3932ca8c_e93b_4496_be28_bdbebdea0775" hidden="1">#REF!</definedName>
    <definedName name="TB3936f72e_c522_4584_97ea_94a0042141f5" hidden="1">#REF!</definedName>
    <definedName name="TB3938038b_89c4_451c_9d05_b9bbd6d42df2" hidden="1">#REF!</definedName>
    <definedName name="TB393b9044_06ff_4b42_9d7c_7e877f0a7c28" hidden="1">#REF!</definedName>
    <definedName name="TB39442a70_317e_4764_bc30_ea881b9766a3" hidden="1">#REF!</definedName>
    <definedName name="TB39451bd7_056a_4d92_a065_cc74fe7fc727" hidden="1">#REF!</definedName>
    <definedName name="TB394e74ed_bfa2_49b9_88cc_f690add100d1" hidden="1">#REF!</definedName>
    <definedName name="TB39522fba_3976_4f5f_b087_3bd15c5f08e2" hidden="1">#REF!</definedName>
    <definedName name="TB395abf71_2a0f_4341_b769_71e2855ab3cf" hidden="1">#REF!</definedName>
    <definedName name="TB396de003_b2ce_43b7_8450_7a038aaf65ca" hidden="1">#REF!</definedName>
    <definedName name="TB39832097_80ec_4bca_83b5_94a8eb2f5c9f" hidden="1">#REF!</definedName>
    <definedName name="TB3996467e_7731_4f4b_bc9b_05b988ab77be" hidden="1">#REF!</definedName>
    <definedName name="TB39a04d7b_724d_402a_a3c3_601f8503e578" hidden="1">#REF!</definedName>
    <definedName name="TB39a14b94_0f7d_4fbd_b645_7d76ff65f2c2" hidden="1">#REF!</definedName>
    <definedName name="TB39b22c8c_e9e3_44e8_95e7_98ecf78e8940" hidden="1">#REF!</definedName>
    <definedName name="TB39c4f122_baa4_48ef_8a45_379e9dab0a3a" hidden="1">#REF!</definedName>
    <definedName name="TB39d673cd_fd4c_4ec8_9154_9e6bde359e3c" hidden="1">#REF!</definedName>
    <definedName name="TB39dc9f7f_22cd_45a0_b8d6_8eb1b30ac1ee" hidden="1">#REF!</definedName>
    <definedName name="TB39e529d4_eb5f_4716_9aaf_540d6d5c8214" hidden="1">#REF!</definedName>
    <definedName name="TB39e87fee_abe0_45d1_b2dd_2ee5021a24ce" hidden="1">#REF!</definedName>
    <definedName name="TB39f0470e_6be9_4040_9782_4f8ef94f7858" hidden="1">#REF!</definedName>
    <definedName name="TB39f17f6f_d0b3_420d_b6e3_80379cc17722" hidden="1">#REF!</definedName>
    <definedName name="TB39f18127_aa7d_4cde_a003_957f6f0f6b0a" hidden="1">#REF!</definedName>
    <definedName name="TB3a0a39ed_0917_499e_9979_c0427553173c" hidden="1">#REF!</definedName>
    <definedName name="TB3a0acd78_a756_4694_9ddb_4583997ae06c" hidden="1">#REF!</definedName>
    <definedName name="TB3a0ae3d8_265f_4311_8c9a_49c0f1de765a" hidden="1">#REF!</definedName>
    <definedName name="TB3a3e1af9_afb2_4c13_bd37_8034e45b3f01" hidden="1">#REF!</definedName>
    <definedName name="TB3a427ee6_5026_418a_91e3_c4d9a7706301" hidden="1">#REF!</definedName>
    <definedName name="TB3a4932c6_b8e3_4b10_9e49_ea40774c6ed3" hidden="1">#REF!</definedName>
    <definedName name="TB3a629bdd_9819_4a87_953a_6d1d368f5ff5" hidden="1">#REF!</definedName>
    <definedName name="TB3a76626b_5d15_412c_8a81_b7c03ec027b8" hidden="1">#REF!</definedName>
    <definedName name="TB3a7ade0f_feef_4d92_88eb_c4cb86c4a7f4" hidden="1">#REF!</definedName>
    <definedName name="TB3a8826c3_de2a_495b_b78e_c79ec4b3c2fc" hidden="1">#REF!</definedName>
    <definedName name="TB3a88d08e_e040_4a31_8e42_fd1a91da04a6" hidden="1">#REF!</definedName>
    <definedName name="TB3a8a0427_1227_49b5_96ea_1005f1557223" hidden="1">#REF!</definedName>
    <definedName name="TB3a8e635e_3a86_4f12_ac43_60c198deeafe" hidden="1">#REF!</definedName>
    <definedName name="TB3aa06f26_09ce_4bb2_baf8_34fc684fe004" hidden="1">#REF!</definedName>
    <definedName name="TB3aaed0ee_5cde_47c8_9e16_5dc8f2b34e56" hidden="1">#REF!</definedName>
    <definedName name="TB3ab693d8_8504_4d6a_a247_0d15a0904a55" hidden="1">#REF!</definedName>
    <definedName name="TB3ab78bbf_d138_4003_b625_080f5dc08b61" hidden="1">#REF!</definedName>
    <definedName name="TB3ab93502_ba07_495b_8b3f_ee1b7acbfb47" hidden="1">#REF!</definedName>
    <definedName name="TB3aba91fa_636e_4345_a376_51df72d28c54" hidden="1">#REF!</definedName>
    <definedName name="TB3ad3e1f3_c6d7_4c26_96a9_e6a3cb0b2c60" hidden="1">#REF!</definedName>
    <definedName name="TB3adcf2f3_2d91_491c_9f92_0ce2ebf1e69f" hidden="1">#REF!</definedName>
    <definedName name="TB3ae05d65_53c7_40c8_bf73_4e5b3a7e179a" hidden="1">#REF!</definedName>
    <definedName name="TB3ae61c2f_a980_4dce_98f4_93f97c83e5b7" hidden="1">#REF!</definedName>
    <definedName name="TB3aef92ba_6ee3_4e05_a02f_5f946d81d107" hidden="1">#REF!</definedName>
    <definedName name="TB3afa9dab_f0d0_442d_afd5_8b48434aa640" hidden="1">#REF!</definedName>
    <definedName name="TB3b0324f3_6daf_44d6_bcc2_45623ce0c6b7" hidden="1">#REF!</definedName>
    <definedName name="TB3b071622_9fd5_47d7_bd2c_f35fb0b79859" hidden="1">#REF!</definedName>
    <definedName name="TB3b0e311c_d5af_4487_a5c9_8a48331acf13" hidden="1">#REF!</definedName>
    <definedName name="TB3b0e3274_e450_4cf4_9327_0164117da5c3" hidden="1">#REF!</definedName>
    <definedName name="TB3b151437_366a_4611_b8af_2cc2161915bb" hidden="1">#REF!</definedName>
    <definedName name="TB3b289a5c_0c22_4631_b017_7ec5827ecc5e" hidden="1">#REF!</definedName>
    <definedName name="TB3b2a5512_886e_4855_962c_96d332cfa240" hidden="1">#REF!</definedName>
    <definedName name="TB3b2ba1fa_6902_488d_98d0_27244ad3c620" hidden="1">#REF!</definedName>
    <definedName name="TB3b2e2e67_7b6c_491c_9028_504b11883942" hidden="1">#REF!</definedName>
    <definedName name="TB3b3fac0f_4afd_43ad_8625_7af41b55906a" hidden="1">#REF!</definedName>
    <definedName name="TB3b4011e0_2bcf_41a4_962d_dd06372a8543" hidden="1">#REF!</definedName>
    <definedName name="TB3b470d39_8722_466e_ab8c_835e0c7d0b3d" hidden="1">#REF!</definedName>
    <definedName name="TB3b47924f_054b_4235_9505_6793ec18d8db" hidden="1">#REF!</definedName>
    <definedName name="TB3b5f416f_7ccb_4043_9a8c_2fd08ab10cef" hidden="1">#REF!</definedName>
    <definedName name="TB3b6fb9da_71dd_478b_aa5b_840a065b79a8" hidden="1">#REF!</definedName>
    <definedName name="TB3b7b452b_2aa9_48f3_86b7_2f952b32e7aa" hidden="1">#REF!</definedName>
    <definedName name="TB3b82082a_fdc4_45dd_9d27_9514a7d6b6a1" hidden="1">#REF!</definedName>
    <definedName name="TB3b97aa94_0176_4024_b37c_7e193a83bf1b" hidden="1">#REF!</definedName>
    <definedName name="TB3ba76af5_e582_48dc_adcc_7b52b66f88e0" hidden="1">#REF!</definedName>
    <definedName name="TB3bc8c726_f43d_40dd_ba31_bbb5975efcf0" hidden="1">#REF!</definedName>
    <definedName name="TB3bca9964_43d8_4602_a271_f6327994437d" hidden="1">#REF!</definedName>
    <definedName name="TB3bcb7fbb_8806_4f79_9640_de46699fd02f" hidden="1">#REF!</definedName>
    <definedName name="TB3bd69113_97fc_4215_afda_ee59ae44fec1" hidden="1">#REF!</definedName>
    <definedName name="TB3bdf2dcd_527b_44f4_8e02_a730df41dff1" hidden="1">#REF!</definedName>
    <definedName name="TB3be38c56_023e_481f_a6f1_50807b020d07" hidden="1">#REF!</definedName>
    <definedName name="TB3bea1af7_0194_46bc_9c1e_c378f8649307" hidden="1">#REF!</definedName>
    <definedName name="TB3bea576b_d602_466b_b545_42a7ce4a0bec" hidden="1">#REF!</definedName>
    <definedName name="TB3c05fed5_649b_4ea1_a537_7fc87da99658" hidden="1">#REF!</definedName>
    <definedName name="TB3c18e867_4628_4854_ba14_5afcd7f43d32" hidden="1">#REF!</definedName>
    <definedName name="TB3c20dc43_3ef7_4fa6_b12b_cff1b213acce" hidden="1">#REF!</definedName>
    <definedName name="TB3c3930f8_d333_4f35_b192_66bcc5b69d22" hidden="1">#REF!</definedName>
    <definedName name="TB3c3be773_c7e8_4eb6_baf1_0ff2b1b0d6d8" hidden="1">#REF!</definedName>
    <definedName name="TB3c411a4b_5136_40c9_a6eb_2c3945842a60" hidden="1">#REF!</definedName>
    <definedName name="TB3c41499c_43ca_4924_8a9d_b673fe300e08" hidden="1">#REF!</definedName>
    <definedName name="TB3c4169dc_c34b_4b44_8ecb_2a9ffad301fe" hidden="1">#REF!</definedName>
    <definedName name="TB3c517376_8013_4fd0_b350_fe095daf9000" hidden="1">#REF!</definedName>
    <definedName name="TB3c720e85_5a1b_420a_90fa_11a756002d90" hidden="1">#REF!</definedName>
    <definedName name="TB3c912a6c_b909_4f43_a37f_ce4b47d40343" hidden="1">#REF!</definedName>
    <definedName name="TB3c9181f8_3c28_4e53_80da_6f573d1c5e7b" hidden="1">#REF!</definedName>
    <definedName name="TB3c99f687_f5ee_4ac2_96ee_d202c0bc00d6" hidden="1">#REF!</definedName>
    <definedName name="TB3cac5fc3_298b_465a_8faf_9c50df374520" hidden="1">#REF!</definedName>
    <definedName name="TB3cb3d470_5a5b_405f_a478_eb08c702f214" hidden="1">#REF!</definedName>
    <definedName name="TB3cb4a134_1243_4ec0_b41b_203abe89e9ba" hidden="1">#REF!</definedName>
    <definedName name="TB3cb8120f_1764_4229_883a_306d8dc9d93a" hidden="1">#REF!</definedName>
    <definedName name="TB3cdc5ee2_fb4a_4521_a859_3c1990b6bca0" hidden="1">#REF!</definedName>
    <definedName name="TB3cedb702_f6ad_441b_9bb2_bcdfb4b066a0" hidden="1">#REF!</definedName>
    <definedName name="TB3cef8bcb_b11c_470a_803c_f9c526572178" hidden="1">#REF!</definedName>
    <definedName name="TB3cf06476_ff75_4a19_b7a2_553917c3891e" hidden="1">#REF!</definedName>
    <definedName name="TB3cfd6234_68a3_43f1_aec1_4dc75ae508a5" hidden="1">#REF!</definedName>
    <definedName name="TB3d0099a1_eb57_4c15_80dd_dd4f116badab" hidden="1">#REF!</definedName>
    <definedName name="TB3d00cad9_fb6f_4cf8_82a8_ac61c580af2d" hidden="1">#REF!</definedName>
    <definedName name="TB3d11f449_2763_4b8f_bc05_01c75b8c130d" hidden="1">#REF!</definedName>
    <definedName name="TB3d16bb49_5c74_4627_9dba_f2c03fe7da4c" hidden="1">#REF!</definedName>
    <definedName name="TB3d21ac7f_06ca_4ebf_a579_2d0aa9beeaab" hidden="1">#REF!</definedName>
    <definedName name="TB3d33a601_b766_49da_ba84_85f4d686e0c7" hidden="1">#REF!</definedName>
    <definedName name="TB3d3d4a83_5e6b_498d_a645_886b8f1036ad" hidden="1">#REF!</definedName>
    <definedName name="TB3d45b221_7f13_4139_921b_9fd758b030d3" hidden="1">#REF!</definedName>
    <definedName name="TB3d4a7073_af21_4a82_9d8c_1aad5be4f456" hidden="1">#REF!</definedName>
    <definedName name="TB3d51ce70_85ea_4dab_81e5_a071407be576" hidden="1">#REF!</definedName>
    <definedName name="TB3d528ce4_f96c_4de8_a7bd_4626b5e355eb" hidden="1">#REF!</definedName>
    <definedName name="TB3d53220e_24f1_452c_866c_87eed6ad89e2" hidden="1">#REF!</definedName>
    <definedName name="TB3d5a5c41_d2ab_4365_89a7_7ca4ade1cd66" hidden="1">#REF!</definedName>
    <definedName name="TB3d5bcc75_27ac_4ef4_8da9_06a301b6635d" hidden="1">#REF!</definedName>
    <definedName name="TB3d605cc7_cfc3_4b5d_8ff3_3f9faf1a9e5c" hidden="1">#REF!</definedName>
    <definedName name="TB3d613937_7571_42af_9772_bdd77e5408c1" hidden="1">#REF!</definedName>
    <definedName name="TB3d668801_bcb6_4686_8c04_6fa551f14d50" hidden="1">#REF!</definedName>
    <definedName name="TB3d700eab_814d_4a3b_a80d_a09b01504b06" hidden="1">#REF!</definedName>
    <definedName name="TB3d70d5d1_25d1_4d8e_b037_d20dce6361b4" hidden="1">#REF!</definedName>
    <definedName name="TB3d70e819_a31b_4f33_8e1e_1371ce238dc9" hidden="1">#REF!</definedName>
    <definedName name="TB3d7bb1e8_f272_46fb_8dea_e4b315b271d5" hidden="1">#REF!</definedName>
    <definedName name="TB3d7ec85b_6ed4_4543_8d38_0a54f5d767f9" hidden="1">#REF!</definedName>
    <definedName name="TB3d8ada2e_4ce1_4623_9b3b_4282075a1a46" hidden="1">#REF!</definedName>
    <definedName name="TB3d92f38f_e73d_4d77_9303_d6a8aaac5d83" hidden="1">#REF!</definedName>
    <definedName name="TB3d945d4e_085e_4db3_85cd_bdb1de0f1c7a" hidden="1">#REF!</definedName>
    <definedName name="TB3da6763f_2cf3_48a1_adc6_c2670b2c28c6" hidden="1">#REF!</definedName>
    <definedName name="TB3daa7d72_d052_402e_9b06_c24fc91f50d4" hidden="1">#REF!</definedName>
    <definedName name="TB3db6c626_b1c7_4270_8848_3d0fce2e2790" hidden="1">#REF!</definedName>
    <definedName name="TB3dba096d_494b_48a6_844b_89d49e455ab6" hidden="1">#REF!</definedName>
    <definedName name="TB3dc86f0f_d67c_41c8_90a2_f2ba6e108ad2" hidden="1">#REF!</definedName>
    <definedName name="TB3dd7cf37_add7_4929_a396_62b38bfede2a" hidden="1">#REF!</definedName>
    <definedName name="TB3ddb6e2c_e4c5_4e4e_a820_e22d95e33cf3" hidden="1">#REF!</definedName>
    <definedName name="TB3debd1f3_2a61_4b27_870e_e733a5803015" hidden="1">#REF!</definedName>
    <definedName name="TB3ded98c8_ff4a_4097_8da2_21814b8506fd" hidden="1">#REF!</definedName>
    <definedName name="TB3dedeec6_ab4c_4996_8a32_a931ca05fee3" hidden="1">#REF!</definedName>
    <definedName name="TB3def4e1b_7eab_4025_a335_6297c249d658" hidden="1">#REF!</definedName>
    <definedName name="TB3df6de06_708b_4d83_b814_9069de33b237" hidden="1">#REF!</definedName>
    <definedName name="TB3e0dca39_e56a_49ab_8800_a3d67969c59e" hidden="1">#REF!</definedName>
    <definedName name="TB3e1505d5_cfbc_4f0f_b311_0a273fcb9588" hidden="1">#REF!</definedName>
    <definedName name="TB3e150ec4_bd12_4cdc_88d1_483adf5904bf" hidden="1">#REF!</definedName>
    <definedName name="TB3e1f7ed7_d5a6_41d3_9eea_ee6cd6f2a35b" hidden="1">#REF!</definedName>
    <definedName name="TB3e238ff2_b740_4c27_90b1_c8dd0a010ac6" hidden="1">#REF!</definedName>
    <definedName name="TB3e243935_9b99_4471_97bf_2d2dbfacbd81" hidden="1">#REF!</definedName>
    <definedName name="TB3e2b8865_ae1a_4264_a4f9_67791a8f5981" hidden="1">#REF!</definedName>
    <definedName name="TB3e303a32_d1e2_4251_80f2_17888804ab49" hidden="1">#REF!</definedName>
    <definedName name="TB3e3a3c3f_febb_44db_9963_d9deed6e4b03" hidden="1">#REF!</definedName>
    <definedName name="TB3e3e8be9_b839_46d9_8d01_81fe0e92cf5c" hidden="1">#REF!</definedName>
    <definedName name="TB3e483caf_f926_48a0_857f_31b188f737cd" hidden="1">#REF!</definedName>
    <definedName name="TB3e5ecb4a_4626_4a63_aaa5_e7250cd0637e" hidden="1">#REF!</definedName>
    <definedName name="TB3e6688f0_1c54_4709_8523_ceb8791c1d6b" hidden="1">#REF!</definedName>
    <definedName name="TB3e7d375b_3f07_469a_8099_68cf9fd9c5d0" hidden="1">#REF!</definedName>
    <definedName name="TB3e7d4f9a_2925_41c8_8a8c_917c28d073a2" hidden="1">#REF!</definedName>
    <definedName name="TB3e8294f3_1931_4d07_9771_571e130e5079" hidden="1">#REF!</definedName>
    <definedName name="TB3e852de5_c5bc_482a_bf2a_e57c6fbb8e8c" hidden="1">#REF!</definedName>
    <definedName name="TB3e8901f9_110f_4170_9f7d_75f299a70ad5" hidden="1">#REF!</definedName>
    <definedName name="TB3eb3c683_59af_44f5_aa77_698c4c94f886" hidden="1">#REF!</definedName>
    <definedName name="TB3ec212a8_03eb_4500_834c_2fe8e74386ea" hidden="1">#REF!</definedName>
    <definedName name="TB3ec7ee58_30d9_4ed2_9e09_b1ed17e84f06" hidden="1">#REF!</definedName>
    <definedName name="TB3ecbe415_a548_49da_b573_36a65b89038c" hidden="1">#REF!</definedName>
    <definedName name="TB3eeb72fb_2df5_4bf3_9258_af3d948126cd" hidden="1">#REF!</definedName>
    <definedName name="TB3ef6aaba_1f0d_4d70_90dc_8e9625bbd272" hidden="1">#REF!</definedName>
    <definedName name="TB3f02ee76_34f0_4150_8830_7a283e84426e" hidden="1">#REF!</definedName>
    <definedName name="TB3f270a71_7c4f_4ae2_88ba_32fd0dd35ed1" hidden="1">#REF!</definedName>
    <definedName name="TB3f3868ca_8f89_4015_b0d0_421985700b1b" hidden="1">#REF!</definedName>
    <definedName name="TB3f44c336_0613_42ec_ab22_01505d033413" hidden="1">#REF!</definedName>
    <definedName name="TB3f4960b0_4932_4d68_a594_23060a721965" hidden="1">#REF!</definedName>
    <definedName name="TB3f65099f_d80a_4fd5_bfd8_4e6e689c939a" hidden="1">#REF!</definedName>
    <definedName name="TB3f7be376_8e02_4e25_bdf6_573dba7b1304" hidden="1">#REF!</definedName>
    <definedName name="TB3f7fc7d3_6196_4e9e_a5d9_e270df46ff7c" hidden="1">#REF!</definedName>
    <definedName name="TB3f7fe51b_c6f6_4dbc_88dc_cd57af4bf513" hidden="1">#REF!</definedName>
    <definedName name="TB3f9d87af_be91_4097_9e37_b707ba9a088d" hidden="1">#REF!</definedName>
    <definedName name="TB3faad13d_d70e_4344_b9cf_2262ec1d5c0e" hidden="1">#REF!</definedName>
    <definedName name="TB3fbcd193_b8e1_4232_bc65_88259ab58a0c" hidden="1">#REF!</definedName>
    <definedName name="TB3fbf4e9c_f697_45bb_9f23_43582060d3a7" hidden="1">#REF!</definedName>
    <definedName name="TB3fbff4a2_879b_475a_8871_f2abc7ec5c2e" hidden="1">#REF!</definedName>
    <definedName name="TB3fc81cce_c04c_4e2b_9911_1630770c33eb" hidden="1">#REF!</definedName>
    <definedName name="TB3fd09ac2_fd84_4705_a36c_dae793ffd285" hidden="1">#REF!</definedName>
    <definedName name="TB3fd31b13_7c3a_4cc5_a0cb_72fc75d6b1f5" hidden="1">#REF!</definedName>
    <definedName name="TB3fd78374_011f_43e9_9c21_b490d08a6f6b" hidden="1">#REF!</definedName>
    <definedName name="TB3fe3d666_42b1_4750_9dca_ae8470870e6d" hidden="1">#REF!</definedName>
    <definedName name="TB3ffc437e_79d1_4335_a8d6_a6cfa68dbd98" hidden="1">#REF!</definedName>
    <definedName name="TB400a1830_db6b_43a4_8806_cdf5a9959ab7" hidden="1">#REF!</definedName>
    <definedName name="TB400c0a8d_b837_4a8f_b920_3751c775daf8" hidden="1">#REF!</definedName>
    <definedName name="TB403829d4_8d19_421f_970d_4aa78d65c914" hidden="1">#REF!</definedName>
    <definedName name="TB403e5ed0_ab49_4fbf_bbf3_871605c8f4aa" hidden="1">#REF!</definedName>
    <definedName name="TB404b636b_5e54_460b_b274_221dbb16b77f" hidden="1">#REF!</definedName>
    <definedName name="TB406a753b_0920_4a12_abb3_aea3c08eb81d" hidden="1">#REF!</definedName>
    <definedName name="TB407cd3aa_0844_4873_a1de_6ee4712b3295" hidden="1">#REF!</definedName>
    <definedName name="TB40889bdf_c529_43ef_8dd9_ce8bf7275cd9" hidden="1">#REF!</definedName>
    <definedName name="TB4099067b_63ba_47a6_a852_2ae6789d4c5d" hidden="1">#REF!</definedName>
    <definedName name="TB40b11365_5970_48dd_946e_8c7b41d4a6a8" hidden="1">#REF!</definedName>
    <definedName name="TB40c140b4_4681_40c7_b81c_0f5721f42509" hidden="1">#REF!</definedName>
    <definedName name="TB40c25469_a6e6_41df_ba2d_016b40567c5e" hidden="1">#REF!</definedName>
    <definedName name="TB40c74364_cf62_4d72_98f3_cd9b222d993e" hidden="1">#REF!</definedName>
    <definedName name="TB40ca51e3_ed08_4441_bd27_c42f022d4a7f" hidden="1">#REF!</definedName>
    <definedName name="TB40d3a511_9d9e_45a8_988c_2357ff9abe8b" hidden="1">#REF!</definedName>
    <definedName name="TB40dd7ad9_8615_454e_a5e4_0e88cb9307b5" hidden="1">#REF!</definedName>
    <definedName name="TB40ddb30c_fd54_4a93_bf0d_b5d90aff47d0" hidden="1">#REF!</definedName>
    <definedName name="TB40e7ff1c_3990_4331_a38c_8ee0f4ef505e" hidden="1">#REF!</definedName>
    <definedName name="TB40f1b2ff_56dd_485a_ad6f_0e55e8a6c378" hidden="1">#REF!</definedName>
    <definedName name="TB40ffae5e_213e_49a9_b990_1885891a2479" hidden="1">#REF!</definedName>
    <definedName name="TB410c9d5a_3a01_4ae5_ba67_61980da3cf95" hidden="1">#REF!</definedName>
    <definedName name="TB4116bc96_5a30_48fa_85f6_6d1912e0ef0f" hidden="1">#REF!</definedName>
    <definedName name="TB41176f38_e2cb_4318_961b_cb876cde1668" hidden="1">#REF!</definedName>
    <definedName name="TB41256d5c_4dea_4e40_ade2_934ef81e63d7" hidden="1">#REF!</definedName>
    <definedName name="TB4130f68c_3820_4e37_aaea_33233ff55f00" hidden="1">#REF!</definedName>
    <definedName name="TB413da234_53b5_44ea_aa1b_49853e309735" hidden="1">#REF!</definedName>
    <definedName name="TB4148f9c9_0584_4bdc_b103_bf82bf5c3916" hidden="1">#REF!</definedName>
    <definedName name="TB41516179_3633_4f99_ac5f_820535eefcab" hidden="1">#REF!</definedName>
    <definedName name="TB41554f0b_6612_43c0_ad9f_a8089850df48" hidden="1">#REF!</definedName>
    <definedName name="TB416637c2_8321_4426_935e_3bfda8bda9ec" hidden="1">#REF!</definedName>
    <definedName name="TB416d5fe2_3f4b_4797_8b6d_bd067f28e4a6" hidden="1">#REF!</definedName>
    <definedName name="TB4173c22b_4a0a_4b33_8e97_15ab7074c5fd" hidden="1">#REF!</definedName>
    <definedName name="TB41779073_780e_406c_af68_1d8aa4366d6d" hidden="1">#REF!</definedName>
    <definedName name="TB417c02ac_6731_4ccd_bd6f_988cfb48f872" hidden="1">#REF!</definedName>
    <definedName name="TB41846b55_0365_4c59_92cd_b56065620bf6" hidden="1">#REF!</definedName>
    <definedName name="TB4188a018_eba9_4260_b638_74043e8b05b6" hidden="1">#REF!</definedName>
    <definedName name="TB4189da64_cf96_468a_8aaf_73ce8068530a" hidden="1">#REF!</definedName>
    <definedName name="TB41916a3c_c472_46a4_82ac_367e0ae71691" hidden="1">#REF!</definedName>
    <definedName name="TB41939cac_bd5c_4952_a712_aa166849db83" hidden="1">#REF!</definedName>
    <definedName name="TB4198636d_d8c7_4792_be73_dfa2ad8b8360" hidden="1">#REF!</definedName>
    <definedName name="TB419b5ede_6fc0_45c3_ab34_ff2a222eab11" hidden="1">#REF!</definedName>
    <definedName name="TB41b04e37_c35f_4e6c_81d9_89b8ff3b536f" hidden="1">#REF!</definedName>
    <definedName name="TB41b2c081_df1b_410a_ac51_cee1df797f75" hidden="1">#REF!</definedName>
    <definedName name="TB41b5b89d_3192_4502_9388_c553eb260ddf" hidden="1">#REF!</definedName>
    <definedName name="TB41b644e6_fba4_4af0_93cc_a2a5c133a89b" hidden="1">#REF!</definedName>
    <definedName name="TB41c4f826_870a_42f2_9b6b_090db0c800c2" hidden="1">#REF!</definedName>
    <definedName name="TB41cc6709_e408_44a3_97c6_10e98df35570" hidden="1">#REF!</definedName>
    <definedName name="TB41d5cb99_5814_4565_a094_cc3e6b88e878" hidden="1">#REF!</definedName>
    <definedName name="TB41daf61b_a723_4f81_b76a_e17865781974" hidden="1">#REF!</definedName>
    <definedName name="TB41e7e305_68b2_4570_902c_dcd4cb61f68a" hidden="1">#REF!</definedName>
    <definedName name="TB41ec34ef_63fc_4b28_8606_14ba71767b26" hidden="1">#REF!</definedName>
    <definedName name="TB420d87f1_9aa4_483e_9f51_441a4ba72f8f" hidden="1">#REF!</definedName>
    <definedName name="TB422cfcb1_2ffb_4d4f_9863_85525a873b70" hidden="1">#REF!</definedName>
    <definedName name="TB42304bf5_e2b9_4043_8974_1aedd96680e8" hidden="1">#REF!</definedName>
    <definedName name="TB423cfe36_67f7_44d0_bf59_ab2ad2976c33" hidden="1">#REF!</definedName>
    <definedName name="TB424354cf_9a78_4e09_a93e_c32e8ecf0315" hidden="1">#REF!</definedName>
    <definedName name="TB4246a417_2345_4fd3_9d72_468e81c1fec6" hidden="1">#REF!</definedName>
    <definedName name="TB4248a372_9dfe_4e4b_b76f_fec854856e55" hidden="1">#REF!</definedName>
    <definedName name="TB4249d20c_5302_4d41_92b8_a34108aa95a8" hidden="1">#REF!</definedName>
    <definedName name="TB424bb574_2a11_462e_9b1a_2bbd536680aa" hidden="1">#REF!</definedName>
    <definedName name="TB424caf10_9eba_4fe5_b99b_883ec092bc39" hidden="1">#REF!</definedName>
    <definedName name="TB42528916_62f2_4cfd_91a2_1d6612783b6d" hidden="1">#REF!</definedName>
    <definedName name="TB425a458b_c58e_47a2_a5a6_f8130bc359bf" hidden="1">#REF!</definedName>
    <definedName name="TB425be723_7a47_475c_ac30_4f1e468d93c7" hidden="1">#REF!</definedName>
    <definedName name="TB42605d3e_94c4_431d_8f29_81306105a26f" hidden="1">#REF!</definedName>
    <definedName name="TB4262f61c_14a7_4db2_84aa_0a3ed3d92212" hidden="1">#REF!</definedName>
    <definedName name="TB428fd6c7_7ac7_438a_9e82_b413513a42f3" hidden="1">#REF!</definedName>
    <definedName name="TB429661de_77aa_4496_b767_da2d434ebb03" hidden="1">#REF!</definedName>
    <definedName name="TB42a30962_d06a_4ab3_8749_16c72fc37a02" hidden="1">#REF!</definedName>
    <definedName name="TB42b8275c_61dc_4e73_90ae_66b843a3c40a" hidden="1">#REF!</definedName>
    <definedName name="TB42c768d8_9e6e_4185_99b7_e2e6f46c212a" hidden="1">#REF!</definedName>
    <definedName name="TB42d86553_cd2e_4ec0_9b1c_98dfa4b939cb" hidden="1">#REF!</definedName>
    <definedName name="TB42f14f7e_e049_45b1_b2d7_61dbcf02a7c3" hidden="1">#REF!</definedName>
    <definedName name="TB42f63fbc_9f02_48a2_b5f4_3439d211eb2d" hidden="1">#REF!</definedName>
    <definedName name="TB430b5b5a_8dd8_43ea_b21d_833dda687383" hidden="1">#REF!</definedName>
    <definedName name="TB4319051d_2d3b_4528_8af6_4c30bbcef2dc" hidden="1">#REF!</definedName>
    <definedName name="TB431ece1d_0bbf_4609_b234_1cc02d2063c0" hidden="1">#REF!</definedName>
    <definedName name="TB431fe56c_19b3_45c1_91d5_c94f19c5076b" hidden="1">#REF!</definedName>
    <definedName name="TB432cd717_e67f_4297_9b79_3115f271412e" hidden="1">#REF!</definedName>
    <definedName name="TB433f56d4_7c00_48ca_8c62_99ef0b5fda68" hidden="1">#REF!</definedName>
    <definedName name="TB4342b9f7_56f2_431e_8d5d_8f13344dbb47" hidden="1">#REF!</definedName>
    <definedName name="TB43501c97_7997_4b47_9ea8_61939da843fe" hidden="1">#REF!</definedName>
    <definedName name="TB4351d6fc_0634_4a3c_8a35_73283210e94b" hidden="1">#REF!</definedName>
    <definedName name="TB43593376_5e0d_4f7e_b485_b1b8e070256c" hidden="1">#REF!</definedName>
    <definedName name="TB435d14d4_574c_4684_bc00_af5ec3d18574" hidden="1">#REF!</definedName>
    <definedName name="TB43658619_290f_4817_93a7_fb3546f33fa5" hidden="1">#REF!</definedName>
    <definedName name="TB437b17b6_4602_4f4c_a323_9539b51bc2b0" hidden="1">#REF!</definedName>
    <definedName name="TB4384fdf6_964d_487d_b38f_66b56008052f" hidden="1">#REF!</definedName>
    <definedName name="TB4397747b_2c24_4c52_a2e1_3176ea8ea809" hidden="1">#REF!</definedName>
    <definedName name="TB439f2785_4b0f_46da_a07c_67eac5b4cdf5" hidden="1">#REF!</definedName>
    <definedName name="TB43a4a958_9757_49fd_a193_bd1fa188e74f" hidden="1">#REF!</definedName>
    <definedName name="TB43bb2b15_3ed5_499c_88aa_9e49d0bba3c8" hidden="1">#REF!</definedName>
    <definedName name="TB43cdee11_5e29_42df_85a0_5d4527c42aa8" hidden="1">#REF!</definedName>
    <definedName name="TB43edcb21_f489_4dcc_9459_70c27d8fbdb9" hidden="1">#REF!</definedName>
    <definedName name="TB43f1f375_905f_4930_b356_21a432bcaadd" hidden="1">#REF!</definedName>
    <definedName name="TB43f7adab_b4fb_4578_9886_18b7ac1a690f" hidden="1">#REF!</definedName>
    <definedName name="TB4402f92a_9aec_457a_a7f9_6704b0823a9c" hidden="1">#REF!</definedName>
    <definedName name="TB44036afa_0ea2_4502_bf2c_8ccc05d8f372" hidden="1">#REF!</definedName>
    <definedName name="TB4411448d_6316_49be_a62f_897765039b9a" hidden="1">#REF!</definedName>
    <definedName name="TB44132a6b_d84f_4973_9a16_353428111bad" hidden="1">#REF!</definedName>
    <definedName name="TB4421e86f_d71c_4d29_ac35_2a5ae86aa5a9" hidden="1">#REF!</definedName>
    <definedName name="TB442583c4_c6c1_41b9_b2e2_320477bedd91" hidden="1">#REF!</definedName>
    <definedName name="TB442a01a6_0a7f_4b88_a427_28219a132c69" hidden="1">#REF!</definedName>
    <definedName name="TB442c0222_200b_4817_bc82_f7f271b23b5b" hidden="1">#REF!</definedName>
    <definedName name="TB442c7578_b16c_4771_a907_aa78c1ed534d" hidden="1">#REF!</definedName>
    <definedName name="TB442f5086_27d7_47b7_9ac6_13b84c7fa445" hidden="1">#REF!</definedName>
    <definedName name="TB443bb1e8_d7b0_44e6_8fe9_8821020d6d61" hidden="1">#REF!</definedName>
    <definedName name="TB443d821b_a576_4e8d_8b74_d79e52e59c25" hidden="1">#REF!</definedName>
    <definedName name="TB445b1481_9272_45dd_8a76_26cac55c8bb2" hidden="1">#REF!</definedName>
    <definedName name="TB4468e1ff_de2e_4e12_bee2_d38af267bfd6" hidden="1">#REF!</definedName>
    <definedName name="TB4470aac6_add1_4c60_b383_7568e2c16d06" hidden="1">#REF!</definedName>
    <definedName name="TB4476a249_0131_463b_baaa_84619646a1ef" hidden="1">#REF!</definedName>
    <definedName name="TB447f6698_bfcd_4157_b4c5_6dc338271787" hidden="1">#REF!</definedName>
    <definedName name="TB4493bb33_ea25_4157_8efe_7ea3c0f1a26f" hidden="1">#REF!</definedName>
    <definedName name="TB44a548ca_4696_412f_9cce_cc626bbff653" hidden="1">#REF!</definedName>
    <definedName name="TB44b77044_b2d0_4b37_9ac0_e0c59e4adddc" hidden="1">#REF!</definedName>
    <definedName name="TB44c59fe8_ae57_448a_bac3_cd0af7e634e6" hidden="1">#REF!</definedName>
    <definedName name="TB44ca7bc8_8507_4fe7_8ac4_1eb3b816f514" hidden="1">#REF!</definedName>
    <definedName name="TB44cee355_e338_4469_a6bd_36a2bd489156" hidden="1">#REF!</definedName>
    <definedName name="TB44d5e148_ca34_46d4_b0c4_933d4005a571" hidden="1">#REF!</definedName>
    <definedName name="TB44eaf8be_cede_414b_9c03_06637d58dc31" hidden="1">#REF!</definedName>
    <definedName name="TB44f05c11_e92a_470e_925f_d854f4e3405d" hidden="1">#REF!</definedName>
    <definedName name="TB44f1ffd5_85e2_48e7_8c84_62984031021b" hidden="1">#REF!</definedName>
    <definedName name="TB44fda222_6fc5_4ea1_a281_235713daf498" hidden="1">#REF!</definedName>
    <definedName name="TB44ff6f27_9e61_4a3b_b0e2_6e16f6c38ecd" hidden="1">#REF!</definedName>
    <definedName name="TB45034785_ce30_4ae9_96f4_1d63dc12953f" hidden="1">#REF!</definedName>
    <definedName name="TB450763bb_c884_440f_8df7_6b7c2087cbb9" hidden="1">#REF!</definedName>
    <definedName name="TB450f34f2_2748_44d0_86b4_b37d7c6265ed" hidden="1">#REF!</definedName>
    <definedName name="TB4519c210_9558_423e_a803_5765d7004c8b" hidden="1">#REF!</definedName>
    <definedName name="TB451ed0b3_16a7_48fe_8578_de2405d615ca" hidden="1">#REF!</definedName>
    <definedName name="TB4525df01_d2fe_43b1_b759_4251398a501a" hidden="1">#REF!</definedName>
    <definedName name="TB4527ddb5_d8ec_41b1_aba3_4a4bf5c22bd5" hidden="1">#REF!</definedName>
    <definedName name="TB452bf3ff_9b0f_49d4_b7a0_2819b8dc0372" hidden="1">#REF!</definedName>
    <definedName name="TB45379a49_5ac2_4ecf_8e64_fbe5c50f0e7b" hidden="1">#REF!</definedName>
    <definedName name="TB4541760f_495a_48e2_942a_9c54c8392187" hidden="1">#REF!</definedName>
    <definedName name="TB45425a99_9cfc_40f1_b9c2_4510b8cce419" hidden="1">#REF!</definedName>
    <definedName name="TB45537d0a_eb17_453e_be52_02b9d637315f" hidden="1">#REF!</definedName>
    <definedName name="TB45598fce_b642_484c_8df2_31025608d6c1" hidden="1">#REF!</definedName>
    <definedName name="TB455ac746_f13f_407c_a636_1b5af3d40d75" hidden="1">#REF!</definedName>
    <definedName name="TB455e5301_649b_48c8_af09_826e49d01460" hidden="1">#REF!</definedName>
    <definedName name="TB455f3121_0e7e_40b6_8013_6ec19cf7976c" hidden="1">#REF!</definedName>
    <definedName name="TB456bd517_a2fc_4029_b2bd_e903d70d0497" hidden="1">#REF!</definedName>
    <definedName name="TB45701665_12da_4c56_b6e1_54c89d18f0ad" hidden="1">#REF!</definedName>
    <definedName name="TB45857360_f323_4f3e_9e82_67358981e997" hidden="1">#REF!</definedName>
    <definedName name="TB45901be2_839f_4db3_ab6e_9e730f3b7d82" hidden="1">#REF!</definedName>
    <definedName name="TB459455ae_f96c_4c37_a53c_84c864860c8b" hidden="1">#REF!</definedName>
    <definedName name="TB45a27a1a_f9b6_4255_a310_ae90850673ea" hidden="1">#REF!</definedName>
    <definedName name="TB45ac619f_30ee_495c_bb90_e45b8e30f527" hidden="1">#REF!</definedName>
    <definedName name="TB45ad17fc_79e8_4882_a804_defdd1762f70" hidden="1">#REF!</definedName>
    <definedName name="TB45b79275_47f0_4ff2_91ee_37dbb6301ee0" hidden="1">#REF!</definedName>
    <definedName name="TB45c25c02_8f1a_4af8_be38_92f271fe2d64" hidden="1">#REF!</definedName>
    <definedName name="TB45cd3d29_fcde_49ae_8b68_6790156e6ad9" hidden="1">#REF!</definedName>
    <definedName name="TB45d31e83_7838_4308_8435_2b3e7cfd8bea" hidden="1">#REF!</definedName>
    <definedName name="TB45d7e94a_eb30_40d0_b318_3bb9440e1ee0" hidden="1">#REF!</definedName>
    <definedName name="TB45ea813a_5968_4ea6_894d_361502456b58" hidden="1">#REF!</definedName>
    <definedName name="TB460388e3_4a65_4dfe_817a_997c681cf35e" hidden="1">#REF!</definedName>
    <definedName name="TB4605ed70_c788_4fa7_ade3_69d7626cf988" hidden="1">#REF!</definedName>
    <definedName name="TB460a9467_ed91_422e_9717_0d8578e4369a" hidden="1">#REF!</definedName>
    <definedName name="TB460b91cf_bb96_4abf_bb2c_b351f6d6a729" hidden="1">#REF!</definedName>
    <definedName name="TB4616320b_5650_45fa_ae12_d0711851337f" hidden="1">#REF!</definedName>
    <definedName name="TB46191c7f_5500_401d_aec5_8cefefc8b777" hidden="1">#REF!</definedName>
    <definedName name="TB461c0d24_8eba_4396_ba57_cce7a78811f9" hidden="1">#REF!</definedName>
    <definedName name="TB462d698a_9298_4b38_9dc6_e2d65dab277e" hidden="1">#REF!</definedName>
    <definedName name="TB462e381d_3840_4d10_8f95_cbfaa65faf5e" hidden="1">#REF!</definedName>
    <definedName name="TB4645d309_08fd_4e0f_9f79_5bc2302a0cd6" hidden="1">#REF!</definedName>
    <definedName name="TB465a18d5_0bc3_4ff8_bfc0_2f26cafe9381" hidden="1">#REF!</definedName>
    <definedName name="TB466ff179_3a1f_4007_a304_d782c0254af6" hidden="1">#REF!</definedName>
    <definedName name="TB467ef773_cf87_4d9d_a353_502ca405cdd8" hidden="1">#REF!</definedName>
    <definedName name="TB46849b2c_7eef_4281_bf72_2cc39d0e0023" hidden="1">#REF!</definedName>
    <definedName name="TB46882be8_19a9_4609_8833_336ccedbaac3" hidden="1">#REF!</definedName>
    <definedName name="TB46910cf0_77e0_4064_a96b_eec677c29b20" hidden="1">#REF!</definedName>
    <definedName name="TB4692c898_0469_4b53_a7a1_f8907f962d17" hidden="1">#REF!</definedName>
    <definedName name="TB4698368c_cac2_4ab7_ba7e_1896dc718b90" hidden="1">#REF!</definedName>
    <definedName name="TB46acea76_a60b_4550_8332_398ff1314597" hidden="1">#REF!</definedName>
    <definedName name="TB46b22fc0_7b90_46a2_905d_9bd12a98a845" hidden="1">#REF!</definedName>
    <definedName name="TB46ba9799_08bf_4ffb_8874_65d56d34f889" hidden="1">#REF!</definedName>
    <definedName name="TB46c14786_3af6_40fe_9ec5_7a93f452a047" hidden="1">#REF!</definedName>
    <definedName name="TB46c3a35f_2b9f_4433_9942_c600caff879e" hidden="1">#REF!</definedName>
    <definedName name="TB46c727cc_fc0a_4da3_9eaf_26703c5f27be" hidden="1">#REF!</definedName>
    <definedName name="TB46dc0c13_56fe_4d26_83ce_7114b3f60b7e" hidden="1">#REF!</definedName>
    <definedName name="TB46dc6919_c805_4cbf_b067_f8668301d53a" hidden="1">#REF!</definedName>
    <definedName name="TB46de5935_2441_4748_9872_1f9aa1ae37c6" hidden="1">#REF!</definedName>
    <definedName name="TB46e308b2_fd44_4404_be6e_7e09645f8131" hidden="1">#REF!</definedName>
    <definedName name="TB46ed3772_fc54_49bb_946b_01de69509877" hidden="1">#REF!</definedName>
    <definedName name="TB46f2cf3b_57f0_48b3_8e17_4edb0c5eb33a" hidden="1">#REF!</definedName>
    <definedName name="TB47073715_81bf_483d_b5ac_3ef550c79ad0" hidden="1">#REF!</definedName>
    <definedName name="TB4723a379_2197_4eba_bbca_39948b2076f5" hidden="1">#REF!</definedName>
    <definedName name="TB4723c41f_bfdf_459d_99b1_0d21cfae0828" hidden="1">#REF!</definedName>
    <definedName name="TB472aa1c8_315c_47e6_b332_fc7ff80d1f17" hidden="1">#REF!</definedName>
    <definedName name="TB4732055a_39ed_46e4_945e_06b5878c0b58" hidden="1">#REF!</definedName>
    <definedName name="TB4739172d_3820_4994_9551_a484cc4e7623" hidden="1">#REF!</definedName>
    <definedName name="TB4742cd02_5664_4a64_a2a5_3ac1ad938578" hidden="1">#REF!</definedName>
    <definedName name="TB47590d21_9bf3_49db_8c8d_95e7ee17bd3e" hidden="1">#REF!</definedName>
    <definedName name="TB475cf454_a412_4222_9252_1bddb45f5b7c" hidden="1">#REF!</definedName>
    <definedName name="TB475e193e_df94_4ad8_9585_48cacdd56580" hidden="1">#REF!</definedName>
    <definedName name="TB4769c0f5_e836_45ec_ad5d_4c85182f6da9" hidden="1">#REF!</definedName>
    <definedName name="TB4772789c_c6b2_4547_b738_7a61ca1c3ee3" hidden="1">#REF!</definedName>
    <definedName name="TB477a9422_540a_4991_84d0_e07315a4e542" hidden="1">#REF!</definedName>
    <definedName name="TB477b431b_38d8_42cb_84c4_58df745dabe5" hidden="1">#REF!</definedName>
    <definedName name="TB47839308_cc81_4b49_a611_47d66f48a72f" hidden="1">#REF!</definedName>
    <definedName name="TB478f8af7_80e6_4285_95d4_b88381bbdcfe" hidden="1">#REF!</definedName>
    <definedName name="TB47910be6_f5fc_4699_956e_b45641b0ae7c" hidden="1">#REF!</definedName>
    <definedName name="TB47927aa5_dbf9_44d0_96a3_5b35cfa967a1" hidden="1">#REF!</definedName>
    <definedName name="TB47950c8f_f77c_4b63_bb90_55fb8bfbf60b" hidden="1">#REF!</definedName>
    <definedName name="TB479d9c6a_9cca_49fb_86c0_4b415a2bb4f5" hidden="1">#REF!</definedName>
    <definedName name="TB479f4b14_13e3_4d37_859a_3238a12fdd8b" hidden="1">#REF!</definedName>
    <definedName name="TB47ab2b8e_0b57_4586_a4b6_9f6b0c9fcf6d" hidden="1">#REF!</definedName>
    <definedName name="TB47ad789d_b6fc_4c1c_8c16_5b832d36091f" hidden="1">#REF!</definedName>
    <definedName name="TB47afbbca_cf43_4e62_ad79_a3c935d1d9f6" hidden="1">#REF!</definedName>
    <definedName name="TB47bba9f6_a9ed_4f35_920d_26a0cba8b484" hidden="1">#REF!</definedName>
    <definedName name="TB47beba77_6bde_411d_bd34_9481ece65bfa" hidden="1">#REF!</definedName>
    <definedName name="TB47c14fe7_1272_4bd7_8464_f6548c5a7776" hidden="1">#REF!</definedName>
    <definedName name="TB47d9463f_9207_406a_90de_fd9d50152a55" hidden="1">#REF!</definedName>
    <definedName name="TB480075d7_e878_47ad_a5f2_322271bceb9c" hidden="1">#REF!</definedName>
    <definedName name="TB4803b5d2_200d_421d_a4f2_1967b2d35b08" hidden="1">#REF!</definedName>
    <definedName name="TB480c7697_dfcb_470c_9431_c2756b6dfa02" hidden="1">#REF!</definedName>
    <definedName name="TB480db5cd_3740_46a7_976c_7f1dca1ef803" hidden="1">#REF!</definedName>
    <definedName name="TB482d2c5b_0ecd_4cea_99cb_ad623f9bac6a" hidden="1">#REF!</definedName>
    <definedName name="TB483256c7_a2f8_48fd_b2d0_6fb85e792169" hidden="1">#REF!</definedName>
    <definedName name="TB48335de9_dead_4fd8_95ca_845c08369d00" hidden="1">#REF!</definedName>
    <definedName name="TB48409cc4_b80d_4462_8005_07b1f3dd9957" hidden="1">#REF!</definedName>
    <definedName name="TB484acdcf_9187_4f86_b38a_b703a4a96006" hidden="1">#REF!</definedName>
    <definedName name="TB484b02f0_8255_4540_a23e_57458beba751" hidden="1">#REF!</definedName>
    <definedName name="TB48545f48_fcc8_4b76_bd67_fa9863e05aa2" hidden="1">#REF!</definedName>
    <definedName name="TB48566fc9_b043_4274_8715_844fac84d410" hidden="1">#REF!</definedName>
    <definedName name="TB486b3ef1_0e79_4b91_bd2c_c9e52ac6af52" hidden="1">#REF!</definedName>
    <definedName name="TB487129a4_fb3d_4acc_9ea5_6d8957df528f" hidden="1">#REF!</definedName>
    <definedName name="TB4879c38b_66ce_417c_ade2_3c30bd93ecc2" hidden="1">#REF!</definedName>
    <definedName name="TB487c25d8_c563_442f_a0f8_4ee2055e52e5" hidden="1">#REF!</definedName>
    <definedName name="TB4883189d_cffd_49b0_ab73_e278e5a89d80" hidden="1">#REF!</definedName>
    <definedName name="TB489ce020_bad4_4f42_9663_940085c004b4" hidden="1">#REF!</definedName>
    <definedName name="TB48b904a7_48a8_4992_b97d_8aea3be31441" hidden="1">#REF!</definedName>
    <definedName name="TB49264c94_9f89_48c3_87ca_6f9f0a08b232" hidden="1">#REF!</definedName>
    <definedName name="TB4926a4d9_0157_4b40_bfc1_6d3cdb53bbb5" hidden="1">#REF!</definedName>
    <definedName name="TB492c3071_b044_436c_ad03_118e11ac0468" hidden="1">#REF!</definedName>
    <definedName name="TB4930e994_1cf1_4853_a07a_1ad81616ca83" hidden="1">#REF!</definedName>
    <definedName name="TB4934b46c_9fca_49aa_b723_9d7e5d698274" hidden="1">#REF!</definedName>
    <definedName name="TB4938edef_ae0e_4e5d_b91d_5eb050fa42f3" hidden="1">#REF!</definedName>
    <definedName name="TB49420d34_6c31_48d6_82fc_b4197d4d2434" hidden="1">#REF!</definedName>
    <definedName name="TB49495322_a9de_435f_9ba7_302d2a8e9165" hidden="1">#REF!</definedName>
    <definedName name="TB494f301b_a234_4064_9248_b3652696f7f0" hidden="1">#REF!</definedName>
    <definedName name="TB495833bd_a9a4_4c0b_b0a3_ea05f8108489" hidden="1">#REF!</definedName>
    <definedName name="TB495ec27c_f6b3_415c_8fb7_a52a5b1c8dfb" hidden="1">#REF!</definedName>
    <definedName name="TB496e832c_1236_4366_a97b_d1e1245330f3" hidden="1">#REF!</definedName>
    <definedName name="TB498b3748_9d92_4399_91bb_f4a7f898ba3c" hidden="1">#REF!</definedName>
    <definedName name="TB49b4be57_def1_494c_969f_4c081142be1f" hidden="1">#REF!</definedName>
    <definedName name="TB49c887e9_9ac5_406f_b8bf_77bdf412585c" hidden="1">#REF!</definedName>
    <definedName name="TB49d78f05_84f5_467c_b9c5_6c12f1efcd73" hidden="1">#REF!</definedName>
    <definedName name="TB49da12ee_2cf9_4e7c_bb6c_5906f37da72f" hidden="1">#REF!</definedName>
    <definedName name="TB49e38349_bb78_4500_a675_76b6c94e0799" hidden="1">#REF!</definedName>
    <definedName name="TB49e8461f_cc6f_464a_ae96_3d35aac69486" hidden="1">#REF!</definedName>
    <definedName name="TB49e9fd19_8f21_4004_950d_0c6fc1de455d" hidden="1">#REF!</definedName>
    <definedName name="TB49f773b8_75c4_4a70_9293_f783784f0053" hidden="1">#REF!</definedName>
    <definedName name="TB4a00282f_71b0_4aa0_aca3_217a74a2e6a7" hidden="1">#REF!</definedName>
    <definedName name="TB4a059bc6_11ab_4eff_aff4_edc7ce5a5cc3" hidden="1">#REF!</definedName>
    <definedName name="TB4a21db71_1677_41b6_a5f8_33ae6002e0e9" hidden="1">#REF!</definedName>
    <definedName name="TB4a2a40df_41cf_4af5_aa21_3e9d69eb56d3" hidden="1">#REF!</definedName>
    <definedName name="TB4a3b8955_5342_40d5_a1b0_c6cbe6f16017" hidden="1">#REF!</definedName>
    <definedName name="TB4a3d96d5_c0b1_430a_bfa1_aa75acb840dc" hidden="1">#REF!</definedName>
    <definedName name="TB4a449e33_0cc9_4eb6_8b91_ddf883fa0978" hidden="1">#REF!</definedName>
    <definedName name="TB4a5287e1_67ed_422f_b304_73f31ae1f094" hidden="1">#REF!</definedName>
    <definedName name="TB4a55e738_2524_4b65_a28e_695f6018fd2f" hidden="1">#REF!</definedName>
    <definedName name="TB4a667ed9_c370_4dbf_9f59_5ed75fc769f1" hidden="1">#REF!</definedName>
    <definedName name="TB4a689c4f_9f54_4208_9bf5_ba4412007bf9" hidden="1">#REF!</definedName>
    <definedName name="TB4a695b80_d2fd_4d2b_9666_0d933e795ffa" hidden="1">#REF!</definedName>
    <definedName name="TB4a7beb4a_9441_4a8d_a5a2_af8bfc18920a" hidden="1">#REF!</definedName>
    <definedName name="TB4a83470f_db17_4573_913a_d2538faeffa5" hidden="1">#REF!</definedName>
    <definedName name="TB4a8edc15_a169_453c_acd2_f3d0e197dfbe" hidden="1">#REF!</definedName>
    <definedName name="TB4a967aa0_448d_4386_af8a_b21729bf8108" hidden="1">#REF!</definedName>
    <definedName name="TB4a9737bc_dc88_4b89_81b5_cb99cb91d3a0" hidden="1">#REF!</definedName>
    <definedName name="TB4abc6551_6be8_4423_b693_a0166050315d" hidden="1">#REF!</definedName>
    <definedName name="TB4ac3f1d9_6b5d_4442_9456_1e5f32be08de" hidden="1">#REF!</definedName>
    <definedName name="TB4ac73354_7acc_4229_93fe_597775c13ba5" hidden="1">#REF!</definedName>
    <definedName name="TB4acad9f9_f68f_491d_b68e_2321d2a45f62" hidden="1">#REF!</definedName>
    <definedName name="TB4ad118ff_27ed_4a83_ad48_6ea2682466aa" hidden="1">#REF!</definedName>
    <definedName name="TB4af02279_c970_44a1_b0a1_dac7048580e4" hidden="1">#REF!</definedName>
    <definedName name="TB4af39052_103d_4520_bc2e_6f8c5cb5a209" hidden="1">#REF!</definedName>
    <definedName name="TB4af46848_6e89_4c3f_895d_3266c32a2c71" hidden="1">#REF!</definedName>
    <definedName name="TB4b1ad9e1_25bc_43be_b722_4b37112d7701" hidden="1">#REF!</definedName>
    <definedName name="TB4b288bda_4601_4508_9e40_362bc1e7f49b" hidden="1">#REF!</definedName>
    <definedName name="TB4b2b7dbc_e304_49d9_81a7_157b12c82fdb" hidden="1">#REF!</definedName>
    <definedName name="TB4b3bdf3b_cde0_4982_bcb1_2d3d8866de89" hidden="1">#REF!</definedName>
    <definedName name="TB4b40c87a_8cb7_4c83_beec_f26b246aa1d5" hidden="1">#REF!</definedName>
    <definedName name="TB4b4faace_b735_4062_8ce6_930cb9d60b00" hidden="1">#REF!</definedName>
    <definedName name="TB4b580d7f_7b64_4d2e_8067_89c7c3587227" hidden="1">#REF!</definedName>
    <definedName name="TB4b72e31c_0d33_4aa9_9484_06b689d97172" hidden="1">#REF!</definedName>
    <definedName name="TB4b748211_56a9_4016_a811_68e714ede381" hidden="1">#REF!</definedName>
    <definedName name="TB4b848841_fc57_4119_a750_822dd34ec1a1" hidden="1">#REF!</definedName>
    <definedName name="TB4b946e37_0d58_438e_bfa5_f304567b3bc5" hidden="1">#REF!</definedName>
    <definedName name="TB4bcc213e_a98c_48aa_a277_02b2fed7a8da" hidden="1">#REF!</definedName>
    <definedName name="TB4bdbc9d7_e5b8_4d2c_910e_7332e2e3b1f7" hidden="1">#REF!</definedName>
    <definedName name="TB4bdbddb5_9c37_4c3e_a8fd_27ba5b0fced6" hidden="1">#REF!</definedName>
    <definedName name="TB4bf17fe5_5b86_4bd8_ac02_e67c61f96886" hidden="1">#REF!</definedName>
    <definedName name="TB4bfddca5_c939_4941_9d25_6d0d97a3e163" hidden="1">#REF!</definedName>
    <definedName name="TB4c005cf9_e790_4ec3_98f4_dddc80a79113" hidden="1">#REF!</definedName>
    <definedName name="TB4c026fab_e63f_4002_a55c_b5eacfec0c2f" hidden="1">#REF!</definedName>
    <definedName name="TB4c13f58a_2f49_48a7_9d75_51343f0c27a2" hidden="1">#REF!</definedName>
    <definedName name="TB4c1979b5_e147_4da9_b64e_adc5c3fa381e" hidden="1">#REF!</definedName>
    <definedName name="TB4c1da918_9469_474b_9181_52cbfe6e5a0e" hidden="1">#REF!</definedName>
    <definedName name="TB4c2d9f4a_4721_4599_a608_baf1b318a0dd" hidden="1">#REF!</definedName>
    <definedName name="TB4c2e26b8_63d1_49bd_a493_07edab286203" hidden="1">#REF!</definedName>
    <definedName name="TB4c2f54c5_26fa_427d_8c7e_d3337bf840dc" hidden="1">#REF!</definedName>
    <definedName name="TB4c307b1e_dd02_4f24_abee_8cef91579087" hidden="1">#REF!</definedName>
    <definedName name="TB4c32f572_3621_4703_ae12_5e9b1b3a429f" hidden="1">#REF!</definedName>
    <definedName name="TB4c395003_5cc2_4b3f_89d6_4101199eb8b2" hidden="1">#REF!</definedName>
    <definedName name="TB4c419a7b_4a16_4d6a_9470_1188ac8a9b4a" hidden="1">#REF!</definedName>
    <definedName name="TB4c48c8bc_f1d3_4c17_8e40_c33b90e9cff6" hidden="1">#REF!</definedName>
    <definedName name="TB4c490651_fd5a_4a64_a7ed_002e1aa6d121" hidden="1">#REF!</definedName>
    <definedName name="TB4c5892b5_85a3_4a7e_ac28_49545146240f" hidden="1">#REF!</definedName>
    <definedName name="TB4c5c4d44_a497_4edf_ac49_2294b267c95a" hidden="1">#REF!</definedName>
    <definedName name="TB4c6b8e21_dd95_4ad4_9470_1fab57bfd441" hidden="1">#REF!</definedName>
    <definedName name="TB4c7ac88e_0384_4cea_9aed_476b6ef74fe1" hidden="1">#REF!</definedName>
    <definedName name="TB4c7c4649_2ff9_428a_aa4d_fe9d165ee122" hidden="1">#REF!</definedName>
    <definedName name="TB4c83c000_06c2_4d84_9da5_140fa670578b" hidden="1">#REF!</definedName>
    <definedName name="TB4c867310_be70_4f99_a444_a2e6472104d1" hidden="1">#REF!</definedName>
    <definedName name="TB4c88d0c6_e035_459b_af7c_9bf2717e867a" hidden="1">#REF!</definedName>
    <definedName name="TB4c8b0b98_ce82_4448_bf6b_f55790a6d3c8" hidden="1">#REF!</definedName>
    <definedName name="TB4c9776a5_1f63_4767_bcea_3cc8a682a5ec" hidden="1">#REF!</definedName>
    <definedName name="TB4cb029d0_b9be_45b8_9739_451afcbeaa4b" hidden="1">#REF!</definedName>
    <definedName name="TB4cb5c9b4_29e4_4261_a32a_d8e0277184fb" hidden="1">#REF!</definedName>
    <definedName name="TB4cbd3f38_d8ce_470d_bfb9_a949a14daa8f" hidden="1">#REF!</definedName>
    <definedName name="TB4cc110fb_4cfa_4b28_89c5_7cd63c37c888" hidden="1">#REF!</definedName>
    <definedName name="TB4cc5dc14_3d9a_4a01_bde8_547a7024480a" hidden="1">#REF!</definedName>
    <definedName name="TB4ce89e71_0726_498a_847c_c078e79cae69" hidden="1">#REF!</definedName>
    <definedName name="TB4cead6e6_4b6a_4c28_a73e_123a3fe519e0" hidden="1">#REF!</definedName>
    <definedName name="TB4cecfc6e_a933_475b_b2a0_4e6df6199b98" hidden="1">#REF!</definedName>
    <definedName name="TB4cf71a71_8909_40ea_a891_3d0e3fbaf250" hidden="1">#REF!</definedName>
    <definedName name="TB4d28312b_efac_4af7_a3f2_266579197ec0" hidden="1">#REF!</definedName>
    <definedName name="TB4d32363b_d320_432f_a462_602513ca67d1" hidden="1">#REF!</definedName>
    <definedName name="TB4d34d4f1_6cdc_4d7a_b268_b6c9b43bc010" hidden="1">#REF!</definedName>
    <definedName name="TB4d360553_c821_4547_b22b_c29b15760682" hidden="1">#REF!</definedName>
    <definedName name="TB4d43a2ea_2a12_4e10_b31a_47342abf170c" hidden="1">#REF!</definedName>
    <definedName name="TB4d44b391_19c9_4561_819d_c2e8219fe6be" hidden="1">#REF!</definedName>
    <definedName name="TB4d4557f1_2a9d_4926_ad99_e0af90fd76c8" hidden="1">#REF!</definedName>
    <definedName name="TB4d55c55e_adb5_4ecb_be72_db5b1013fa60" hidden="1">#REF!</definedName>
    <definedName name="TB4d56540f_41ff_4e6c_86e9_379c7e246807" hidden="1">#REF!</definedName>
    <definedName name="TB4d592428_d468_454c_9008_58b1b27d1e6b" hidden="1">#REF!</definedName>
    <definedName name="TB4d5e124f_e7cc_47b3_9220_0d62f277b9ef" hidden="1">#REF!</definedName>
    <definedName name="TB4d6e514f_aa1f_4591_907f_bc3e566323cf" hidden="1">#REF!</definedName>
    <definedName name="TB4d71c2d1_6bfd_4e48_a527_18013cad1870" hidden="1">#REF!</definedName>
    <definedName name="TB4d75b839_e66e_4db9_bf0f_0ef95c724227" hidden="1">#REF!</definedName>
    <definedName name="TB4d7684b1_f4b9_4d97_b5f7_bdd604de4952" hidden="1">#REF!</definedName>
    <definedName name="TB4d7b3ea9_10a8_460c_a0d5_5c03c72e5d7e" hidden="1">#REF!</definedName>
    <definedName name="TB4d842496_6cd7_4f59_a9da_ec7b23778739" hidden="1">#REF!</definedName>
    <definedName name="TB4d8845a1_19a1_4ee8_97f6_2ae0c09370de" hidden="1">#REF!</definedName>
    <definedName name="TB4da4e444_c4d3_468e_9c4b_5c34a89f4ced" hidden="1">#REF!</definedName>
    <definedName name="TB4da81a30_79f4_4ae3_ae06_0b8fcb9b9ea8" hidden="1">#REF!</definedName>
    <definedName name="TB4db538fb_b158_4ebe_8f08_7323b4a28b65" hidden="1">#REF!</definedName>
    <definedName name="TB4dbc8caa_f7a7_4cd7_8e2b_660bc167e888" hidden="1">#REF!</definedName>
    <definedName name="TB4dbccf47_f5bd_4fa5_b6a6_b6e10b245a63" hidden="1">#REF!</definedName>
    <definedName name="TB4dcb2bc1_e79e_4290_b072_9c3712e19bb5" hidden="1">#REF!</definedName>
    <definedName name="TB4ddafd67_2d3d_4643_aac2_700c836873d9" hidden="1">#REF!</definedName>
    <definedName name="TB4defa067_0e73_48db_9f94_415f76c2c91e" hidden="1">#REF!</definedName>
    <definedName name="TB4defa11a_3787_4aa5_ba22_11292d766c44" hidden="1">#REF!</definedName>
    <definedName name="TB4df5a24e_4a08_4857_be9f_2af30ad072f0" hidden="1">#REF!</definedName>
    <definedName name="TB4dfc015d_a835_4a57_9f02_ef6311d5b13b" hidden="1">#REF!</definedName>
    <definedName name="TB4e09cf86_fb4c_4c61_899e_69392d98d877" hidden="1">#REF!</definedName>
    <definedName name="TB4e218a88_2ecd_431c_b430_4511a7c3951d" hidden="1">#REF!</definedName>
    <definedName name="TB4e22ac2a_7750_4da4_bbc0_366cf0760c9d" hidden="1">#REF!</definedName>
    <definedName name="TB4e374661_93c1_471e_9434_ab2c9e535af8" hidden="1">#REF!</definedName>
    <definedName name="TB4e44c5e8_3bbf_46ea_852d_b5990b5ae859" hidden="1">#REF!</definedName>
    <definedName name="TB4e474b1a_09bc_4e58_ad70_30f5a3bdf8a2" hidden="1">#REF!</definedName>
    <definedName name="TB4e47cdae_e7ab_43de_b6f4_666c7805c7f7" hidden="1">#REF!</definedName>
    <definedName name="TB4e4dbce3_0ca6_49a0_9ce2_07b7a60cc86d" hidden="1">#REF!</definedName>
    <definedName name="TB4e55be00_af90_4052_8fe6_d88cd77e60ae" hidden="1">#REF!</definedName>
    <definedName name="TB4e5cd3d3_3df7_4726_9a7d_5140ddb48cfa" hidden="1">#REF!</definedName>
    <definedName name="TB4e5d44f1_e4b7_4fa5_866e_945fae99cc6e" hidden="1">#REF!</definedName>
    <definedName name="TB4e61b05d_bc32_471f_8710_c76a165b074b" hidden="1">#REF!</definedName>
    <definedName name="TB4e87c55c_e690_43d4_8fa8_ae07018257e7" hidden="1">#REF!</definedName>
    <definedName name="TB4e934136_e2be_49bd_8309_e722d1add8b9" hidden="1">#REF!</definedName>
    <definedName name="TB4e9f3127_8674_42f8_ae5f_ede2cf1603f0" hidden="1">#REF!</definedName>
    <definedName name="TB4ea58128_82c3_4a77_99a0_b42ee1990dae" hidden="1">#REF!</definedName>
    <definedName name="TB4ebe8c0b_d880_4b75_95f8_afa273e917cc" hidden="1">#REF!</definedName>
    <definedName name="TB4ec3ec42_0bfa_4351_a853_35b06ca9ce23" hidden="1">#REF!</definedName>
    <definedName name="TB4edb2d19_10ea_49e4_a5f4_77a07ec16336" hidden="1">#REF!</definedName>
    <definedName name="TB4ee1a96a_a44c_414a_9c3d_bb6f2f63eb74" hidden="1">#REF!</definedName>
    <definedName name="TB4f022240_fef0_4138_87ce_1e1a2eba3731" hidden="1">#REF!</definedName>
    <definedName name="TB4f125c4c_b5ba_4042_891d_02cb5d9db87b" hidden="1">#REF!</definedName>
    <definedName name="TB4f1b8426_e3df_4657_8e78_d11b4e52964e" hidden="1">#REF!</definedName>
    <definedName name="TB4f324d9a_462a_4d1d_91df_cd1c6a77bb40" hidden="1">#REF!</definedName>
    <definedName name="TB4f35fa83_fa91_4e4a_9bf9_90e566f1e33e" hidden="1">#REF!</definedName>
    <definedName name="TB4f3b0ccf_c884_42e9_9d68_20b65d853a61" hidden="1">#REF!</definedName>
    <definedName name="TB4f3b671f_a18a_479c_96b1_a4f71be92aa6" hidden="1">#REF!</definedName>
    <definedName name="TB4f43b6c9_05a4_4e15_8b5f_51d24bb6b876" hidden="1">#REF!</definedName>
    <definedName name="TB4f56b6d0_d82e_4d19_b183_70f3a1e5dca4" hidden="1">#REF!</definedName>
    <definedName name="TB4f61a646_98e4_4dff_a1df_6f52826ecc97" hidden="1">#REF!</definedName>
    <definedName name="TB4f676dbe_a317_436d_bda3_d06d95b34e1a" hidden="1">#REF!</definedName>
    <definedName name="TB4f7b79e0_4b4e_4701_9798_c9f8353dcd9d" hidden="1">#REF!</definedName>
    <definedName name="TB4f7bd1aa_2a52_4309_86f1_c4b494667a9e" hidden="1">#REF!</definedName>
    <definedName name="TB4f86fba4_f700_4b2b_b65f_30ca51d7294e" hidden="1">#REF!</definedName>
    <definedName name="TB4f8b52e5_58a0_40fa_aa1d_a872ada8ba96" hidden="1">#REF!</definedName>
    <definedName name="TB4f8e562a_0007_43f4_bb52_874abb3ed502" hidden="1">#REF!</definedName>
    <definedName name="TB4f90462e_4944_4929_812c_586bff03cfd4" hidden="1">#REF!</definedName>
    <definedName name="TB4f9a5df2_e38d_4c23_bcf8_833164a88e09" hidden="1">#REF!</definedName>
    <definedName name="TB4fad712d_ca9b_4ac2_9c6d_1c367283e974" hidden="1">#REF!</definedName>
    <definedName name="TB4fb7c6b2_c0fc_4981_9294_d2091a3717f6" hidden="1">#REF!</definedName>
    <definedName name="TB4fc15664_06c2_4ba3_af19_596fe6fe59b6" hidden="1">#REF!</definedName>
    <definedName name="TB4fc77a24_9b1d_499d_8d67_2e58dc5e9597" hidden="1">#REF!</definedName>
    <definedName name="TB4fcd6530_7d63_4bdf_8bd5_83a9f9c26afa" hidden="1">#REF!</definedName>
    <definedName name="TB4fe3ffc8_732a_4710_bd2c_10d68df7b6ed" hidden="1">#REF!</definedName>
    <definedName name="TB4fe4ff3d_1314_4e82_8c4e_0c6dde183dfd" hidden="1">#REF!</definedName>
    <definedName name="TB4fe6122d_e585_4e6c_a0b7_38b41335e3ec" hidden="1">#REF!</definedName>
    <definedName name="TB4fedcf15_c800_4551_b9f6_5252de6a472e" hidden="1">#REF!</definedName>
    <definedName name="TB500179ab_70fc_4567_a42d_b4c115cd3627" hidden="1">#REF!</definedName>
    <definedName name="TB5014eb3e_9d07_4166_b982_8761e2a6d507" hidden="1">#REF!</definedName>
    <definedName name="TB501c5698_7ecb_487d_8071_10f86651c926" hidden="1">#REF!</definedName>
    <definedName name="TB50281e12_8935_48be_ba18_76ae4d9d2094" hidden="1">#REF!</definedName>
    <definedName name="TB502e74d3_a666_4c9e_898d_c32b4f77bd49" hidden="1">#REF!</definedName>
    <definedName name="TB50333687_7620_4f16_a134_4c8af9394f63" hidden="1">#REF!</definedName>
    <definedName name="TB5039cb93_11dc_4c11_b923_b125ff6c4f2e" hidden="1">#REF!</definedName>
    <definedName name="TB504afbe7_cd62_4ed5_bc49_feea623d4ea5" hidden="1">#REF!</definedName>
    <definedName name="TB504b34eb_54ce_42e5_8977_6725416daa64" hidden="1">#REF!</definedName>
    <definedName name="TB505053a9_6e7c_4893_b735_5cd2b05360c5" hidden="1">#REF!</definedName>
    <definedName name="TB5061c93a_d341_44df_a7fe_981edacbdac3" hidden="1">#REF!</definedName>
    <definedName name="TB508bdfef_447f_4537_82b7_41d2c1684f5f" hidden="1">#REF!</definedName>
    <definedName name="TB5095bbbc_37c4_48f2_bb4c_ddc71c99e744" hidden="1">#REF!</definedName>
    <definedName name="TB50b0d143_ff23_4da0_b846_65d7f1a6d69d" hidden="1">#REF!</definedName>
    <definedName name="TB50bae0ff_57b4_42ad_873d_f4b200973ca6" hidden="1">#REF!</definedName>
    <definedName name="TB50d3387f_199c_4f3c_be70_40b090f87b68" hidden="1">#REF!</definedName>
    <definedName name="TB50e05fec_9bf4_43c4_b216_09d1e99ed340" hidden="1">#REF!</definedName>
    <definedName name="TB50ec0b64_342b_42ba_b3a1_e7d3062e70a7" hidden="1">#REF!</definedName>
    <definedName name="TB510d6a1b_0298_4141_9429_0ec1ed27523c" hidden="1">#REF!</definedName>
    <definedName name="TB5110e1db_913e_493c_92f1_439ee57a68e2" hidden="1">#REF!</definedName>
    <definedName name="TB5113b2d9_5dd3_4796_8715_5d0e4929b515" hidden="1">#REF!</definedName>
    <definedName name="TB5115e090_3794_4a4e_ba9a_ac4e1b697f7a" hidden="1">#REF!</definedName>
    <definedName name="TB5123a525_79d6_4341_9399_52a9dde8c043" hidden="1">#REF!</definedName>
    <definedName name="TB512e4ed8_1d93_4c4c_9563_e77e15d6bbcd" hidden="1">#REF!</definedName>
    <definedName name="TB5140293a_73e1_469d_959b_184d962ff9c5" hidden="1">#REF!</definedName>
    <definedName name="TB516bc765_c619_43f7_90fa_a4161b78d3d8" hidden="1">#REF!</definedName>
    <definedName name="TB516defb8_71c2_4c3c_8356_e7b5e67f9f3d" hidden="1">#REF!</definedName>
    <definedName name="TB51904793_da18_4914_8ac6_5fffe75a4b15" hidden="1">#REF!</definedName>
    <definedName name="TB5193414d_69df_4abb_b62b_6149e1040910" hidden="1">#REF!</definedName>
    <definedName name="TB519e25d2_9aa2_4068_9928_0df51ade4e9b" hidden="1">#REF!</definedName>
    <definedName name="TB51ba82a3_5511_4c94_9cc8_caf5388885bd" hidden="1">#REF!</definedName>
    <definedName name="TB51bce1da_21e9_46ba_a406_5c63252bb937" hidden="1">#REF!</definedName>
    <definedName name="TB51c7fdfd_98bb_4565_9a77_0c4428019194" hidden="1">#REF!</definedName>
    <definedName name="TB51cca782_6278_4166_827c_19a449641a23" hidden="1">#REF!</definedName>
    <definedName name="TB51d50131_2b5a_4427_8945_1a0048feae63" hidden="1">#REF!</definedName>
    <definedName name="TB51d58b5c_fc79_4e9d_aa4a_e168241ab40e" hidden="1">#REF!</definedName>
    <definedName name="TB51dd36b4_e42d_4b79_a0f9_2d28a6e01e6d" hidden="1">#REF!</definedName>
    <definedName name="TB51df8dd6_714c_4050_a2e8_a5f8d6a640f8" hidden="1">#REF!</definedName>
    <definedName name="TB51e09391_8ca8_4e36_a4b2_7c3361e2dcf7" hidden="1">#REF!</definedName>
    <definedName name="TB51e5ba34_14af_4f5f_8132_2560ea26e257" hidden="1">#REF!</definedName>
    <definedName name="TB51ea8b82_7c91_45c7_ae9b_47eb6093a158" hidden="1">#REF!</definedName>
    <definedName name="TB52064f0a_71c7_4ca2_82c9_250005975daa" hidden="1">#REF!</definedName>
    <definedName name="TB5206af20_5c39_4f66_8181_af4e83d364c8" hidden="1">#REF!</definedName>
    <definedName name="TB522810e2_c851_4fa5_84ac_676938a8a23b" hidden="1">#REF!</definedName>
    <definedName name="TB5229fecf_22c3_4209_9348_ba866356d79c" hidden="1">#REF!</definedName>
    <definedName name="TB5234f253_7294_462b_85f7_61d983e0deee" hidden="1">#REF!</definedName>
    <definedName name="TB524c63d6_78a2_4ec3_8ba7_ab4483c52d21" hidden="1">#REF!</definedName>
    <definedName name="TB5262d29e_f038_4be9_8c03_d7d7b5d0df77" hidden="1">#REF!</definedName>
    <definedName name="TB527e030e_4121_4524_bacd_ccf04383ad5f" hidden="1">#REF!</definedName>
    <definedName name="TB528234e6_55fb_4e08_a043_e34b13ce9c76" hidden="1">#REF!</definedName>
    <definedName name="TB52946ede_9d9b_43c5_a67e_f4241c0808cd" hidden="1">#REF!</definedName>
    <definedName name="TB52951fef_5bd3_4e2f_b833_cdc976540980" hidden="1">#REF!</definedName>
    <definedName name="TB52971986_f3f9_4da8_8187_76aa24dc7cf4" hidden="1">#REF!</definedName>
    <definedName name="TB52ba4e6a_f745_44bd_b22c_d29ff2b70c06" hidden="1">#REF!</definedName>
    <definedName name="TB52ba89c0_0e42_45f9_ba11_23123cdddc7f" hidden="1">#REF!</definedName>
    <definedName name="TB52c4a5f9_4255_447e_80ce_48e6e272f3f4" hidden="1">#REF!</definedName>
    <definedName name="TB52c77b4c_1b4d_4059_b7cb_f9cd7a2a135f" hidden="1">#REF!</definedName>
    <definedName name="TB52cbf289_c04c_4b5d_a911_1f280a0d8df4" hidden="1">#REF!</definedName>
    <definedName name="TB52d80ac9_b62f_4c44_bacf_94f2112b03e2" hidden="1">#REF!</definedName>
    <definedName name="TB52df5457_b229_4061_8bb0_e7bc669cae47" hidden="1">#REF!</definedName>
    <definedName name="TB52f5bc05_473b_4abb_9345_2f039b235d44" hidden="1">#REF!</definedName>
    <definedName name="TB52fbc993_9ca1_46f3_8466_4ca8ec4a7f76" hidden="1">#REF!</definedName>
    <definedName name="TB5314ce13_3e9f_4b62_9e0e_ce510944890c" hidden="1">#REF!</definedName>
    <definedName name="TB532eda8e_37c1_4b3b_931c_c0f6c253d209" hidden="1">#REF!</definedName>
    <definedName name="TB532fdf6f_48b6_490f_a6f1_f6dfa6f4eb20" hidden="1">#REF!</definedName>
    <definedName name="TB5332363e_75b1_452e_8613_6ecb87f31bb0" hidden="1">#REF!</definedName>
    <definedName name="TB533ffa17_d794_4ca3_8d2c_99ad4913ba27" hidden="1">#REF!</definedName>
    <definedName name="TB535a827b_4f78_4466_9e9b_c9579de69454" hidden="1">#REF!</definedName>
    <definedName name="TB535ab1af_ac47_4913_b489_061d4cc5d819" hidden="1">#REF!</definedName>
    <definedName name="TB536ccd1e_5511_4d80_a6bb_b4b13ade325a" hidden="1">#REF!</definedName>
    <definedName name="TB536fa3a5_7648_4fb7_a455_fd701e0aedc6" hidden="1">#REF!</definedName>
    <definedName name="TB53718d7c_4083_45a9_b068_0a499efdf19e" hidden="1">#REF!</definedName>
    <definedName name="TB537e81a3_4a96_4fb7_8cb6_12b96d5207d9" hidden="1">#REF!</definedName>
    <definedName name="TB53825e3d_3e00_4be5_a1aa_b269d5a28e70" hidden="1">#REF!</definedName>
    <definedName name="TB5384af39_4eba_4e30_b6a9_3461e6062668" hidden="1">#REF!</definedName>
    <definedName name="TB5393649b_9e1f_4f21_84fb_e45ca931d72c" hidden="1">#REF!</definedName>
    <definedName name="TB53941d30_66f7_431b_8fec_49630434d18c" hidden="1">#REF!</definedName>
    <definedName name="TB53ad5557_3ffd_4d44_bb2d_b78eb34d0875" hidden="1">#REF!</definedName>
    <definedName name="TB53b24f1e_e94c_4db6_bc93_7fc4cc876b6c" hidden="1">#REF!</definedName>
    <definedName name="TB53be100b_78ff_427d_90f2_0662f209fc9e" hidden="1">#REF!</definedName>
    <definedName name="TB53dc4939_13c8_4ddd_90af_715cd4832eee" hidden="1">#REF!</definedName>
    <definedName name="TB53eb1f95_0517_4062_829e_ab96d90ea845" hidden="1">#REF!</definedName>
    <definedName name="TB53f86772_465d_456b_a043_dc3dac2ce088" hidden="1">#REF!</definedName>
    <definedName name="TB53f886d7_add8_4c3f_8834_911250245869" hidden="1">#REF!</definedName>
    <definedName name="TB5400cdc1_66c5_452f_897a_261d3191417f" hidden="1">#REF!</definedName>
    <definedName name="TB5417e438_3b36_494e_a95d_7d9bf3a6d4a4" hidden="1">#REF!</definedName>
    <definedName name="TB5417f21f_3af5_4ed2_bbbc_0266863f579c" hidden="1">#REF!</definedName>
    <definedName name="TB541de556_5eaa_4d89_b877_bd67afc34a77" hidden="1">#REF!</definedName>
    <definedName name="TB54245c85_70d6_4454_a485_ab6443f264fc" hidden="1">#REF!</definedName>
    <definedName name="TB54269df3_4bb3_4761_a408_f8beb18948d0" hidden="1">#REF!</definedName>
    <definedName name="TB544b299c_ee62_4a8e_8e3c_bdf2cf5bf7c4" hidden="1">#REF!</definedName>
    <definedName name="TB545a4a21_5ba6_4c5e_91f4_ca1c5fe31c66" hidden="1">#REF!</definedName>
    <definedName name="TB545a6ff5_3f1c_43b2_91b6_215c4dba10da" hidden="1">#REF!</definedName>
    <definedName name="TB545d9ba8_314a_428b_b1be_b7ac4dd349c2" hidden="1">#REF!</definedName>
    <definedName name="TB54745f5d_2a88_46c3_a7e2_40cf537b0628" hidden="1">#REF!</definedName>
    <definedName name="TB548ff4fb_b332_410c_8d84_d8d99e98d5ea" hidden="1">#REF!</definedName>
    <definedName name="TB548ffb5b_1467_497c_ac20_0ce5f4f6493e" hidden="1">#REF!</definedName>
    <definedName name="TB5493defb_ce8b_4490_a99e_30f5c6ba66ee" hidden="1">#REF!</definedName>
    <definedName name="TB5495402b_5fb2_4e99_9329_d3de48edb259" hidden="1">#REF!</definedName>
    <definedName name="TB549986ac_86e0_4b21_855c_c8ba7f675c5f" hidden="1">#REF!</definedName>
    <definedName name="TB54a07d51_9527_4c44_b810_57b2feedec7f" hidden="1">#REF!</definedName>
    <definedName name="TB54a3d4be_8070_4160_a6f3_7e185536a6a7" hidden="1">#REF!</definedName>
    <definedName name="TB54a74373_1c59_4346_90b6_7a000676cff8" hidden="1">#REF!</definedName>
    <definedName name="TB54d34141_3850_4294_8085_0dff9add464b" hidden="1">#REF!</definedName>
    <definedName name="TB54d40d84_09ea_441c_a971_aed9c23bb362" hidden="1">#REF!</definedName>
    <definedName name="TB54d65d78_5183_4473_a05a_8fad71edc803" hidden="1">#REF!</definedName>
    <definedName name="TB54ee983f_1a65_4703_b3d0_93f212913a6f" hidden="1">#REF!</definedName>
    <definedName name="TB54f0650e_70c2_4017_b91f_9d7515009d24" hidden="1">#REF!</definedName>
    <definedName name="TB54f5fdf5_fabd_4d61_a30e_b74fa09253f0" hidden="1">#REF!</definedName>
    <definedName name="TB5506cd23_2770_4763_ab57_b52e77cebe71" hidden="1">#REF!</definedName>
    <definedName name="TB5514b57a_ffeb_4993_8191_b04a95dba045" hidden="1">#REF!</definedName>
    <definedName name="TB55321360_7a66_4902_9a2e_dc9d8c2ac403" hidden="1">#REF!</definedName>
    <definedName name="TB5548fb48_8ef4_4781_a1e5_742fcbbd35cf" hidden="1">#REF!</definedName>
    <definedName name="TB555bad54_3d38_43e4_a22e_4ffce7446d99" hidden="1">#REF!</definedName>
    <definedName name="TB555bd773_974d_4795_8903_ced888a69ac5" hidden="1">#REF!</definedName>
    <definedName name="TB55676132_7a0f_4326_8a82_0878cbf4ae9d" hidden="1">#REF!</definedName>
    <definedName name="TB557f58b2_7ad0_4df0_aa0c_ef1d5c5b71ec" hidden="1">#REF!</definedName>
    <definedName name="TB55ad38e2_1d94_4644_afc6_47b6a2bb3bf7" hidden="1">#REF!</definedName>
    <definedName name="TB55beda8e_78ad_4a68_8486_241f7c532094" hidden="1">#REF!</definedName>
    <definedName name="TB55cfb4fe_1b38_41c2_b40f_232add3461bb" hidden="1">#REF!</definedName>
    <definedName name="TB55e52300_4098_49ea_8d38_d487c3c66e13" hidden="1">#REF!</definedName>
    <definedName name="TB55eb5e88_3904_448d_a1cd_c92ab1ee8047" hidden="1">#REF!</definedName>
    <definedName name="TB55ee63f2_0d01_4bf2_988d_a82fe3ab6860" hidden="1">#REF!</definedName>
    <definedName name="TB55ff3ecd_ed97_4e3a_92e2_8add53d57677" hidden="1">#REF!</definedName>
    <definedName name="TB55ff70c7_0aef_4663_bd91_5e00ae46c070" hidden="1">#REF!</definedName>
    <definedName name="TB5610e090_8ba9_4ab3_b1d0_aeddf0223383" hidden="1">#REF!</definedName>
    <definedName name="TB5611cf79_3f63_4796_ae26_ce9161c5a43b" hidden="1">#REF!</definedName>
    <definedName name="TB56194d40_0039_42ca_8260_f1991af54453" hidden="1">#REF!</definedName>
    <definedName name="TB56227883_bba1_4bee_8fcb_99ff053514d1" hidden="1">#REF!</definedName>
    <definedName name="TB56278f38_3c9b_454c_b9a3_151c6f37d3ad" hidden="1">#REF!</definedName>
    <definedName name="TB562e5521_51bb_468d_a915_dbf3fe56b2b1" hidden="1">#REF!</definedName>
    <definedName name="TB563d85df_2fa1_4417_902e_de5808d2ae31" hidden="1">#REF!</definedName>
    <definedName name="TB5646fec2_f52a_4dab_a499_ea3afbce3cef" hidden="1">#REF!</definedName>
    <definedName name="TB564780a0_b404_4a86_a179_88c501ac8825" hidden="1">#REF!</definedName>
    <definedName name="TB564bca63_9890_4aca_8ca3_9bdd6536654d" hidden="1">#REF!</definedName>
    <definedName name="TB5652c6bd_13d5_434f_ab76_1431c9606ed4" hidden="1">#REF!</definedName>
    <definedName name="TB5655fc80_27b5_432b_8dc7_0d2e2bea20b3" hidden="1">#REF!</definedName>
    <definedName name="TB5659a71c_8a35_4d9c_afe9_02083ee13953" hidden="1">#REF!</definedName>
    <definedName name="TB565bd7e9_433c_4f5c_a37c_8b7b9b903cfb" hidden="1">#REF!</definedName>
    <definedName name="TB568589b0_d4f6_498a_926e_80855466484d" hidden="1">#REF!</definedName>
    <definedName name="TB56b7614e_8647_46bd_9bd5_7097af2e2245" hidden="1">#REF!</definedName>
    <definedName name="TB56c91537_3280_496e_952e_2e00cdab1dc4" hidden="1">#REF!</definedName>
    <definedName name="TB56cfbd37_e1c5_4bcf_a4c3_59e4955e4954" hidden="1">#REF!</definedName>
    <definedName name="TB56e0efe6_ef00_4b56_8e6d_2b7f4b493f1d" hidden="1">#REF!</definedName>
    <definedName name="TB56e395bd_6855_43d0_99fd_1844f2edb6ed" hidden="1">#REF!</definedName>
    <definedName name="TB56ee80d5_51ac_4d82_bf2c_c34b44accb7c" hidden="1">#REF!</definedName>
    <definedName name="TB56f4676b_6e12_4e56_9f5f_75808047f6d5" hidden="1">#REF!</definedName>
    <definedName name="TB57051f37_b664_419b_8621_10ecbf87f545" hidden="1">#REF!</definedName>
    <definedName name="TB570b4303_7bbf_451d_b74f_da859f013bf4" hidden="1">#REF!</definedName>
    <definedName name="TB571ade41_dbce_4df1_ba97_d2dc5c95ced0" hidden="1">#REF!</definedName>
    <definedName name="TB571cadfd_b623_4870_afad_f6d216362825" hidden="1">#REF!</definedName>
    <definedName name="TB57320f7d_ab72_4d3b_bc6e_03d0e349ffd0" hidden="1">#REF!</definedName>
    <definedName name="TB5753f529_8f46_4244_8350_3e6dde16d4a9" hidden="1">#REF!</definedName>
    <definedName name="TB575985bc_7452_477b_a5f8_5a4ff42eebcf" hidden="1">#REF!</definedName>
    <definedName name="TB5759ead9_1f54_4f8c_971b_4623008049d2" hidden="1">#REF!</definedName>
    <definedName name="TB575fafcc_dd71_480b_93bc_3817c000af14" hidden="1">#REF!</definedName>
    <definedName name="TB5760808a_bb96_4217_8c6b_fa5fcb070b34" hidden="1">#REF!</definedName>
    <definedName name="TB5765ca41_c828_4381_beca_f2476332b1de" hidden="1">#REF!</definedName>
    <definedName name="TB5766f1a1_bd08_4b99_ad35_abea49371970" hidden="1">#REF!</definedName>
    <definedName name="TB5769267d_ee76_4671_84b3_b4167bfa49cd" hidden="1">#REF!</definedName>
    <definedName name="TB57733dfc_af94_4886_9417_dec0d2e77c42" hidden="1">#REF!</definedName>
    <definedName name="TB5775fb83_5e5e_4a33_97ef_21835998aa92" hidden="1">#REF!</definedName>
    <definedName name="TB577b38eb_b102_4038_b5d8_76af3e0a4c74" hidden="1">#REF!</definedName>
    <definedName name="TB577becb2_145b_4911_8b1b_3b17cbfebbf8" hidden="1">#REF!</definedName>
    <definedName name="TB577e8f18_ff49_4b5e_92f1_9e9ad3f8ab38" hidden="1">#REF!</definedName>
    <definedName name="TB5780c12b_2113_4f73_941b_908c16834447" hidden="1">#REF!</definedName>
    <definedName name="TB5785ef46_f6e3_44c2_b058_6bcf41376c18" hidden="1">#REF!</definedName>
    <definedName name="TB5788ada3_ce1e_4390_99d8_e99d0c766ab4" hidden="1">#REF!</definedName>
    <definedName name="TB578f0401_4006_4230_ac3f_7e896f1f82e1" hidden="1">#REF!</definedName>
    <definedName name="TB579de14f_d81f_4094_b626_1452890b551b" hidden="1">#REF!</definedName>
    <definedName name="TB57b98144_51a6_41bf_bdf0_f16626059fcd" hidden="1">#REF!</definedName>
    <definedName name="TB57cd6ae4_87b4_4135_90bb_b1712dc9f4d1" hidden="1">#REF!</definedName>
    <definedName name="TB57e1d13b_2d36_4b0f_9873_413125cef8d2" hidden="1">#REF!</definedName>
    <definedName name="TB57e20098_8306_4298_b50e_a3427cdf24a9" hidden="1">#REF!</definedName>
    <definedName name="TB57e61bcc_77be_49f0_8c8f_f615dc00d03d" hidden="1">#REF!</definedName>
    <definedName name="TB57f17599_9976_472f_9d23_420231eeb472" hidden="1">#REF!</definedName>
    <definedName name="TB582c0635_0d45_4ae8_b150_2c702ce2fbd1" hidden="1">#REF!</definedName>
    <definedName name="TB58382963_98df_460b_95d2_ad066c416796" hidden="1">#REF!</definedName>
    <definedName name="TB583a4aa5_8088_4651_aff4_74031b658f02" hidden="1">#REF!</definedName>
    <definedName name="TB584ae989_cfdb_47f3_80df_30c0fb015abc" hidden="1">#REF!</definedName>
    <definedName name="TB5850495a_6d4c_46bc_8fdb_205957858815" hidden="1">#REF!</definedName>
    <definedName name="TB585425a6_617b_4ced_83e9_2d014ec4f36c" hidden="1">#REF!</definedName>
    <definedName name="TB585cff59_aeb8_45e5_aebb_e060759facda" hidden="1">#REF!</definedName>
    <definedName name="TB5861ad19_85f9_476f_a0b3_f603470ddd80" hidden="1">#REF!</definedName>
    <definedName name="TB5868b275_b46b_48cf_9e71_fb1668d0a734" hidden="1">#REF!</definedName>
    <definedName name="TB5882d3e2_e51b_46eb_8204_81c534c6c622" hidden="1">#REF!</definedName>
    <definedName name="TB5887581c_ca1b_489b_9c5f_e32594ba0758" hidden="1">#REF!</definedName>
    <definedName name="TB589dd1a8_fab8_420a_a369_9b865f4b7f32" hidden="1">#REF!</definedName>
    <definedName name="TB58b292a6_d223_47e3_9df4_4cf96e155174" hidden="1">#REF!</definedName>
    <definedName name="TB58d10ed0_f751_4802_9a82_97d96f551625" hidden="1">#REF!</definedName>
    <definedName name="TB58de9867_48dd_4f08_a7a4_0e188e7ccd0e" hidden="1">#REF!</definedName>
    <definedName name="TB58e54296_fb65_4a4f_b713_942c68620e77" hidden="1">#REF!</definedName>
    <definedName name="TB58f1beea_27c9_42dc_b9e0_4c8081c6db1e" hidden="1">#REF!</definedName>
    <definedName name="TB5903d680_2992_430b_9c9d_c9e47f568771" hidden="1">#REF!</definedName>
    <definedName name="TB59059f84_2744_4166_a19e_63984691af1a" hidden="1">#REF!</definedName>
    <definedName name="TB590cb5da_eed3_4080_ab0c_ed7cfef75047" hidden="1">#REF!</definedName>
    <definedName name="TB593ffd58_f6fe_4349_aeec_72e47ecbcfef" hidden="1">#REF!</definedName>
    <definedName name="TB5940cf09_5dba_4c9f_8fab_47efd1a2f4f7" hidden="1">#REF!</definedName>
    <definedName name="TB59484e9d_6701_4f63_ab8d_dfa0f30afd81" hidden="1">#REF!</definedName>
    <definedName name="TB59490877_1f08_4f9a_8d14_218f6dd726d8" hidden="1">#REF!</definedName>
    <definedName name="TB595623ae_60ed_44a2_babe_b2a92609350c" hidden="1">#REF!</definedName>
    <definedName name="TB596ab44e_64fe_489f_93ea_3c047d15bef0" hidden="1">#REF!</definedName>
    <definedName name="TB596d4cc8_ac85_4ec6_8c96_0b605a0932ad" hidden="1">#REF!</definedName>
    <definedName name="TB5979a752_ffb2_477a_a40a_051719877802" hidden="1">#REF!</definedName>
    <definedName name="TB5979b278_ccd3_4cf2_88f0_856618264e88" hidden="1">#REF!</definedName>
    <definedName name="TB597fde8e_7d9b_40e5_a14e_00488f9227db" hidden="1">#REF!</definedName>
    <definedName name="TB5985b363_8de7_4341_bd76_7f551cb2da0d" hidden="1">#REF!</definedName>
    <definedName name="TB59913656_1abf_4020_90e8_74fcf04d7d62" hidden="1">#REF!</definedName>
    <definedName name="TB599c8ddf_ef9e_4849_bc5d_0e695c38f2c4" hidden="1">#REF!</definedName>
    <definedName name="TB59b19e7d_8846_4b73_a730_8b466301c354" hidden="1">#REF!</definedName>
    <definedName name="TB59b36a45_80e3_4bfa_87d2_fcc4dede8a0f" hidden="1">#REF!</definedName>
    <definedName name="TB59b6a695_fbde_4a73_b493_fff1ffa31bea" hidden="1">#REF!</definedName>
    <definedName name="TB59c500ce_501b_4c0f_a53d_d4df0c0e01f2" hidden="1">#REF!</definedName>
    <definedName name="TB59d23265_d614_4352_a7bd_8e031f69ee05" hidden="1">#REF!</definedName>
    <definedName name="TB59f1f263_09d5_4d68_be10_8afabded4eb6" hidden="1">#REF!</definedName>
    <definedName name="TB59f77e55_271d_4691_ad9a_1283d3dc0f49" hidden="1">#REF!</definedName>
    <definedName name="TB59fdbbd0_6d9d_414c_a561_346c3e0fa990" hidden="1">#REF!</definedName>
    <definedName name="TB59ff179f_fa00_494e_89e4_db43569a38ea" hidden="1">#REF!</definedName>
    <definedName name="TB5a0204f5_68f4_43d2_9ee9_e0b3e716b3d4" hidden="1">#REF!</definedName>
    <definedName name="TB5a1309e8_547d_474f_bf8c_b8ec79bccde7" hidden="1">#REF!</definedName>
    <definedName name="TB5a17162a_a089_42d6_942e_bd0aabde8fcf" hidden="1">#REF!</definedName>
    <definedName name="TB5a184745_8e62_43be_89af_9714bbb098fd" hidden="1">#REF!</definedName>
    <definedName name="TB5a1cd5c8_f3a9_40d3_8853_dba91562eaca" hidden="1">#REF!</definedName>
    <definedName name="TB5a1f76df_5334_4e3a_b09d_c3ab33ccb719" hidden="1">#REF!</definedName>
    <definedName name="TB5a3b92dd_be8a_4cec_9f92_b8eaddd11470" hidden="1">#REF!</definedName>
    <definedName name="TB5a3b9c77_f26b_4d10_aed8_ee35515cb5be" hidden="1">#REF!</definedName>
    <definedName name="TB5a3ee9ea_3bb9_4475_8b1a_259afd5d53fa" hidden="1">#REF!</definedName>
    <definedName name="TB5a494fae_5d34_4bc1_974d_f853cb0f5b1a" hidden="1">#REF!</definedName>
    <definedName name="TB5a4db8fa_2c7e_47a6_9f25_c13c26b872fe" hidden="1">#REF!</definedName>
    <definedName name="TB5a50408c_8928_47c3_b29e_706a5eabfdbb" hidden="1">#REF!</definedName>
    <definedName name="TB5a5419f1_64cd_413d_a534_eebdfdd1e5e9" hidden="1">#REF!</definedName>
    <definedName name="TB5a645cc4_4a34_488f_adb7_16887b141def" hidden="1">#REF!</definedName>
    <definedName name="TB5a6ba4ba_57ae_4158_86ce_3c8d7031d8e8" hidden="1">#REF!</definedName>
    <definedName name="TB5a6bb0d8_8b3c_4714_8d3a_06adc08b9967" hidden="1">#REF!</definedName>
    <definedName name="TB5a6e3d56_8e0f_4c98_8832_b6a20738ad7f" hidden="1">#REF!</definedName>
    <definedName name="TB5a7cc815_3c53_48c2_9938_761a17190e11" hidden="1">#REF!</definedName>
    <definedName name="TB5a817345_5543_401e_981c_95ff07379a2d" hidden="1">#REF!</definedName>
    <definedName name="TB5a88912b_384c_4090_9016_3001ad2671bf" hidden="1">#REF!</definedName>
    <definedName name="TB5a9b156b_bbf1_43c2_95ca_faf8a3bb382a" hidden="1">#REF!</definedName>
    <definedName name="TB5aa96de7_9e7c_4d20_aa50_ae8f83bc6043" hidden="1">#REF!</definedName>
    <definedName name="TB5aafed4d_156e_409e_830a_1c1dae6ef996" hidden="1">#REF!</definedName>
    <definedName name="TB5ac47b3a_fee1_4ad7_87e2_e5e831ac259b" hidden="1">#REF!</definedName>
    <definedName name="TB5ac53c98_9545_420d_afb8_abeaa790c474" hidden="1">#REF!</definedName>
    <definedName name="TB5acf3f77_28c2_4dc5_97fd_cc34bc025a25" hidden="1">#REF!</definedName>
    <definedName name="TB5adac4a1_b75a_4486_9d3c_3c95e1237a76" hidden="1">#REF!</definedName>
    <definedName name="TB5adc3ce2_1764_4cc1_bd3f_a92a3e47e4f4" hidden="1">#REF!</definedName>
    <definedName name="TB5ae4181c_eac2_4a61_a233_1a4e38657af8" hidden="1">#REF!</definedName>
    <definedName name="TB5af8dd78_f8bd_498d_9cff_49591e282f6b" hidden="1">#REF!</definedName>
    <definedName name="TB5af9fc49_3cbe_4809_9e84_7d4d188c9bbb" hidden="1">#REF!</definedName>
    <definedName name="TB5b061e12_d7fb_42a2_b5cf_d0d02ba1df1b" hidden="1">#REF!</definedName>
    <definedName name="TB5b0c9cc0_623a_4a5a_971c_06765a9807bb" hidden="1">#REF!</definedName>
    <definedName name="TB5b0e17a0_23de_4d46_87ea_c8240a7b75d6" hidden="1">#REF!</definedName>
    <definedName name="TB5b240e45_fa68_4e0c_bb1b_448e5198592e" hidden="1">#REF!</definedName>
    <definedName name="TB5b334d3a_f4a3_4af7_97ae_75b2800b22e7" hidden="1">#REF!</definedName>
    <definedName name="TB5b352a03_6ba8_4047_ac88_123b88ce206a" hidden="1">#REF!</definedName>
    <definedName name="TB5b616801_4785_4442_9e99_afbc7a7bd529" hidden="1">#REF!</definedName>
    <definedName name="TB5b702daf_a465_4b17_bc33_a131fb77b137" hidden="1">#REF!</definedName>
    <definedName name="TB5b7e13a6_6c64_49d2_b57b_1de943552eea" hidden="1">#REF!</definedName>
    <definedName name="TB5b8a7055_dead_46c1_aaa6_a60ca92efaf6" hidden="1">#REF!</definedName>
    <definedName name="TB5b901dfb_eb39_476e_8534_2b8b2c951ff7" hidden="1">#REF!</definedName>
    <definedName name="TB5b991405_eb9a_47c6_b84e_cb3a62bb9ac8" hidden="1">#REF!</definedName>
    <definedName name="TB5b9d8cea_86da_44db_8788_dfafe8125b6b" hidden="1">#REF!</definedName>
    <definedName name="TB5bb038d0_b8f6_4f8b_85e1_9fd5ca964bf7" hidden="1">#REF!</definedName>
    <definedName name="TB5bbf0e2f_bb13_4251_b826_b3d29687ca39" hidden="1">#REF!</definedName>
    <definedName name="TB5bc16a62_88c7_4e2c_8e45_2b75140f97a7" hidden="1">#REF!</definedName>
    <definedName name="TB5bc99578_06fe_4250_833a_3a772622893b" hidden="1">#REF!</definedName>
    <definedName name="TB5be33b8e_ac71_437d_9b09_ba74d685918a" hidden="1">#REF!</definedName>
    <definedName name="TB5be92534_28b9_42bb_bd8f_d92530473830" hidden="1">#REF!</definedName>
    <definedName name="TB5bf4dd82_6e9c_454f_9007_890b6368a5b8" hidden="1">#REF!</definedName>
    <definedName name="TB5c06966f_068a_4975_aa55_0da97454ead5" hidden="1">#REF!</definedName>
    <definedName name="TB5c07c718_119f_4282_a9c8_18dfb62a67e8" hidden="1">#REF!</definedName>
    <definedName name="TB5c120405_4def_43a3_b037_d2c57425d82f" hidden="1">#REF!</definedName>
    <definedName name="TB5c1e0717_e6ab_4643_aa38_e2a24da1c70a" hidden="1">#REF!</definedName>
    <definedName name="TB5c2506e5_860f_41c5_8441_05d2712e36b0" hidden="1">#REF!</definedName>
    <definedName name="TB5c44b977_9947_4403_9add_da53fa881df2" hidden="1">#REF!</definedName>
    <definedName name="TB5c47a797_9749_4dbe_b2c5_9502405d9dfa" hidden="1">#REF!</definedName>
    <definedName name="TB5c4a460b_3772_4328_937b_68f5735aeb21" hidden="1">#REF!</definedName>
    <definedName name="TB5c51417b_93da_4ab2_a986_5d3463545612" hidden="1">#REF!</definedName>
    <definedName name="TB5c69df26_d9ff_4f61_9230_a92a9f788586" hidden="1">#REF!</definedName>
    <definedName name="TB5c704394_2074_4dad_86a9_c0d4452db650" hidden="1">#REF!</definedName>
    <definedName name="TB5c83c8c3_9998_4c1d_bca7_0a7c063d4392" hidden="1">#REF!</definedName>
    <definedName name="TB5c859318_7180_433a_b892_354bcafe6b59" hidden="1">#REF!</definedName>
    <definedName name="TB5c88754a_357a_42ec_be81_8b0331480766" hidden="1">#REF!</definedName>
    <definedName name="TB5c8a25f8_b37d_4314_992a_b9d37778482a" hidden="1">#REF!</definedName>
    <definedName name="TB5c95bf6f_0bdb_4d30_a8bb_91d360d1428f" hidden="1">#REF!</definedName>
    <definedName name="TB5c9ae670_65d2_4abe_b2ae_f3ca33baf3e5" hidden="1">#REF!</definedName>
    <definedName name="TB5ca4d7b7_05ba_4bc5_bad3_5a218a3e740a" hidden="1">#REF!</definedName>
    <definedName name="TB5caac75b_ef80_4772_b42d_0e4b88ac414e" hidden="1">#REF!</definedName>
    <definedName name="TB5cb04643_9e1c_48de_867a_811913cd31ef" hidden="1">#REF!</definedName>
    <definedName name="TB5cb0bcb2_ee19_4019_aba4_d984203e6ead" hidden="1">#REF!</definedName>
    <definedName name="TB5cb3a02f_516d_4bb9_949e_158a2e24fb50" hidden="1">#REF!</definedName>
    <definedName name="TB5cbab9f6_23a5_4ae4_b19f_03f572497c79" hidden="1">#REF!</definedName>
    <definedName name="TB5ce9972b_fede_4c73_bdab_d4ca6f096f38" hidden="1">#REF!</definedName>
    <definedName name="TB5cf382cf_9fec_42f8_a4be_d1afbfcace35" hidden="1">#REF!</definedName>
    <definedName name="TB5cffab2d_2f70_4179_be2a_cc877b4cfb63" hidden="1">#REF!</definedName>
    <definedName name="TB5d11623d_0474_4a97_9577_3e8ab5c96359" hidden="1">#REF!</definedName>
    <definedName name="TB5d39d0b7_a867_4659_81f0_3bac8aea5abd" hidden="1">#REF!</definedName>
    <definedName name="TB5d419926_c13b_4109_8d12_0fb72c38060a" hidden="1">#REF!</definedName>
    <definedName name="TB5d485e1e_556f_4de8_8140_9c23a8e36f72" hidden="1">#REF!</definedName>
    <definedName name="TB5d5f388b_5e6b_4a42_bdb2_b8432dbd232c" hidden="1">#REF!</definedName>
    <definedName name="TB5d711635_b0a7_43e0_9408_9102288693ce" hidden="1">#REF!</definedName>
    <definedName name="TB5d837df9_1e65_4be1_a35a_da8aab387e3b" hidden="1">#REF!</definedName>
    <definedName name="TB5d8e671d_d947_4766_9d18_0ef149962e70" hidden="1">#REF!</definedName>
    <definedName name="TB5d91a83c_8cf5_438b_8b5d_ae8be8eba146" hidden="1">#REF!</definedName>
    <definedName name="TB5d91c221_5c81_454c_9551_6f56d4ab4a28" hidden="1">#REF!</definedName>
    <definedName name="TB5d96f082_9d77_40b0_9e49_551da3413f4d" hidden="1">#REF!</definedName>
    <definedName name="TB5d9c1810_0ece_4054_8237_d79e98d0b153" hidden="1">#REF!</definedName>
    <definedName name="TB5d9ec26b_30c2_46ef_9287_c71e5fc738a7" hidden="1">#REF!</definedName>
    <definedName name="TB5daeff7f_6594_450f_a7d1_4f561c4caab2" hidden="1">#REF!</definedName>
    <definedName name="TB5db68573_0b16_48fa_b6b0_dcbfb6323c5a" hidden="1">#REF!</definedName>
    <definedName name="TB5dce8731_d7a3_47ed_81f1_d781f1d9dfed" hidden="1">#REF!</definedName>
    <definedName name="TB5dd828db_00d2_4c73_8a45_0918d960dd22" hidden="1">#REF!</definedName>
    <definedName name="TB5ddd5b7d_caff_46eb_b52c_81ca4885350b" hidden="1">#REF!</definedName>
    <definedName name="TB5dddee9e_e72c_41ac_8327_6216e7aec5ce" hidden="1">#REF!</definedName>
    <definedName name="TB5de513d0_a48e_4c10_82bd_37657b397563" hidden="1">#REF!</definedName>
    <definedName name="TB5ded146d_97c1_45cb_8ec4_bcd041289c51" hidden="1">#REF!</definedName>
    <definedName name="TB5dee64cb_a9ad_4782_8afe_5d3b5e72d7e4" hidden="1">#REF!</definedName>
    <definedName name="TB5e0d869c_b7a0_46f2_8548_b4244d42783c" hidden="1">#REF!</definedName>
    <definedName name="TB5e22ac59_cc93_4b4d_a668_a236ca6c566e" hidden="1">#REF!</definedName>
    <definedName name="TB5e259fbf_2a4f_4869_a93a_f0210de282bf" hidden="1">#REF!</definedName>
    <definedName name="TB5e26997c_629b_418a_9319_d22d88c9eebb" hidden="1">#REF!</definedName>
    <definedName name="TB5e2be211_dafd_462d_a7ee_d27dce001bfe" hidden="1">#REF!</definedName>
    <definedName name="TB5e2f3a1e_9532_48d7_a0f3_f8af4c640a2d" hidden="1">#REF!</definedName>
    <definedName name="TB5e2f46c6_f5de_4a3b_82a0_da8570c83a85" hidden="1">#REF!</definedName>
    <definedName name="TB5e3444e4_ac68_4e3a_9b25_4ee315cd9603" hidden="1">#REF!</definedName>
    <definedName name="TB5e3c4f3d_e258_4c6e_8cb7_e521e96b0470" hidden="1">#REF!</definedName>
    <definedName name="TB5e4674a2_cc32_4569_af09_dbfb9c0f574b" hidden="1">#REF!</definedName>
    <definedName name="TB5e69a2eb_4e3b_464b_bf5f_0f699fa12707" hidden="1">#REF!</definedName>
    <definedName name="TB5e6bad37_e662_43f6_adc6_0ea36c2c6e9c" hidden="1">#REF!</definedName>
    <definedName name="TB5e77b8a4_9e24_4846_95a8_f11cad9640c9" hidden="1">#REF!</definedName>
    <definedName name="TB5e7cb490_a87c_46bf_bb86_d53fe82e7d51" hidden="1">#REF!</definedName>
    <definedName name="TB5e7f2f0a_3762_4efa_a25d_cc7a49d0b47f" hidden="1">#REF!</definedName>
    <definedName name="TB5e9427f5_95da_48ea_bee8_21c1a8618447" hidden="1">#REF!</definedName>
    <definedName name="TB5e9e986f_5c3e_4eb7_9ccd_c2fc77c39c2a" hidden="1">#REF!</definedName>
    <definedName name="TB5e9fde2d_df05_4b8f_9de9_37771978cbed" hidden="1">#REF!</definedName>
    <definedName name="TB5ea07a81_7224_4ffb_bd57_f248f98ab93b" hidden="1">#REF!</definedName>
    <definedName name="TB5ea51511_8edb_4f21_900d_6d2b68ec2f4f" hidden="1">#REF!</definedName>
    <definedName name="TB5ebd2b36_699d_4982_97df_d5cc5ead2c34" hidden="1">#REF!</definedName>
    <definedName name="TB5ebebf33_ee95_4fe4_a23a_b72f891f010e" hidden="1">#REF!</definedName>
    <definedName name="TB5ebfa3aa_a87d_499d_9b4d_a6761ef26a78" hidden="1">#REF!</definedName>
    <definedName name="TB5ec7886d_e49e_413b_bd0a_6dba6d9c3f9c" hidden="1">#REF!</definedName>
    <definedName name="TB5ec81827_0a2a_4e1b_b053_73a093b065e8" hidden="1">#REF!</definedName>
    <definedName name="TB5ecc9996_3d4a_4821_8e83_03b046d7f804" hidden="1">#REF!</definedName>
    <definedName name="TB5edae9e2_6ec0_4f5a_995b_e6aca635de29" hidden="1">#REF!</definedName>
    <definedName name="TB5edebea3_0aa9_4680_9dc0_6883c1ca53b7" hidden="1">#REF!</definedName>
    <definedName name="TB5ee66552_6bd6_4d68_b062_9598c6c8f0e1" hidden="1">#REF!</definedName>
    <definedName name="TB5ef666c9_7709_423b_8c09_194f7ece166c" hidden="1">#REF!</definedName>
    <definedName name="TB5f02e17c_e9d9_4084_84a8_b9c65d142e78" hidden="1">#REF!</definedName>
    <definedName name="TB5f085724_50cd_4743_8bcd_c18cf990ea95" hidden="1">#REF!</definedName>
    <definedName name="TB5f143c7f_3f86_4b0a_b2d5_b014ae9751df" hidden="1">#REF!</definedName>
    <definedName name="TB5f1e2f43_ad40_4a39_9a09_4e226fa2b5b4" hidden="1">#REF!</definedName>
    <definedName name="TB5f29231f_8659_4334_858b_5a9a04b3dc14" hidden="1">#REF!</definedName>
    <definedName name="TB5f2e54a4_22fb_44e8_b606_09170c10d84d" hidden="1">#REF!</definedName>
    <definedName name="TB5f33065e_783e_4d3b_b2b7_c6564767da24" hidden="1">#REF!</definedName>
    <definedName name="TB5f3d4b89_9bf7_45d3_a8ec_9f5bf91c3c80" hidden="1">#REF!</definedName>
    <definedName name="TB5f3f36c6_7a94_4fc2_980d_7196ae187da0" hidden="1">#REF!</definedName>
    <definedName name="TB5f60e067_e193_426d_ad47_c4dbbb8d1e2a" hidden="1">#REF!</definedName>
    <definedName name="TB5f6ad0fe_1c43_4c06_bbd0_32c8fd00da07" hidden="1">#REF!</definedName>
    <definedName name="TB5f7bbfd5_620f_490c_bd2b_27e36e90e195" hidden="1">#REF!</definedName>
    <definedName name="TB5f7d28f4_ef30_4cf9_8c6f_cd90bad8ae04" hidden="1">#REF!</definedName>
    <definedName name="TB5f7f40d5_469c_45c3_9c80_05b25c4c6970" hidden="1">#REF!</definedName>
    <definedName name="TB5f89f211_675b_4d5b_ae38_75eba5ada70a" hidden="1">#REF!</definedName>
    <definedName name="TB5f91f058_3c83_4972_ada1_81f150e5f213" hidden="1">#REF!</definedName>
    <definedName name="TB5f96b3ad_d3a9_4a42_af2c_1cca7f6cc555" hidden="1">#REF!</definedName>
    <definedName name="TB5fa79648_753d_4a6b_b857_cd3a033c510a" hidden="1">#REF!</definedName>
    <definedName name="TB5faa06b4_32c0_491b_bae8_74917d1a5000" hidden="1">#REF!</definedName>
    <definedName name="TB5fba4419_0c1f_41cb_968b_2cf46ae65fe8" hidden="1">#REF!</definedName>
    <definedName name="TB5fbd4b84_c16a_48de_89ac_c8e86976bf89" hidden="1">#REF!</definedName>
    <definedName name="TB5fc0047d_3754_4ca9_82f7_b3090511aa60" hidden="1">#REF!</definedName>
    <definedName name="TB5fcc5c4d_3e40_457b_9661_6e83f494ad0d" hidden="1">#REF!</definedName>
    <definedName name="TB5fcc76ce_3e2e_4e1f_81d2_fb6110b1b2c8" hidden="1">#REF!</definedName>
    <definedName name="TB5fd349ac_82e5_464e_8da1_4e305badf748" hidden="1">#REF!</definedName>
    <definedName name="TB5fdcfd0f_2720_40e5_b0cd_29d2efdb30df" hidden="1">#REF!</definedName>
    <definedName name="TB5ff0a61a_2dd3_4fb2_bca4_5cd178263b9c" hidden="1">#REF!</definedName>
    <definedName name="TB5ff6c5e5_3be7_4e0f_885a_45f764919bab" hidden="1">#REF!</definedName>
    <definedName name="TB5ff6f0ee_6438_4e6f_8169_f587c40894a0" hidden="1">#REF!</definedName>
    <definedName name="TB5ffa4b1c_8b0b_4dd4_8854_93f1508d4811" hidden="1">#REF!</definedName>
    <definedName name="TB5ffacd08_ed63_4cc5_8ed4_31d389c78b5b" hidden="1">#REF!</definedName>
    <definedName name="TB5ffd4119_1509_4966_ad42_3282af6342e7" hidden="1">#REF!</definedName>
    <definedName name="TB600070e7_6c42_43ee_968b_75552478f45a" hidden="1">#REF!</definedName>
    <definedName name="TB60141559_53d9_48d4_bc69_5f43dc74da9c" hidden="1">#REF!</definedName>
    <definedName name="TB601cb753_afb7_422a_89d9_2352374807fb" hidden="1">#REF!</definedName>
    <definedName name="TB6022ae59_0e26_47f2_8cd6_f4b772044e8c" hidden="1">#REF!</definedName>
    <definedName name="TB6025fa8a_7bd7_4cb6_964b_d382a3469760" hidden="1">#REF!</definedName>
    <definedName name="TB6027333a_bb7c_44bc_80c9_1835cdd33033" hidden="1">#REF!</definedName>
    <definedName name="TB6032382f_ca3c_42ee_8c2c_9d86cb165797" hidden="1">#REF!</definedName>
    <definedName name="TB603ff952_0c7e_4544_8775_2feb1f1eda39" hidden="1">#REF!</definedName>
    <definedName name="TB604594df_09c1_47af_bd71_27dde4f42845" hidden="1">#REF!</definedName>
    <definedName name="TB6067dc12_724c_4ffc_96ab_e16275481737" hidden="1">#REF!</definedName>
    <definedName name="TB60716bbe_8f7f_486f_82db_8774857959e8" hidden="1">#REF!</definedName>
    <definedName name="TB6071886e_07c3_4ee0_a927_0cea74c82042" hidden="1">#REF!</definedName>
    <definedName name="TB6071b395_9f36_427d_9ef9_73c1d23520c3" hidden="1">#REF!</definedName>
    <definedName name="TB6092a4e4_cd4e_4d38_872f_9e5ef2d8557c" hidden="1">#REF!</definedName>
    <definedName name="TB609e5a98_20c2_4224_b9a1_1cf8028c6cf9" hidden="1">#REF!</definedName>
    <definedName name="TB60b0d2e3_a994_4835_a95c_83ef9425fa31" hidden="1">#REF!</definedName>
    <definedName name="TB60b2b953_0cce_4f9f_9b52_7d7c49054f09" hidden="1">#REF!</definedName>
    <definedName name="TB60e0f7c6_23c8_494d_87f3_f1f127d7f75b" hidden="1">#REF!</definedName>
    <definedName name="TB60ed2d83_8440_4377_b0d2_7984e4c15b4e" hidden="1">#REF!</definedName>
    <definedName name="TB60f56823_cb5a_4acf_b2e8_0fbb6dc70ff2" hidden="1">#REF!</definedName>
    <definedName name="TB60f6d4c3_33fd_4dd6_ae29_9b2d607859ba" hidden="1">#REF!</definedName>
    <definedName name="TB60f766d9_ad49_4c6a_a6c7_de0826582c90" hidden="1">#REF!</definedName>
    <definedName name="TB6102381e_c811_47e3_ab8b_4d91fa16250a" hidden="1">#REF!</definedName>
    <definedName name="TB610388b3_0c02_48c3_ba19_eed08cc7e0bb" hidden="1">#REF!</definedName>
    <definedName name="TB610921a4_82b2_4262_b915_c53a0e39515f" hidden="1">#REF!</definedName>
    <definedName name="TB610a2a45_ac8f_475a_be9a_09d9b2f41a7b" hidden="1">#REF!</definedName>
    <definedName name="TB6115468a_26e9_49ef_91cd_a33a78e2749a" hidden="1">#REF!</definedName>
    <definedName name="TB611a3e8c_1e73_4010_8de2_bc00bd4f8bbd" hidden="1">#REF!</definedName>
    <definedName name="TB612a7f94_c2d8_4e85_8d27_c3b3ad8a31c0" hidden="1">#REF!</definedName>
    <definedName name="TB613df148_3451_4dbc_a0b3_19a29ea1248a" hidden="1">#REF!</definedName>
    <definedName name="TB613e04bd_ad87_4fe0_a042_923e73d017bb" hidden="1">#REF!</definedName>
    <definedName name="TB6146b03c_1007_475b_b908_4b7c690ecba2" hidden="1">#REF!</definedName>
    <definedName name="TB6155ff3a_1df3_491f_a55e_bf2cb0794d61" hidden="1">#REF!</definedName>
    <definedName name="TB61685d99_a865_46fb_9555_fa65e8ad1b82" hidden="1">#REF!</definedName>
    <definedName name="TB616b25f5_6faa_434c_aae9_dde375dea021" hidden="1">#REF!</definedName>
    <definedName name="TB616ef97b_c923_4316_a0b0_5d2c77ac0003" hidden="1">#REF!</definedName>
    <definedName name="TB6171dd80_1036_4985_b2e1_a802e2cf4f52" hidden="1">#REF!</definedName>
    <definedName name="TB6179c688_4ef6_4586_84f4_f453ec054f29" hidden="1">#REF!</definedName>
    <definedName name="TB618d33ac_7f03_4179_82c2_ba509cef59ef" hidden="1">#REF!</definedName>
    <definedName name="TB619058ac_c6e2_4256_b823_5f2d7b17e7bc" hidden="1">#REF!</definedName>
    <definedName name="TB6192dff8_53ff_45e4_a3a1_50cc47128975" hidden="1">#REF!</definedName>
    <definedName name="TB619f511a_15c2_4e06_a0c3_90495fec98f2" hidden="1">#REF!</definedName>
    <definedName name="TB61a58a88_0673_4d69_b8c8_c36b7afc6f43" hidden="1">#REF!</definedName>
    <definedName name="TB61a7d909_2e91_4d30_bf1c_d44237fb841f" hidden="1">#REF!</definedName>
    <definedName name="TB61d6f7cf_dac2_47c8_ac6b_3777ca4b7120" hidden="1">#REF!</definedName>
    <definedName name="TB61d7d902_0391_4efb_b4db_055508a5b2c9" hidden="1">#REF!</definedName>
    <definedName name="TB61dfb5d1_7333_44f4_9ba0_f39e696ab28e" hidden="1">#REF!</definedName>
    <definedName name="TB61e83ced_ad71_4f9e_8c8e_00cefa76e694" hidden="1">#REF!</definedName>
    <definedName name="TB61edb852_465e_4e87_a9d8_78af1546e9d8" hidden="1">#REF!</definedName>
    <definedName name="TB61edd152_6489_4790_9d0b_c052d34d8306" hidden="1">#REF!</definedName>
    <definedName name="TB61f37bc2_db75_4bf4_b486_e0a8b336c26e" hidden="1">#REF!</definedName>
    <definedName name="TB61f4a3b8_3af8_459e_a54d_de1e36bf05b2" hidden="1">#REF!</definedName>
    <definedName name="TB61fb9861_1673_4082_bd65_5aa66fa818eb" hidden="1">#REF!</definedName>
    <definedName name="TB620e5d94_33cb_473d_9c4a_103e95869d3d" hidden="1">#REF!</definedName>
    <definedName name="TB62361428_b4b3_4007_8303_71e98397a89a" hidden="1">#REF!</definedName>
    <definedName name="TB624528f2_2c6d_49f6_aafe_0e811193738c" hidden="1">#REF!</definedName>
    <definedName name="TB624c97f1_c228_4c49_8c06_34138baf1129" hidden="1">#REF!</definedName>
    <definedName name="TB6253c100_871e_462f_83f7_9518c5488858" hidden="1">#REF!</definedName>
    <definedName name="TB625c358b_e853_41b6_bf51_75acb69806f7" hidden="1">#REF!</definedName>
    <definedName name="TB6261959e_a5e5_4be7_a3f9_cf2c679aaee7" hidden="1">#REF!</definedName>
    <definedName name="TB6262a7f8_ee00_4b8d_8aa8_bbb1471c477e" hidden="1">#REF!</definedName>
    <definedName name="TB627ef317_1eb9_4457_96f7_fdfdf215836e" hidden="1">#REF!</definedName>
    <definedName name="TB6290ccc7_f72a_4007_8e41_1c55a8e7d776" hidden="1">#REF!</definedName>
    <definedName name="TB62aca502_6751_4eb5_a41d_8c92bc26be1d" hidden="1">#REF!</definedName>
    <definedName name="TB62b65f90_b252_4ec7_b666_b9b7ef1c119a" hidden="1">#REF!</definedName>
    <definedName name="TB62ccee1a_508c_4147_9c27_0cf9b005b893" hidden="1">#REF!</definedName>
    <definedName name="TB62d7b758_9910_4f39_88e1_8a0133e0a424" hidden="1">#REF!</definedName>
    <definedName name="TB62f868ab_ccb1_4d33_bda7_7485138e666c" hidden="1">#REF!</definedName>
    <definedName name="TB62fdad81_4766_4eca_8805_3e903b6df76f" hidden="1">#REF!</definedName>
    <definedName name="TB6300fbb3_527c_4b32_91ed_136f5d2314ff" hidden="1">#REF!</definedName>
    <definedName name="TB63125580_8f36_4841_b6a1_4921434e054a" hidden="1">#REF!</definedName>
    <definedName name="TB6315c668_bccc_4da8_8fb8_33e655a1b4d0" hidden="1">#REF!</definedName>
    <definedName name="TB63173f7c_4b80_4bf1_b5f1_aebb5c1b18e4" hidden="1">#REF!</definedName>
    <definedName name="TB6325bfb7_fbff_4dcb_8b94_8cf40423cfe8" hidden="1">#REF!</definedName>
    <definedName name="TB635cdcd5_1693_42c8_a8cb_f80aada68e89" hidden="1">#REF!</definedName>
    <definedName name="TB636110f1_8837_4795_91dd_e3a8a4f19cff" hidden="1">#REF!</definedName>
    <definedName name="TB6364fd19_ff34_4f51_968c_6fcf45ed9eae" hidden="1">#REF!</definedName>
    <definedName name="TB636f69b1_eff9_479d_a333_4d965a6f6398" hidden="1">#REF!</definedName>
    <definedName name="TB6372da1a_f0a6_4d4e_bcdd_cea673a3460d" hidden="1">#REF!</definedName>
    <definedName name="TB637a3718_6fab_4919_a95f_28547c87387a" hidden="1">#REF!</definedName>
    <definedName name="TB638274a1_f471_4451_9ed2_6d2641b364f3" hidden="1">#REF!</definedName>
    <definedName name="TB63a19ebb_b883_49ba_aaa8_a6d50458acd7" hidden="1">#REF!</definedName>
    <definedName name="TB63a637da_a449_4384_84b2_e6a4051d0248" hidden="1">#REF!</definedName>
    <definedName name="TB63aaa27f_c6b4_482f_a652_292a2bb10870" hidden="1">#REF!</definedName>
    <definedName name="TB63bc0938_a82e_4f29_a2b0_9353117543d8" hidden="1">#REF!</definedName>
    <definedName name="TB63bed2a2_6512_4d51_ac85_5858897aafc5" hidden="1">#REF!</definedName>
    <definedName name="TB63c2e45b_3480_481d_bed6_dcee1cb92d80" hidden="1">#REF!</definedName>
    <definedName name="TB63d3d85a_1e97_4f6f_8d50_e391454bf2e9" hidden="1">#REF!</definedName>
    <definedName name="TB63de5a36_0f8d_47ea_80ec_5fc543b9484f" hidden="1">#REF!</definedName>
    <definedName name="TB63f7f7ae_5e90_4f41_9b7d_feb1fd39268a" hidden="1">#REF!</definedName>
    <definedName name="TB640ee553_5ded_47b6_906a_2e403630db85" hidden="1">#REF!</definedName>
    <definedName name="TB64128496_1684_42e6_98a3_55350fbd163d" hidden="1">#REF!</definedName>
    <definedName name="TB64135684_5c10_4a29_af45_b25f47c4b6d2" hidden="1">#REF!</definedName>
    <definedName name="TB64164c20_3e53_4a69_b273_7293e48f3f37" hidden="1">#REF!</definedName>
    <definedName name="TB641cd84c_b36f_4fe0_9539_3bc5584c816f" hidden="1">#REF!</definedName>
    <definedName name="TB6422fe62_40e8_409b_ab35_be979764b25f" hidden="1">#REF!</definedName>
    <definedName name="TB643aa42b_e4a8_458c_bdc7_204005003f7f" hidden="1">#REF!</definedName>
    <definedName name="TB643e9112_83c2_4c53_b543_34ebff94b7c4" hidden="1">#REF!</definedName>
    <definedName name="TB6444f6c9_dbca_4fa9_98cc_2ad2dcd3745d" hidden="1">#REF!</definedName>
    <definedName name="TB6450e3ba_71fc_4477_9068_e34ad3772964" hidden="1">#REF!</definedName>
    <definedName name="TB645107f9_0371_44fb_abe4_25ec8f31b0a8" hidden="1">#REF!</definedName>
    <definedName name="TB645d73e5_42cb_47d2_9503_f05e478eaae5" hidden="1">#REF!</definedName>
    <definedName name="TB64649589_889d_4bf5_83b1_1132dd9c1f20" hidden="1">#REF!</definedName>
    <definedName name="TB64673c78_19f3_4381_adff_5b0c9f95b746" hidden="1">#REF!</definedName>
    <definedName name="TB646e11fe_b25e_455c_8230_0b163b5328ff" hidden="1">#REF!</definedName>
    <definedName name="TB647f6ddd_2b12_415d_b530_ebe2f6931952" hidden="1">#REF!</definedName>
    <definedName name="TB64c7c66f_5196_4be2_ba22_e320aa13b2d0" hidden="1">#REF!</definedName>
    <definedName name="TB64d78323_586f_4a5f_a69e_c48f4493657d" hidden="1">#REF!</definedName>
    <definedName name="TB64d7b479_17f8_474b_bdd2_139b8af8b0db" hidden="1">#REF!</definedName>
    <definedName name="TB64e1ce94_0ef0_4922_a206_6050532c909f" hidden="1">#REF!</definedName>
    <definedName name="TB64e28e59_3d56_41a9_9e10_fc9b1ccab33d" hidden="1">#REF!</definedName>
    <definedName name="TB64f11f98_daeb_49ed_b06f_2efdfd86ebf5" hidden="1">#REF!</definedName>
    <definedName name="TB64f64fe8_e8d0_4daf_935a_099d841506c2" hidden="1">#REF!</definedName>
    <definedName name="TB64ffceb5_4429_44b2_8c34_90717158c90c" hidden="1">#REF!</definedName>
    <definedName name="TB650387d8_525b_45a7_9eae_520f3e2a23f9" hidden="1">#REF!</definedName>
    <definedName name="TB6526a63f_0e09_48b5_8243_e52c1b7f19f8" hidden="1">#REF!</definedName>
    <definedName name="TB65398d74_65df_4b6b_8c9c_e4a75ce27e16" hidden="1">#REF!</definedName>
    <definedName name="TB654b3ae0_7d25_42b1_a553_4b9aab83c13f" hidden="1">#REF!</definedName>
    <definedName name="TB655042bd_eda8_4077_8f33_7ae21acabd33" hidden="1">#REF!</definedName>
    <definedName name="TB65560a85_5b7a_445d_9f62_70c2473f9c6b" hidden="1">#REF!</definedName>
    <definedName name="TB657556ef_d546_421a_b32d_5d94ef6cf52b" hidden="1">#REF!</definedName>
    <definedName name="TB65766207_696c_4c4d_bc99_a2bff5e21130" hidden="1">#REF!</definedName>
    <definedName name="TB6599d2c7_b605_40a4_bda8_09d8811e906e" hidden="1">#REF!</definedName>
    <definedName name="TB659a7053_2e82_432b_b09e_13a2c4cd1cf2" hidden="1">#REF!</definedName>
    <definedName name="TB65a9cafd_2e0c_4e71_b8f3_dca26a9e2fcd" hidden="1">#REF!</definedName>
    <definedName name="TB65b43641_af04_4fa2_96f1_75c39e2dba32" hidden="1">#REF!</definedName>
    <definedName name="TB65b9e9f1_070a_46ff_8d8d_4e67b78d97f7" hidden="1">#REF!</definedName>
    <definedName name="TB65c4aad4_9e50_49bf_991f_15f73d6f66d9" hidden="1">#REF!</definedName>
    <definedName name="TB65ce30a4_8ac4_437a_9218_c6d0f93510f6" hidden="1">#REF!</definedName>
    <definedName name="TB65d0226e_069e_47d0_ac6e_85b70c298f65" hidden="1">#REF!</definedName>
    <definedName name="TB65d5f8bc_ccdf_4fd0_a052_aa5e8964abdf" hidden="1">#REF!</definedName>
    <definedName name="TB65e17bff_aad9_4f45_b809_d0e03be22a78" hidden="1">#REF!</definedName>
    <definedName name="TB65fa3fd2_5140_4f32_abf9_a56a3f716f8c" hidden="1">#REF!</definedName>
    <definedName name="TB66155d4a_aeec_4c1c_a7e8_a48e8c1cfba1" hidden="1">#REF!</definedName>
    <definedName name="TB662f31f5_b18e_44f3_bae3_503b0c7c084c" hidden="1">#REF!</definedName>
    <definedName name="TB6632de25_5ca1_438f_afe4_1d44362f1b3a" hidden="1">#REF!</definedName>
    <definedName name="TB6632ece6_c9b0_4f48_abbb_2bc03c8c6bbb" hidden="1">#REF!</definedName>
    <definedName name="TB66384a2e_b5e9_4700_af87_c7066da463d4" hidden="1">#REF!</definedName>
    <definedName name="TB66512430_70a5_4ff9_87f9_38442bec2f8d" hidden="1">#REF!</definedName>
    <definedName name="TB6657f5aa_f5e2_46a3_9a14_30b684015c03" hidden="1">#REF!</definedName>
    <definedName name="TB66582a60_a516_4398_9b8e_821f74e1e8dc" hidden="1">#REF!</definedName>
    <definedName name="TB66590541_88e3_474d_b565_a88e6edebf6b" hidden="1">#REF!</definedName>
    <definedName name="TB6685a1af_4459_4cbf_ba8b_5294caafd51f" hidden="1">#REF!</definedName>
    <definedName name="TB669b52ea_ba1c_4c78_ab47_041e40350a18" hidden="1">#REF!</definedName>
    <definedName name="TB66a04270_7ea8_42dd_b2c5_1e68b6ed295c" hidden="1">#REF!</definedName>
    <definedName name="TB66a0735b_f3df_4c84_a3f8_f8d6ea757196" hidden="1">#REF!</definedName>
    <definedName name="TB66a6cb29_0b7f_4c72_8cd7_9e9788b290e6" hidden="1">#REF!</definedName>
    <definedName name="TB66baf5eb_c63e_4664_98ed_96c66a41b14b" hidden="1">#REF!</definedName>
    <definedName name="TB66cbfaca_2cf8_4542_a995_40672287ea75" hidden="1">#REF!</definedName>
    <definedName name="TB66cd165c_5d91_420a_be48_7caf96a083cd" hidden="1">#REF!</definedName>
    <definedName name="TB66ce61a8_f9f6_43f4_8172_606d0dfe9465" hidden="1">#REF!</definedName>
    <definedName name="TB66d440ee_4bf5_4385_aaf5_db5a1d4adf0a" hidden="1">#REF!</definedName>
    <definedName name="TB66e22148_f593_45d8_a239_4b1497ff147c" hidden="1">#REF!</definedName>
    <definedName name="TB66e8989c_b998_419e_aefe_f86b2730772b" hidden="1">#REF!</definedName>
    <definedName name="TB67025314_08c9_4299_8097_02ef2374a994" hidden="1">#REF!</definedName>
    <definedName name="TB670e21af_e896_43c2_9079_e5629b0584d0" hidden="1">#REF!</definedName>
    <definedName name="TB6719ff87_e155_470f_9cc3_cc0ed1468533" hidden="1">#REF!</definedName>
    <definedName name="TB67294256_2860_440c_99b7_7933b7629376" hidden="1">#REF!</definedName>
    <definedName name="TB67301267_1458_43a7_a886_724a508d8dbb" hidden="1">#REF!</definedName>
    <definedName name="TB674d14ed_26c1_4f7c_b282_26b228a0a35a" hidden="1">#REF!</definedName>
    <definedName name="TB67567756_9672_4a15_9bda_c8fce7d1058e" hidden="1">#REF!</definedName>
    <definedName name="TB675d233f_8d1a_4e6a_bad8_e6c6a6549913" hidden="1">#REF!</definedName>
    <definedName name="TB675f2d7a_dbdc_485d_9bb6_5ab609cbb17a" hidden="1">#REF!</definedName>
    <definedName name="TB6772f09f_8d92_4913_99bd_edd2d1e5865f" hidden="1">#REF!</definedName>
    <definedName name="TB6778523d_0c45_4846_bfcb_54bb2721e800" hidden="1">#REF!</definedName>
    <definedName name="TB677c56f6_794b_44dc_b88b_75ea0e4cb1e4" hidden="1">#REF!</definedName>
    <definedName name="TB677eda79_61c8_468a_b16c_e36868cb6566" hidden="1">#REF!</definedName>
    <definedName name="TB678049f4_8bf9_4288_bff6_e82dc13e9d19" hidden="1">#REF!</definedName>
    <definedName name="TB6782040f_8226_4d91_ba54_9a23e06abb98" hidden="1">#REF!</definedName>
    <definedName name="TB67890c65_0be7_4e6d_83e1_712467229464" hidden="1">#REF!</definedName>
    <definedName name="TB678cb97b_25c6_4185_8487_b18c6da677cd" hidden="1">#REF!</definedName>
    <definedName name="TB678fc6fb_f826_416a_847a_bf4f68532fbe" hidden="1">#REF!</definedName>
    <definedName name="TB6791481d_08bb_4015_a73a_d9d031744996" hidden="1">#REF!</definedName>
    <definedName name="TB6793595d_d551_48c3_8c9c_b9cd29e745f5" hidden="1">#REF!</definedName>
    <definedName name="TB6795040c_cd35_42e7_a67b_75e85dc882df" hidden="1">#REF!</definedName>
    <definedName name="TB6796422f_ac82_4013_91a6_3e5d88324e40" hidden="1">#REF!</definedName>
    <definedName name="TB67a0eb3a_4ee8_4c04_9864_c02bff72af95" hidden="1">#REF!</definedName>
    <definedName name="TB67a0f9a8_ce5e_4132_938a_937bbd9ae77f" hidden="1">#REF!</definedName>
    <definedName name="TB67a308a9_4d7d_4bc2_b03b_598560d92a3e" hidden="1">#REF!</definedName>
    <definedName name="TB67a826e4_a4d2_4f92_a934_48c3ae08186d" hidden="1">#REF!</definedName>
    <definedName name="TB67b397e7_8e41_4317_a4aa_13e614be1442" hidden="1">#REF!</definedName>
    <definedName name="TB67c3fe38_ebcf_4148_a1fc_e2439aa160eb" hidden="1">#REF!</definedName>
    <definedName name="TB67c4c489_e92b_409a_85e4_1049527aa7ea" hidden="1">#REF!</definedName>
    <definedName name="TB67c5d951_e972_4a9a_add5_5d78b3dfa599" hidden="1">#REF!</definedName>
    <definedName name="TB67c5fc5e_8d55_43f7_9431_c44a83bc1678" hidden="1">#REF!</definedName>
    <definedName name="TB67d3c4b2_2034_4e86_bd69_dba87d2dcad0" hidden="1">#REF!</definedName>
    <definedName name="TB67dba6a3_d9aa_4c37_975a_6bc5a1fbf615" hidden="1">#REF!</definedName>
    <definedName name="TB67dc4427_6af7_49e6_bcf9_bdbd5c40b7e2" hidden="1">#REF!</definedName>
    <definedName name="TB67e07f3b_d70e_4a31_a8bb_71e6a3044e43" hidden="1">#REF!</definedName>
    <definedName name="TB67f54aea_fafe_432c_b146_94278a21fd97" hidden="1">#REF!</definedName>
    <definedName name="TB67f69f40_9b12_4d67_b19f_fb230872c613" hidden="1">#REF!</definedName>
    <definedName name="TB67f81a39_e8f1_45f9_b2bc_9cdb86244ff7" hidden="1">#REF!</definedName>
    <definedName name="TB68166ce3_686c_4a03_8bdd_7b745db21666" hidden="1">#REF!</definedName>
    <definedName name="TB684b7ada_f65f_4c35_ad94_622e630b9929" hidden="1">#REF!</definedName>
    <definedName name="TB684ca32b_3456_4aa5_aa47_8bfbec9e4dd2" hidden="1">#REF!</definedName>
    <definedName name="TB6860e974_499a_472e_bf10_1916e4cb639f" hidden="1">#REF!</definedName>
    <definedName name="TB68734ebd_dcdb_43a0_b83e_08898fcbda3f" hidden="1">#REF!</definedName>
    <definedName name="TB68877d61_6340_41be_9763_6ac64c03824c" hidden="1">#REF!</definedName>
    <definedName name="TB689854d9_64b9_4456_a36f_cda9aca4835d" hidden="1">#REF!</definedName>
    <definedName name="TB68a81582_84a4_44bd_9b9d_b6cb1852dc67" hidden="1">#REF!</definedName>
    <definedName name="TB68b1a36b_cfcb_4990_8678_9cf9119b99cb" hidden="1">#REF!</definedName>
    <definedName name="TB68b2473f_43f2_45b7_a528_1de8c1ffc72b" hidden="1">#REF!</definedName>
    <definedName name="TB68b66282_01dc_4437_8cd7_0ac750f8a39e" hidden="1">#REF!</definedName>
    <definedName name="TB68d339a4_2066_4c2e_928b_8882d451d0b0" hidden="1">#REF!</definedName>
    <definedName name="TB68e4e709_863c_4139_8480_3a6ed755b890" hidden="1">#REF!</definedName>
    <definedName name="TB68e6cb76_36e6_4577_a997_57daa17f3f18" hidden="1">#REF!</definedName>
    <definedName name="TB68fcfabd_a6a1_4e8b_883f_0a36312851ea" hidden="1">#REF!</definedName>
    <definedName name="TB691545ec_00f6_48cf_9626_bb2588879e73" hidden="1">#REF!</definedName>
    <definedName name="TB69210cfe_404d_45a9_864a_fddb5608f5d9" hidden="1">#REF!</definedName>
    <definedName name="TB69249357_854d_4632_aea4_81145d68c86a" hidden="1">#REF!</definedName>
    <definedName name="TB69255310_3d68_4b57_a5ae_dd89dcc369f8" hidden="1">#REF!</definedName>
    <definedName name="TB6954cbcd_ac88_42cc_82a2_c7ab52480136" hidden="1">#REF!</definedName>
    <definedName name="TB695aa87b_da92_40ff_bd92_42afefae0e3e" hidden="1">#REF!</definedName>
    <definedName name="TB6962b854_7f06_4510_92e0_adde896fe7c2" hidden="1">#REF!</definedName>
    <definedName name="TB6974081b_7090_495f_8ccc_00dde2ca8081" hidden="1">#REF!</definedName>
    <definedName name="TB6975539e_7b5f_441c_921c_be93431a267f" hidden="1">#REF!</definedName>
    <definedName name="TB69831c06_ab69_4415_baf8_397c91c9bf96" hidden="1">#REF!</definedName>
    <definedName name="TB6984d169_0753_4683_8d52_6eddc0601014" hidden="1">#REF!</definedName>
    <definedName name="TB6996fdde_d683_4274_935e_6b47c58ea14e" hidden="1">#REF!</definedName>
    <definedName name="TB69a329a0_493a_41be_adf3_5998c9df4cf0" hidden="1">#REF!</definedName>
    <definedName name="TB69a68405_6670_450f_b2d4_db6c90c7ea8b" hidden="1">#REF!</definedName>
    <definedName name="TB69b83d77_f6e7_46bb_a18b_d47a0c340c64" hidden="1">#REF!</definedName>
    <definedName name="TB69bbb3e4_704b_4495_891e_9d920b1c079a" hidden="1">#REF!</definedName>
    <definedName name="TB69c557d6_3e21_4a05_941d_5ff713351a06" hidden="1">#REF!</definedName>
    <definedName name="TB69c56fc9_5642_4309_bc67_75f7cb615ce7" hidden="1">#REF!</definedName>
    <definedName name="TB69c897da_01d3_48b4_976f_44ecb231c52f" hidden="1">#REF!</definedName>
    <definedName name="TB69d0cbfa_6669_4c83_9659_16bc95e4160a" hidden="1">#REF!</definedName>
    <definedName name="TB69d593cd_de06_47be_a1bc_1ba76a815f93" hidden="1">#REF!</definedName>
    <definedName name="TB69d6297d_1e49_4754_abfa_cf33f0b4dd0f" hidden="1">#REF!</definedName>
    <definedName name="TB69e7937f_9308_400b_9c45_ae3413ab4e02" hidden="1">#REF!</definedName>
    <definedName name="TB6a0c49f6_1f6f_49c7_8775_0a5e7f36e51a" hidden="1">#REF!</definedName>
    <definedName name="TB6a2126c5_1909_4a72_9cb9_9eadcbc0bccf" hidden="1">#REF!</definedName>
    <definedName name="TB6a2c2ae5_a1c3_44b8_b7f2_ae2ec014afad" hidden="1">#REF!</definedName>
    <definedName name="TB6a316e83_e006_4db2_b481_f180791d4cc4" hidden="1">#REF!</definedName>
    <definedName name="TB6a437421_7b5b_4f90_818a_f4b5bb1c9e0b" hidden="1">#REF!</definedName>
    <definedName name="TB6a56c8e7_bcd1_490b_843d_95879c4a0054" hidden="1">#REF!</definedName>
    <definedName name="TB6a731244_1c7a_475e_8b7a_bd63e60eac61" hidden="1">#REF!</definedName>
    <definedName name="TB6a756ae4_2c01_46f9_8db9_7cc1091755e1" hidden="1">#REF!</definedName>
    <definedName name="TB6a8084a3_42c4_4607_afff_72a8af531694" hidden="1">#REF!</definedName>
    <definedName name="TB6a8ae3ec_edab_4c5c_a34d_3de71f94ffa4" hidden="1">#REF!</definedName>
    <definedName name="TB6ab74b6e_6f47_418a_9934_73ce0cf7aea0" hidden="1">#REF!</definedName>
    <definedName name="TB6acca1cf_cbbe_4fdd_ac27_9902b268bee3" hidden="1">#REF!</definedName>
    <definedName name="TB6ad0ecf1_43f4_4b59_ad7b_7fa35ed8c3df" hidden="1">#REF!</definedName>
    <definedName name="TB6ae5f499_7ec5_4871_9e3b_891449436728" hidden="1">#REF!</definedName>
    <definedName name="TB6af34ac1_6b5b_4dfa_93c4_9c7efb1e3c6b" hidden="1">#REF!</definedName>
    <definedName name="TB6af83fee_2303_42af_9127_ea56ef552783" hidden="1">#REF!</definedName>
    <definedName name="TB6b06daa7_70ba_4828_b8eb_6edf2c636016" hidden="1">#REF!</definedName>
    <definedName name="TB6b46cf11_a895_466e_93f8_19a7ce7f1967" hidden="1">#REF!</definedName>
    <definedName name="TB6b497e9c_d07d_4bf4_ae6d_7576dbf254c0" hidden="1">#REF!</definedName>
    <definedName name="TB6b4f1c52_9623_4754_ada3_e3235cd7980a" hidden="1">#REF!</definedName>
    <definedName name="TB6b57c2b5_ba90_4049_abe1_e6372e617b3e" hidden="1">#REF!</definedName>
    <definedName name="TB6b589a65_fb14_414a_bf23_dc2a64024fb9" hidden="1">#REF!</definedName>
    <definedName name="TB6b5e6d00_674b_4fe0_950e_6f0509f44a09" hidden="1">#REF!</definedName>
    <definedName name="TB6b60176b_01d8_4115_89a0_e020f837219b" hidden="1">#REF!</definedName>
    <definedName name="TB6b6328b3_5bb5_4af5_a6e0_85d6e0375d81" hidden="1">#REF!</definedName>
    <definedName name="TB6b656ddd_8bb4_44be_a715_aec4e807987d" hidden="1">#REF!</definedName>
    <definedName name="TB6b6cdbe8_e4ca_49bd_870e_086b56aa0cfc" hidden="1">#REF!</definedName>
    <definedName name="TB6b70363b_bc20_4d44_9bfc_b88f3a602f7d" hidden="1">#REF!</definedName>
    <definedName name="TB6b774373_93c0_47c2_b906_8621afc03cb4" hidden="1">#REF!</definedName>
    <definedName name="TB6b7a17cb_cb22_4102_ad9f_5ef4388cd696" hidden="1">#REF!</definedName>
    <definedName name="TB6b84a956_b421_4879_8828_efe677b2d003" hidden="1">#REF!</definedName>
    <definedName name="TB6b8e7c64_fdab_4dec_a48f_20d21df280c5" hidden="1">#REF!</definedName>
    <definedName name="TB6b905878_19fb_439d_a10c_043130012fa0" hidden="1">#REF!</definedName>
    <definedName name="TB6ba61851_37d5_4769_8488_0838e2dd6d2b" hidden="1">#REF!</definedName>
    <definedName name="TB6ba941ea_385d_4d6b_8a90_7c06b4bb90be" hidden="1">#REF!</definedName>
    <definedName name="TB6bba0675_7275_4dfc_b169_df0a4c8f81ae" hidden="1">#REF!</definedName>
    <definedName name="TB6bc8deeb_ad84_462a_adfb_20ee045c3792" hidden="1">#REF!</definedName>
    <definedName name="TB6bc9f002_6bf6_4cd0_907f_1f5554ad440e" hidden="1">#REF!</definedName>
    <definedName name="TB6be9fa4e_3976_4097_8f53_2eabd42764d3" hidden="1">#REF!</definedName>
    <definedName name="TB6c027129_e5f7_4067_a989_735ccad51efa" hidden="1">#REF!</definedName>
    <definedName name="TB6c160402_00b2_48e5_b88a_9bee7d01a8aa" hidden="1">#REF!</definedName>
    <definedName name="TB6c1a0ba1_c517_4d78_8d40_4b09e214c2cc" hidden="1">#REF!</definedName>
    <definedName name="TB6c1c7dc2_fc4d_4e96_a8f7_3260ecb4b785" hidden="1">#REF!</definedName>
    <definedName name="TB6c28f540_5976_4671_b110_0da79ce02238" hidden="1">#REF!</definedName>
    <definedName name="TB6c38b355_ab41_4d61_bbd4_9ac04b8316aa" hidden="1">#REF!</definedName>
    <definedName name="TB6c50c395_3bbf_41fe_acc9_81b52c5e1a71" hidden="1">#REF!</definedName>
    <definedName name="TB6c53d0ac_c9fe_46a0_8af3_d771dc667e84" hidden="1">#REF!</definedName>
    <definedName name="TB6c548298_4653_4299_b595_17130dea95b5" hidden="1">#REF!</definedName>
    <definedName name="TB6c5894bd_5c28_41d3_ab6c_bf82ff15df08" hidden="1">#REF!</definedName>
    <definedName name="TB6c5b909f_7813_4ed0_88c5_0a84bfd1ed5f" hidden="1">#REF!</definedName>
    <definedName name="TB6c60a50d_b55e_4d0e_8f61_0e726c8ef300" hidden="1">#REF!</definedName>
    <definedName name="TB6c6b5308_2876_4134_96a3_3fd1e492f675" hidden="1">#REF!</definedName>
    <definedName name="TB6c766b86_03cc_470d_bbb7_49cfd34b1a50" hidden="1">#REF!</definedName>
    <definedName name="TB6c7fab64_02ea_4a7b_8ef6_5d695827c3c1" hidden="1">#REF!</definedName>
    <definedName name="TB6c8065d3_e890_40b2_b2e4_632ab0f70176" hidden="1">#REF!</definedName>
    <definedName name="TB6c833e56_61b9_4e56_93ef_0b7c499f30d2" hidden="1">#REF!</definedName>
    <definedName name="TB6c896e0b_a1bc_4658_b9bd_1d1b7e45b0a5" hidden="1">#REF!</definedName>
    <definedName name="TB6c9bb2d7_92da_4bd9_bf00_f3de2e5a5262" hidden="1">#REF!</definedName>
    <definedName name="TB6ca06195_0d57_4e36_9810_09888d3c2715" hidden="1">#REF!</definedName>
    <definedName name="TB6ca0a97b_92ed_484e_a65b_3713fea69019" hidden="1">#REF!</definedName>
    <definedName name="TB6cad7801_8644_4f18_9a15_a056110cf4c6" hidden="1">#REF!</definedName>
    <definedName name="TB6cbd0b57_6768_483d_9c24_43d629ae2f92" hidden="1">#REF!</definedName>
    <definedName name="TB6cc2ab81_6503_4fa4_954b_2a95cd1c4ce9" hidden="1">#REF!</definedName>
    <definedName name="TB6cf52868_dcb5_40e7_9c01_88c6d8b5a0b0" hidden="1">#REF!</definedName>
    <definedName name="TB6d00899a_ff3a_4ff5_b08d_0fbcbcfeba5a" hidden="1">#REF!</definedName>
    <definedName name="TB6d0c5357_4857_4b1b_b06f_ff0eee74dc27" hidden="1">#REF!</definedName>
    <definedName name="TB6d124c2b_f730_47a1_9e11_daf56d0efb91" hidden="1">#REF!</definedName>
    <definedName name="TB6d1ea421_bd97_4597_b423_4f9344ac6d7b" hidden="1">#REF!</definedName>
    <definedName name="TB6d2e4553_fef7_4d6c_9b73_70d7f417efef" hidden="1">#REF!</definedName>
    <definedName name="TB6d54925c_353d_402d_b92f_057f13f9616d" hidden="1">#REF!</definedName>
    <definedName name="TB6d584f44_887f_4693_b008_210ad2d8f03c" hidden="1">#REF!</definedName>
    <definedName name="TB6d63e534_15e3_4255_aef5_9ebb0cfd6622" hidden="1">#REF!</definedName>
    <definedName name="TB6d6c5dfc_29ab_47c0_ae4b_7447449f08ce" hidden="1">#REF!</definedName>
    <definedName name="TB6d77744a_f5bb_4054_91fe_7e98c0da39f7" hidden="1">#REF!</definedName>
    <definedName name="TB6d8901df_8e79_4c02_b38c_b97fa7d029f9" hidden="1">#REF!</definedName>
    <definedName name="TB6d8e6446_f97b_4965_8af7_182ab4a49c20" hidden="1">#REF!</definedName>
    <definedName name="TB6d8ff1b4_96a7_44a5_9908_738601c1dca8" hidden="1">#REF!</definedName>
    <definedName name="TB6da0db92_fd8b_4bf7_9f8f_63492828a458" hidden="1">#REF!</definedName>
    <definedName name="TB6da6902a_5b3e_4751_b4e0_f40cea9d2b6d" hidden="1">#REF!</definedName>
    <definedName name="TB6daed3f6_0401_48bc_9a19_2160dbd3373b" hidden="1">#REF!</definedName>
    <definedName name="TB6dc7032d_7fc5_4116_9319_fbc30dfea7ba" hidden="1">#REF!</definedName>
    <definedName name="TB6dc923bb_4289_4ac6_9916_13df27d0c60c" hidden="1">#REF!</definedName>
    <definedName name="TB6dd4c1b8_c15c_4590_92ec_b21820063deb" hidden="1">#REF!</definedName>
    <definedName name="TB6dd7d633_61e5_4f20_9515_08f1846297c6" hidden="1">#REF!</definedName>
    <definedName name="TB6ddc03f3_c9e3_4309_9c21_d6ab1f93d9f5" hidden="1">#REF!</definedName>
    <definedName name="TB6dead373_6402_4412_a7a5_9d38fb553c8b" hidden="1">#REF!</definedName>
    <definedName name="TB6e08d4d4_3b57_4282_aab6_2f1960e90fa5" hidden="1">#REF!</definedName>
    <definedName name="TB6e09dcab_7bef_4fa3_9897_6b76315486f1" hidden="1">#REF!</definedName>
    <definedName name="TB6e245add_ed35_4fb3_a488_961df38f763f" hidden="1">#REF!</definedName>
    <definedName name="TB6e2f3d18_d9b5_47fc_9da1_4b9b84ca69b0" hidden="1">#REF!</definedName>
    <definedName name="TB6e30772a_ccc8_4405_9775_6efbfc3f883d" hidden="1">#REF!</definedName>
    <definedName name="TB6e4d40aa_a866_4c1d_b285_5e6b79c40df2" hidden="1">#REF!</definedName>
    <definedName name="TB6e832d7e_e97d_490e_a87c_92da03a4bb94" hidden="1">#REF!</definedName>
    <definedName name="TB6e85bd79_f6bf_4e38_b17c_839d5eb205d1" hidden="1">#REF!</definedName>
    <definedName name="TB6e955a66_36cd_4c7b_b929_51e0c7afdd65" hidden="1">#REF!</definedName>
    <definedName name="TB6e984b61_90ae_49ff_86b1_c909b1949a25" hidden="1">#REF!</definedName>
    <definedName name="TB6e9a9e5b_3f52_4730_9984_985a9147453b" hidden="1">#REF!</definedName>
    <definedName name="TB6e9f1694_e51c_4bef_b01a_55cd9e7d4967" hidden="1">#REF!</definedName>
    <definedName name="TB6ea30855_ee07_45f8_922a_3cae6bba4306" hidden="1">#REF!</definedName>
    <definedName name="TB6eb5d605_7623_46b3_b6bc_9f1584017553" hidden="1">#REF!</definedName>
    <definedName name="TB6ebdf0d5_5de0_4ed7_a0c0_b48bb70e345e" hidden="1">#REF!</definedName>
    <definedName name="TB6ed5e3a2_a8c2_4e85_8fb1_0a34532cc71f" hidden="1">#REF!</definedName>
    <definedName name="TB6edef008_b8ff_440e_8f60_acc25dbb2df6" hidden="1">#REF!</definedName>
    <definedName name="TB6efadf63_9e79_49c5_ba11_f068ffd0ab0d" hidden="1">#REF!</definedName>
    <definedName name="TB6f0cb7c9_0d13_43f8_9f5e_cc35e7f59476" hidden="1">#REF!</definedName>
    <definedName name="TB6f104798_11d6_4384_951f_8e503adec301" hidden="1">#REF!</definedName>
    <definedName name="TB6f19522c_a145_43ee_92f5_43507be01105" hidden="1">#REF!</definedName>
    <definedName name="TB6f2ae84c_8ad1_41f2_adb6_cdbc345278a3" hidden="1">#REF!</definedName>
    <definedName name="TB6f3895c0_63f3_4d17_ad1a_3a27b5b232bf" hidden="1">#REF!</definedName>
    <definedName name="TB6f4502ed_8dd1_4e77_8c6b_bd0340812594" hidden="1">#REF!</definedName>
    <definedName name="TB6f5ea663_a1a6_4b14_87d7_213b879e02f8" hidden="1">#REF!</definedName>
    <definedName name="TB6f6567bc_c208_46d5_a6cf_95d1d6249844" hidden="1">#REF!</definedName>
    <definedName name="TB6f7f9a25_430f_4989_9b02_71a789e7c82c" hidden="1">#REF!</definedName>
    <definedName name="TB6f9ef2e0_36d6_4b94_a065_c615bb350c59" hidden="1">#REF!</definedName>
    <definedName name="TB6fa19556_bee6_40c5_a43e_daff259ff6bf" hidden="1">#REF!</definedName>
    <definedName name="TB6fa529d4_91a6_4ed2_9824_378618ecb8d5" hidden="1">#REF!</definedName>
    <definedName name="TB6fad8d11_13e1_4d46_830c_fe06a4633daa" hidden="1">#REF!</definedName>
    <definedName name="TB6fc65cfa_62c8_4048_a575_e561fa709def" hidden="1">#REF!</definedName>
    <definedName name="TB6fc683c4_5020_4cb7_bacd_5467fb7d5d00" hidden="1">#REF!</definedName>
    <definedName name="TB6fc6e964_fb3a_4030_8e23_876c0318b6c5" hidden="1">#REF!</definedName>
    <definedName name="TB6fccdc43_6b83_47e7_9d7a_30ade492a254" hidden="1">#REF!</definedName>
    <definedName name="TB6fd1c325_42d1_49d6_abcc_e551d786f160" hidden="1">#REF!</definedName>
    <definedName name="TB6fd40a6b_8950_4545_a20b_69150b52f8c4" hidden="1">#REF!</definedName>
    <definedName name="TB6fd77ecd_cd06_4979_92fc_af6971311019" hidden="1">#REF!</definedName>
    <definedName name="TB6fdee56a_1153_4559_83e2_af7eca882558" hidden="1">#REF!</definedName>
    <definedName name="TB6ffd52fb_ac8c_4fd9_bdcb_80567e8961a5" hidden="1">#REF!</definedName>
    <definedName name="TB7009e0d7_0e44_4270_8c90_c2f1bd8afbd3" hidden="1">#REF!</definedName>
    <definedName name="TB700e1071_f63c_422d_8f39_5a574e6f7ba1" hidden="1">#REF!</definedName>
    <definedName name="TB70131170_b3e2_4e71_b85f_ee09ed43ce56" hidden="1">#REF!</definedName>
    <definedName name="TB7025c292_6565_4ad8_8e24_7bd2cc6ea192" hidden="1">#REF!</definedName>
    <definedName name="TB7031542e_333c_4d52_997d_00b82105de81" hidden="1">#REF!</definedName>
    <definedName name="TB703b4af9_c6b8_407c_ade0_ce9d8c038f7b" hidden="1">#REF!</definedName>
    <definedName name="TB70402a64_6bac_4140_93ac_d7174f986156" hidden="1">#REF!</definedName>
    <definedName name="TB705e8d31_a505_4f58_bbf0_9965f1416479" hidden="1">#REF!</definedName>
    <definedName name="TB7082187a_4046_4fc1_9840_67ccf54f7cdc" hidden="1">#REF!</definedName>
    <definedName name="TB7084cbea_bf43_49f0_be37_404e342d3fa5" hidden="1">#REF!</definedName>
    <definedName name="TB7085f720_63da_4a82_9440_3d12f80e3b9f" hidden="1">#REF!</definedName>
    <definedName name="TB70867e67_883e_4041_94c0_682e77f92ede" hidden="1">#REF!</definedName>
    <definedName name="TB7087baeb_7eca_4c82_8ac0_90c74ffcae20" hidden="1">#REF!</definedName>
    <definedName name="TB708d0d99_57c7_4c92_8d91_2f886d929d2a" hidden="1">#REF!</definedName>
    <definedName name="TB709d2d74_7e9c_4905_a45d_977ed97159c3" hidden="1">#REF!</definedName>
    <definedName name="TB70a50ecc_0654_40d5_b4de_af364378ce40" hidden="1">#REF!</definedName>
    <definedName name="TB70a7765f_549a_4ada_9b58_37356cceee1d" hidden="1">#REF!</definedName>
    <definedName name="TB70a9d81d_92a6_427f_b2c0_c74172b07cd7" hidden="1">#REF!</definedName>
    <definedName name="TB70b98e64_b53f_4b97_97c8_4d5ac5b94fcc" hidden="1">#REF!</definedName>
    <definedName name="TB70d7ca05_27f6_402e_990b_c7a0c3d9b15b" hidden="1">#REF!</definedName>
    <definedName name="TB70e750aa_0ad0_461e_a616_828af16bc607" hidden="1">#REF!</definedName>
    <definedName name="TB70f32019_3956_463f_9460_22580024268c" hidden="1">#REF!</definedName>
    <definedName name="TB71278284_cb7d_4a7b_9b12_1ec08047d048" hidden="1">#REF!</definedName>
    <definedName name="TB71293745_2701_4d0a_92c9_21b4234e2588" hidden="1">#REF!</definedName>
    <definedName name="TB71557584_c34b_4a9b_889f_16d446023e63" hidden="1">#REF!</definedName>
    <definedName name="TB7164ad7c_d92c_4b6b_9104_60a197fe08b1" hidden="1">#REF!</definedName>
    <definedName name="TB716ee007_047e_4cad_ae1b_fb72c91e223c" hidden="1">#REF!</definedName>
    <definedName name="TB71ab04f1_9f9f_411e_ab19_b2d977a587da" hidden="1">#REF!</definedName>
    <definedName name="TB71acb533_3630_454c_8bfd_c79b47805a34" hidden="1">#REF!</definedName>
    <definedName name="TB71b20d71_c258_448e_9aba_3921abe7dd3f" hidden="1">#REF!</definedName>
    <definedName name="TB71b24031_86e5_4106_9f1c_335ebdaba18f" hidden="1">#REF!</definedName>
    <definedName name="TB71df501e_9107_4495_b823_2cd455311a8c" hidden="1">#REF!</definedName>
    <definedName name="TB71ef0913_362c_4e90_91b2_e8a08ef3bdf0" hidden="1">#REF!</definedName>
    <definedName name="TB71fa22fd_9455_4f34_842f_735c628c90bd" hidden="1">#REF!</definedName>
    <definedName name="TB71faf001_ee72_4624_a787_a81ad0e71012" hidden="1">#REF!</definedName>
    <definedName name="TB720e9499_500e_40bd_98bf_6ff4bc2eba84" hidden="1">#REF!</definedName>
    <definedName name="TB72114956_a099_4c76_9ead_a7123e85d537" hidden="1">#REF!</definedName>
    <definedName name="TB722a2c47_b24c_4abe_a167_b2d1dd3931b1" hidden="1">#REF!</definedName>
    <definedName name="TB722cc313_e4c8_4bea_85ca_ccf569ccbe2b" hidden="1">#REF!</definedName>
    <definedName name="TB7231fc22_6c2f_45db_ac36_de4989a55fe4" hidden="1">#REF!</definedName>
    <definedName name="TB724be9ea_0e39_47ee_91e4_9c36336a8fa6" hidden="1">#REF!</definedName>
    <definedName name="TB72588003_6d73_4179_995d_73327fad7820" hidden="1">#REF!</definedName>
    <definedName name="TB7258ad1a_eb07_4f97_98f6_10e001fab644" hidden="1">#REF!</definedName>
    <definedName name="TB7277807e_4716_4a22_8e37_7eb49b168427" hidden="1">#REF!</definedName>
    <definedName name="TB727bfea1_d5da_4731_b532_9f0fcfdd4926" hidden="1">#REF!</definedName>
    <definedName name="TB728ff62e_efd6_4631_9690_23fa803b10be" hidden="1">#REF!</definedName>
    <definedName name="TB729781ff_0205_43cc_ba64_4dd820aa56ae" hidden="1">#REF!</definedName>
    <definedName name="TB72b07fed_8e49_41f5_9441_8f9dd047fb2d" hidden="1">#REF!</definedName>
    <definedName name="TB72c9eb2c_7c71_40d9_a8b3_fb625fbd5fc3" hidden="1">#REF!</definedName>
    <definedName name="TB72ca622a_ac29_4394_ad5b_e1af2d2a667e" hidden="1">#REF!</definedName>
    <definedName name="TB72d372de_edc2_4db1_a352_f704b785b80a" hidden="1">#REF!</definedName>
    <definedName name="TB72f99be0_71d2_4522_961b_df5a44c891bd" hidden="1">#REF!</definedName>
    <definedName name="TB72fd71b1_787e_43c2_b3f0_a0c6860617db" hidden="1">#REF!</definedName>
    <definedName name="TB730ebbc4_7384_4eb1_a509_8d89ede624d9" hidden="1">#REF!</definedName>
    <definedName name="TB7319af10_4a4d_4014_8428_e4f3020b920f" hidden="1">#REF!</definedName>
    <definedName name="TB73239da7_cfe2_4163_a252_42cd4b296510" hidden="1">#REF!</definedName>
    <definedName name="TB732bb669_124c_4112_8cbe_42541cad4592" hidden="1">#REF!</definedName>
    <definedName name="TB732df777_a5a3_42d0_bb0e_68db40ca5836" hidden="1">#REF!</definedName>
    <definedName name="TB7348bf73_1057_4649_bdf9_6d0e4d01b6d3" hidden="1">#REF!</definedName>
    <definedName name="TB734ae4c3_d2b8_4ce8_a453_0ddd5814dc5e" hidden="1">#REF!</definedName>
    <definedName name="TB735124db_7656_4c91_a276_47210c6b3388" hidden="1">#REF!</definedName>
    <definedName name="TB735656bd_b72d_4f4b_bcc2_bea0aaa432dd" hidden="1">#REF!</definedName>
    <definedName name="TB735849a4_4947_412d_8735_276107e03537" hidden="1">#REF!</definedName>
    <definedName name="TB735d13b8_3192_4f8a_bd50_0d55dbfc4795" hidden="1">#REF!</definedName>
    <definedName name="TB7378c9ff_5cf0_48bc_91f8_7ea2f3117c65" hidden="1">#REF!</definedName>
    <definedName name="TB738d08a3_46cd_47f4_8d25_d049ecb9235e" hidden="1">#REF!</definedName>
    <definedName name="TB73c1f385_f007_4bee_861f_22b1ed504b98" hidden="1">#REF!</definedName>
    <definedName name="TB73d0dd2b_8846_476e_9e7e_6779f0e19332" hidden="1">#REF!</definedName>
    <definedName name="TB73e2d9a4_6917_469a_b149_f8edaf224423" hidden="1">#REF!</definedName>
    <definedName name="TB73e785ed_2fa8_44c8_902b_fd145b99b0e5" hidden="1">#REF!</definedName>
    <definedName name="TB73e9f514_580c_4bab_b4e6_c08625cccf48" hidden="1">#REF!</definedName>
    <definedName name="TB73f79f02_41c9_4ea1_9f09_4468f92b3280" hidden="1">#REF!</definedName>
    <definedName name="TB73f82b0b_613d_4a48_93bb_125e486516a9" hidden="1">#REF!</definedName>
    <definedName name="TB7406d0c8_ae00_42b5_837a_3553cd291be4" hidden="1">#REF!</definedName>
    <definedName name="TB740dc910_7e51_402d_a3f1_de26801ce2dd" hidden="1">#REF!</definedName>
    <definedName name="TB7421d527_d754_4f0f_9a62_007e9b4e59d8" hidden="1">#REF!</definedName>
    <definedName name="TB74228df3_ff24_4411_bf49_c7bd3cba22e3" hidden="1">#REF!</definedName>
    <definedName name="TB7426fc78_513c_4177_9fa7_207d8dfef0c2" hidden="1">#REF!</definedName>
    <definedName name="TB74282b27_82a8_4777_a54b_6df69b5dc414" hidden="1">#REF!</definedName>
    <definedName name="TB742b977f_02c0_43f4_b202_b1dcb488b8e4" hidden="1">#REF!</definedName>
    <definedName name="TB743214b1_4f36_42b5_83c3_f9189893ab96" hidden="1">#REF!</definedName>
    <definedName name="TB7437f607_0bf8_4e68_8e4e_11d8da40223e" hidden="1">#REF!</definedName>
    <definedName name="TB74424f56_bc8c_480b_8695_98eb08640963" hidden="1">#REF!</definedName>
    <definedName name="TB745b5f87_27b5_4ee5_b694_fbeefbfb25e5" hidden="1">#REF!</definedName>
    <definedName name="TB745d0fe3_1d4b_4205_bb80_e6a87c0b82cd" hidden="1">#REF!</definedName>
    <definedName name="TB746676ee_951f_4563_91e2_aa13cf3e80d2" hidden="1">#REF!</definedName>
    <definedName name="TB747e8665_df62_4728_83e4_7ea3dde2e4b7" hidden="1">#REF!</definedName>
    <definedName name="TB7480fc74_b71a_4e00_aae6_72d0573de591" hidden="1">#REF!</definedName>
    <definedName name="TB748296a5_01f8_4097_822d_7b149bf3b05e" hidden="1">#REF!</definedName>
    <definedName name="TB748296ad_bc6c_4fed_8ada_656a8183ff8f" hidden="1">#REF!</definedName>
    <definedName name="TB7485f5b1_0fcd_4870_bf76_ecf991833241" hidden="1">#REF!</definedName>
    <definedName name="TB7488e692_43b2_4abc_8510_10d45c297474" hidden="1">#REF!</definedName>
    <definedName name="TB74938fbd_9559_4c33_8b3e_7628ade94ddb" hidden="1">#REF!</definedName>
    <definedName name="TB74aa826c_4f58_40c5_8dae_c5c46a5928c4" hidden="1">#REF!</definedName>
    <definedName name="TB74c18a2e_e34c_4efa_ab9c_74641e337db9" hidden="1">#REF!</definedName>
    <definedName name="TB74dd7fbf_1033_48a0_955f_aa672d291243" hidden="1">#REF!</definedName>
    <definedName name="TB74e1edbf_ee57_4deb_8848_7f872560b744" hidden="1">#REF!</definedName>
    <definedName name="TB74e2f542_5921_46b3_8a78_01da222cb45a" hidden="1">#REF!</definedName>
    <definedName name="TB74e61869_1146_4a66_9826_0bda03bc9243" hidden="1">#REF!</definedName>
    <definedName name="TB74efeb6e_a07a_4413_ba4c_7f55186a2e55" hidden="1">#REF!</definedName>
    <definedName name="TB7510fa2e_addc_46ac_8b10_f512d62dfaf6" hidden="1">#REF!</definedName>
    <definedName name="TB751a02a1_d742_4684_adf4_45deced8a151" hidden="1">#REF!</definedName>
    <definedName name="TB7525e08b_d6a3_47c6_95fd_0fef2bb711b9" hidden="1">#REF!</definedName>
    <definedName name="TB752aafdb_6e6f_42e4_909f_4faa9c1589bb" hidden="1">#REF!</definedName>
    <definedName name="TB752ce5ac_ad7f_4e2a_ac29_d1de39cc933b" hidden="1">#REF!</definedName>
    <definedName name="TB752d7997_b350_45a2_ade1_287690694907" hidden="1">#REF!</definedName>
    <definedName name="TB752e2173_571a_4c69_9267_b9ff0f9eb16d" hidden="1">#REF!</definedName>
    <definedName name="TB7547766b_334c_4363_a5a2_60f6c5b4c8cc" hidden="1">#REF!</definedName>
    <definedName name="TB754af229_1d76_4e6d_875a_89c9bbbb9f47" hidden="1">#REF!</definedName>
    <definedName name="TB75510201_2ed1_4e36_b7c0_79fe48639a23" hidden="1">#REF!</definedName>
    <definedName name="TB756235e6_a3fc_46d7_bb92_884c692175e3" hidden="1">#REF!</definedName>
    <definedName name="TB7565ca25_9545_492a_9b2d_c84eb8639abb" hidden="1">#REF!</definedName>
    <definedName name="TB75706ded_9928_40a3_a187_9eb97f6d06ed" hidden="1">#REF!</definedName>
    <definedName name="TB757b7487_a8ae_414f_bdf5_d215c3dde8b6" hidden="1">#REF!</definedName>
    <definedName name="TB7593f4d7_8f55_460b_8fb6_fa5dec9f5ed4" hidden="1">#REF!</definedName>
    <definedName name="TB75a3d7af_01e3_4281_b1d4_c3b3ac4e49cd" hidden="1">#REF!</definedName>
    <definedName name="TB75c22231_210b_4bfb_9e09_d29860e1c1bf" hidden="1">#REF!</definedName>
    <definedName name="TB75cc4466_f735_46fb_a228_507dce170fd7" hidden="1">#REF!</definedName>
    <definedName name="TB75d49746_2512_4972_9da9_b128f1da794e" hidden="1">#REF!</definedName>
    <definedName name="TB75eab592_7130_4e38_9a0f_117c46cc280c" hidden="1">#REF!</definedName>
    <definedName name="TB75f47ede_3e46_41ee_9239_7667f0c2d0ed" hidden="1">#REF!</definedName>
    <definedName name="TB75f5890d_9662_4477_84d0_aa0474a4cf76" hidden="1">#REF!</definedName>
    <definedName name="TB75fc5a11_dfe9_4fa4_8189_41321716b7c4" hidden="1">#REF!</definedName>
    <definedName name="TB7603d1fc_94f5_41cd_a363_251260d0d764" hidden="1">#REF!</definedName>
    <definedName name="TB76070d2d_56bb_49b9_afe5_3214a11fa8c5" hidden="1">#REF!</definedName>
    <definedName name="TB7607b138_4382_4550_b2ee_92d235003d65" hidden="1">#REF!</definedName>
    <definedName name="TB760a2b10_9089_4ee1_8a78_925176d05dbb" hidden="1">#REF!</definedName>
    <definedName name="TB7627c39c_799b_49b1_9273_076cd51839e5" hidden="1">#REF!</definedName>
    <definedName name="TB762ef702_2fca_430a_bfe9_c81d67b9dceb" hidden="1">#REF!</definedName>
    <definedName name="TB7635844b_d2dc_405c_8f9a_c4b4ee4ca4d7" hidden="1">#REF!</definedName>
    <definedName name="TB7640d76b_0d72_409b_a663_8fa1ae780cc1" hidden="1">#REF!</definedName>
    <definedName name="TB764df71f_2c52_4f36_8f0a_ef972e9868c9" hidden="1">#REF!</definedName>
    <definedName name="TB765c7064_976d_4607_be9d_a53597e4c79c" hidden="1">#REF!</definedName>
    <definedName name="TB766a468e_f115_4cfe_ac7b_df2d50d4aeb1" hidden="1">#REF!</definedName>
    <definedName name="TB7676a8fb_f49f_4ea9_b1ef_023511c6d530" hidden="1">#REF!</definedName>
    <definedName name="TB76879b01_2656_4932_a37b_87439cc0aed8" hidden="1">#REF!</definedName>
    <definedName name="TB768c8a6e_2b44_444d_9433_7bba0643a4fe" hidden="1">#REF!</definedName>
    <definedName name="TB7697ac00_19f1_4c87_84b3_4ded682fdca0" hidden="1">#REF!</definedName>
    <definedName name="TB76a8528f_5297_47e6_b606_7b409e78cd04" hidden="1">#REF!</definedName>
    <definedName name="TB76a9058e_d558_42f7_9a1c_712b9d9c17aa" hidden="1">#REF!</definedName>
    <definedName name="TB76aaff37_d32a_47d1_a2bf_36d72bd5b045" hidden="1">#REF!</definedName>
    <definedName name="TB76adb81a_32d6_4485_9f8f_47645eb60d11" hidden="1">#REF!</definedName>
    <definedName name="TB76ae127e_13e8_4c0e_87cf_57777bc820b7" hidden="1">#REF!</definedName>
    <definedName name="TB76c9c17e_3f33_4f4e_89a5_5eaa1e5aa914" hidden="1">#REF!</definedName>
    <definedName name="TB76d178b6_0ee5_4aad_a416_7f587c50c385" hidden="1">#REF!</definedName>
    <definedName name="TB76d81f0d_a9fa_4150_9cf2_b92e62162886" hidden="1">#REF!</definedName>
    <definedName name="TB76d9f580_3691_4707_a8fc_bf0718152cff" hidden="1">#REF!</definedName>
    <definedName name="TB76deebb1_3e5f_4c72_8ef9_4bf1054a48b8" hidden="1">#REF!</definedName>
    <definedName name="TB76e1a1a3_5e72_4340_be29_7c8a55d99bb1" hidden="1">#REF!</definedName>
    <definedName name="TB76f2eed8_4794_44b3_8677_5e0c5bf72625" hidden="1">#REF!</definedName>
    <definedName name="TB7700a939_2b03_42bb_9f15_8f5bf8dc0570" hidden="1">#REF!</definedName>
    <definedName name="TB77010c87_db64_4f1b_9c2c_0fba483e847c" hidden="1">#REF!</definedName>
    <definedName name="TB7703d491_7bb8_4c98_bfe8_a276113e1c1e" hidden="1">#REF!</definedName>
    <definedName name="TB77090fdf_f145_47f0_9257_f6efcdd01ff0" hidden="1">#REF!</definedName>
    <definedName name="TB771c2812_2013_4fc0_bb11_a213f1131de9" hidden="1">#REF!</definedName>
    <definedName name="TB771d49d8_b419_476e_b7b8_b299870c3da3" hidden="1">#REF!</definedName>
    <definedName name="TB77206f3d_3cd9_4a99_8e9a_40556ba7e658" hidden="1">#REF!</definedName>
    <definedName name="TB772d5587_d3e8_463c_8607_197955f4a582" hidden="1">#REF!</definedName>
    <definedName name="TB772e6a6e_fc32_45f1_bab5_3e155a7789f8" hidden="1">#REF!</definedName>
    <definedName name="TB773752f0_b743_4629_af7f_46253d8c5433" hidden="1">#REF!</definedName>
    <definedName name="TB773d684c_01f1_4e3d_9855_8e84afd390de" hidden="1">#REF!</definedName>
    <definedName name="TB773fc82a_1134_4ed4_bfa4_b1d5634798c8" hidden="1">#REF!</definedName>
    <definedName name="TB7768a2e7_c10d_40cd_9c73_61c1f8295217" hidden="1">#REF!</definedName>
    <definedName name="TB776a5d6e_3ced_4e04_a4b3_a881d858def3" hidden="1">#REF!</definedName>
    <definedName name="TB778eb30e_0eb1_478e_a537_67b47a553c9e" hidden="1">#REF!</definedName>
    <definedName name="TB7795f143_20ac_44d7_9fc7_0033082c4e5c" hidden="1">#REF!</definedName>
    <definedName name="TB779991af_3f03_4288_8f27_1084fd112ba0" hidden="1">#REF!</definedName>
    <definedName name="TB77b066ff_968e_40c9_a3de_f87aabe597b8" hidden="1">#REF!</definedName>
    <definedName name="TB77b0e796_f3e5_48df_980e_1d9e2fc1665b" hidden="1">#REF!</definedName>
    <definedName name="TB77b119f5_c0f5_47bf_a694_cb582cd408ac" hidden="1">#REF!</definedName>
    <definedName name="TB77b70a1f_41cf_41f3_8272_e77664327237" hidden="1">#REF!</definedName>
    <definedName name="TB77c2013c_1c46_4096_bfaa_63a6604e17f1" hidden="1">#REF!</definedName>
    <definedName name="TB77c2d5a2_b349_4b22_88f5_e6ef15a1c289" hidden="1">#REF!</definedName>
    <definedName name="TB77c34ed6_aa83_4434_b8b3_6254c798f6da" hidden="1">#REF!</definedName>
    <definedName name="TB77cf6a7f_ef51_4324_99b5_b11a615a058a" hidden="1">#REF!</definedName>
    <definedName name="TB77dbfbbc_1c77_4d65_aa7e_6f8c004a2c63" hidden="1">#REF!</definedName>
    <definedName name="TB77dfb36a_34ea_4140_a48f_842fdcfe9df1" hidden="1">#REF!</definedName>
    <definedName name="TB77e8918d_e8ae_4661_9826_078d855a3ac4" hidden="1">#REF!</definedName>
    <definedName name="TB77f8cb81_f99f_4d00_b54a_c1ae411d4843" hidden="1">#REF!</definedName>
    <definedName name="TB7802ef56_b652_467c_b6c1_dc3d96d8689e" hidden="1">#REF!</definedName>
    <definedName name="TB7806fa9d_2368_454d_b129_d8f7f4f70343" hidden="1">#REF!</definedName>
    <definedName name="TB78109583_a7e3_4b97_a605_25d9e339155c" hidden="1">#REF!</definedName>
    <definedName name="TB782feb5c_673a_42c6_b67f_f009a562b78a" hidden="1">#REF!</definedName>
    <definedName name="TB78503911_c1c8_4e17_ab5e_e3db269fe020" hidden="1">#REF!</definedName>
    <definedName name="TB7851cc3d_9ddb_4252_a8de_79c4f7bf08fa" hidden="1">#REF!</definedName>
    <definedName name="TB785e23da_f7ed_4789_8746_6496e3a79541" hidden="1">#REF!</definedName>
    <definedName name="TB786b201f_8ba5_4a5d_99c5_30e8e2693615" hidden="1">#REF!</definedName>
    <definedName name="TB789dbc87_1501_4e29_855a_29e7ea27ca74" hidden="1">#REF!</definedName>
    <definedName name="TB789ffa90_4b12_4ec1_81b3_0068bae2dd23" hidden="1">#REF!</definedName>
    <definedName name="TB78a30cb5_0109_4a6e_aa63_766cd18b3f66" hidden="1">#REF!</definedName>
    <definedName name="TB78a7e6c9_6458_429c_b0d3_b6b8448f183f" hidden="1">#REF!</definedName>
    <definedName name="TB78b9407f_602a_45ba_bff6_d1c2919e99a7" hidden="1">#REF!</definedName>
    <definedName name="TB78bf82f4_e41c_4c42_b43a_cad27d5bd7ae" hidden="1">#REF!</definedName>
    <definedName name="TB78d8e3d1_2139_4834_b205_162c320a7409" hidden="1">#REF!</definedName>
    <definedName name="TB78e83e92_5935_4130_b75e_9e6ef20937e7" hidden="1">#REF!</definedName>
    <definedName name="TB78e8af3a_e6e7_49a3_9cc2_53e0e7958b90" hidden="1">#REF!</definedName>
    <definedName name="TB78ea02cb_c062_4927_aa14_d4dfdfcf39d3" hidden="1">#REF!</definedName>
    <definedName name="TB78fa2927_ba35_4659_993f_897e7c065047" hidden="1">#REF!</definedName>
    <definedName name="TB78ffe280_b8ef_4911_95f1_ee357a8a5b0c" hidden="1">#REF!</definedName>
    <definedName name="TB7904c715_7a0d_423d_9a58_247c2664f7be" hidden="1">#REF!</definedName>
    <definedName name="TB790789e7_0db9_4169_874b_9f80715b585d" hidden="1">#REF!</definedName>
    <definedName name="TB790b6104_8e73_4d36_b21a_2c8c1b1d449d" hidden="1">#REF!</definedName>
    <definedName name="TB790fdf7c_f3ac_471a_9017_23f68eb5f7e8" hidden="1">#REF!</definedName>
    <definedName name="TB79217bcd_8693_48b3_a9d4_ccaddfff502b" hidden="1">#REF!</definedName>
    <definedName name="TB79273e9d_64f1_4050_b6cb_c8d93513ee16" hidden="1">#REF!</definedName>
    <definedName name="TB79313f92_b224_4136_aafe_f1ac9b8f4b7f" hidden="1">#REF!</definedName>
    <definedName name="TB793bb30a_52ee_4abc_bac0_11d927c2ba2e" hidden="1">#REF!</definedName>
    <definedName name="TB79407ce7_8137_445e_9eee_77dff87d1c13" hidden="1">#REF!</definedName>
    <definedName name="TB79460509_756e_49e5_8fda_948546eeb2e2" hidden="1">#REF!</definedName>
    <definedName name="TB795f5527_3dbc_4f7d_afcc_af405016646d" hidden="1">#REF!</definedName>
    <definedName name="TB796cac99_6137_4c09_9549_3fe043844d85" hidden="1">#REF!</definedName>
    <definedName name="TB7972e009_d695_4c80_b6dd_0404cd4ff82e" hidden="1">#REF!</definedName>
    <definedName name="TB7976629f_e3b0_4cda_8380_4e8734bd6376" hidden="1">#REF!</definedName>
    <definedName name="TB7982e830_9f77_4c47_88b5_aa07a168219f" hidden="1">#REF!</definedName>
    <definedName name="TB79920f86_4d99_46ab_afdb_d2d1a550f4b5" hidden="1">#REF!</definedName>
    <definedName name="TB799363f9_8630_4cca_b5b4_d31ae25c297d" hidden="1">#REF!</definedName>
    <definedName name="TB7993d572_8edb_447f_a2d4_a643c3560dce" hidden="1">#REF!</definedName>
    <definedName name="TB7999688c_1d1b_4e65_9093_69d864f5b3b1" hidden="1">#REF!</definedName>
    <definedName name="TB799da34b_0e2b_4fd5_a9e4_df5c84a304fd" hidden="1">#REF!</definedName>
    <definedName name="TB79a2fadb_64f7_429d_95b0_00cca6ea6c3d" hidden="1">#REF!</definedName>
    <definedName name="TB79a72baa_203a_4222_9665_7ec9faae8faf" hidden="1">#REF!</definedName>
    <definedName name="TB79bae62b_f275_464c_b2c1_62c029655ac9" hidden="1">#REF!</definedName>
    <definedName name="TB79d82ddc_ece9_43db_b2e3_7406defcb7b7" hidden="1">#REF!</definedName>
    <definedName name="TB79d9cc8f_8504_4354_8f66_325c44066ac2" hidden="1">#REF!</definedName>
    <definedName name="TB79df0373_b3e1_4d2e_a6c5_df0d7565bddf" hidden="1">#REF!</definedName>
    <definedName name="TB79ec4fe3_4be5_4abb_8d62_4ae63fa9016d" hidden="1">#REF!</definedName>
    <definedName name="TB79ed1b33_f1d6_4ef9_9bed_ab2aded2dbad" hidden="1">#REF!</definedName>
    <definedName name="TB79f22f2c_7607_49db_bdd6_91d08d7deae8" hidden="1">#REF!</definedName>
    <definedName name="TB79fff694_f549_40cb_bc72_f9978b47bc44" hidden="1">#REF!</definedName>
    <definedName name="TB7a05d2b3_9b44_4223_a308_5848264560c8" hidden="1">#REF!</definedName>
    <definedName name="TB7a09a941_711b_47cf_9a33_956a96d09bd4" hidden="1">#REF!</definedName>
    <definedName name="TB7a0fa02a_4ba7_41ea_8ec2_fced1eebe16a" hidden="1">#REF!</definedName>
    <definedName name="TB7a12cbc2_67db_4d99_a909_4adaa8fc8b90" hidden="1">#REF!</definedName>
    <definedName name="TB7a2cbf8a_ff77_431e_b7cc_13f7b3cdad29" hidden="1">#REF!</definedName>
    <definedName name="TB7a51f053_5e3c_456b_8e81_27f7de779347" hidden="1">#REF!</definedName>
    <definedName name="TB7a604180_32ac_4619_8a2b_bd3f680be3d1" hidden="1">#REF!</definedName>
    <definedName name="TB7a6612e1_838c_4269_88c8_ac704ba7d385" hidden="1">#REF!</definedName>
    <definedName name="TB7a6df56c_686e_4997_bbd7_eb30678fdc2e" hidden="1">#REF!</definedName>
    <definedName name="TB7a8062df_7a5d_4146_99e4_fcd342e98310" hidden="1">#REF!</definedName>
    <definedName name="TB7a891436_6470_4cb0_b330_314d8a2c7e10" hidden="1">#REF!</definedName>
    <definedName name="TB7a8f538c_a0bb_4104_a894_dab41a35efea" hidden="1">#REF!</definedName>
    <definedName name="TB7aab0c2e_4a1f_4b5f_9aed_12859f15a4d8" hidden="1">#REF!</definedName>
    <definedName name="TB7aabcad8_337e_4590_8070_11e03e9062d1" hidden="1">#REF!</definedName>
    <definedName name="TB7aca0abe_28f2_42e9_b757_9aa674a5bd7e" hidden="1">#REF!</definedName>
    <definedName name="TB7ad471c4_2dd6_4361_bb66_bf546926ada6" hidden="1">#REF!</definedName>
    <definedName name="TB7ad6564f_bdf2_475c_8cc1_91ae5404ac4f" hidden="1">#REF!</definedName>
    <definedName name="TB7ad8b722_4a6b_4eb1_a142_49d55dc4b6bc" hidden="1">#REF!</definedName>
    <definedName name="TB7ae315e1_e367_4566_b1bd_3663591de342" hidden="1">#REF!</definedName>
    <definedName name="TB7b0e6804_541e_4d2e_a4b8_79baa554c8f5" hidden="1">#REF!</definedName>
    <definedName name="TB7b1a0022_edf1_483a_8e45_6a4f7199e270" hidden="1">#REF!</definedName>
    <definedName name="TB7b1e3344_c08a_469f_8968_ec227e388846" hidden="1">#REF!</definedName>
    <definedName name="TB7b33d417_da23_4e27_867e_60d716cacfe4" hidden="1">#REF!</definedName>
    <definedName name="TB7b344860_d039_473f_8c06_c71d89642030" hidden="1">#REF!</definedName>
    <definedName name="TB7b34f561_bafe_4293_9ca5_df360bb4f4fc" hidden="1">#REF!</definedName>
    <definedName name="TB7b374881_6e45_453f_9e8e_4fe00f7dfbd1" hidden="1">#REF!</definedName>
    <definedName name="TB7b44782e_a012_4a6e_adac_6717efb3d783" hidden="1">#REF!</definedName>
    <definedName name="TB7b6517b8_df2d_4ff6_9e06_08fabcbc89bb" hidden="1">#REF!</definedName>
    <definedName name="TB7b659da6_fc25_41e8_987c_c7132bdb5681" hidden="1">#REF!</definedName>
    <definedName name="TB7b71171b_d2d7_449a_b528_527bdfd586c6" hidden="1">#REF!</definedName>
    <definedName name="TB7b7222e3_a0b8_4959_a168_0bde3861c64a" hidden="1">#REF!</definedName>
    <definedName name="TB7b76b567_3406_47b5_913a_23ae5289ddca" hidden="1">#REF!</definedName>
    <definedName name="TB7b7b603f_a8d6_45fd_bc71_f5dc504b15bf" hidden="1">#REF!</definedName>
    <definedName name="TB7b8cfe47_6981_48dc_b66e_6a8e563f3b4e" hidden="1">#REF!</definedName>
    <definedName name="TB7b8e0c5e_5fe7_47fd_ad85_0a5343d8f964" hidden="1">#REF!</definedName>
    <definedName name="TB7b907a88_c3f6_4af8_b94a_40078c3458b4" hidden="1">#REF!</definedName>
    <definedName name="TB7b92e976_fe43_4089_bed8_bb0b5fe4f54b" hidden="1">#REF!</definedName>
    <definedName name="TB7b946836_6d1f_43c6_a13b_83648756cade" hidden="1">#REF!</definedName>
    <definedName name="TB7b963c63_0457_4e0e_a555_18a87f50b3c9" hidden="1">#REF!</definedName>
    <definedName name="TB7b9a630c_6061_4379_a830_3c3306b8395b" hidden="1">#REF!</definedName>
    <definedName name="TB7b9adc82_503f_46e8_8adf_c7d874823a4d" hidden="1">#REF!</definedName>
    <definedName name="TB7b9b0ef3_e130_4d8d_8647_0829ccba8691" hidden="1">#REF!</definedName>
    <definedName name="TB7ba478ee_5c06_42c8_9ebb_4172f45e5a77" hidden="1">#REF!</definedName>
    <definedName name="TB7bba12f9_3854_4b6b_812f_93a9c6e1955b" hidden="1">#REF!</definedName>
    <definedName name="TB7bc25e09_11e2_4549_81d9_35786020ce6c" hidden="1">#REF!</definedName>
    <definedName name="TB7bc27cd3_efd9_4f0a_8b55_276035553787" hidden="1">#REF!</definedName>
    <definedName name="TB7bcaa23d_8e9d_45f7_879c_2522b9654f05" hidden="1">#REF!</definedName>
    <definedName name="TB7bd31b52_01e9_49e8_9904_74ed28836d0b" hidden="1">#REF!</definedName>
    <definedName name="TB7be2d77e_86dd_4a82_b183_9bb3ed4a300a" hidden="1">#REF!</definedName>
    <definedName name="TB7be8b365_a1f8_4a28_8946_7fc6894ef45c" hidden="1">#REF!</definedName>
    <definedName name="TB7bf06051_5018_448e_9cc2_a2f2b895e60d" hidden="1">#REF!</definedName>
    <definedName name="TB7bfd6a0e_ee6b_4f4f_8a4f_bf1f6317016c" hidden="1">#REF!</definedName>
    <definedName name="TB7c04e913_f48a_406e_90b7_d905bf49b65c" hidden="1">#REF!</definedName>
    <definedName name="TB7c04efe5_adf3_4dcf_a24f_e155d4da6690" hidden="1">#REF!</definedName>
    <definedName name="TB7c110941_b11c_4a3e_9179_e46b70d67638" hidden="1">#REF!</definedName>
    <definedName name="TB7c2d9481_ca78_4098_8182_f04349deef21" hidden="1">#REF!</definedName>
    <definedName name="TB7c3ebf42_cad7_4fb5_9205_0137f096d1f3" hidden="1">#REF!</definedName>
    <definedName name="TB7c409346_da51_447f_a532_61cd2725cb09" hidden="1">#REF!</definedName>
    <definedName name="TB7c45ac54_9f65_4db8_ae01_6435434902ef" hidden="1">#REF!</definedName>
    <definedName name="TB7c47eba0_4336_4c6f_8dac_909f1a169247" hidden="1">#REF!</definedName>
    <definedName name="TB7c4806b9_7e10_45b6_8548_d24f98874a8e" hidden="1">#REF!</definedName>
    <definedName name="TB7c53be37_acd7_4ff9_88bd_8a679b36b29b" hidden="1">#REF!</definedName>
    <definedName name="TB7c53caa0_ead1_4b9a_8226_853052755d53" hidden="1">#REF!</definedName>
    <definedName name="TB7c5cd914_10d8_4db8_aac1_6288d7b161f5" hidden="1">#REF!</definedName>
    <definedName name="TB7c5d67fc_2ab1_4c1d_81a9_5a18334a0094" hidden="1">#REF!</definedName>
    <definedName name="TB7c6598ab_0162_41f5_a467_262b4ec376da" hidden="1">#REF!</definedName>
    <definedName name="TB7c8924d0_b3b4_440c_960c_17a7261b0333" hidden="1">#REF!</definedName>
    <definedName name="TB7c9b98bc_bb7e_4737_9c2b_bc9f1dd74cb5" hidden="1">#REF!</definedName>
    <definedName name="TB7ca56fb3_f5f6_4e81_9279_1b24bbc73590" hidden="1">#REF!</definedName>
    <definedName name="TB7ca638de_ad30_4c0f_b3d0_817bd9e000fe" hidden="1">#REF!</definedName>
    <definedName name="TB7cab47d6_19de_4cfc_84f1_601d09abec56" hidden="1">#REF!</definedName>
    <definedName name="TB7cb12313_4bbf_491a_8f11_fc42ed897279" hidden="1">#REF!</definedName>
    <definedName name="TB7cd6dd4c_0807_4e30_9bf3_313485af1528" hidden="1">#REF!</definedName>
    <definedName name="TB7cd76147_ead5_44e1_9cf6_0c01f3fdd600" hidden="1">#REF!</definedName>
    <definedName name="TB7cd9efb0_f67e_455c_b29f_3493181dcd33" hidden="1">#REF!</definedName>
    <definedName name="TB7ce08e40_dee3_43bc_8752_4ce5b412f3e0" hidden="1">#REF!</definedName>
    <definedName name="TB7cef032c_0421_4001_a644_953d5a7dc639" hidden="1">#REF!</definedName>
    <definedName name="TB7cfd68c9_df50_450e_9df8_f14c16396667" hidden="1">#REF!</definedName>
    <definedName name="TB7cfe47dc_7c15_4bf0_af53_9810159d172f" hidden="1">#REF!</definedName>
    <definedName name="TB7d0e9200_d528_4380_ace5_6fca0538d750" hidden="1">#REF!</definedName>
    <definedName name="TB7d25a56f_2918_4b10_8b78_ede6124024f2" hidden="1">#REF!</definedName>
    <definedName name="TB7d2d40b7_30f6_4727_bef4_73ced8658591" hidden="1">#REF!</definedName>
    <definedName name="TB7d2df185_6974_4ca0_b05d_afdfdcd4352a" hidden="1">#REF!</definedName>
    <definedName name="TB7d366a0e_faec_4110_8d77_7bda998a25c4" hidden="1">#REF!</definedName>
    <definedName name="TB7d39f6ea_9589_413c_a616_a1abf9d3ab47" hidden="1">#REF!</definedName>
    <definedName name="TB7d3e34af_0790_480e_8d10_316d6143d770" hidden="1">#REF!</definedName>
    <definedName name="TB7d447068_a74b_4a4f_b7d6_e8fb65341afa" hidden="1">#REF!</definedName>
    <definedName name="TB7d49d763_531e_4d8d_97e3_1b6ffa56a08d" hidden="1">#REF!</definedName>
    <definedName name="TB7d5ba69e_7c46_44ce_b13e_04c16832ff97" hidden="1">#REF!</definedName>
    <definedName name="TB7d6c2637_7dbe_4ebb_b444_985de081aef9" hidden="1">#REF!</definedName>
    <definedName name="TB7d6ecd5d_1123_401c_b919_b8ffdbfaa616" hidden="1">#REF!</definedName>
    <definedName name="TB7d873621_1794_4ad9_923e_2e053667dddd" hidden="1">#REF!</definedName>
    <definedName name="TB7d8b6002_47fe_4ed3_a8f1_0c82e410d064" hidden="1">#REF!</definedName>
    <definedName name="TB7d8f1aa7_327a_4423_8af1_aed906ffc134" hidden="1">#REF!</definedName>
    <definedName name="TB7d993cfa_e528_4adc_8d2a_ff9f51a6b952" hidden="1">#REF!</definedName>
    <definedName name="TB7d9bde0a_304a_4973_bde5_622c2cb53168" hidden="1">#REF!</definedName>
    <definedName name="TB7d9c676e_3d9d_419e_be72_a17f3f82cd63" hidden="1">#REF!</definedName>
    <definedName name="TB7d9e1e92_b8f8_4900_94b9_bd154503d859" hidden="1">#REF!</definedName>
    <definedName name="TB7dafadb8_36ed_4421_af9f_a668a5cf308d" hidden="1">#REF!</definedName>
    <definedName name="TB7db67ddf_e1da_46cb_9cec_35dc548671f6" hidden="1">#REF!</definedName>
    <definedName name="TB7dbcbc07_95ad_43a4_bce0_a37ca5a59460" hidden="1">#REF!</definedName>
    <definedName name="TB7dc7742d_6a8c_4682_9dde_56ed1e45534f" hidden="1">#REF!</definedName>
    <definedName name="TB7dcc16f4_7c87_44ad_80ea_e169ebd77e7e" hidden="1">#REF!</definedName>
    <definedName name="TB7de4942b_99eb_4afd_a930_f06a5017b815" hidden="1">#REF!</definedName>
    <definedName name="TB7df0bf12_3c22_406c_b715_7115855ed02a" hidden="1">#REF!</definedName>
    <definedName name="TB7df70cc5_4ee8_4c51_8210_12b9469cbe05" hidden="1">#REF!</definedName>
    <definedName name="TB7e22e658_159c_40ea_bfb9_ed9edcb95c9b" hidden="1">#REF!</definedName>
    <definedName name="TB7e2405b9_d79d_4e07_bd8a_83e1d44ca660" hidden="1">#REF!</definedName>
    <definedName name="TB7e2d1560_e6b5_47f7_8498_aa2e81e7d3e0" hidden="1">#REF!</definedName>
    <definedName name="TB7e30b880_5ee3_4cfe_8def_0a68b9e2b7b3" hidden="1">#REF!</definedName>
    <definedName name="TB7e39a145_aa67_4649_a63d_ffdf2b7bd042" hidden="1">#REF!</definedName>
    <definedName name="TB7e3fc648_8532_4497_a7de_4f7f558b31ab" hidden="1">#REF!</definedName>
    <definedName name="TB7e415b1c_25e5_424f_9b00_30c9cafc0216" hidden="1">#REF!</definedName>
    <definedName name="TB7e578891_5337_4970_94fa_56af241f72c9" hidden="1">#REF!</definedName>
    <definedName name="TB7e58b00d_ab88_48b0_936b_e179d500a145" hidden="1">#REF!</definedName>
    <definedName name="TB7e6fb471_2e0d_4681_9250_41dad72bfb2a" hidden="1">#REF!</definedName>
    <definedName name="TB7e75cb50_3b6f_4dcf_86f7_e1e7e7c5a695" hidden="1">#REF!</definedName>
    <definedName name="TB7e8132a7_d809_4be4_90d1_e6d1318a1be4" hidden="1">#REF!</definedName>
    <definedName name="TB7e8bcdb3_ec4c_4693_bb3f_3bf13ca78d64" hidden="1">#REF!</definedName>
    <definedName name="TB7e956d2c_b4cd_4095_be6f_97ecc534e186" hidden="1">#REF!</definedName>
    <definedName name="TB7e9fed57_fc88_4e81_a700_520169f501ea" hidden="1">#REF!</definedName>
    <definedName name="TB7ea24a67_8b48_412b_92b5_5f35a30a70a5" hidden="1">#REF!</definedName>
    <definedName name="TB7ea2f1b3_02a4_4810_a350_312a40a897a2" hidden="1">#REF!</definedName>
    <definedName name="TB7ea8e57f_ef63_4fc6_8baf_1258f06fa8a1" hidden="1">#REF!</definedName>
    <definedName name="TB7eb38bf5_7072_4631_96b7_fbf46ff81e3f" hidden="1">#REF!</definedName>
    <definedName name="TB7ec3a8e6_571d_4f37_9f48_b61391c2f428" hidden="1">#REF!</definedName>
    <definedName name="TB7ec6deec_97e0_4d4c_a7d0_14233f426a33" hidden="1">#REF!</definedName>
    <definedName name="TB7ed087d2_44c7_4832_8afc_bdcafd9ccbb2" hidden="1">#REF!</definedName>
    <definedName name="TB7ed0bc41_a945_46a6_83f5_086a3eb19334" hidden="1">#REF!</definedName>
    <definedName name="TB7ed81500_dc41_42b7_bb34_aa5f34fa2eeb" hidden="1">#REF!</definedName>
    <definedName name="TB7edb217a_5042_4eb2_aaca_7241dcf0206a" hidden="1">#REF!</definedName>
    <definedName name="TB7ee82cab_f525_4395_895b_dbbd8c829bc8" hidden="1">#REF!</definedName>
    <definedName name="TB7eea08f4_86ac_4bba_a41f_bc021c288244" hidden="1">#REF!</definedName>
    <definedName name="TB7eea62de_b8c6_4a9a_9f12_3f7943a268d7" hidden="1">#REF!</definedName>
    <definedName name="TB7ef87844_3d56_4b9e_ab99_85f0671adb3f" hidden="1">#REF!</definedName>
    <definedName name="TB7f150cbe_05bd_4de5_8176_2fadef7caded" hidden="1">#REF!</definedName>
    <definedName name="TB7f2174d2_ca58_4f67_be6c_537761a002bf" hidden="1">#REF!</definedName>
    <definedName name="TB7f221d6b_cfd5_45cc_9fa6_153c84a63c71" hidden="1">#REF!</definedName>
    <definedName name="TB7f22f5b0_7f66_49fd_9366_47db237d74ee" hidden="1">#REF!</definedName>
    <definedName name="TB7f268d3d_1ae5_4be5_bc87_4d0b1c624e07" hidden="1">#REF!</definedName>
    <definedName name="TB7f3509c2_3115_40f4_afd8_8d5dc12e1b86" hidden="1">#REF!</definedName>
    <definedName name="TB7f448a46_0214_44e2_86a2_70929370eaad" hidden="1">#REF!</definedName>
    <definedName name="TB7f45be07_b7e6_49a1_8a6e_b1b6cd16d333" hidden="1">#REF!</definedName>
    <definedName name="TB7f55c4a0_7bf3_4bd1_a8bc_85c10384c28a" hidden="1">#REF!</definedName>
    <definedName name="TB7f66e212_cd8a_4483_a9ff_0c6533205efe" hidden="1">#REF!</definedName>
    <definedName name="TB7f7760dd_a72d_4a12_b837_1647e10884e0" hidden="1">#REF!</definedName>
    <definedName name="TB7f96c0f1_0c69_4281_b652_f287294cc72a" hidden="1">#REF!</definedName>
    <definedName name="TB7f979e40_d76d_4edf_94f9_2d73c8bb6097" hidden="1">#REF!</definedName>
    <definedName name="TB7f981eb8_cdbe_403e_b78b_8742f1cbf94b" hidden="1">#REF!</definedName>
    <definedName name="TB7f9928f3_6eea_42c6_bfde_1fc0ce1b1542" hidden="1">#REF!</definedName>
    <definedName name="TB7f9b1893_0ea2_4212_b3cb_694f990916e0" hidden="1">#REF!</definedName>
    <definedName name="TB7faf3407_79da_4073_9841_9aaded75cd8f" hidden="1">#REF!</definedName>
    <definedName name="TB7fb77112_38b7_408c_a2ee_bb24b7f59df1" hidden="1">#REF!</definedName>
    <definedName name="TB7fc262cf_e4ac_4f9d_b15b_0fb8f5634b95" hidden="1">#REF!</definedName>
    <definedName name="TB7fc7ec16_b054_4931_a78d_dbfeceb41e9b" hidden="1">#REF!</definedName>
    <definedName name="TB7fd65a51_eb0b_4af6_9c3f_06bcf94e8c82" hidden="1">#REF!</definedName>
    <definedName name="TB7fd91194_bf5e_4c55_8ff4_78b16ded4902" hidden="1">#REF!</definedName>
    <definedName name="TB7fdc603a_a60e_49a9_a983_6b7e8d9e00f3" hidden="1">#REF!</definedName>
    <definedName name="TB7fe7d2f5_86b2_4f6c_a677_cdfa6479d445" hidden="1">#REF!</definedName>
    <definedName name="TB8001628f_3a72_4a44_8f12_fe7d9bfea9ee" hidden="1">#REF!</definedName>
    <definedName name="TB8005b825_e174_49ff_81d1_ab06455388ec" hidden="1">#REF!</definedName>
    <definedName name="TB801700c2_d40a_4129_8c17_67730e211719" hidden="1">#REF!</definedName>
    <definedName name="TB802c2426_a25d_44e8_9653_24fb64535fc9" hidden="1">#REF!</definedName>
    <definedName name="TB803ab610_dc3b_4305_80a4_2bed736b8811" hidden="1">#REF!</definedName>
    <definedName name="TB803ea688_0def_43ea_ab41_91ab4f735c1a" hidden="1">#REF!</definedName>
    <definedName name="TB8049ada6_5e0c_46f1_adac_6ea84cd5c03a" hidden="1">#REF!</definedName>
    <definedName name="TB80647fe1_0004_49df_b006_cfe565b3afb3" hidden="1">#REF!</definedName>
    <definedName name="TB806a4494_7cfd_403f_aed6_4cf143f51dd3" hidden="1">#REF!</definedName>
    <definedName name="TB806ed27e_cce9_4428_9387_0621c75004aa" hidden="1">#REF!</definedName>
    <definedName name="TB806f430c_100a_41bd_86b1_46d0540e8dc9" hidden="1">#REF!</definedName>
    <definedName name="TB807163dc_d749_4182_8bfe_6e52f4776875" hidden="1">#REF!</definedName>
    <definedName name="TB8071de62_ff54_45b6_afb7_91656fbcdccc" hidden="1">#REF!</definedName>
    <definedName name="TB80772f4e_466f_48d5_8343_3abdafaca223" hidden="1">#REF!</definedName>
    <definedName name="TB807e510c_c74e_4313_bbaf_4dd7bcd74eea" hidden="1">#REF!</definedName>
    <definedName name="TB8086be2f_76e1_401a_bbd5_876606491daa" hidden="1">#REF!</definedName>
    <definedName name="TB80917b9a_e338_4230_89f3_03426eae2e7a" hidden="1">#REF!</definedName>
    <definedName name="TB809bd23e_d3df_4b40_9275_a11f6aa774ea" hidden="1">#REF!</definedName>
    <definedName name="TB809ddd46_dc25_4067_972b_5116f7d49c99" hidden="1">#REF!</definedName>
    <definedName name="TB80ad8df3_f9ea_4463_803b_f4a02472e913" hidden="1">#REF!</definedName>
    <definedName name="TB80b02359_3d9b_4b33_8fd4_63a02c3c542f" hidden="1">#REF!</definedName>
    <definedName name="TB80c9f65a_e35a_40b3_825a_971ed0ffdbf5" hidden="1">#REF!</definedName>
    <definedName name="TB80cb5234_7586_4197_8e7e_b169686d416f" hidden="1">#REF!</definedName>
    <definedName name="TB80cefb08_3563_4093_896c_bbbdc836d941" hidden="1">#REF!</definedName>
    <definedName name="TB80d05321_1f6a_40c8_b131_ecddf72ec5be" hidden="1">#REF!</definedName>
    <definedName name="TB80d991da_e15e_411a_80fe_2ec93be4d30f" hidden="1">#REF!</definedName>
    <definedName name="TB80da7e5d_a546_40d8_8658_41ebf5228bb0" hidden="1">#REF!</definedName>
    <definedName name="TB80e1cefd_e13a_4b56_887a_04f994b9902b" hidden="1">#REF!</definedName>
    <definedName name="TB80e1d216_438b_4f18_8e15_e256b586ee98" hidden="1">#REF!</definedName>
    <definedName name="TB80e3080a_621b_4e38_8465_3068633b2fcb" hidden="1">#REF!</definedName>
    <definedName name="TB80e349f3_8ee4_4294_9100_672d39e8eab2" hidden="1">#REF!</definedName>
    <definedName name="TB80e3ce97_7a76_4502_a17a_622a8db43cf1" hidden="1">#REF!</definedName>
    <definedName name="TB8102bd86_874d_4a91_afc1_e71e7c4c5503" hidden="1">#REF!</definedName>
    <definedName name="TB8106f6a7_13eb_4346_a593_2b901ceb6c5f" hidden="1">#REF!</definedName>
    <definedName name="TB811fb2cd_f99a_4934_9826_c33d003cfb3c" hidden="1">#REF!</definedName>
    <definedName name="TB8123bb37_3ed3_499f_a738_5c3080f8fa58" hidden="1">#REF!</definedName>
    <definedName name="TB812c4c09_69df_4fd8_a650_a8deb4b71e08" hidden="1">#REF!</definedName>
    <definedName name="TB8134c8c9_8ba4_4ecb_9882_ba6da7807928" hidden="1">#REF!</definedName>
    <definedName name="TB813817c1_247a_43b1_833b_d28e169d8dcf" hidden="1">#REF!</definedName>
    <definedName name="TB813c1978_85b0_493d_b86d_aa69eed06c66" hidden="1">#REF!</definedName>
    <definedName name="TB81447305_d15c_47c2_8072_e9fe32c27096" hidden="1">#REF!</definedName>
    <definedName name="TB814c89a7_3678_4013_89e4_62b5bb2581e2" hidden="1">#REF!</definedName>
    <definedName name="TB815120bf_461b_4333_884d_8888378facec" hidden="1">#REF!</definedName>
    <definedName name="TB81538678_cf16_48a2_a95d_288f674084dd" hidden="1">#REF!</definedName>
    <definedName name="TB815ae7d4_0e70_49d4_a544_9fa2341308f3" hidden="1">#REF!</definedName>
    <definedName name="TB816e516c_8ec2_4332_a23e_2b4355f38d6b" hidden="1">#REF!</definedName>
    <definedName name="TB817a3c51_a68d_42b8_b164_3d08b235fbcf" hidden="1">#REF!</definedName>
    <definedName name="TB817bd0c6_acf0_4f9e_a546_439f47248044" hidden="1">#REF!</definedName>
    <definedName name="TB81907d4a_4dfb_44b0_a091_7cbb55751a7b" hidden="1">#REF!</definedName>
    <definedName name="TB8192bf78_3a94_4fc0_8603_2479b88d32f4" hidden="1">#REF!</definedName>
    <definedName name="TB81a1e0a1_2dfd_486c_9c9e_9d91a3e18af6" hidden="1">#REF!</definedName>
    <definedName name="TB81ae2d50_d6e2_4c28_b5cb_8232316f22ab" hidden="1">#REF!</definedName>
    <definedName name="TB81b03507_cb81_4b15_894f_b1f660ef94f6" hidden="1">#REF!</definedName>
    <definedName name="TB81b8880c_01b0_40ac_a645_3c8d4735e833" hidden="1">#REF!</definedName>
    <definedName name="TB81c1ea92_09f8_4a28_9add_c25e94cf734e" hidden="1">#REF!</definedName>
    <definedName name="TB81d6b3c1_f08d_4071_b0d7_dea94bd8e036" hidden="1">#REF!</definedName>
    <definedName name="TB81d78193_8445_4fab_b05f_4786a5acaf10" hidden="1">#REF!</definedName>
    <definedName name="TB81dd4bc8_c027_4cbb_9d8e_fc84b852b859" hidden="1">#REF!</definedName>
    <definedName name="TB81ebfb98_d09b_495d_b826_c2bae7f1be6d" hidden="1">#REF!</definedName>
    <definedName name="TB820f8a48_81f1_4ef7_b6fe_2aa6a49a30c2" hidden="1">#REF!</definedName>
    <definedName name="TB8210dc0a_6de1_4863_b03a_60ad1b42c9a7" hidden="1">#REF!</definedName>
    <definedName name="TB82135295_6a1c_42d8_b5a2_b07cc111721d" hidden="1">#REF!</definedName>
    <definedName name="TB82276662_47ef_4870_b6a2_ccbe0892d93e" hidden="1">#REF!</definedName>
    <definedName name="TB82357c9a_d1a9_4ec7_b828_8a0fb9ca31b4" hidden="1">#REF!</definedName>
    <definedName name="TB824331df_5216_44dd_b316_5ac18044452c" hidden="1">#REF!</definedName>
    <definedName name="TB82519fc7_9480_4968_b45f_32160c45be5b" hidden="1">#REF!</definedName>
    <definedName name="TB82651a0b_ea38_4a1f_96c4_4b010738d388" hidden="1">#REF!</definedName>
    <definedName name="TB826ab066_9060_4318_a2a5_13702f9023e9" hidden="1">#REF!</definedName>
    <definedName name="TB8273b1a6_74dd_4ea6_9408_2c91869770eb" hidden="1">#REF!</definedName>
    <definedName name="TB827a41a9_a2bb_446c_bbc1_609ac4442a64" hidden="1">#REF!</definedName>
    <definedName name="TB82826435_02f6_40b4_be6e_e103a66be661" hidden="1">#REF!</definedName>
    <definedName name="TB82a0dc84_b262_4410_a2e9_392ba552fc5d" hidden="1">#REF!</definedName>
    <definedName name="TB82b03d6c_68a9_404b_8544_ffa7735c523b" hidden="1">#REF!</definedName>
    <definedName name="TB82b08403_9433_4fdb_a9b1_63e1e0f35117" hidden="1">#REF!</definedName>
    <definedName name="TB82b337e4_b478_436b_be1e_ab468262b823" hidden="1">#REF!</definedName>
    <definedName name="TB82ca3e23_7f65_4a48_9206_53924a081bba" hidden="1">#REF!</definedName>
    <definedName name="TB82cb3942_f016_467a_8d8a_2208b2f29f13" hidden="1">#REF!</definedName>
    <definedName name="TB82cbe806_d220_415e_a848_c957bbf99bc6" hidden="1">#REF!</definedName>
    <definedName name="TB82cea720_9ed1_47d8_aed8_288135141ece" hidden="1">#REF!</definedName>
    <definedName name="TB82e9e62e_f6eb_4e8f_818a_95aa59ee5f38" hidden="1">#REF!</definedName>
    <definedName name="TB82e9eeb2_b054_4266_b003_5031005756ff" hidden="1">#REF!</definedName>
    <definedName name="TB82ee1570_1143_4f88_8f07_b8acdc71d012" hidden="1">#REF!</definedName>
    <definedName name="TB82fcf182_68ab_42e5_b14e_48e282e6cecc" hidden="1">#REF!</definedName>
    <definedName name="TB82feaf70_063e_43e6_9ac1_0e7038600def" hidden="1">#REF!</definedName>
    <definedName name="TB83020963_e992_4ae4_b224_f6d4d5863caf" hidden="1">#REF!</definedName>
    <definedName name="TB8307e988_4c82_4d01_99c3_4e20283e94ba" hidden="1">#REF!</definedName>
    <definedName name="TB830edc90_f43a_4454_a498_0f42a66a019a" hidden="1">#REF!</definedName>
    <definedName name="TB8314f3d8_d0ad_4542_ab77_92d4b1cad0af" hidden="1">#REF!</definedName>
    <definedName name="TB8325f653_82f6_442e_a2de_dc91c353549d" hidden="1">#REF!</definedName>
    <definedName name="TB8328c00d_a535_41c8_a55e_d6815c98981a" hidden="1">#REF!</definedName>
    <definedName name="TB832bb502_1e64_4b05_ad28_621451dc0fbc" hidden="1">#REF!</definedName>
    <definedName name="TB83383e27_1a92_4aea_b8d2_0f4802a079a9" hidden="1">#REF!</definedName>
    <definedName name="TB833a0151_c542_4a2c_8858_5f4a85017e02" hidden="1">#REF!</definedName>
    <definedName name="TB8348e9e0_fb72_438e_9f7d_c8f8fc60bb4c" hidden="1">#REF!</definedName>
    <definedName name="TB8362f2e8_92e4_4f99_a30c_afb03a7ebcd9" hidden="1">#REF!</definedName>
    <definedName name="TB836e2895_9db5_4fc9_b307_2b276b6998c6" hidden="1">#REF!</definedName>
    <definedName name="TB83746e17_011b_488a_9dd7_31b377249902" hidden="1">#REF!</definedName>
    <definedName name="TB837fcca7_ca93_497d_9171_a4ad6bda9c30" hidden="1">#REF!</definedName>
    <definedName name="TB838b8c74_de6b_4406_9792_5a5499f46b3e" hidden="1">#REF!</definedName>
    <definedName name="TB83995ce6_cf07_4845_9e7c_6514c616f334" hidden="1">#REF!</definedName>
    <definedName name="TB83a27d06_0e65_4b37_94f0_c8a08711b307" hidden="1">#REF!</definedName>
    <definedName name="TB83a82f2b_5f09_460d_a4bb_0df84722408b" hidden="1">#REF!</definedName>
    <definedName name="TB83af02b3_c091_4620_9634_241ff67ff5e2" hidden="1">#REF!</definedName>
    <definedName name="TB83be9b45_2ebf_497f_9930_6a0565ce53b8" hidden="1">#REF!</definedName>
    <definedName name="TB83c83b57_c0d2_44ac_a4f3_8ff9f373f494" hidden="1">#REF!</definedName>
    <definedName name="TB83cfd1d4_1b8c_4831_b3f6_4837239607f3" hidden="1">#REF!</definedName>
    <definedName name="TB83d95c11_4498_4b8c_a1ed_d9408320208d" hidden="1">#REF!</definedName>
    <definedName name="TB83da3d3e_6d06_4c40_8bef_a72d7fe366b1" hidden="1">#REF!</definedName>
    <definedName name="TB83e854ab_ecb5_4132_8bdb_6b2d56c6b0ad" hidden="1">#REF!</definedName>
    <definedName name="TB83f3d540_efbb_43f4_843d_32ac95961160" hidden="1">#REF!</definedName>
    <definedName name="TB83fe1566_a6de_4f2c_a9fa_f63b9dd9b735" hidden="1">#REF!</definedName>
    <definedName name="TB84024e41_9ddc_467a_805a_79e19211cd18" hidden="1">#REF!</definedName>
    <definedName name="TB84079879_defc_4025_b0ba_f7896e187053" hidden="1">#REF!</definedName>
    <definedName name="TB8414a3c5_b300_4a98_88ac_dfbd03c15479" hidden="1">#REF!</definedName>
    <definedName name="TB84330ebc_30cc_49d4_945e_cd243d428a50" hidden="1">#REF!</definedName>
    <definedName name="TB84390c79_447a_4c50_b693_31798ec84d0d" hidden="1">#REF!</definedName>
    <definedName name="TB84395ccf_5980_429d_875b_ae3be2c6f35e" hidden="1">#REF!</definedName>
    <definedName name="TB8440f234_08e6_4326_8cbd_04d6402eb425" hidden="1">#REF!</definedName>
    <definedName name="TB84449a63_f786_4e98_a2bb_bf488e83a225" hidden="1">#REF!</definedName>
    <definedName name="TB844fccfc_b71a_4d55_837b_6c524cf03f05" hidden="1">#REF!</definedName>
    <definedName name="TB8453b96e_51ab_416b_b5fa_cb1a68cce9d5" hidden="1">#REF!</definedName>
    <definedName name="TB84577431_05d8_4f7b_91b9_a297365f208b" hidden="1">#REF!</definedName>
    <definedName name="TB845c3582_59d8_4508_a250_22aec77a5962" hidden="1">#REF!</definedName>
    <definedName name="TB845f3fc8_7df2_4e0a_927f_5571d5ba2524" hidden="1">#REF!</definedName>
    <definedName name="TB846f65fe_3179_42e4_ac9d_4ff19d69a937" hidden="1">#REF!</definedName>
    <definedName name="TB84709613_c7b6_463c_a8ef_1a5c777d06f7" hidden="1">#REF!</definedName>
    <definedName name="TB84845733_e381_4c1b_aa78_cc264f61ce67" hidden="1">#REF!</definedName>
    <definedName name="TB848afc7b_de50_4b0b_b981_9c94fbfa92f7" hidden="1">#REF!</definedName>
    <definedName name="TB84a623e6_22e6_44f6_bbfb_a14372e6b738" hidden="1">#REF!</definedName>
    <definedName name="TB84a73dec_1463_4e5c_a73c_1309c0793ccd" hidden="1">#REF!</definedName>
    <definedName name="TB84aeab90_f5b9_458e_b056_95bb514b6901" hidden="1">#REF!</definedName>
    <definedName name="TB84af0c6c_2994_4996_9191_e496ec47b7bf" hidden="1">#REF!</definedName>
    <definedName name="TB84b7d8fa_9a21_4109_91bf_11650e83988e" hidden="1">#REF!</definedName>
    <definedName name="TB84c7b605_72bb_4b38_8cc6_6965de6266ff" hidden="1">#REF!</definedName>
    <definedName name="TB84ddafba_a041_4f81_b014_f0d8eaad1701" hidden="1">#REF!</definedName>
    <definedName name="TB84fb62e9_aadf_466f_b06f_1df12040851c" hidden="1">#REF!</definedName>
    <definedName name="TB85080e55_01f2_4d68_9df8_cf0e37e30443" hidden="1">#REF!</definedName>
    <definedName name="TB8524ad92_24d3_4567_bba0_c2eaa549e067" hidden="1">#REF!</definedName>
    <definedName name="TB8530d1b9_ee28_42fa_89c6_78b84fce3ac6" hidden="1">#REF!</definedName>
    <definedName name="TB8532b3eb_6619_40cb_af97_50e1bf12de8a" hidden="1">#REF!</definedName>
    <definedName name="TB85383bb2_8225_46f2_8b07_c825862c03cc" hidden="1">#REF!</definedName>
    <definedName name="TB853af007_16ad_467d_bcb6_f5eae791c511" hidden="1">#REF!</definedName>
    <definedName name="TB853eeb20_40cb_48db_9d7c_4443c07f4bda" hidden="1">#REF!</definedName>
    <definedName name="TB85481a36_ee42_4d16_8324_855ac9cf8388" hidden="1">#REF!</definedName>
    <definedName name="TB856af7e7_e0a9_44c3_8d4c_daea93f3f082" hidden="1">#REF!</definedName>
    <definedName name="TB8571e139_2c34_429f_a6f4_4164dd8fddc5" hidden="1">#REF!</definedName>
    <definedName name="TB857b1d05_b482_49e8_858e_d6322f3798d6" hidden="1">#REF!</definedName>
    <definedName name="TB857ef3e1_77b8_4159_b2b5_d9dce8ca5bff" hidden="1">#REF!</definedName>
    <definedName name="TB8583c893_0abc_4c54_b0db_63c4d4677d3f" hidden="1">#REF!</definedName>
    <definedName name="TB85849f18_5bbb_46d9_b908_7d6d29937770" hidden="1">#REF!</definedName>
    <definedName name="TB8589ec7f_d86a_478d_8bc5_1e4ceae207b6" hidden="1">#REF!</definedName>
    <definedName name="TB85a17e77_2d26_4bc2_b040_3112e64810a4" hidden="1">#REF!</definedName>
    <definedName name="TB85a9d6cc_73a7_4e00_ac1c_b49a9803518e" hidden="1">#REF!</definedName>
    <definedName name="TB85abfae0_1744_413e_b5a3_45a5596c5a78" hidden="1">#REF!</definedName>
    <definedName name="TB85ad7684_d650_4884_bdfb_d51b90cf47f2" hidden="1">#REF!</definedName>
    <definedName name="TB85af0dcf_80ff_4b20_bf6a_cc384095dce7" hidden="1">#REF!</definedName>
    <definedName name="TB85ba6115_b7b9_4253_9eca_278a5d7de832" hidden="1">#REF!</definedName>
    <definedName name="TB85d255c7_a3cc_458a_8321_101a29bb7cd2" hidden="1">#REF!</definedName>
    <definedName name="TB85eb9ff0_3030_48db_9412_e6168df374fb" hidden="1">#REF!</definedName>
    <definedName name="TB86020089_4c2d_4aa2_905a_dcf476531343" hidden="1">#REF!</definedName>
    <definedName name="TB860a5def_11ac_4d72_be11_4b5351cbeb84" hidden="1">#REF!</definedName>
    <definedName name="TB86108b37_6848_45ff_8f2b_a78d660876fb" hidden="1">#REF!</definedName>
    <definedName name="TB86157faf_3dc4_4cbf_a2e7_a1084b8e2ae4" hidden="1">#REF!</definedName>
    <definedName name="TB8623be85_8b94_480d_93df_255e2ee69b15" hidden="1">#REF!</definedName>
    <definedName name="TB8630d542_a67d_4d52_9cf7_0fb210bcf1e1" hidden="1">#REF!</definedName>
    <definedName name="TB86336ddd_b02d_4238_bfb8_f485994a0b44" hidden="1">#REF!</definedName>
    <definedName name="TB863d075d_1f0f_4f8e_99e9_5b50f8dc3e01" hidden="1">#REF!</definedName>
    <definedName name="TB86629ad5_b1a3_4e04_a06f_648470de1be7" hidden="1">#REF!</definedName>
    <definedName name="TB86678393_c4cf_4f57_ad14_21be3f7a1d03" hidden="1">#REF!</definedName>
    <definedName name="TB866dfd08_50ba_4495_bdca_0ce5a40b7c6e" hidden="1">#REF!</definedName>
    <definedName name="TB866eaa56_e3b9_4954_9aed_95fba36e2d0e" hidden="1">#REF!</definedName>
    <definedName name="TB8674c5d1_99d5_480c_bc7d_ff4f406152a6" hidden="1">#REF!</definedName>
    <definedName name="TB86772fe5_96f5_4b37_89db_f3b27f15ea1f" hidden="1">#REF!</definedName>
    <definedName name="TB867b7d69_a7dc_4f95_b76e_d2656f1f4aa1" hidden="1">#REF!</definedName>
    <definedName name="TB867df44e_714c_479c_b795_2d6ce56a39db" hidden="1">#REF!</definedName>
    <definedName name="TB867ef291_76bd_46aa_9f14_68046aab4a4d" hidden="1">#REF!</definedName>
    <definedName name="TB869eb0be_b9bf_42cc_bc15_4f7daea916dd" hidden="1">#REF!</definedName>
    <definedName name="TB86ac395a_8fad_47ba_a0cb_3e56c66f02c5" hidden="1">#REF!</definedName>
    <definedName name="TB86ac854f_cb84_478e_9bed_b7d87332de17" hidden="1">#REF!</definedName>
    <definedName name="TB86b38b4e_f512_41bb_8bd2_78e665318f93" hidden="1">#REF!</definedName>
    <definedName name="TB86b76431_aaf7_4abb_aebb_a6f6f08e9b36" hidden="1">#REF!</definedName>
    <definedName name="TB86be1798_3ece_4268_a7fc_459a9649d157" hidden="1">#REF!</definedName>
    <definedName name="TB86ccfa35_40c0_4a05_8d70_d741fbc7ef96" hidden="1">#REF!</definedName>
    <definedName name="TB86d60b2f_5075_4f5c_b306_f55e34de650f" hidden="1">#REF!</definedName>
    <definedName name="TB86d65c42_db9f_49ba_93aa_c8302e6445a1" hidden="1">#REF!</definedName>
    <definedName name="TB86e700ad_6a17_4115_922c_cfd9daf2907e" hidden="1">#REF!</definedName>
    <definedName name="TB86e828ca_0362_4106_a110_c2117714344e" hidden="1">#REF!</definedName>
    <definedName name="TB86ecc8f6_1cd6_4584_846b_64102813c287" hidden="1">#REF!</definedName>
    <definedName name="TB86f5f7c7_0a0c_4d6e_ab15_64d8927ed583" hidden="1">#REF!</definedName>
    <definedName name="TB86fbb1c6_ed64_4983_9040_c94ebce6b9e0" hidden="1">#REF!</definedName>
    <definedName name="TB871c9c3d_693a_4d4a_9be0_976f3980a25c" hidden="1">#REF!</definedName>
    <definedName name="TB8738ffd7_5291_4d2d_aeaf_00d22c05a2fe" hidden="1">#REF!</definedName>
    <definedName name="TB873c2be3_7193_4606_b60b_1f6ee25847e7" hidden="1">#REF!</definedName>
    <definedName name="TB87459486_31c5_424f_80de_db55bf8e7b03" hidden="1">#REF!</definedName>
    <definedName name="TB874ad42c_ab00_4894_957a_7d4fb8e919db" hidden="1">#REF!</definedName>
    <definedName name="TB8751b0b0_5a5a_4c03_b783_1e304367dec2" hidden="1">#REF!</definedName>
    <definedName name="TB876dc430_757e_4489_9a0c_5aea6534ac67" hidden="1">#REF!</definedName>
    <definedName name="TB8777848f_48cb_447a_ba16_a3dce57382c1" hidden="1">#REF!</definedName>
    <definedName name="TB8779f02a_2c2d_458d_abf5_9b47fa38d9b4" hidden="1">#REF!</definedName>
    <definedName name="TB87856fef_6cd7_42f7_9194_bef2dc48feb5" hidden="1">#REF!</definedName>
    <definedName name="TB878a2ae7_c462_4946_8ae6_909bffb8c7ac" hidden="1">#REF!</definedName>
    <definedName name="TB878adc55_2de6_4f75_a146_d07c2b20dbab" hidden="1">#REF!</definedName>
    <definedName name="TB878c1033_12e4_4de2_96a5_764cb9b4b475" hidden="1">#REF!</definedName>
    <definedName name="TB878eacfb_9270_4860_86f2_f58d113a0d7a" hidden="1">#REF!</definedName>
    <definedName name="TB87991b88_eda0_4420_a59a_3130b878836f" hidden="1">#REF!</definedName>
    <definedName name="TB879eb799_eef2_490d_9737_47007d216089" hidden="1">#REF!</definedName>
    <definedName name="TB87ab4b4a_38db_488e_9c6d_8f7d5362f6e8" hidden="1">#REF!</definedName>
    <definedName name="TB87ab4c59_5129_4077_9463_27bed1d824d4" hidden="1">#REF!</definedName>
    <definedName name="TB87acde33_680e_4c34_b0fd_4213d0f29b9e" hidden="1">#REF!</definedName>
    <definedName name="TB87adc1af_8c74_4b7e_8bef_db5a3975f8e2" hidden="1">#REF!</definedName>
    <definedName name="TB87af18de_f8e0_4065_ba30_a79b17b7c0cc" hidden="1">#REF!</definedName>
    <definedName name="TB87b12291_c77d_4242_833d_029e5845b1a7" hidden="1">#REF!</definedName>
    <definedName name="TB87b2b0cb_2da9_47dc_90fe_682d81b2fd3f" hidden="1">#REF!</definedName>
    <definedName name="TB87bdad4d_e77e_41a8_8096_3b48b60a24ab" hidden="1">#REF!</definedName>
    <definedName name="TB87c37680_2038_4dc9_b940_6e4687e64d79" hidden="1">#REF!</definedName>
    <definedName name="TB87cfa07d_d4ec_43b0_9695_9931fb022027" hidden="1">#REF!</definedName>
    <definedName name="TB880e89a8_907f_4fc5_89e7_7b44c126a297" hidden="1">#REF!</definedName>
    <definedName name="TB881248a5_545c_4a94_889d_539c9aa725cf" hidden="1">#REF!</definedName>
    <definedName name="TB8818fc46_4366_4d05_984e_177215227b1b" hidden="1">#REF!</definedName>
    <definedName name="TB88327607_487e_4505_acd8_f22a03670588" hidden="1">#REF!</definedName>
    <definedName name="TB8867d343_a60f_49ad_85dc_35ec6274844f" hidden="1">#REF!</definedName>
    <definedName name="TB886fde55_30ae_4e75_918a_e154626ad054" hidden="1">#REF!</definedName>
    <definedName name="TB88711b2c_8a96_4b40_8c90_8f1a5c58b5b4" hidden="1">#REF!</definedName>
    <definedName name="TB887b1cfc_f6f5_4412_ac80_c373538d3155" hidden="1">#REF!</definedName>
    <definedName name="TB887efe89_a3c6_4ee6_b4a7_afa02507ccdf" hidden="1">#REF!</definedName>
    <definedName name="TB8890a43b_4eb6_4d20_a600_1ae60fecaf29" hidden="1">#REF!</definedName>
    <definedName name="TB889715df_9362_4eef_8552_8191d0eebde8" hidden="1">#REF!</definedName>
    <definedName name="TB889c9580_fd84_49eb_9ee2_e366a41a4ad2" hidden="1">#REF!</definedName>
    <definedName name="TB889e5c6f_d660_4354_9d43_3c01a2194b3c" hidden="1">#REF!</definedName>
    <definedName name="TB88a2edc4_82d6_4987_99b5_ac8fd3b12409" hidden="1">#REF!</definedName>
    <definedName name="TB88cc89f3_0229_4f99_816e_fc56d3631015" hidden="1">#REF!</definedName>
    <definedName name="TB88d67675_c881_4d9b_8563_329a60843d3c" hidden="1">#REF!</definedName>
    <definedName name="TB88d959b3_a00e_4133_b4b3_37c203e4beb1" hidden="1">#REF!</definedName>
    <definedName name="TB88daf855_0c40_4f6c_a9b2_4b2bf502109b" hidden="1">#REF!</definedName>
    <definedName name="TB88df6614_582a_4a5f_8405_c1830c3164b4" hidden="1">#REF!</definedName>
    <definedName name="TB88e84c0e_9701_4b3e_a5df_9f23176215e3" hidden="1">#REF!</definedName>
    <definedName name="TB88ed2d68_ac52_4df7_b658_362d9de7fc29" hidden="1">#REF!</definedName>
    <definedName name="TB88f80fce_5421_43fb_ab4e_980bf740b185" hidden="1">#REF!</definedName>
    <definedName name="TB88f92966_14a3_4b21_a4d7_ca33ec41b121" hidden="1">#REF!</definedName>
    <definedName name="TB88fab8ca_a78a_4582_9e6e_938451d47f35" hidden="1">#REF!</definedName>
    <definedName name="TB890ae672_609c_4232_b1ad_6af87707ca1c" hidden="1">#REF!</definedName>
    <definedName name="TB89286b48_9637_4715_a66b_2e41ab6fb57b" hidden="1">#REF!</definedName>
    <definedName name="TB893561f9_d2df_4041_bcfb_0c81eff74a38" hidden="1">#REF!</definedName>
    <definedName name="TB89387887_38e2_4e26_ae77_da60577cd764" hidden="1">#REF!</definedName>
    <definedName name="TB89443a64_0c8c_4ea3_b452_504ee5916ba3" hidden="1">#REF!</definedName>
    <definedName name="TB89498d75_d857_4eef_a479_47cca7eb5806" hidden="1">#REF!</definedName>
    <definedName name="TB894bdba7_ab89_42da_9e3a_105507ba2216" hidden="1">#REF!</definedName>
    <definedName name="TB895df877_64c1_4f76_8aca_e5eaf600143b" hidden="1">#REF!</definedName>
    <definedName name="TB8963c510_6973_473c_82e3_ad685b4d2480" hidden="1">#REF!</definedName>
    <definedName name="TB897c4fbd_d286_4934_9d90_4005bd13949f" hidden="1">#REF!</definedName>
    <definedName name="TB8983b0b8_e230_46b5_a504_3d5f6a0af8dc" hidden="1">#REF!</definedName>
    <definedName name="TB89898670_6ca3_4240_9f3f_2485ac704caf" hidden="1">#REF!</definedName>
    <definedName name="TB8991d43f_0e97_4d22_89dd_ff1337dbf53d" hidden="1">#REF!</definedName>
    <definedName name="TB899cfd0e_f608_4637_86de_6578e6700958" hidden="1">#REF!</definedName>
    <definedName name="TB899fce79_f2ea_495e_8ffa_9728f94a997b" hidden="1">#REF!</definedName>
    <definedName name="TB89ac00c8_10d1_46a7_982b_3a91b86617ea" hidden="1">#REF!</definedName>
    <definedName name="TB89ad67c8_ea9c_47dd_8aac_337d96902093" hidden="1">#REF!</definedName>
    <definedName name="TB89af2815_6c47_4ab8_ad22_5eb7aa32bcbb" hidden="1">#REF!</definedName>
    <definedName name="TB89aff5ab_1748_4ffc_b1b8_a7ecdc93c49f" hidden="1">#REF!</definedName>
    <definedName name="TB89b51129_ff0c_4862_8c30_c5f525934ab5" hidden="1">#REF!</definedName>
    <definedName name="TB89cacd9c_39c4_4dc0_878a_06bd68c244b6" hidden="1">#REF!</definedName>
    <definedName name="TB89d1b3e8_56fa_4fde_90aa_172d61cbc74f" hidden="1">#REF!</definedName>
    <definedName name="TB89d526be_89b5_41a5_8177_960c4c5549a1" hidden="1">#REF!</definedName>
    <definedName name="TB89d62251_6f34_4b25_b7d5_162776a66f7a" hidden="1">#REF!</definedName>
    <definedName name="TB89e17bc6_0e38_4395_ba6e_a6ce18244dc7" hidden="1">#REF!</definedName>
    <definedName name="TB89e877de_e9e9_4b12_829d_abcee246a65f" hidden="1">#REF!</definedName>
    <definedName name="TB89ed4b08_12ba_4e79_a2c1_fdc200edac68" hidden="1">#REF!</definedName>
    <definedName name="TB89f01eb8_3f25_4f01_8c23_bdec37be6dd7" hidden="1">#REF!</definedName>
    <definedName name="TB89f17442_c6e3_4cdd_b798_e7f42a4f51e4" hidden="1">#REF!</definedName>
    <definedName name="TB89f720cf_cea3_4a3f_8669_634086ed7046" hidden="1">#REF!</definedName>
    <definedName name="TB89f9a437_b3d0_44cb_b054_83c1fc925c9f" hidden="1">#REF!</definedName>
    <definedName name="TB8a1139a5_6c35_4c48_aa41_e8ada0ca7340" hidden="1">#REF!</definedName>
    <definedName name="TB8a234eae_679c_49fc_8062_654ebf4b7309" hidden="1">#REF!</definedName>
    <definedName name="TB8a26897a_864e_4d4d_b379_f6574091c865" hidden="1">#REF!</definedName>
    <definedName name="TB8a2b3d2e_3f4a_4445_a3e5_4ef4bcaf179d" hidden="1">#REF!</definedName>
    <definedName name="TB8a3345ec_332a_4189_8d2d_726104e53227" hidden="1">#REF!</definedName>
    <definedName name="TB8a42656a_76ed_427b_b255_702cf2cee1ff" hidden="1">#REF!</definedName>
    <definedName name="TB8a42d408_da3b_492f_98ce_0467a691135e" hidden="1">#REF!</definedName>
    <definedName name="TB8a44462e_24e3_470a_b4f2_af288b184ab7" hidden="1">#REF!</definedName>
    <definedName name="TB8a50dd3b_26b7_48e7_9d6c_dc2b535d285c" hidden="1">#REF!</definedName>
    <definedName name="TB8a628c74_a3a8_4c37_9109_98f8fddfede4" hidden="1">#REF!</definedName>
    <definedName name="TB8a68a0f1_309f_40cc_9054_2883d4ae216b" hidden="1">#REF!</definedName>
    <definedName name="TB8a79451d_a148_4430_9a6d_3e3b4dac582f" hidden="1">#REF!</definedName>
    <definedName name="TB8a79f0fa_a879_4165_8ea7_1da365dade9c" hidden="1">#REF!</definedName>
    <definedName name="TB8a806eed_f1e0_4341_8a16_0c2f00814e09" hidden="1">#REF!</definedName>
    <definedName name="TB8a8a09a9_69ce_4b04_9d84_edb68d55c594" hidden="1">#REF!</definedName>
    <definedName name="TB8a907720_8593_4780_893a_e9439ac06836" hidden="1">#REF!</definedName>
    <definedName name="TB8a9683c2_d782_420f_937d_5a1e1f9d4af4" hidden="1">#REF!</definedName>
    <definedName name="TB8a9b9f2d_1e57_4800_bd8f_4547e5462ff4" hidden="1">#REF!</definedName>
    <definedName name="TB8aaa7e40_38ec_49c8_b759_eda8ed1b467f" hidden="1">#REF!</definedName>
    <definedName name="TB8ac8fb64_d26c_4356_8f51_b2431765cbfa" hidden="1">#REF!</definedName>
    <definedName name="TB8ada54ce_a243_4925_b6c3_1fd6a16a8ccd" hidden="1">#REF!</definedName>
    <definedName name="TB8ae35794_6c21_4971_b58f_1ffd3d75230b" hidden="1">#REF!</definedName>
    <definedName name="TB8ae86567_3a08_4646_87f2_5d23abf4a61d" hidden="1">#REF!</definedName>
    <definedName name="TB8ae9c86b_f16c_4a15_86ae_db209e4474fd" hidden="1">#REF!</definedName>
    <definedName name="TB8afe3a4e_3648_4681_b8cb_f4ac34b06623" hidden="1">#REF!</definedName>
    <definedName name="TB8b09d471_1bdd_4a71_a68c_5015565ff3dd" hidden="1">#REF!</definedName>
    <definedName name="TB8b11e78c_819c_4c43_891c_5476496e3d20" hidden="1">#REF!</definedName>
    <definedName name="TB8b15dad3_e9b4_4af8_905d_06db37a7f691" hidden="1">#REF!</definedName>
    <definedName name="TB8b1d4185_2fd2_48c8_ad7c_ff067bb90e66" hidden="1">#REF!</definedName>
    <definedName name="TB8b38b2b6_74e8_4ffb_b0d9_5b4db095ec7d" hidden="1">#REF!</definedName>
    <definedName name="TB8b3e0071_aa8e_4d96_8d5a_c696f228119e" hidden="1">#REF!</definedName>
    <definedName name="TB8b59ad48_c155_4891_8fbf_fc69c2119554" hidden="1">#REF!</definedName>
    <definedName name="TB8b5cee9b_d283_448b_8b3f_e34c5dfd557a" hidden="1">#REF!</definedName>
    <definedName name="TB8b62f726_5c52_45f3_bc46_593156f93a13" hidden="1">#REF!</definedName>
    <definedName name="TB8b69b71f_1031_402b_9f77_c8a7842a6760" hidden="1">#REF!</definedName>
    <definedName name="TB8b728cef_00ea_416f_a2f2_d6f8f3c3f121" hidden="1">#REF!</definedName>
    <definedName name="TB8b78109f_e215_44c1_be75_0bf14c091851" hidden="1">#REF!</definedName>
    <definedName name="TB8b8933df_8f5e_4edc_8e67_8606717cbc2e" hidden="1">#REF!</definedName>
    <definedName name="TB8b8e5518_1892_4bdd_bce0_32c0454ae931" hidden="1">#REF!</definedName>
    <definedName name="TB8b98c555_a961_40dc_af42_d2a81885ace4" hidden="1">#REF!</definedName>
    <definedName name="TB8bb3dadd_581f_4cf8_b110_29237a410f6f" hidden="1">#REF!</definedName>
    <definedName name="TB8bbd9ef8_708b_4106_82d6_489299af3cd4" hidden="1">#REF!</definedName>
    <definedName name="TB8bcafc05_4256_47b9_a9c5_8217709d6a6f" hidden="1">#REF!</definedName>
    <definedName name="TB8bcd77ab_6baf_4103_9cc9_ee5a3730ffd4" hidden="1">#REF!</definedName>
    <definedName name="TB8bd12ba9_3772_4a74_91c2_3214a159b3b5" hidden="1">#REF!</definedName>
    <definedName name="TB8bd57c02_6704_4d09_bdae_fc25689ae611" hidden="1">#REF!</definedName>
    <definedName name="TB8be39749_9704_44f4_b183_25acf91debee" hidden="1">#REF!</definedName>
    <definedName name="TB8be6ba75_4444_4c91_8511_8132982f1b41" hidden="1">#REF!</definedName>
    <definedName name="TB8bf7e0f9_dbd8_4943_9ae1_9ca21845822f" hidden="1">#REF!</definedName>
    <definedName name="TB8c020913_14f3_4835_82fd_ea0c6c03dcaf" hidden="1">#REF!</definedName>
    <definedName name="TB8c398a11_5ee2_4488_a441_f63ac4a8549c" hidden="1">#REF!</definedName>
    <definedName name="TB8c412dbb_3d82_4d02_bc33_285359c58991" hidden="1">#REF!</definedName>
    <definedName name="TB8c42cb05_9d44_4b57_be28_22486d2e416d" hidden="1">#REF!</definedName>
    <definedName name="TB8c528c08_11fb_4344_b503_3b4a92a6feb6" hidden="1">#REF!</definedName>
    <definedName name="TB8c6d4999_cbea_4c62_b2a1_68cdd8958ffc" hidden="1">#REF!</definedName>
    <definedName name="TB8c7f9ff7_f231_4088_a711_d1a756fa395b" hidden="1">#REF!</definedName>
    <definedName name="TB8c8a1cea_d68f_42a9_8d39_3d695a39053a" hidden="1">#REF!</definedName>
    <definedName name="TB8c9e44c3_38cc_4aaa_b2f9_d22472f23051" hidden="1">#REF!</definedName>
    <definedName name="TB8caff901_4c0d_4068_a861_5dfdf67d9155" hidden="1">#REF!</definedName>
    <definedName name="TB8cb775db_b145_4e34_95ed_ffed02b2331f" hidden="1">#REF!</definedName>
    <definedName name="TB8cbd956b_44f5_41d9_98ff_b94f743eb301" hidden="1">#REF!</definedName>
    <definedName name="TB8ccd83f0_d361_4fe6_897a_9952f4904a95" hidden="1">#REF!</definedName>
    <definedName name="TB8cde6299_c8e4_491e_bfe9_1e6543ab03be" hidden="1">#REF!</definedName>
    <definedName name="TB8cdf5dbf_15f9_4f3a_902c_97dc76113718" hidden="1">#REF!</definedName>
    <definedName name="TB8cfb68c1_e267_4f9a_ac1a_7601ebc75819" hidden="1">#REF!</definedName>
    <definedName name="TB8d13a253_5266_4b1e_90b4_651a4e27c824" hidden="1">#REF!</definedName>
    <definedName name="TB8d186790_ee96_4fb9_8093_3dfcaf010006" hidden="1">#REF!</definedName>
    <definedName name="TB8d207fdc_ad78_4d2d_8d95_24e0b4eefc40" hidden="1">#REF!</definedName>
    <definedName name="TB8d27c8e6_6708_4227_9e18_4153cf3c81d0" hidden="1">#REF!</definedName>
    <definedName name="TB8d3b5e68_49a4_4dd7_a437_220ba1cf7640" hidden="1">#REF!</definedName>
    <definedName name="TB8d4d9722_8d4d_4164_88a5_9c61e16aa4a3" hidden="1">#REF!</definedName>
    <definedName name="TB8d593a43_fe3d_4b37_9e9f_be05ef57b48d" hidden="1">#REF!</definedName>
    <definedName name="TB8d5ea68b_95b1_4beb_b71b_38ffc1d2a7e4" hidden="1">#REF!</definedName>
    <definedName name="TB8d61b948_3cbf_4133_9b5b_dc599fdead8c" hidden="1">#REF!</definedName>
    <definedName name="TB8d645167_d5ae_4937_8e39_c015f8e3a446" hidden="1">#REF!</definedName>
    <definedName name="TB8d67509e_2c7c_45d0_8f68_ec09d808f82a" hidden="1">#REF!</definedName>
    <definedName name="TB8d7002b2_c246_4d46_87dd_af865f606c27" hidden="1">#REF!</definedName>
    <definedName name="TB8d7076e5_10fb_4bf4_b55a_5feb746fea67" hidden="1">#REF!</definedName>
    <definedName name="TB8d82c919_aede_4929_9e59_ae91610de72e" hidden="1">#REF!</definedName>
    <definedName name="TB8d88e22d_7f9b_49fd_831c_7542007807c8" hidden="1">#REF!</definedName>
    <definedName name="TB8db5bea5_37cf_4e22_800e_2f7d17f44a2f" hidden="1">#REF!</definedName>
    <definedName name="TB8dbdd894_ed3e_4143_b7d4_b86018d0741b" hidden="1">#REF!</definedName>
    <definedName name="TB8dccb756_89b3_46d5_aca0_77e7790c00ca" hidden="1">#REF!</definedName>
    <definedName name="TB8de98522_0368_4356_8843_60761bff3790" hidden="1">#REF!</definedName>
    <definedName name="TB8df7d78f_8769_4c4d_ac82_0f9238e0bc09" hidden="1">#REF!</definedName>
    <definedName name="TB8e0337f2_7900_42b0_9db6_ba9c00a973e3" hidden="1">#REF!</definedName>
    <definedName name="TB8e08c23b_978d_4fe2_8978_e30222faa13b" hidden="1">#REF!</definedName>
    <definedName name="TB8e22047a_3771_4d0a_8549_80f1c2bc6ded" hidden="1">#REF!</definedName>
    <definedName name="TB8e298bb4_ba95_40f5_82a3_2fbda8e8b3b9" hidden="1">#REF!</definedName>
    <definedName name="TB8e42015e_0af7_425a_9209_c390e7ac65eb" hidden="1">#REF!</definedName>
    <definedName name="TB8e523ddb_9028_4b9d_9bf4_69695c335b2f" hidden="1">#REF!</definedName>
    <definedName name="TB8e646d0d_faf1_4370_aec0_2d1a565d0d78" hidden="1">#REF!</definedName>
    <definedName name="TB8e6a620c_0c6e_48e4_93b4_c23bef12373f" hidden="1">#REF!</definedName>
    <definedName name="TB8e6f9dca_3e85_4221_850c_1ddff78518c0" hidden="1">#REF!</definedName>
    <definedName name="TB8e761646_111d_4280_bd39_4de738f1fedc" hidden="1">#REF!</definedName>
    <definedName name="TB8e7833de_84b6_4961_8773_99ef29918215" hidden="1">#REF!</definedName>
    <definedName name="TB8e83e20c_7ff3_40f8_b1a1_ccb54309841f" hidden="1">#REF!</definedName>
    <definedName name="TB8e957636_34c6_472b_85e4_3fbd67320de0" hidden="1">#REF!</definedName>
    <definedName name="TB8ea3088b_beea_4b8f_96f4_4f242eac070c" hidden="1">#REF!</definedName>
    <definedName name="TB8ea66546_405d_44f3_8268_a4d55b77f58b" hidden="1">#REF!</definedName>
    <definedName name="TB8ed125b5_1360_4d6a_aaae_5bf2ee61e7f7" hidden="1">#REF!</definedName>
    <definedName name="TB8ee589a9_f8c1_45bb_8090_6e4183317616" hidden="1">#REF!</definedName>
    <definedName name="TB8ef53148_b764_4e57_a3fe_7bd039d2f65c" hidden="1">#REF!</definedName>
    <definedName name="TB8f0290a3_94c5_4804_8396_97d05cee692e" hidden="1">#REF!</definedName>
    <definedName name="TB8f04b907_7671_4a72_a7cb_30ead632e9f3" hidden="1">#REF!</definedName>
    <definedName name="TB8f23de52_61af_4897_8343_84c1a4055ed1" hidden="1">#REF!</definedName>
    <definedName name="TB8f2bc700_9c8b_4c3f_8d3a_9e89b08fcf7b" hidden="1">#REF!</definedName>
    <definedName name="TB8f3994e8_538c_4b54_a8a9_27c67da63d31" hidden="1">#REF!</definedName>
    <definedName name="TB8f3b2d11_012b_473c_95a1_8d0f57d04c68" hidden="1">#REF!</definedName>
    <definedName name="TB8f4a696a_95d9_4151_af44_e4a382fef0a9" hidden="1">#REF!</definedName>
    <definedName name="TB8f5778ad_94ed_4fdf_8d25_bc5a22ec0baf" hidden="1">#REF!</definedName>
    <definedName name="TB8f5c345f_c7a9_4cc4_96d8_ee2cd73ea3ec" hidden="1">#REF!</definedName>
    <definedName name="TB8f6090c1_3235_47ca_ba0a_debfcd97b8d7" hidden="1">#REF!</definedName>
    <definedName name="TB8f61a2b1_e8a2_4752_b734_ee9b8dd8bc4f" hidden="1">#REF!</definedName>
    <definedName name="TB8f628581_ec83_4c72_9b33_79a150737d47" hidden="1">#REF!</definedName>
    <definedName name="TB8f71c34b_481f_40ec_861f_1d93620ad285" hidden="1">#REF!</definedName>
    <definedName name="TB8f821029_47a5_4865_90aa_4484a342b337" hidden="1">#REF!</definedName>
    <definedName name="TB8f99483b_76e8_4162_9e43_38f279992897" hidden="1">#REF!</definedName>
    <definedName name="TB8fa6375e_a56e_46d9_8835_ac65d53e25a9" hidden="1">#REF!</definedName>
    <definedName name="TB8fa9580c_114d_45d5_8a1d_a2f3cc0f0730" hidden="1">#REF!</definedName>
    <definedName name="TB8fb505c1_d9be_42e5_b9be_e128bf1e3a97" hidden="1">#REF!</definedName>
    <definedName name="TB8fbb585e_904a_4ecb_9042_ed33a482b2fe" hidden="1">#REF!</definedName>
    <definedName name="TB8fc0d7c3_e781_442f_a2f8_03a4fc60c020" hidden="1">#REF!</definedName>
    <definedName name="TB8fc371f1_ae61_4143_9cd0_60c798c72fd1" hidden="1">#REF!</definedName>
    <definedName name="TB8fcdd210_b59f_4d23_92ce_b3ea397fee04" hidden="1">#REF!</definedName>
    <definedName name="TB8fda37d5_0877_44ae_8b97_e5ae14f4d9ff" hidden="1">#REF!</definedName>
    <definedName name="TB8fdd0d01_193b_457b_9a39_e1e92887e40e" hidden="1">#REF!</definedName>
    <definedName name="TB8ff48b6a_2c98_411a_836b_363c0ef91ed2" hidden="1">#REF!</definedName>
    <definedName name="TB8ffc445c_4973_47b5_9873_2a8230c1bca6" hidden="1">#REF!</definedName>
    <definedName name="TB90056918_8e0e_45bd_a7cc_b5e5ee5f349e" hidden="1">#REF!</definedName>
    <definedName name="TB900704c4_f09c_49fc_88b9_cf27ff879803" hidden="1">#REF!</definedName>
    <definedName name="TB90109c98_c81c_4f2e_b76f_5dc4f6c9fa30" hidden="1">#REF!</definedName>
    <definedName name="TB90214884_8602_45ac_a3cd_e066636ce3db" hidden="1">#REF!</definedName>
    <definedName name="TB902452f8_019b_4419_b418_d55703c15e46" hidden="1">#REF!</definedName>
    <definedName name="TB9037695e_1fc4_4a98_a837_9fe5df1ca5c9" hidden="1">#REF!</definedName>
    <definedName name="TB9041765b_3d3f_4850_bfe9_d7017c8c5cf1" hidden="1">#REF!</definedName>
    <definedName name="TB905b200a_3280_4beb_afa0_184978a6ea4a" hidden="1">#REF!</definedName>
    <definedName name="TB90651ec9_ee8f_4bf4_b757_e10f9b360ead" hidden="1">#REF!</definedName>
    <definedName name="TB90686e30_db17_48ad_a91d_1c039e484677" hidden="1">#REF!</definedName>
    <definedName name="TB9071fa89_086d_4ca9_a91f_7fbba265dd45" hidden="1">#REF!</definedName>
    <definedName name="TB907d05cf_12a8_40aa_9548_c6fc50641dd8" hidden="1">#REF!</definedName>
    <definedName name="TB90857bba_a45f_4942_bdf2_71f953be43d9" hidden="1">#REF!</definedName>
    <definedName name="TB908aa567_0df4_407c_8315_2328e7bfe733" hidden="1">#REF!</definedName>
    <definedName name="TB90939a70_f85a_4415_98d1_aa64cad33fbf" hidden="1">#REF!</definedName>
    <definedName name="TB9095c7f4_163b_4cf4_ad52_2a667f34e801" hidden="1">#REF!</definedName>
    <definedName name="TB909f2f72_b8a3_4d0d_922b_f0a151892b72" hidden="1">#REF!</definedName>
    <definedName name="TB90a515a5_fefc_4049_a775_b6f2e79d446d" hidden="1">#REF!</definedName>
    <definedName name="TB90a82c85_dd0b_48a9_93a3_1dc8a800c6fb" hidden="1">#REF!</definedName>
    <definedName name="TB90b1aa28_0c5f_4672_90dc_ff771a33465e" hidden="1">#REF!</definedName>
    <definedName name="TB90b2b1f2_cd56_4a53_860c_1718461dc415" hidden="1">#REF!</definedName>
    <definedName name="TB90b51b49_64b0_4045_8fbf_8f2ed354d6f9" hidden="1">#REF!</definedName>
    <definedName name="TB90cc8b3a_c6e6_48f5_8f22_4ef51c560991" hidden="1">#REF!</definedName>
    <definedName name="TB90dc170c_426d_4761_a735_cd2be3080eed" hidden="1">#REF!</definedName>
    <definedName name="TB90e55a54_af98_4aa6_bfeb_4ff705fb8f8a" hidden="1">#REF!</definedName>
    <definedName name="TB90edb8ca_95f6_4089_b0da_4e58ca6b7d0c" hidden="1">#REF!</definedName>
    <definedName name="TB90f98acb_0228_4a1b_b591_91ea3c2dd884" hidden="1">#REF!</definedName>
    <definedName name="TB91002275_058b_4b4d_b9b9_69589b07fb0b" hidden="1">#REF!</definedName>
    <definedName name="TB910c5333_0f22_416c_bcfb_1bed19c159b5" hidden="1">#REF!</definedName>
    <definedName name="TB910fbb31_9b0b_4932_b0e0_8e582fb2f884" hidden="1">#REF!</definedName>
    <definedName name="TB9113477b_3372_49b8_ae05_7a26dad06ff3" hidden="1">#REF!</definedName>
    <definedName name="TB911abc7e_53cb_47ea_a9f5_d832479ee5ed" hidden="1">#REF!</definedName>
    <definedName name="TB911f5351_52d6_4d94_8373_ea07cd6e05e0" hidden="1">#REF!</definedName>
    <definedName name="TB915b3639_25c6_4bb4_8040_2089fa9d25ef" hidden="1">#REF!</definedName>
    <definedName name="TB915dd59b_4904_49c0_9878_6c6eb66b433b" hidden="1">#REF!</definedName>
    <definedName name="TB91614a14_5953_42a8_acba_3e100f6e2a18" hidden="1">#REF!</definedName>
    <definedName name="TB916adc67_6f85_466f_ac3c_c0e13e199d9e" hidden="1">#REF!</definedName>
    <definedName name="TB9174c53f_823e_48bb_8db6_680d973c6ab7" hidden="1">#REF!</definedName>
    <definedName name="TB918e2116_341f_462a_9296_5900826e1b8e" hidden="1">#REF!</definedName>
    <definedName name="TB9190331d_a38d_45fc_b90d_bfac273e2e9d" hidden="1">#REF!</definedName>
    <definedName name="TB919523a1_805e_4688_93aa_615a5dc389a0" hidden="1">#REF!</definedName>
    <definedName name="TB91e41bb6_6c1f_482f_8718_e9fa390355c9" hidden="1">#REF!</definedName>
    <definedName name="TB91f46d45_bf01_4a37_99bf_64bd0ac6bd63" hidden="1">#REF!</definedName>
    <definedName name="TB92039a37_f95a_47cc_8709_885ed5a2fcfb" hidden="1">#REF!</definedName>
    <definedName name="TB920461bc_6fbf_4cad_b06a_2a5b87ec91a7" hidden="1">#REF!</definedName>
    <definedName name="TB92050bdd_7b76_4e91_abee_d2ad4479fb42" hidden="1">#REF!</definedName>
    <definedName name="TB92251aa6_d88a_4bf5_a13a_9935e08817a8" hidden="1">#REF!</definedName>
    <definedName name="TB922b364e_e867_47b3_b359_d595be5be3e3" hidden="1">#REF!</definedName>
    <definedName name="TB9233c8fe_30e2_4f03_a9c7_bf9fe1dc5f94" hidden="1">#REF!</definedName>
    <definedName name="TB9247aa34_8d4a_4df8_a2b4_50390f60e413" hidden="1">#REF!</definedName>
    <definedName name="TB925842bf_3725_44a2_b307_0c0b62bd01e3" hidden="1">#REF!</definedName>
    <definedName name="TB927141cc_5371_4015_94c8_9f85305f5ada" hidden="1">#REF!</definedName>
    <definedName name="TB9271ff50_32cc_456f_afbf_e38e739c9554" hidden="1">#REF!</definedName>
    <definedName name="TB927c1cf8_a4c5_4dc4_badc_a13ed1c15dd1" hidden="1">#REF!</definedName>
    <definedName name="TB927ff567_4c1d_424c_bdd9_ac065442071b" hidden="1">#REF!</definedName>
    <definedName name="TB928663da_7c15_4cb8_a7c0_615c74d57974" hidden="1">#REF!</definedName>
    <definedName name="TB92980e3f_9066_442d_aaee_8de77e29a43f" hidden="1">#REF!</definedName>
    <definedName name="TB92a074c6_8cf9_4179_943f_793ad61a2d27" hidden="1">#REF!</definedName>
    <definedName name="TB92affcba_6c50_4a17_8d08_5800e954abe4" hidden="1">#REF!</definedName>
    <definedName name="TB92b1fb6f_4811_4e39_8ad9_6a755dba3078" hidden="1">#REF!</definedName>
    <definedName name="TB92b87909_2414_4dd4_9c24_c790590d16ef" hidden="1">#REF!</definedName>
    <definedName name="TB92c1f5df_306b_4f59_9758_45ca12b2030d" hidden="1">#REF!</definedName>
    <definedName name="TB92d7f7f8_d9f4_4b95_89fb_00c42ce99350" hidden="1">#REF!</definedName>
    <definedName name="TB92f7fd56_f84c_4b91_b399_5d2e8c5f4d82" hidden="1">#REF!</definedName>
    <definedName name="TB931cc20b_ceab_4edf_bee0_b6ef17f5e849" hidden="1">#REF!</definedName>
    <definedName name="TB931d4b25_1968_4009_87ee_41f48a4a3833" hidden="1">#REF!</definedName>
    <definedName name="TB931e7cc1_9d96_4bf1_a7f6_72caf336c8e7" hidden="1">#REF!</definedName>
    <definedName name="TB9333fe03_238d_4d2f_a79f_02e381cf3b39" hidden="1">#REF!</definedName>
    <definedName name="TB933cc828_1162_4eb1_8e8a_cf1fd9b84998" hidden="1">#REF!</definedName>
    <definedName name="TB933f8351_3608_4083_9328_4be816800d6c" hidden="1">#REF!</definedName>
    <definedName name="TB934d6b7b_3f77_497c_8d9d_9ccbe70dbd1a" hidden="1">#REF!</definedName>
    <definedName name="TB934dec2a_d289_48b3_bf7b_f21e4e849290" hidden="1">#REF!</definedName>
    <definedName name="TB93587c4b_39be_4308_8527_57a6ff49dc86" hidden="1">#REF!</definedName>
    <definedName name="TB9363a72f_55be_4cee_ad8f_93e18ff2d440" hidden="1">#REF!</definedName>
    <definedName name="TB93750a33_3879_4cad_866c_f22387c4a631" hidden="1">#REF!</definedName>
    <definedName name="TB937539a2_e236_4591_8337_7796051f430b" hidden="1">#REF!</definedName>
    <definedName name="TB937ab516_6ba6_4129_b19c_7131db3f4251" hidden="1">#REF!</definedName>
    <definedName name="TB937f98b0_35f3_4dbb_953b_65bf54b149e2" hidden="1">#REF!</definedName>
    <definedName name="TB93806ffd_17b3_49d2_8648_bead82227353" hidden="1">#REF!</definedName>
    <definedName name="TB939493d6_1b43_40d6_a642_444d39c4b272" hidden="1">#REF!</definedName>
    <definedName name="TB93949d1b_07ed_4739_931b_ce29e47ca121" hidden="1">#REF!</definedName>
    <definedName name="TB93a69572_211a_43e8_89e9_7fd9b19644c9" hidden="1">#REF!</definedName>
    <definedName name="TB93ac69a9_7388_4ce3_beaf_553fc9ca1cdf" hidden="1">#REF!</definedName>
    <definedName name="TB93ba8c41_cd35_4735_b4e4_dd090c187366" hidden="1">#REF!</definedName>
    <definedName name="TB93bef722_c358_4f7e_8a10_6e2436d18fd4" hidden="1">#REF!</definedName>
    <definedName name="TB93c23bb4_38a2_4583_93f2_bf771d45485f" hidden="1">#REF!</definedName>
    <definedName name="TB93c714f1_70e5_48e5_b416_a96100687138" hidden="1">#REF!</definedName>
    <definedName name="TB93c9c948_92be_4774_a998_da973388e830" hidden="1">#REF!</definedName>
    <definedName name="TB93de33f4_56c0_423b_89e1_8c701ae93dea" hidden="1">#REF!</definedName>
    <definedName name="TB93e005be_f2b6_4fb6_8589_81fbd610cec1" hidden="1">#REF!</definedName>
    <definedName name="TB93f3c194_01cd_47cd_be17_7eeda52aa121" hidden="1">#REF!</definedName>
    <definedName name="TB93f50bdf_ab74_4a88_8c01_9ea2dfc7afd4" hidden="1">#REF!</definedName>
    <definedName name="TB94028119_db4a_48b5_a356_1bbe4142db89" hidden="1">#REF!</definedName>
    <definedName name="TB940cc222_76e1_41c4_95e3_755f6d691d6b" hidden="1">#REF!</definedName>
    <definedName name="TB9411ee97_2b5c_4efa_a2e7_d0f594f27f24" hidden="1">#REF!</definedName>
    <definedName name="TB9416709d_cac0_49a6_8078_96751189c4b5" hidden="1">#REF!</definedName>
    <definedName name="TB941f68a2_4941_44e3_bdd5_3a9f0d98df41" hidden="1">#REF!</definedName>
    <definedName name="TB942aa4b1_2c8c_406e_ac83_4bd2a2f74992" hidden="1">#REF!</definedName>
    <definedName name="TB94300d91_a268_4ac3_bed9_cdede8a778ca" hidden="1">#REF!</definedName>
    <definedName name="TB9446b60e_500d_42a0_abad_2b28769fcd49" hidden="1">#REF!</definedName>
    <definedName name="TB94673a80_4296_4df8_a5e6_c074ca30f565" hidden="1">#REF!</definedName>
    <definedName name="TB94711e9c_3712_4a05_b45b_87e70a14b556" hidden="1">#REF!</definedName>
    <definedName name="TB94878a46_3b21_410b_82ad_cdc0b7cb9d7d" hidden="1">#REF!</definedName>
    <definedName name="TB9489ec5b_6569_48e4_acfb_70e50ee5d6d1" hidden="1">#REF!</definedName>
    <definedName name="TB948bd928_efb6_43f3_9e92_43c298d5489a" hidden="1">#REF!</definedName>
    <definedName name="TB94a8f097_9718_4c54_9717_91f321bc6a5d" hidden="1">#REF!</definedName>
    <definedName name="TB94bcb07d_a53f_4e24_8a21_97a6511e0616" hidden="1">#REF!</definedName>
    <definedName name="TB94be7819_1c1f_42ce_8f39_3126c09c684d" hidden="1">#REF!</definedName>
    <definedName name="TB94c20ab0_c898_4a3d_b621_ff6f009b7039" hidden="1">#REF!</definedName>
    <definedName name="TB94c44011_ced4_4a34_a4b7_82d70367ca41" hidden="1">#REF!</definedName>
    <definedName name="TB94e260d6_3aa3_4727_bd70_218605003347" hidden="1">#REF!</definedName>
    <definedName name="TB95052251_74d9_4ec6_88f8_f5ca86b5834b" hidden="1">#REF!</definedName>
    <definedName name="TB9507424b_cf97_4828_9704_40a9fd3e66b3" hidden="1">#REF!</definedName>
    <definedName name="TB951379d1_315b_43ab_b57f_2d85f2417a51" hidden="1">#REF!</definedName>
    <definedName name="TB951c788c_218a_444d_afd8_361645548f4f" hidden="1">#REF!</definedName>
    <definedName name="TB952f1148_0009_4446_9514_bd5cca60f9a6" hidden="1">#REF!</definedName>
    <definedName name="TB952f568a_c139_475e_813e_798ce53208a4" hidden="1">#REF!</definedName>
    <definedName name="TB952fd4d1_684f_4ab8_8d13_7330e6f46e28" hidden="1">#REF!</definedName>
    <definedName name="TB95312bb3_c257_490b_818b_f93011e71772" hidden="1">#REF!</definedName>
    <definedName name="TB9535bb33_d26f_4bee_899d_ff83bc8a058c" hidden="1">#REF!</definedName>
    <definedName name="TB953701f2_c954_4460_a803_055b06224bd3" hidden="1">#REF!</definedName>
    <definedName name="TB95503b9e_93de_42c2_98d4_35808b915ea8" hidden="1">#REF!</definedName>
    <definedName name="TB955045b8_a08b_44d1_b576_ddadbc8d9869" hidden="1">#REF!</definedName>
    <definedName name="TB955c8992_e3d2_4696_adc0_f01c6e7f2d9c" hidden="1">#REF!</definedName>
    <definedName name="TB955e1fff_dce4_456d_80f5_ac304e29f3b9" hidden="1">#REF!</definedName>
    <definedName name="TB95707890_9b49_4f15_b682_bb580d9f9aa1" hidden="1">#REF!</definedName>
    <definedName name="TB95708427_946b_41f1_9497_9becdd6e5430" hidden="1">#REF!</definedName>
    <definedName name="TB95709df4_7891_4a5a_94ff_7baa8fc601d2" hidden="1">#REF!</definedName>
    <definedName name="TB9599e128_e0d1_40f1_9f8c_9ff067e58f29" hidden="1">#REF!</definedName>
    <definedName name="TB959dc74a_99e8_47e9_ae4c_3b51b95e11ad" hidden="1">#REF!</definedName>
    <definedName name="TB95a3f4bd_0969_43fd_a60a_281b8ef4890b" hidden="1">#REF!</definedName>
    <definedName name="TB95aaecb3_a224_4750_a712_2012969dfd9f" hidden="1">#REF!</definedName>
    <definedName name="TB95ba2eea_77f7_402b_ba97_09d4790b7406" hidden="1">#REF!</definedName>
    <definedName name="TB95c7ad76_c673_41e9_901d_754ccecb1342" hidden="1">#REF!</definedName>
    <definedName name="TB95c92fee_7363_44e7_8895_7dda801aa4c2" hidden="1">#REF!</definedName>
    <definedName name="TB95ed73df_f088_47a5_b30e_436653831183" hidden="1">#REF!</definedName>
    <definedName name="TB95f87f56_1510_45c9_bfd0_95fc4de96c3d" hidden="1">#REF!</definedName>
    <definedName name="TB9603eca2_a7c2_4467_9806_0eea76f8fca5" hidden="1">#REF!</definedName>
    <definedName name="TB962045b4_f7a3_4935_8432_f0f064a88510" hidden="1">#REF!</definedName>
    <definedName name="TB9622a345_b1d4_4252_822c_406fc4d447ee" hidden="1">#REF!</definedName>
    <definedName name="TB96234867_ae5d_4bb3_8b73_b463eee41529" hidden="1">#REF!</definedName>
    <definedName name="TB962af38b_5cff_49f1_9f21_22b637755286" hidden="1">#REF!</definedName>
    <definedName name="TB9634a348_f3d1_4c30_9728_fed41eeb1132" hidden="1">#REF!</definedName>
    <definedName name="TB9638f851_5e51_457d_a2b9_34174ed682d5" hidden="1">#REF!</definedName>
    <definedName name="TB963a6642_dda4_42ba_a42d_10b8c5f93ea9" hidden="1">#REF!</definedName>
    <definedName name="TB964aea42_fe11_4c6a_bcee_a19f5820ef60" hidden="1">#REF!</definedName>
    <definedName name="TB9671b20d_2d3a_4242_a530_f1883092727c" hidden="1">#REF!</definedName>
    <definedName name="TB96721f0e_9f81_49ec_879c_67786335e91b" hidden="1">#REF!</definedName>
    <definedName name="TB9674b399_39ae_44be_ae5c_72582c182b2a" hidden="1">#REF!</definedName>
    <definedName name="TB96782827_acd0_485d_b583_665075031137" hidden="1">#REF!</definedName>
    <definedName name="TB9679b771_7c26_4980_82ae_1f4428278798" hidden="1">#REF!</definedName>
    <definedName name="TB9699d207_1da5_4064_a4a9_eb9e22edc392" hidden="1">#REF!</definedName>
    <definedName name="TB969bb17c_a63c_4ae3_9b66_a27881070b65" hidden="1">#REF!</definedName>
    <definedName name="TB96b8ef23_f960_4419_b3e2_8513533e74a3" hidden="1">#REF!</definedName>
    <definedName name="TB96c2c6b2_bcb5_403d_8c0a_2db551b3180f" hidden="1">#REF!</definedName>
    <definedName name="TB96c62e8d_3f1a_4de1_814c_8b3912e64b11" hidden="1">#REF!</definedName>
    <definedName name="TB96c86d48_c68e_41eb_9244_ca06a58ea3e6" hidden="1">#REF!</definedName>
    <definedName name="TB96ca0869_946f_4a27_806d_09c0c83f5b1b" hidden="1">#REF!</definedName>
    <definedName name="TB96d5adce_be72_4a35_8ba7_e0cd79bb2057" hidden="1">#REF!</definedName>
    <definedName name="TB96d7aa5e_5b05_4de1_a754_40a29f3736ef" hidden="1">#REF!</definedName>
    <definedName name="TB96d8744c_1867_4456_91be_34e83f0ec5e1" hidden="1">#REF!</definedName>
    <definedName name="TB96d934c5_7ea0_4b76_b897_635239039227" hidden="1">#REF!</definedName>
    <definedName name="TB96def646_b81a_4c2c_882a_74330d28fd6f" hidden="1">#REF!</definedName>
    <definedName name="TB9719b03c_8acd_4a3e_babc_73aa0cbe97d1" hidden="1">#REF!</definedName>
    <definedName name="TB97226f4c_a8bf_4a07_8a94_cf332398fef7" hidden="1">#REF!</definedName>
    <definedName name="TB9734a6b6_49cc_4a3a_932a_3cab6947596c" hidden="1">#REF!</definedName>
    <definedName name="TB973a1a2f_3cfb_4e4d_a501_2bc44befda6e" hidden="1">#REF!</definedName>
    <definedName name="TB973bc100_5580_4d3a_982d_5857f33159d7" hidden="1">#REF!</definedName>
    <definedName name="TB973fd7ab_fa5c_4ac2_8230_a170f4f904d7" hidden="1">#REF!</definedName>
    <definedName name="TB974571ac_f685_4d33_a5c1_b32ce670db5f" hidden="1">#REF!</definedName>
    <definedName name="TB974fec96_f9a0_47bf_b265_b64f4b02e21c" hidden="1">#REF!</definedName>
    <definedName name="TB9756b5ac_04eb_4842_85b2_e8b40b380d4b" hidden="1">#REF!</definedName>
    <definedName name="TB975ce4de_ca20_41cb_b3f4_5deb300fe1e4" hidden="1">#REF!</definedName>
    <definedName name="TB9776f74e_a943_4dde_8b64_808b7a298ef7" hidden="1">#REF!</definedName>
    <definedName name="TB978a9266_f095_4531_badf_635846d46e3a" hidden="1">#REF!</definedName>
    <definedName name="TB978fe340_c4b3_4503_9d5c_0e07c7264919" hidden="1">#REF!</definedName>
    <definedName name="TB9797b064_5446_48d8_9757_c865a938ca57" hidden="1">#REF!</definedName>
    <definedName name="TB97a29f49_ea1e_4974_a146_cff2a92801c9" hidden="1">#REF!</definedName>
    <definedName name="TB97aea075_1f98_4daf_8368_eb05e4c8e813" hidden="1">#REF!</definedName>
    <definedName name="TB97d5a909_8070_46cf_9ff2_b8f421a69251" hidden="1">#REF!</definedName>
    <definedName name="TB97dc06f1_de7d_42d1_ad49_c9be9a64842b" hidden="1">#REF!</definedName>
    <definedName name="TB97e08537_8854_4f0c_92ad_9a7bd75bab43" hidden="1">#REF!</definedName>
    <definedName name="TB97ed0c79_1dc5_4335_8c2a_ea2caa9b7e89" hidden="1">#REF!</definedName>
    <definedName name="TB97eefd35_3035_4d3a_84f5_ab3b4b4dd118" hidden="1">#REF!</definedName>
    <definedName name="TB97f5149a_e147_4186_8d9d_1ab90cc713ee" hidden="1">#REF!</definedName>
    <definedName name="TB97f549c8_c8b9_4a31_861f_b9f8c628cfa3" hidden="1">#REF!</definedName>
    <definedName name="TB97ff46d1_4d25_4e0b_912f_c3e4b4a389fd" hidden="1">#REF!</definedName>
    <definedName name="TB980be2e4_1efe_469c_bc75_c311af187aec" hidden="1">#REF!</definedName>
    <definedName name="TB9813d203_c81c_4368_8b1b_4a67bb5c0aa5" hidden="1">#REF!</definedName>
    <definedName name="TB981f35c7_8fdb_40c5_8dc7_56a344634594" hidden="1">#REF!</definedName>
    <definedName name="TB981f4b86_2a3b_44dc_b46f_7591cb383042" hidden="1">#REF!</definedName>
    <definedName name="TB9821c973_1174_4de3_ba07_cf8c8fc619c5" hidden="1">#REF!</definedName>
    <definedName name="TB9824a9c9_649a_491f_b1ff_8aac74087e27" hidden="1">#REF!</definedName>
    <definedName name="TB98400b4f_82e7_4478_a399_69949c6fd2c5" hidden="1">#REF!</definedName>
    <definedName name="TB9843449b_5b52_4b28_957a_9ec4d62c3667" hidden="1">#REF!</definedName>
    <definedName name="TB9848f644_caa2_4c50_ba9e_de3770df4451" hidden="1">#REF!</definedName>
    <definedName name="TB98539579_c820_4f14_8ab5_5504791b0066" hidden="1">#REF!</definedName>
    <definedName name="TB98555220_85a0_4459_8734_7ddb36e15704" hidden="1">#REF!</definedName>
    <definedName name="TB986fdb1a_6002_4a6e_8bbd_f5e38e2c4d29" hidden="1">#REF!</definedName>
    <definedName name="TB988b0066_5323_489d_b94f_9ceada1ad233" hidden="1">#REF!</definedName>
    <definedName name="TB98af079e_0d1c_40b7_9248_98ca8bf9b510" hidden="1">#REF!</definedName>
    <definedName name="TB98b6d2aa_6875_4be7_9932_3a47783eef90" hidden="1">#REF!</definedName>
    <definedName name="TB98ba0277_e9cb_49df_b19d_14a45c5f82a2" hidden="1">#REF!</definedName>
    <definedName name="TB98c0494d_7eeb_4063_b826_891903af18c6" hidden="1">#REF!</definedName>
    <definedName name="TB98da3cb8_5904_47dc_b2e3_f89ed7a27162" hidden="1">#REF!</definedName>
    <definedName name="TB98db84c5_6830_4a56_b8d2_594130c721c7" hidden="1">#REF!</definedName>
    <definedName name="TB98f73935_31e9_4600_93c0_8f5ff09dc476" hidden="1">#REF!</definedName>
    <definedName name="TB99186d55_87f8_47fb_919a_5a09e91e6b9f" hidden="1">#REF!</definedName>
    <definedName name="TB991d3536_266e_4974_aad9_481fd5051003" hidden="1">#REF!</definedName>
    <definedName name="TB992d1517_6a26_43c9_9ccd_3f6174bde5e2" hidden="1">#REF!</definedName>
    <definedName name="TB992dca93_45f2_49d9_b370_34878b0f55c0" hidden="1">#REF!</definedName>
    <definedName name="TB992ff3bd_edd6_437e_8de4_a624d4f46f21" hidden="1">#REF!</definedName>
    <definedName name="TB993ecd9d_5135_4873_9b37_d0503cc08a34" hidden="1">#REF!</definedName>
    <definedName name="TB994521d8_3632_41ad_9862_a7b8c85e3c8d" hidden="1">#REF!</definedName>
    <definedName name="TB994cb717_14e8_4088_a0c0_f600a060110b" hidden="1">#REF!</definedName>
    <definedName name="TB9955b705_18bc_4587_aa77_3115c88e86e9" hidden="1">#REF!</definedName>
    <definedName name="TB995fc29b_43de_4109_ab12_15442c197528" hidden="1">#REF!</definedName>
    <definedName name="TB996ba9b5_a8da_4d36_9a62_be6eb9c35b3e" hidden="1">#REF!</definedName>
    <definedName name="TB9970e700_946e_4d1f_8146_4b9d49a98885" hidden="1">#REF!</definedName>
    <definedName name="TB997740b7_c575_4f17_833e_2e06141da8e3" hidden="1">#REF!</definedName>
    <definedName name="TB997969a8_1344_4ba2_996d_c7edf36e1e1e" hidden="1">#REF!</definedName>
    <definedName name="TB997b9369_6aa7_40b8_92ba_4da04aea8a3f" hidden="1">#REF!</definedName>
    <definedName name="TB998c6637_197c_4363_a9e4_f40c76cab58e" hidden="1">#REF!</definedName>
    <definedName name="TB999b6aca_cf2d_4b30_83ab_b61bd4b909bd" hidden="1">#REF!</definedName>
    <definedName name="TB99a064d5_11cd_4440_a459_0755480ff6f6" hidden="1">#REF!</definedName>
    <definedName name="TB99a4a8f8_8918_4707_8f94_44284eed281b" hidden="1">#REF!</definedName>
    <definedName name="TB99a5a780_a08b_42ac_8073_32cc814c72df" hidden="1">#REF!</definedName>
    <definedName name="TB99abd85d_2551_475e_ac80_1ef38dac5d1e" hidden="1">#REF!</definedName>
    <definedName name="TB99cb4e65_4fb2_4947_9c70_6da35588c658" hidden="1">#REF!</definedName>
    <definedName name="TB99d4fd55_d2a6_46ec_b629_e1b2e86aad36" hidden="1">#REF!</definedName>
    <definedName name="TB99dee688_fb1a_4b2d_8c7c_2ee8f239bb76" hidden="1">#REF!</definedName>
    <definedName name="TB99efd8be_5375_4725_855c_dd4b9f5c02c2" hidden="1">#REF!</definedName>
    <definedName name="TB99f6b1f5_e24e_4662_87f5_9a2ece0b53fb" hidden="1">#REF!</definedName>
    <definedName name="TB99ff95b7_291e_4a8c_9493_947a98093f4b" hidden="1">#REF!</definedName>
    <definedName name="TB9a1526ea_fc27_4c2d_9da2_7708b70906c8" hidden="1">#REF!</definedName>
    <definedName name="TB9a1efe69_31a8_4b9b_8703_71bb50565850" hidden="1">#REF!</definedName>
    <definedName name="TB9a1fb21c_86ae_4c44_b6d8_4e397de8c2b8" hidden="1">#REF!</definedName>
    <definedName name="TB9a2407ba_4c51_4587_b8cc_5420b61ed2be" hidden="1">#REF!</definedName>
    <definedName name="TB9a3b1177_add2_43d7_97fd_27c3b985bea3" hidden="1">#REF!</definedName>
    <definedName name="TB9a4a042a_42c9_4b77_b71c_815d7124a32e" hidden="1">#REF!</definedName>
    <definedName name="TB9a4e9aa5_c0d5_450d_b641_8452508847b1" hidden="1">#REF!</definedName>
    <definedName name="TB9a64868f_1df5_44e1_863a_acd47be519f7" hidden="1">#REF!</definedName>
    <definedName name="TB9a6af865_9ef5_48dd_9ced_5a04221008e3" hidden="1">#REF!</definedName>
    <definedName name="TB9a8ff493_285a_40ce_b13c_11bcdef88f3c" hidden="1">#REF!</definedName>
    <definedName name="TB9a995ebe_afb6_49eb_b05c_8b0aba1f37df" hidden="1">#REF!</definedName>
    <definedName name="TB9aa40b33_df13_47e1_9d68_e90b2c05d8de" hidden="1">#REF!</definedName>
    <definedName name="TB9aa5137c_8c1b_4bed_9909_67ac9bd304d5" hidden="1">#REF!</definedName>
    <definedName name="TB9aa78464_490a_406f_820f_573415624c05" hidden="1">#REF!</definedName>
    <definedName name="TB9ab75fcd_4ec0_47a3_b5aa_680d1a23e8cd" hidden="1">#REF!</definedName>
    <definedName name="TB9acd14ec_55c4_450b_b7f0_003c48e5f53e" hidden="1">#REF!</definedName>
    <definedName name="TB9ad3af36_3816_4aa9_b881_2b9a0f495d10" hidden="1">#REF!</definedName>
    <definedName name="TB9ad488b9_c29e_441b_a168_6ac13cfdfa5c" hidden="1">#REF!</definedName>
    <definedName name="TB9ad53848_c8fd_4e14_baf1_159a4fa77c30" hidden="1">#REF!</definedName>
    <definedName name="TB9ade31c2_87e8_4ab9_b91c_4635635e7bfe" hidden="1">#REF!</definedName>
    <definedName name="TB9ae69e33_22f5_43f1_87d4_d51e067ba4ee" hidden="1">#REF!</definedName>
    <definedName name="TB9af29c8d_60d2_4ea5_9cf9_fec5a0380038" hidden="1">#REF!</definedName>
    <definedName name="TB9af7494e_9f80_4634_91f5_2ef001c8f823" hidden="1">#REF!</definedName>
    <definedName name="TB9aff8017_655c_411d_8cd8_69ebd4f632d1" hidden="1">#REF!</definedName>
    <definedName name="TB9b074fc4_5fa2_4dcc_a922_8b5f32b80de5" hidden="1">#REF!</definedName>
    <definedName name="TB9b14ccbc_3b59_4f35_b767_b957e63dc3ed" hidden="1">#REF!</definedName>
    <definedName name="TB9b1b7908_3e51_49e7_85a0_76fd227cd4fd" hidden="1">#REF!</definedName>
    <definedName name="TB9b1ce187_e189_4dd7_8105_f0e70a93e765" hidden="1">#REF!</definedName>
    <definedName name="TB9b277485_a931_4e93_9378_b7fa31973f31" hidden="1">#REF!</definedName>
    <definedName name="TB9b2ab264_1cc9_4b12_8367_0993b58231f5" hidden="1">#REF!</definedName>
    <definedName name="TB9b2c6e73_e23d_49b1_b73f_2f4a156a9193" hidden="1">#REF!</definedName>
    <definedName name="TB9b3634f9_433c_4e9c_8213_2f58d21247ef" hidden="1">#REF!</definedName>
    <definedName name="TB9b3ac86f_eb9a_42e1_bc68_9e1bbda51a20" hidden="1">#REF!</definedName>
    <definedName name="TB9b46abf2_96d5_4943_9372_7642eae745cd" hidden="1">#REF!</definedName>
    <definedName name="TB9b4767c9_425a_4bda_bc48_a75eaec29337" hidden="1">#REF!</definedName>
    <definedName name="TB9b5d76a5_3d66_4736_b61b_ddf3a22a6218" hidden="1">#REF!</definedName>
    <definedName name="TB9b74b5bb_a6e0_47bd_9157_e2872314b284" hidden="1">#REF!</definedName>
    <definedName name="TB9b75c48c_5bb7_4958_bca4_3314e2e52283" hidden="1">#REF!</definedName>
    <definedName name="TB9b787a9d_d6da_4333_83e3_553f88c62a49" hidden="1">#REF!</definedName>
    <definedName name="TB9b7fb31c_b7e2_4079_9f6e_63bd6e332c6e" hidden="1">#REF!</definedName>
    <definedName name="TB9b80f5e6_7a6f_4eb6_aa22_99aad02be124" hidden="1">#REF!</definedName>
    <definedName name="TB9b843028_e673_4f1c_a1f5_922fe853a20d" hidden="1">#REF!</definedName>
    <definedName name="TB9b853402_6a64_40f3_90b9_cc41ab21e1f6" hidden="1">#REF!</definedName>
    <definedName name="TB9b856775_07fd_4796_b19c_89b5187f27ab" hidden="1">#REF!</definedName>
    <definedName name="TB9b8a1096_3612_4829_bb8a_67eb46e4d62f" hidden="1">#REF!</definedName>
    <definedName name="TB9b970924_9364_47e9_b9bc_f1022c8c9d12" hidden="1">#REF!</definedName>
    <definedName name="TB9b972a77_0c66_4a7e_ab27_49816ecd1434" hidden="1">#REF!</definedName>
    <definedName name="TB9bae36cf_0862_4c3d_80c4_71df454ecccb" hidden="1">#REF!</definedName>
    <definedName name="TB9bb289e7_8419_42ae_8608_ea32db20f880" hidden="1">#REF!</definedName>
    <definedName name="TB9bb91db6_6240_4ada_a289_9b5f0cbe21e3" hidden="1">#REF!</definedName>
    <definedName name="TB9bba1e72_20bf_400c_b48a_029bf671c492" hidden="1">#REF!</definedName>
    <definedName name="TB9bbff9dd_35f0_45ba_8b2a_f4633c9d063d" hidden="1">#REF!</definedName>
    <definedName name="TB9bcfd4fa_cd8d_429b_8633_9f14dc0ed253" hidden="1">#REF!</definedName>
    <definedName name="TB9bd54847_165d_4a99_9118_535c35249784" hidden="1">#REF!</definedName>
    <definedName name="TB9be04a13_0a9f_439d_b43b_6ae125c12c44" hidden="1">#REF!</definedName>
    <definedName name="TB9be66cce_f410_484d_ad35_136de872eb98" hidden="1">#REF!</definedName>
    <definedName name="TB9bec9690_f876_4ed0_85c4_f99539245e20" hidden="1">#REF!</definedName>
    <definedName name="TB9bf21f18_2bfb_4460_b33a_ed12837bdfe5" hidden="1">#REF!</definedName>
    <definedName name="TB9bf62e9a_2e04_4894_baac_6bb5653d2303" hidden="1">#REF!</definedName>
    <definedName name="TB9bf93480_8b2b_47bf_add0_2798a6a3336d" hidden="1">#REF!</definedName>
    <definedName name="TB9bf98bd0_2d6c_483f_a924_37c31026834d" hidden="1">#REF!</definedName>
    <definedName name="TB9c01ddf3_f87d_41b0_99fa_85e7d5572830" hidden="1">#REF!</definedName>
    <definedName name="TB9c14775c_d21a_4a0c_9c24_9f2143be89b6" hidden="1">#REF!</definedName>
    <definedName name="TB9c193862_f28a_4dda_b733_a6e166bc7873" hidden="1">#REF!</definedName>
    <definedName name="TB9c1aaa10_18ad_49f1_957d_c6711423f065" hidden="1">#REF!</definedName>
    <definedName name="TB9c1d5528_8a71_4221_9805_bdf6cd3e528a" hidden="1">#REF!</definedName>
    <definedName name="TB9c2cd7c2_8ef4_4879_9def_d483de3db7a6" hidden="1">#REF!</definedName>
    <definedName name="TB9c38859e_1c08_4831_8309_a1872d31ae4d" hidden="1">#REF!</definedName>
    <definedName name="TB9c39eece_99fc_4c94_b950_370467b2ab1e" hidden="1">#REF!</definedName>
    <definedName name="TB9c52f338_00a3_412f_97a1_f772890b6a1a" hidden="1">#REF!</definedName>
    <definedName name="TB9c5fbba1_e540_4998_af41_d7637f176456" hidden="1">#REF!</definedName>
    <definedName name="TB9c617c35_b5ee_4842_b729_807c943600bd" hidden="1">#REF!</definedName>
    <definedName name="TB9c652cd2_b9c5_413c_abc8_4de8822642e6" hidden="1">#REF!</definedName>
    <definedName name="TB9c65408c_a335_4fff_a039_8326aefbb399" hidden="1">#REF!</definedName>
    <definedName name="TB9c71b8d6_f920_4650_b0ae_62209b2c1067" hidden="1">#REF!</definedName>
    <definedName name="TB9c7fb6ed_618d_438b_ad71_a7c7021283d4" hidden="1">#REF!</definedName>
    <definedName name="TB9c8d781e_ab41_4a0f_a6f6_20d650c78c8f" hidden="1">#REF!</definedName>
    <definedName name="TB9c9747dc_6164_4696_9949_37bbed2b89c8" hidden="1">#REF!</definedName>
    <definedName name="TB9ca75f00_9cb9_4652_a37d_1fc8a133e43c" hidden="1">#REF!</definedName>
    <definedName name="TB9cc6ae53_9759_4525_8f90_394bf981b490" hidden="1">#REF!</definedName>
    <definedName name="TB9ccfe0ea_66c6_4c5a_be42_b3c320b3f661" hidden="1">#REF!</definedName>
    <definedName name="TB9cd297a3_9310_4b92_aa9a_03b0c78f90d1" hidden="1">#REF!</definedName>
    <definedName name="TB9cd8c843_40f2_48da_80be_40d6f88cb478" hidden="1">#REF!</definedName>
    <definedName name="TB9d053c80_6e2e_4f19_b235_8d02cb1c60b8" hidden="1">#REF!</definedName>
    <definedName name="TB9d145970_1d2b_4618_af2e_fe2f6d09da21" hidden="1">#REF!</definedName>
    <definedName name="TB9d1ec4bb_38fa_422a_83cd_51ed7d8c3edb" hidden="1">#REF!</definedName>
    <definedName name="TB9d284208_6f75_4676_a4a4_53bfc73df7bb" hidden="1">#REF!</definedName>
    <definedName name="TB9d31811d_71ff_43b5_b317_bd00a1b86542" hidden="1">#REF!</definedName>
    <definedName name="TB9d32f7db_1d40_4db2_8b0c_0c43da1054c5" hidden="1">#REF!</definedName>
    <definedName name="TB9d514f81_34ec_4556_baf1_c195bd4ba75c" hidden="1">#REF!</definedName>
    <definedName name="TB9d5a580e_4719_48ed_ac90_5a716f574a7f" hidden="1">#REF!</definedName>
    <definedName name="TB9d5db79b_7566_4df7_877f_04121cc015d7" hidden="1">#REF!</definedName>
    <definedName name="TB9d6cfa03_ff46_435c_90a8_73e5edad9eba" hidden="1">#REF!</definedName>
    <definedName name="TB9da1564c_9b97_4bf7_bd68_a880dc5112b5" hidden="1">#REF!</definedName>
    <definedName name="TB9da4aad1_1e8f_4f67_8708_e5312fc7eeb7" hidden="1">#REF!</definedName>
    <definedName name="TB9dafdc44_de0d_4803_99b5_55cf59a03e00" hidden="1">#REF!</definedName>
    <definedName name="TB9dbc0ea3_fe34_4c9d_9c3a_03c4ce6b24cb" hidden="1">#REF!</definedName>
    <definedName name="TB9dcbda78_bda7_410b_bf40_e03d50df45dc" hidden="1">#REF!</definedName>
    <definedName name="TB9dd37826_b499_4a9f_b978_73b9e9f015d1" hidden="1">#REF!</definedName>
    <definedName name="TB9dd6bb83_451c_4795_8fda_888f1eaa3ead" hidden="1">#REF!</definedName>
    <definedName name="TB9ddc1172_3e51_4365_8f70_db28901bef52" hidden="1">#REF!</definedName>
    <definedName name="TB9de3edb8_4643_4dda_9211_e7b6019a76d5" hidden="1">#REF!</definedName>
    <definedName name="TB9de61241_a895_4aa0_80d1_22760476d5ca" hidden="1">#REF!</definedName>
    <definedName name="TB9df4c840_2dd4_415f_809e_c9702e4e8832" hidden="1">#REF!</definedName>
    <definedName name="TB9e0ba77d_2761_44a5_a60c_c3a2e196a1a6" hidden="1">#REF!</definedName>
    <definedName name="TB9e16e873_6863_43c9_9d4f_4562247a03d9" hidden="1">#REF!</definedName>
    <definedName name="TB9e1f791b_6984_4b1b_ae64_bc9556debddb" hidden="1">#REF!</definedName>
    <definedName name="TB9e2276d8_cdd6_4ea8_873b_08fc0a1ff989" hidden="1">#REF!</definedName>
    <definedName name="TB9e271bff_ca22_4f85_9314_3778b3f1e056" hidden="1">#REF!</definedName>
    <definedName name="TB9e30c6a9_d127_4fef_ab2b_66704b3989fa" hidden="1">#REF!</definedName>
    <definedName name="TB9e313af7_e4ce_435d_ad18_e8bc5908fca4" hidden="1">#REF!</definedName>
    <definedName name="TB9e38231e_8298_4f76_acf6_c6d7f7015c2a" hidden="1">#REF!</definedName>
    <definedName name="TB9e3845df_bdaf_4574_9304_e68df518547a" hidden="1">#REF!</definedName>
    <definedName name="TB9e396a1b_d635_46f1_82d0_612dc817dad7" hidden="1">#REF!</definedName>
    <definedName name="TB9e401d70_ad42_47f5_933b_81ef8e34a60e" hidden="1">#REF!</definedName>
    <definedName name="TB9e427ecd_0105_4849_8c88_8add92944124" hidden="1">#REF!</definedName>
    <definedName name="TB9e6bea3a_cb12_4173_89a7_ae831b8a50a5" hidden="1">#REF!</definedName>
    <definedName name="TB9e7672ef_bee9_483c_963e_26eb8b937b84" hidden="1">#REF!</definedName>
    <definedName name="TB9e8267ff_44bf_4dff_8cbf_6f0e1a88cafa" hidden="1">#REF!</definedName>
    <definedName name="TB9e84086d_4cf7_4568_88e3_266e7efc720f" hidden="1">#REF!</definedName>
    <definedName name="TB9e971c8f_ca2b_4855_b3f3_bbb55e821a20" hidden="1">#REF!</definedName>
    <definedName name="TB9e9bc731_8c90_4851_b3e0_e6d3ab53125b" hidden="1">#REF!</definedName>
    <definedName name="TB9e9e4c4c_09ad_4793_b95a_ab51ab0256a7" hidden="1">#REF!</definedName>
    <definedName name="TB9ea92877_0b0c_4593_8ded_d9575875cfa7" hidden="1">#REF!</definedName>
    <definedName name="TB9eb3af03_be0d_4a44_a662_99fdc755173d" hidden="1">#REF!</definedName>
    <definedName name="TB9eb88718_13e7_4284_b91a_490bd447f861" hidden="1">#REF!</definedName>
    <definedName name="TB9eb9bace_e40e_41e6_95b2_86e76024fd3f" hidden="1">#REF!</definedName>
    <definedName name="TB9ec4a0bf_0acd_4bc4_8ccd_02347083955b" hidden="1">#REF!</definedName>
    <definedName name="TB9ec7e6da_c5db_4c4a_916c_e192e85151ad" hidden="1">#REF!</definedName>
    <definedName name="TB9ed6917e_389a_440b_835d_558a75246989" hidden="1">#REF!</definedName>
    <definedName name="TB9ede9a96_694f_413e_ab54_378a4afbdd80" hidden="1">#REF!</definedName>
    <definedName name="TB9ee4c658_f444_4cf3_8afc_60a3b66b84c9" hidden="1">#REF!</definedName>
    <definedName name="TB9ef3eaae_664b_4c95_a7ef_fc6dac7c163a" hidden="1">#REF!</definedName>
    <definedName name="TB9ef41ceb_6a7c_42d2_9fdc_2cc0e6227ddd" hidden="1">#REF!</definedName>
    <definedName name="TB9f1031bf_f40d_4f50_ae4b_6eb616f8f6df" hidden="1">#REF!</definedName>
    <definedName name="TB9f1eae23_cf3f_44f0_b391_27d0624bcd97" hidden="1">#REF!</definedName>
    <definedName name="TB9f22abc2_6bf4_4c9c_89b9_00965f8a47d4" hidden="1">#REF!</definedName>
    <definedName name="TB9f34c1fb_d1ea_46af_bfc5_dbc46575eae8" hidden="1">#REF!</definedName>
    <definedName name="TB9f3d2939_0635_4a29_a549_9d9a3d7c1df7" hidden="1">#REF!</definedName>
    <definedName name="TB9f3fb2b3_fe47_4c5b_a3e5_d6c4a338c776" hidden="1">#REF!</definedName>
    <definedName name="TB9f48897a_5757_40cc_b234_8eeecb8df2d2" hidden="1">#REF!</definedName>
    <definedName name="TB9f4c6497_19d7_48f4_84cb_c764c29f7f9d" hidden="1">#REF!</definedName>
    <definedName name="TB9f56d839_b296_4edb_bc81_a74b76294a6d" hidden="1">#REF!</definedName>
    <definedName name="TB9f591d25_7abf_4ef5_89aa_00de95f1c6a2" hidden="1">#REF!</definedName>
    <definedName name="TB9f5cabbf_dcce_4817_b9dd_b91c1d8116c5" hidden="1">#REF!</definedName>
    <definedName name="TB9f7c0369_544d_4aff_bc9a_87a9e926f02a" hidden="1">#REF!</definedName>
    <definedName name="TB9f8dd7f6_9618_4f80_b8d9_a87c3f1e7f6f" hidden="1">#REF!</definedName>
    <definedName name="TB9f95de4d_538e_4373_a33f_ca0bf2c260b0" hidden="1">#REF!</definedName>
    <definedName name="TB9f97ec6a_21ef_4ca3_b32f_6b1bf524a04f" hidden="1">#REF!</definedName>
    <definedName name="TB9f9a772a_55d5_4072_8527_c2d7a7de04f3" hidden="1">#REF!</definedName>
    <definedName name="TB9fa00e03_c36e_4cb2_a6cc_6faf3e2d1cf4" hidden="1">#REF!</definedName>
    <definedName name="TB9fa4e4f4_6aa2_4a7e_a69a_281644c1a309" hidden="1">#REF!</definedName>
    <definedName name="TB9fb7b6b0_a6a6_4994_82e7_f38b37c8b9da" hidden="1">#REF!</definedName>
    <definedName name="TB9fce4b34_f73d_4b40_857f_31babd0e4f4e" hidden="1">#REF!</definedName>
    <definedName name="TB9fce4f00_bc0e_4beb_a48b_4ab3ca23d3bc" hidden="1">#REF!</definedName>
    <definedName name="TB9fdc8416_13f9_4d78_8bcd_eda887002fde" hidden="1">#REF!</definedName>
    <definedName name="TB9feb40f5_cae9_4817_9f29_e4c9c37489d9" hidden="1">#REF!</definedName>
    <definedName name="TB9ffb5827_bf12_48a8_a817_f471385789bf" hidden="1">#REF!</definedName>
    <definedName name="TBa000e2ea_1a2c_4b4f_b058_5449e03c5168" hidden="1">#REF!</definedName>
    <definedName name="TBa00838d8_d3d2_4a71_88ee_8f8725e3014d" hidden="1">#REF!</definedName>
    <definedName name="TBa00cf116_ff3c_4ade_8ea1_4c6412e1b8e5" hidden="1">#REF!</definedName>
    <definedName name="TBa010a9b7_63a1_4ba5_afec_36d8928d52e5" hidden="1">#REF!</definedName>
    <definedName name="TBa0141d08_966e_49d8_a4e4_038cf76196c7" hidden="1">#REF!</definedName>
    <definedName name="TBa018e6ab_a281_43fa_a2fc_ed3c62629d23" hidden="1">#REF!</definedName>
    <definedName name="TBa019d8f5_f6cc_4773_86bb_6ca95f4aa3dc" hidden="1">#REF!</definedName>
    <definedName name="TBa01b94ab_22e8_44a2_9ce8_099005533a32" hidden="1">#REF!</definedName>
    <definedName name="TBa01bde76_4efe_46a9_911e_4e1d56217c2f" hidden="1">#REF!</definedName>
    <definedName name="TBa026a8a7_be92_4a75_ba03_e66c76c40c4a" hidden="1">#REF!</definedName>
    <definedName name="TBa02fa04d_1342_48e0_b632_d9f32bcb907d" hidden="1">#REF!</definedName>
    <definedName name="TBa032201d_82bc_4d49_85fc_164494061ede" hidden="1">#REF!</definedName>
    <definedName name="TBa036056d_6c46_4624_ad86_e29f98c84a84" hidden="1">#REF!</definedName>
    <definedName name="TBa03d393d_3de0_47db_ad67_dd354faf91ca" hidden="1">#REF!</definedName>
    <definedName name="TBa03d778a_0de2_4b9e_93f1_50d5c196b739" hidden="1">#REF!</definedName>
    <definedName name="TBa03deda8_e5c6_48b9_b7a2_4ccbc8cbb663" hidden="1">#REF!</definedName>
    <definedName name="TBa06de9ed_2ea9_4628_a767_7cd33b11baec" hidden="1">#REF!</definedName>
    <definedName name="TBa0752b1c_c2ec_4032_a622_6918ef2c3ff8" hidden="1">#REF!</definedName>
    <definedName name="TBa07ef65c_ae7f_459d_811f_a352e726ab92" hidden="1">#REF!</definedName>
    <definedName name="TBa0857425_4e10_4d76_aee8_591f4c61f4e6" hidden="1">#REF!</definedName>
    <definedName name="TBa08789d6_8ad2_412e_8095_938a232dc268" hidden="1">#REF!</definedName>
    <definedName name="TBa08c9151_7a43_4b5d_80fb_0541c2d41af8" hidden="1">#REF!</definedName>
    <definedName name="TBa09421eb_da0c_426c_bbdf_fedd34354ff0" hidden="1">#REF!</definedName>
    <definedName name="TBa0a84db0_8cf4_4920_b190_4a7a078889b3" hidden="1">#REF!</definedName>
    <definedName name="TBa0af1c17_19a7_406b_b96b_a1648084ca68" hidden="1">#REF!</definedName>
    <definedName name="TBa0baa180_b1e2_4f7b_a573_073383fe6463" hidden="1">#REF!</definedName>
    <definedName name="TBa0cf9c31_d7ca_4400_b608_505b10d02316" hidden="1">#REF!</definedName>
    <definedName name="TBa0db9222_fee0_4484_aba9_0f1895957173" hidden="1">#REF!</definedName>
    <definedName name="TBa0dcee44_c8fb_4d86_b6c7_430892a14047" hidden="1">#REF!</definedName>
    <definedName name="TBa0e08eda_b3e9_4081_a23c_0b10dcad570a" hidden="1">#REF!</definedName>
    <definedName name="TBa0edfb96_567a_4e86_b6fa_647f0b7856eb" hidden="1">#REF!</definedName>
    <definedName name="TBa0f0ae10_e2cf_44cf_866f_226fbfe8e2a5" hidden="1">#REF!</definedName>
    <definedName name="TBa0f308f4_7fb0_41a2_98a3_b38160f031e7" hidden="1">#REF!</definedName>
    <definedName name="TBa0f9e718_8069_4eb9_812d_4e9fa780b017" hidden="1">#REF!</definedName>
    <definedName name="TBa0fa2ff9_f14e_43d8_b913_00f94b947a84" hidden="1">#REF!</definedName>
    <definedName name="TBa113bedb_f7ff_498a_be55_9b6b170d364d" hidden="1">#REF!</definedName>
    <definedName name="TBa1166ea4_0274_44d8_b34e_f68013cf74f8" hidden="1">#REF!</definedName>
    <definedName name="TBa13e9875_069e_42e2_a294_7b15de7dc9c1" hidden="1">#REF!</definedName>
    <definedName name="TBa146c5cc_b75a_43bc_800a_ff75f0400e88" hidden="1">#REF!</definedName>
    <definedName name="TBa14a7717_0dc8_4f4b_a13a_d60e6d7faeb0" hidden="1">#REF!</definedName>
    <definedName name="TBa1543de4_3887_43ec_8fb2_f5658f4c0281" hidden="1">#REF!</definedName>
    <definedName name="TBa16398d3_f89c_4fd5_8cba_2f893ffb119e" hidden="1">#REF!</definedName>
    <definedName name="TBa1716c24_8471_49bf_9b6f_c02894dcfa65" hidden="1">#REF!</definedName>
    <definedName name="TBa1b3ffc2_6e07_4d41_99ec_a1ec918e8d9c" hidden="1">#REF!</definedName>
    <definedName name="TBa1c32475_cc37_4734_b23c_425e68f98a97" hidden="1">#REF!</definedName>
    <definedName name="TBa1cd633e_ae50_481c_8217_3b078465b634" hidden="1">#REF!</definedName>
    <definedName name="TBa1f95d93_5029_44ba_96dc_e36807397eb0" hidden="1">#REF!</definedName>
    <definedName name="TBa2018dbf_4b10_45d2_98b4_eeb2497e3053" hidden="1">#REF!</definedName>
    <definedName name="TBa20ce6c2_e9d9_4390_8755_2193058d4795" hidden="1">#REF!</definedName>
    <definedName name="TBa211aaba_0b6c_4e44_96de_8da45081ab73" hidden="1">#REF!</definedName>
    <definedName name="TBa2130818_bcaf_4eed_b08a_3e954bac506b" hidden="1">#REF!</definedName>
    <definedName name="TBa21a1d8d_5d0b_4341_9c6c_315b44501468" hidden="1">#REF!</definedName>
    <definedName name="TBa2263d38_eef1_4ca8_b652_6912d705d93b" hidden="1">#REF!</definedName>
    <definedName name="TBa2453ac1_4ea7_4bf3_81dd_ac0940030ef7" hidden="1">#REF!</definedName>
    <definedName name="TBa24886bf_5ec5_4878_bd1d_83201de266fd" hidden="1">#REF!</definedName>
    <definedName name="TBa24b1e9d_5e9a_4a15_9b6c_66b7f327c4aa" hidden="1">#REF!</definedName>
    <definedName name="TBa2557e2d_cf1e_48f7_aadb_84bd4be2ddc0" hidden="1">#REF!</definedName>
    <definedName name="TBa25d2aa0_b6da_434c_ba41_bdb271367178" hidden="1">#REF!</definedName>
    <definedName name="TBa26351c1_bc08_4b0f_abe3_d0687e570214" hidden="1">#REF!</definedName>
    <definedName name="TBa29d90b7_0230_490f_913b_a24ccdf3c102" hidden="1">#REF!</definedName>
    <definedName name="TBa2a46daf_5be9_4a07_aa01_6e9c41336548" hidden="1">#REF!</definedName>
    <definedName name="TBa2ab906a_8ad8_4f30_bd3b_b1289938e44f" hidden="1">#REF!</definedName>
    <definedName name="TBa2b3f0db_4caf_4a31_a16b_6e95a78d1eac" hidden="1">#REF!</definedName>
    <definedName name="TBa2be0087_37b7_4789_841e_9b8ea157cc7b" hidden="1">#REF!</definedName>
    <definedName name="TBa2cd587d_9350_4c5b_a95b_4f9640e4a4d9" hidden="1">#REF!</definedName>
    <definedName name="TBa2e0d578_cf1b_4e57_98bb_30d6c3b8e94b" hidden="1">#REF!</definedName>
    <definedName name="TBa2e70aef_68a5_4ccd_b8d8_d3d0ef9d474f" hidden="1">#REF!</definedName>
    <definedName name="TBa2f66b28_69cc_4df8_a86a_b593ac9f08ca" hidden="1">#REF!</definedName>
    <definedName name="TBa2f6dcb8_7cd2_40f6_9701_57742abad6dc" hidden="1">#REF!</definedName>
    <definedName name="TBa2fea80a_3764_43f6_8fac_17e4685ad450" hidden="1">#REF!</definedName>
    <definedName name="TBa30062e4_45a3_4d07_8430_41ef56d20a41" hidden="1">#REF!</definedName>
    <definedName name="TBa303cb75_f74b_46c5_9887_5b0a116160df" hidden="1">#REF!</definedName>
    <definedName name="TBa305e8ee_4953_43f6_a599_3faf74e1a60c" hidden="1">#REF!</definedName>
    <definedName name="TBa32910bc_f973_4e29_98bb_2677dcca80bc" hidden="1">#REF!</definedName>
    <definedName name="TBa33a7368_d679_4522_aac2_53b05ef70b3d" hidden="1">#REF!</definedName>
    <definedName name="TBa33f8316_7fef_4c0c_9aca_4d471f12439b" hidden="1">#REF!</definedName>
    <definedName name="TBa34b3fa1_0cf7_43fb_8364_a22b2463976f" hidden="1">#REF!</definedName>
    <definedName name="TBa3516ce6_4a5a_42f4_b9d5_a50d9a5491ab" hidden="1">#REF!</definedName>
    <definedName name="TBa35769ac_f71e_48fc_bd8f_36d0f06c15f0" hidden="1">#REF!</definedName>
    <definedName name="TBa359a550_cb8b_45c4_9b5b_a549d3fd6c0e" hidden="1">#REF!</definedName>
    <definedName name="TBa35d881f_eedf_4ed1_9d7f_daec3089befb" hidden="1">#REF!</definedName>
    <definedName name="TBa35e09e9_7ae1_4135_8dfe_ee5197e97e34" hidden="1">#REF!</definedName>
    <definedName name="TBa35ee1cc_fffa_4805_b3e2_faeb4499e51d" hidden="1">#REF!</definedName>
    <definedName name="TBa3610206_7eb7_433e_8217_8684165bb9cc" hidden="1">#REF!</definedName>
    <definedName name="TBa36e0a57_887b_4d08_b8c7_1e3b2dc7864b" hidden="1">#REF!</definedName>
    <definedName name="TBa36f8490_95ac_4762_92cb_014a60aaffed" hidden="1">#REF!</definedName>
    <definedName name="TBa374a2a7_8bbf_4f6b_97a8_847f37f91b93" hidden="1">#REF!</definedName>
    <definedName name="TBa37585d7_7de9_45a0_81f5_5889036a6896" hidden="1">#REF!</definedName>
    <definedName name="TBa37a66a7_d9fd_43cf_bc6b_d59d8d1d350b" hidden="1">#REF!</definedName>
    <definedName name="TBa3d7b0cb_810e_401f_b45b_254e93ff6f19" hidden="1">#REF!</definedName>
    <definedName name="TBa3e0c70a_58d0_4072_8565_49fc7107fb06" hidden="1">#REF!</definedName>
    <definedName name="TBa3ee6f84_7b38_4ca9_af60_e01f9e9f8488" hidden="1">#REF!</definedName>
    <definedName name="TBa3ff6977_dda4_4431_932d_ce52903c0dcc" hidden="1">#REF!</definedName>
    <definedName name="TBa4072af2_b647_491f_b6ff_d8a28a7eeeaf" hidden="1">#REF!</definedName>
    <definedName name="TBa407a2b3_e3e2_47eb_8ecd_21083017bbf9" hidden="1">#REF!</definedName>
    <definedName name="TBa41d8d20_1e9c_4c8f_aaa2_cc3b6532cfc3" hidden="1">#REF!</definedName>
    <definedName name="TBa420fc70_d3d5_4a4d_890a_aaaf1858cdc0" hidden="1">#REF!</definedName>
    <definedName name="TBa42ba12f_5186_46e0_84c4_336368c6c449" hidden="1">#REF!</definedName>
    <definedName name="TBa43cc3f1_362d_4f92_829f_14cde04bdd77" hidden="1">#REF!</definedName>
    <definedName name="TBa45ccf6a_0b2a_410c_869b_e61e6fe4639e" hidden="1">#REF!</definedName>
    <definedName name="TBa45fff21_2b08_489d_a7d2_3ee974455688" hidden="1">#REF!</definedName>
    <definedName name="TBa468a6b3_8eda_405a_9793_1a28197a3daa" hidden="1">#REF!</definedName>
    <definedName name="TBa47701b7_c7f7_4990_b73f_cfde77c41434" hidden="1">#REF!</definedName>
    <definedName name="TBa489199f_3267_4fa1_9266_fa01c9088c51" hidden="1">#REF!</definedName>
    <definedName name="TBa48b530f_2a87_451f_8848_777e1c628a07" hidden="1">#REF!</definedName>
    <definedName name="TBa494eb67_a472_46f8_89b7_4aca9311d128" hidden="1">#REF!</definedName>
    <definedName name="TBa4959488_180a_4686_a1c4_591df83bbbf3" hidden="1">#REF!</definedName>
    <definedName name="TBa498a3ef_fa0e_4877_b0d9_77f8463d1fb3" hidden="1">#REF!</definedName>
    <definedName name="TBa4ab30b9_1ba7_4b93_a7f8_03e90176a49a" hidden="1">#REF!</definedName>
    <definedName name="TBa4c92dda_c4e2_440c_9942_83a508da022f" hidden="1">#REF!</definedName>
    <definedName name="TBa4ca9d22_b11e_42cf_b591_b810551a30fa" hidden="1">#REF!</definedName>
    <definedName name="TBa4d919c1_381a_45ee_a72f_195c5da8cd32" hidden="1">#REF!</definedName>
    <definedName name="TBa4da1bda_e2cd_4603_a490_ebf5dfc49f89" hidden="1">#REF!</definedName>
    <definedName name="TBa4e1f015_9831_4d83_800d_fdc582885dcc" hidden="1">#REF!</definedName>
    <definedName name="TBa4e5cf50_2339_4090_9079_f5213727e60e" hidden="1">#REF!</definedName>
    <definedName name="TBa4eb2afc_5cbd_4e67_8d0c_39cc899a7ac0" hidden="1">#REF!</definedName>
    <definedName name="TBa4effd1b_1139_4707_82ff_4950430e0aee" hidden="1">#REF!</definedName>
    <definedName name="TBa4f2ede4_8cb8_49d6_af5a_d8763a6f19be" hidden="1">#REF!</definedName>
    <definedName name="TBa4f73493_ecd4_40e4_ae00_31206a8d14aa" hidden="1">#REF!</definedName>
    <definedName name="TBa4f87b10_2820_4228_8cdb_f726ecb7bf64" hidden="1">#REF!</definedName>
    <definedName name="TBa50575df_50fe_4c4b_9d7e_d03fdbb43473" hidden="1">#REF!</definedName>
    <definedName name="TBa505d1cb_6ae1_4c27_b376_f94302be6f6a" hidden="1">#REF!</definedName>
    <definedName name="TBa5229b6b_5e2a_47e9_be75_57f744ae75eb" hidden="1">#REF!</definedName>
    <definedName name="TBa52e6c01_798f_4d48_8080_0e5fc02669d7" hidden="1">#REF!</definedName>
    <definedName name="TBa53bc531_f591_4075_830c_ab3530c18132" hidden="1">#REF!</definedName>
    <definedName name="TBa53e35f8_d694_44f3_907f_67ba5ed671dc" hidden="1">#REF!</definedName>
    <definedName name="TBa54efe73_a9c7_4119_bac4_36e44fb2ceeb" hidden="1">#REF!</definedName>
    <definedName name="TBa54fbdc6_9a06_4793_95bd_ceefb32cfbf7" hidden="1">#REF!</definedName>
    <definedName name="TBa551cb82_7abc_4859_8985_0e628bfa4d3c" hidden="1">#REF!</definedName>
    <definedName name="TBa570fb27_98bb_45a1_a28f_668a690555fb" hidden="1">#REF!</definedName>
    <definedName name="TBa57a5e49_b622_45ef_a06b_560e9a2f1da1" hidden="1">#REF!</definedName>
    <definedName name="TBa584fbe5_876d_440f_8443_c4fb1f2cde84" hidden="1">#REF!</definedName>
    <definedName name="TBa5980cf8_f701_454f_ad01_8edf8cb245fc" hidden="1">#REF!</definedName>
    <definedName name="TBa59e9db9_6fb6_41b4_a3c3_d1f3e4210684" hidden="1">#REF!</definedName>
    <definedName name="TBa5b42fff_0f62_4635_8ce4_753ba7bdbd8d" hidden="1">#REF!</definedName>
    <definedName name="TBa5b627f8_a9ae_4e20_a7b9_93b8a59f5bec" hidden="1">#REF!</definedName>
    <definedName name="TBa5bcb75a_e852_442b_ba5a_a5b72cfad6fb" hidden="1">#REF!</definedName>
    <definedName name="TBa5c3e775_0975_46fc_bc08_04f149698ab8" hidden="1">#REF!</definedName>
    <definedName name="TBa5d3e225_f060_42c2_bd15_1fb78d7c37d8" hidden="1">#REF!</definedName>
    <definedName name="TBa5db0962_bb7e_4954_a1e0_193419b515e4" hidden="1">#REF!</definedName>
    <definedName name="TBa5ec1436_a3b7_4032_9af2_94e80aa066d1" hidden="1">#REF!</definedName>
    <definedName name="TBa5f71ae0_c5fe_4b53_bb3b_9e017ab713dd" hidden="1">#REF!</definedName>
    <definedName name="TBa5ffd906_0d77_4829_b272_56b67011ea91" hidden="1">#REF!</definedName>
    <definedName name="TBa60112ce_013d_44bd_9b87_35dfca04904d" hidden="1">#REF!</definedName>
    <definedName name="TBa609a087_d4be_4b69_93d7_974e5480288a" hidden="1">#REF!</definedName>
    <definedName name="TBa60f4663_9a3a_4d46_90c6_437c6c56526b" hidden="1">#REF!</definedName>
    <definedName name="TBa62f1c95_8caf_4109_b051_a6c59a726772" hidden="1">#REF!</definedName>
    <definedName name="TBa631f725_2d8f_446f_98f0_9a715dcdde35" hidden="1">#REF!</definedName>
    <definedName name="TBa657eaad_042b_4edb_ba13_6afcd3a19a16" hidden="1">#REF!</definedName>
    <definedName name="TBa65cf4b1_f2a3_49c7_83af_ee97405622e6" hidden="1">#REF!</definedName>
    <definedName name="TBa66ac44c_8d20_415b_a30f_edd7ac50df54" hidden="1">#REF!</definedName>
    <definedName name="TBa6777d3e_2f0a_4439_9f96_ce9d8228f14b" hidden="1">#REF!</definedName>
    <definedName name="TBa68f1b08_1d3c_4290_9616_34e2e311d317" hidden="1">#REF!</definedName>
    <definedName name="TBa6917969_1e33_4697_9d5a_075064a6f2d7" hidden="1">#REF!</definedName>
    <definedName name="TBa69b9c2f_2352_4741_99b3_7d1890803b64" hidden="1">#REF!</definedName>
    <definedName name="TBa6a05b66_6f47_4ece_9d42_56f0a5af0dfc" hidden="1">#REF!</definedName>
    <definedName name="TBa6a0addf_f09d_49e2_acd1_fc10cd7c28e5" hidden="1">#REF!</definedName>
    <definedName name="TBa6a88272_f89c_4d10_bfbc_8072d953c91d" hidden="1">#REF!</definedName>
    <definedName name="TBa6af0f20_c10b_4430_af28_05fc21bfb0d6" hidden="1">#REF!</definedName>
    <definedName name="TBa6ba4a68_7019_4242_8631_943cc8904899" hidden="1">#REF!</definedName>
    <definedName name="TBa6bbf75f_5f00_4c85_acc7_b2c4ae9c39ad" hidden="1">#REF!</definedName>
    <definedName name="TBa6c808fd_b264_4ce6_9b89_b9c71a023361" hidden="1">#REF!</definedName>
    <definedName name="TBa6cdc549_a5f0_418f_b7e4_d580fe3bada7" hidden="1">#REF!</definedName>
    <definedName name="TBa6d0415d_a23a_42ce_8204_cb4bd74efb14" hidden="1">#REF!</definedName>
    <definedName name="TBa6d1ce40_6ac2_43ed_b1bd_ad3375ca1369" hidden="1">#REF!</definedName>
    <definedName name="TBa6d3cd1e_d226_4090_99aa_a54fb28d5ede" hidden="1">#REF!</definedName>
    <definedName name="TBa6df6b2c_912b_401c_baee_6ea75f751c3c" hidden="1">#REF!</definedName>
    <definedName name="TBa6dff3f9_9cd1_49b5_96a3_0b7def0cdd24" hidden="1">#REF!</definedName>
    <definedName name="TBa6ec038d_f2d4_42e0_8393_aae071d0c920" hidden="1">#REF!</definedName>
    <definedName name="TBa6fb29d4_7a13_413b_ac04_6edb78c6f265" hidden="1">#REF!</definedName>
    <definedName name="TBa70564b2_270f_4f60_8906_80e1bb92ab09" hidden="1">#REF!</definedName>
    <definedName name="TBa707ee67_0b7b_4ae7_bab1_14e269e2cce3" hidden="1">#REF!</definedName>
    <definedName name="TBa70c55ce_8903_45db_9240_33ec5b443ac9" hidden="1">#REF!</definedName>
    <definedName name="TBa71cbc03_21bf_49a6_8292_9012deca136b" hidden="1">#REF!</definedName>
    <definedName name="TBa721a6b5_5ec6_49ab_8206_fc085b871036" hidden="1">#REF!</definedName>
    <definedName name="TBa73754ec_d448_400c_813e_cf9bbc514d8b" hidden="1">#REF!</definedName>
    <definedName name="TBa756f1ab_763b_4631_9a51_dbe591b23c00" hidden="1">#REF!</definedName>
    <definedName name="TBa75ec4d7_c5ed_41e5_b3cc_c036e682c918" hidden="1">#REF!</definedName>
    <definedName name="TBa75f28bd_5223_4699_b953_77ca905498b5" hidden="1">#REF!</definedName>
    <definedName name="TBa76828f2_7311_4f39_90d2_78c201a8f754" hidden="1">#REF!</definedName>
    <definedName name="TBa769ce2c_8420_4118_ba6d_3130bacb1869" hidden="1">#REF!</definedName>
    <definedName name="TBa76c3575_c1a4_42b0_bb07_7f41a89acd2f" hidden="1">#REF!</definedName>
    <definedName name="TBa7717222_ff2b_40fe_9bf7_94ab09badf7c" hidden="1">#REF!</definedName>
    <definedName name="TBa7720ff0_74fa_408d_bd22_832e30d7c2cb" hidden="1">#REF!</definedName>
    <definedName name="TBa7776b37_ee48_4f0e_a141_991ef397b679" hidden="1">#REF!</definedName>
    <definedName name="TBa780c162_aa3a_4ca1_97ac_594f8d6b970f" hidden="1">#REF!</definedName>
    <definedName name="TBa785d703_af77_48bd_816d_925947489da2" hidden="1">#REF!</definedName>
    <definedName name="TBa78758d4_e13c_4e61_9f84_e3f359d62946" hidden="1">#REF!</definedName>
    <definedName name="TBa78be908_9941_40e7_a00c_393282071b70" hidden="1">#REF!</definedName>
    <definedName name="TBa797a41e_fb7a_4bc3_8ed1_8e79c503c87c" hidden="1">#REF!</definedName>
    <definedName name="TBa79d520a_75f9_45c3_8ded_6fa56c37ec6f" hidden="1">#REF!</definedName>
    <definedName name="TBa7a0c23a_5765_4cc9_a578_dcdf860a46e7" hidden="1">#REF!</definedName>
    <definedName name="TBa7ab2f30_6dd8_4d87_ad80_0adbdfc901af" hidden="1">#REF!</definedName>
    <definedName name="TBa7aee90a_4227_4665_a3df_f91618006f4e" hidden="1">#REF!</definedName>
    <definedName name="TBa7b1e50d_ae5b_4655_abb3_fc2bb238b7f0" hidden="1">#REF!</definedName>
    <definedName name="TBa7b330b0_c92d_4a71_8c1f_962df29bfa5f" hidden="1">#REF!</definedName>
    <definedName name="TBa7b596e9_3690_401a_9c92_533122863034" hidden="1">#REF!</definedName>
    <definedName name="TBa7b7ba96_da90_43b2_9dff_aa80b7eeab5a" hidden="1">#REF!</definedName>
    <definedName name="TBa7bb5790_e6fa_4003_b778_5b41e2ed4ce4" hidden="1">#REF!</definedName>
    <definedName name="TBa7bb9f7b_4181_45ff_8f35_0bb4a2207156" hidden="1">#REF!</definedName>
    <definedName name="TBa7bf360f_14bd_4ff4_8204_f5bd8e6876c9" hidden="1">#REF!</definedName>
    <definedName name="TBa7c8fe98_b0e3_4eb7_87e6_85a07fc52eb5" hidden="1">#REF!</definedName>
    <definedName name="TBa7d2985b_bfb3_4788_8775_7352ab9b1f56" hidden="1">#REF!</definedName>
    <definedName name="TBa7d5dff4_6017_4ee0_960e_b7e24a919ba3" hidden="1">#REF!</definedName>
    <definedName name="TBa7e26d7b_f4b6_4e48_8533_da4c631afede" hidden="1">#REF!</definedName>
    <definedName name="TBa7eceff8_9393_4b14_aa5f_737f7c5129b2" hidden="1">#REF!</definedName>
    <definedName name="TBa7f0f5b6_99c1_4c1f_b8ba_9c2d833c76f6" hidden="1">#REF!</definedName>
    <definedName name="TBa8015706_2957_4212_8a72_6cb7c7665646" hidden="1">#REF!</definedName>
    <definedName name="TBa806145b_51af_4f19_a03d_f63ce5c46889" hidden="1">#REF!</definedName>
    <definedName name="TBa8101407_a9e4_466a_abbb_36905fd43cf1" hidden="1">#REF!</definedName>
    <definedName name="TBa8136f6e_9d60_4b10_8269_c05c80caf0fb" hidden="1">#REF!</definedName>
    <definedName name="TBa82284c6_fb36_4dc6_b548_e6514b746536" hidden="1">#REF!</definedName>
    <definedName name="TBa82ed136_e8e9_4b82_85c6_d3ddb5449452" hidden="1">#REF!</definedName>
    <definedName name="TBa83139a2_9e95_4732_9d96_9d50fa55fcf1" hidden="1">#REF!</definedName>
    <definedName name="TBa83393c6_6b8b_4507_b5ea_50e603cfc384" hidden="1">#REF!</definedName>
    <definedName name="TBa84fb655_e332_4921_ae54_56d2bd33841f" hidden="1">#REF!</definedName>
    <definedName name="TBa87371d7_a8ca_420f_8e62_7a226d56fc5b" hidden="1">#REF!</definedName>
    <definedName name="TBa8806f4e_90c4_4855_bf1b_0f76b2825a6d" hidden="1">#REF!</definedName>
    <definedName name="TBa885f190_98be_4a1c_bda1_8bec34bef434" hidden="1">#REF!</definedName>
    <definedName name="TBa886764c_548d_43f6_bc21_7d4104ad5df3" hidden="1">#REF!</definedName>
    <definedName name="TBa88e9342_eea9_45c0_b389_7fd0a119d1cd" hidden="1">#REF!</definedName>
    <definedName name="TBa8a12542_343a_4ac4_8545_c6267e1dbeb8" hidden="1">#REF!</definedName>
    <definedName name="TBa8a3889f_43a4_4dc2_a286_12a2df41ab9f" hidden="1">#REF!</definedName>
    <definedName name="TBa8a59460_ed4b_45af_9985_5c1350933798" hidden="1">#REF!</definedName>
    <definedName name="TBa8ae8c65_38f4_449d_ba1e_63804bed74c9" hidden="1">#REF!</definedName>
    <definedName name="TBa8b1676f_08c9_4e90_8dab_73142bde1d7a" hidden="1">#REF!</definedName>
    <definedName name="TBa8b89b90_6f0c_45cb_bb02_1970cf6a445e" hidden="1">#REF!</definedName>
    <definedName name="TBa8c19120_28cf_4bc2_b742_0f6c5ace20d8" hidden="1">#REF!</definedName>
    <definedName name="TBa8d48d53_0a86_42ca_86e2_c9d3294ec471" hidden="1">#REF!</definedName>
    <definedName name="TBa8dcdf48_3dd8_4833_ab19_857aa59aea1d" hidden="1">#REF!</definedName>
    <definedName name="TBa8efddcb_d2e4_4f89_adbf_e3c2925a8dea" hidden="1">#REF!</definedName>
    <definedName name="TBa8f8d888_78d8_4357_aa81_41a000e21131" hidden="1">#REF!</definedName>
    <definedName name="TBa9363e61_b6fb_4b1b_b27f_3666f99d3fac" hidden="1">#REF!</definedName>
    <definedName name="TBa946ddd5_562b_442a_9e4d_87c4c3983488" hidden="1">#REF!</definedName>
    <definedName name="TBa947201d_32c1_457a_b610_ea11843c0bb7" hidden="1">#REF!</definedName>
    <definedName name="TBa95a07a8_d6f3_4117_9f3e_7029c0fef665" hidden="1">#REF!</definedName>
    <definedName name="TBa95b5c3e_fd16_4901_a363_5320ab8a1ecb" hidden="1">#REF!</definedName>
    <definedName name="TBa975f605_688b_4c74_bdbd_7ea5567b88c5" hidden="1">#REF!</definedName>
    <definedName name="TBa97f4f10_290c_49fa_b2dd_90e32ae4664c" hidden="1">#REF!</definedName>
    <definedName name="TBa98b1949_f104_4f8a_81e1_141621a7550f" hidden="1">#REF!</definedName>
    <definedName name="TBa9c74a3f_16be_45f8_a539_34d6bbc4622d" hidden="1">#REF!</definedName>
    <definedName name="TBa9d27486_db4f_4ea3_acdb_539d47748d17" hidden="1">#REF!</definedName>
    <definedName name="TBa9dbe3fa_ad77_42a9_92f9_27acf09226f4" hidden="1">#REF!</definedName>
    <definedName name="TBa9e4e543_0967_4e75_8433_3b21e93e2646" hidden="1">#REF!</definedName>
    <definedName name="TBa9ec7f5c_3f10_47fb_a0c9_fcc9da9b17fe" hidden="1">#REF!</definedName>
    <definedName name="TBa9fb0e8d_94cb_4f3e_8350_3928fe488d10" hidden="1">#REF!</definedName>
    <definedName name="TBaa054e55_16e7_482c_9178_97a3d33e48f6" hidden="1">#REF!</definedName>
    <definedName name="TBaa0c519e_d578_42d2_884d_6e163f3541b3" hidden="1">#REF!</definedName>
    <definedName name="TBaa11dcb4_1e3a_437f_bc83_b2aeab410d2d" hidden="1">#REF!</definedName>
    <definedName name="TBaa12cdf6_7ee7_4508_88d7_f925ea5b467f" hidden="1">#REF!</definedName>
    <definedName name="TBaa17787c_ae12_4bd8_9534_96ab7e0bc6aa" hidden="1">#REF!</definedName>
    <definedName name="TBaa197bd7_7da4_40ec_885a_b0fb4df0361a" hidden="1">#REF!</definedName>
    <definedName name="TBaa1be8b7_800d_483e_9115_41ee888552b2" hidden="1">#REF!</definedName>
    <definedName name="TBaa24ce74_e12b_4487_8705_89dcf04e15d3" hidden="1">#REF!</definedName>
    <definedName name="TBaa3238d5_9cca_45c4_bb4f_68080fca474d" hidden="1">#REF!</definedName>
    <definedName name="TBaa3f2fd1_4cff_4bc0_8dbf_d3cc954859ac" hidden="1">#REF!</definedName>
    <definedName name="TBaa42fffc_7b2c_43b3_bcfa_e70d85c6bbdb" hidden="1">#REF!</definedName>
    <definedName name="TBaa44fd40_e422_43a6_bf02_304b6f53ccbf" hidden="1">#REF!</definedName>
    <definedName name="TBaa47617d_c63b_41c8_9488_82e4fcbe7596" hidden="1">#REF!</definedName>
    <definedName name="TBaa8a2175_738b_43ff_8bf1_4cda0d1d7140" hidden="1">#REF!</definedName>
    <definedName name="TBaa8a770c_05ad_4f6a_a2bb_01e4d9d14365" hidden="1">#REF!</definedName>
    <definedName name="TBaaa56101_8a0f_4190_9d4a_97017adf7e0e" hidden="1">#REF!</definedName>
    <definedName name="TBaab70011_2aab_45f2_8b3b_5124f8160944" hidden="1">#REF!</definedName>
    <definedName name="TBaacbd3d3_e16e_450a_889b_9b1b9143808c" hidden="1">#REF!</definedName>
    <definedName name="TBaad29ece_31b4_4a4c_b152_f414c177ef28" hidden="1">#REF!</definedName>
    <definedName name="TBaae95247_c240_4683_ba72_0c4a049e066d" hidden="1">#REF!</definedName>
    <definedName name="TBab021782_0812_45c6_928d_f3cde70354c0" hidden="1">#REF!</definedName>
    <definedName name="TBab173192_022a_4032_9805_e98c6997faa5" hidden="1">#REF!</definedName>
    <definedName name="TBab2145d4_5566_4def_bab3_a58373b5897a" hidden="1">#REF!</definedName>
    <definedName name="TBab2ce32c_f9ec_4daf_b18a_a8c085c961bb" hidden="1">#REF!</definedName>
    <definedName name="TBab349aa4_8734_469e_ac96_25aa6e020e79" hidden="1">#REF!</definedName>
    <definedName name="TBab3db87e_735e_4c40_af8a_bdf3c4bc07f9" hidden="1">#REF!</definedName>
    <definedName name="TBab42d49a_c058_4886_ac26_5fe5d5d1acef" hidden="1">#REF!</definedName>
    <definedName name="TBab452d92_56d7_4540_a49f_95620dcb011e" hidden="1">#REF!</definedName>
    <definedName name="TBab57886c_f093_4349_a56a_360a5661930a" hidden="1">#REF!</definedName>
    <definedName name="TBab5fbf0b_31d4_4c97_b72f_87e4c643cb1f" hidden="1">#REF!</definedName>
    <definedName name="TBab74afd7_2160_4d32_8eff_edad7c7c1d23" hidden="1">#REF!</definedName>
    <definedName name="TBab83926e_9489_4f06_b842_a4b7c1d50e1e" hidden="1">#REF!</definedName>
    <definedName name="TBab87b1a0_6141_4b0c_83dd_e685d7f4d256" hidden="1">#REF!</definedName>
    <definedName name="TBab8f1b25_2821_45e2_851c_e37771c1a661" hidden="1">#REF!</definedName>
    <definedName name="TBab8f2fa9_1409_444b_98d6_2f3cc12ec422" hidden="1">#REF!</definedName>
    <definedName name="TBab96019f_053f_4ddd_8fd1_3a7ce423c881" hidden="1">#REF!</definedName>
    <definedName name="TBab9826f1_fcb7_42c8_8fdc_e076b6f2462a" hidden="1">#REF!</definedName>
    <definedName name="TBab9ecaba_544f_474e_851d_a6c65e737e86" hidden="1">#REF!</definedName>
    <definedName name="TBaba8b5a2_b6c4_4e65_a17c_d75a80b0661e" hidden="1">#REF!</definedName>
    <definedName name="TBabb5cfbc_f6b7_4f39_b051_b306a2a90698" hidden="1">#REF!</definedName>
    <definedName name="TBabbcd2ee_683a_4584_abc1_3a27f6955afb" hidden="1">#REF!</definedName>
    <definedName name="TBabc42978_5a1f_454a_ac49_e00f8a0c33c2" hidden="1">#REF!</definedName>
    <definedName name="TBabc8a101_9932_4418_ac47_0184d513a576" hidden="1">#REF!</definedName>
    <definedName name="TBabc904a5_d58d_4853_9b48_99268d953b2f" hidden="1">#REF!</definedName>
    <definedName name="TBabd7f9d2_ab8a_4f1c_a1d2_d74c702bc9b2" hidden="1">#REF!</definedName>
    <definedName name="TBabe257e3_20a6_42eb_805d_fae656a3da79" hidden="1">#REF!</definedName>
    <definedName name="TBabe55880_e5fd_42ab_b39d_545dd9ff678c" hidden="1">#REF!</definedName>
    <definedName name="TBabe5a1c3_a778_4e13_98dc_cda1f8236f9f" hidden="1">#REF!</definedName>
    <definedName name="TBabf7f2fc_8189_4cd2_906b_b6a1f8c3a718" hidden="1">#REF!</definedName>
    <definedName name="TBabfd1e7a_6a8b_4507_b490_c11d491cb7af" hidden="1">#REF!</definedName>
    <definedName name="TBabfe909a_1345_4840_8146_596ed371da76" hidden="1">#REF!</definedName>
    <definedName name="TBac0a7fcd_4970_4b41_a2c3_7b191ffd8209" hidden="1">#REF!</definedName>
    <definedName name="TBac12f22b_ef9f_4c0b_814b_c886079c0c2a" hidden="1">#REF!</definedName>
    <definedName name="TBac26995c_5507_41db_ae87_0ff7f9e4be7a" hidden="1">#REF!</definedName>
    <definedName name="TBac2c8c1c_36ea_42db_8d1b_9e9af6de0646" hidden="1">#REF!</definedName>
    <definedName name="TBac2cf454_29eb_4bd6_ac9b_3cb1c77f2c79" hidden="1">#REF!</definedName>
    <definedName name="TBac33e886_65d8_4e58_bab8_bd7561e3ef64" hidden="1">#REF!</definedName>
    <definedName name="TBac3df4f7_fd04_43ea_befd_d2e103cf5447" hidden="1">#REF!</definedName>
    <definedName name="TBac5172b3_30df_49fd_a563_61bf55303db5" hidden="1">#REF!</definedName>
    <definedName name="TBac5e351c_0f56_43b5_b3aa_3db721ffab2e" hidden="1">#REF!</definedName>
    <definedName name="TBac785bfa_520b_4f2a_8a4b_ddad80076753" hidden="1">#REF!</definedName>
    <definedName name="TBac7aff52_76bc_4605_a6e5_88a6131c1397" hidden="1">#REF!</definedName>
    <definedName name="TBac82b874_c267_4e93_bc8a_a6fc3e5e7172" hidden="1">#REF!</definedName>
    <definedName name="TBac83a1b2_4bdd_4545_99bc_3c797ac98974" hidden="1">#REF!</definedName>
    <definedName name="TBac8beae1_4c17_4f1e_bd78_f316108de363" hidden="1">#REF!</definedName>
    <definedName name="TBac98b667_1d6e_4272_b389_76b5f7d2bbec" hidden="1">#REF!</definedName>
    <definedName name="TBac98bd53_c2f7_4ac1_81dd_0832de063009" hidden="1">#REF!</definedName>
    <definedName name="TBac9f9a86_d701_44c3_a105_f1230c63f55c" hidden="1">#REF!</definedName>
    <definedName name="TBacaf5d8a_6a87_439d_a1cf_865ded399b42" hidden="1">#REF!</definedName>
    <definedName name="TBacc22136_dde8_4b31_be95_4b35fc09a181" hidden="1">#REF!</definedName>
    <definedName name="TBad365a36_a9f7_4a65_be7a_27d287e110b9" hidden="1">#REF!</definedName>
    <definedName name="TBad58f7bb_30c9_4d98_9aa2_88b64f368762" hidden="1">#REF!</definedName>
    <definedName name="TBad5e2f12_98e6_4d16_9420_ee8de009f581" hidden="1">#REF!</definedName>
    <definedName name="TBad61f1a0_70ca_42fb_932a_b9ecf88142c5" hidden="1">#REF!</definedName>
    <definedName name="TBad64a54f_5fc4_4bad_b08f_72f48cfedab8" hidden="1">#REF!</definedName>
    <definedName name="TBad66704e_2513_4378_acd2_0c28cd8b3e0e" hidden="1">#REF!</definedName>
    <definedName name="TBad6a2949_eb84_4474_a245_a1c7c71686e7" hidden="1">#REF!</definedName>
    <definedName name="TBad74c8ee_a380_4807_aa54_57d06a9f722c" hidden="1">#REF!</definedName>
    <definedName name="TBad7afab4_0ee9_4771_b099_f44c3ca3da04" hidden="1">#REF!</definedName>
    <definedName name="TBadb1d9e3_9ef5_47c9_b775_eb9fbd55c417" hidden="1">#REF!</definedName>
    <definedName name="TBadc611fe_8535_47fe_9d1d_9140a3640aea" hidden="1">#REF!</definedName>
    <definedName name="TBadc6c11a_b25f_4eb0_b73c_2b0842d5cbe2" hidden="1">#REF!</definedName>
    <definedName name="TBadeef14e_2f3a_4907_8ede_833e8f397b96" hidden="1">#REF!</definedName>
    <definedName name="TBae01d575_d224_4431_8a2d_e2ea21778772" hidden="1">#REF!</definedName>
    <definedName name="TBae065f37_0515_42a8_b89a_0be46a67b7de" hidden="1">#REF!</definedName>
    <definedName name="TBae06bd7d_626a_457a_b898_fc7db24d1dd5" hidden="1">#REF!</definedName>
    <definedName name="TBae09f6e1_22fe_48d5_afd9_3ec5ee1e3983" hidden="1">#REF!</definedName>
    <definedName name="TBae0c9b7e_6fc6_43ae_8127_33b8ece362ed" hidden="1">#REF!</definedName>
    <definedName name="TBae105e88_0b7c_4812_9a8e_28b8906d46cd" hidden="1">#REF!</definedName>
    <definedName name="TBae168c0b_5369_436a_a997_e4a57c2598a5" hidden="1">#REF!</definedName>
    <definedName name="TBae2944f4_d77c_4ddb_ba76_ab68cf43e3d7" hidden="1">#REF!</definedName>
    <definedName name="TBae326f78_e44e_4604_a820_eabe609e49f0" hidden="1">#REF!</definedName>
    <definedName name="TBae3e915d_5103_4350_bc4a_76bb06f6a3ba" hidden="1">#REF!</definedName>
    <definedName name="TBae40cff4_cbac_42c1_83df_0cafbfb75cad" hidden="1">#REF!</definedName>
    <definedName name="TBae49a74c_7c94_4135_b570_4cee1aa5164f" hidden="1">#REF!</definedName>
    <definedName name="TBae4bbe62_b7f3_4ffe_bc9b_0f65a26593c2" hidden="1">#REF!</definedName>
    <definedName name="TBae56367d_2152_42a0_b5b3_e7749cab56bd" hidden="1">#REF!</definedName>
    <definedName name="TBae7a35ae_d3f2_430d_80de_cea251b2f464" hidden="1">#REF!</definedName>
    <definedName name="TBae8813a5_c407_4701_afd8_7e89086fa8d6" hidden="1">#REF!</definedName>
    <definedName name="TBae894a05_605b_4126_89d0_abde46d4eb43" hidden="1">#REF!</definedName>
    <definedName name="TBae975800_b103_409d_bfd9_242a5fb879a0" hidden="1">#REF!</definedName>
    <definedName name="TBaea874db_1874_4c8e_bb07_5ed445f90cfe" hidden="1">#REF!</definedName>
    <definedName name="TBaeaf8b7b_a6ff_41b3_8d10_c3ad463a564b" hidden="1">#REF!</definedName>
    <definedName name="TBaeb61a29_2cb2_4057_b738_7e118b76f24b" hidden="1">#REF!</definedName>
    <definedName name="TBaecd305e_2c62_4e5d_a2e8_2cc87751a1ae" hidden="1">#REF!</definedName>
    <definedName name="TBaed105e7_a285_4bd1_a086_44df0594ded2" hidden="1">#REF!</definedName>
    <definedName name="TBaed1c331_ed13_47b2_bdc8_0531c0176cd4" hidden="1">#REF!</definedName>
    <definedName name="TBaf04691f_8dd0_4f50_aaef_f4aae0c9b0d4" hidden="1">#REF!</definedName>
    <definedName name="TBaf0b5c5d_b196_4b67_92a0_46a96aab28ec" hidden="1">#REF!</definedName>
    <definedName name="TBaf109627_93bc_40b1_b4c0_39a2fa2ccfe1" hidden="1">#REF!</definedName>
    <definedName name="TBaf1a6b71_637b_4fed_b48c_4fd6ce6d5e78" hidden="1">#REF!</definedName>
    <definedName name="TBaf2398e9_4573_4297_9f64_87f716631c8f" hidden="1">#REF!</definedName>
    <definedName name="TBaf394a8d_ddc1_4825_96d1_559d3c4fc020" hidden="1">#REF!</definedName>
    <definedName name="TBaf3e0d89_3304_4872_b9dc_80ff423738a4" hidden="1">#REF!</definedName>
    <definedName name="TBaf3e2736_c2bd_4ae3_8c44_cb53f458ab3e" hidden="1">#REF!</definedName>
    <definedName name="TBaf49573f_3ab7_4986_a70c_fb26866faa79" hidden="1">#REF!</definedName>
    <definedName name="TBaf543979_f7ee_4cc3_ba86_feb9af8db813" hidden="1">#REF!</definedName>
    <definedName name="TBaf548b71_282f_4ad7_a259_5b43507c7e45" hidden="1">#REF!</definedName>
    <definedName name="TBaf635e1e_7a2f_426a_8969_89ebc9203d7d" hidden="1">#REF!</definedName>
    <definedName name="TBaf66b691_a96f_4ddd_9535_05b9c44e273c" hidden="1">#REF!</definedName>
    <definedName name="TBaf67738b_35dc_4056_b8a7_cb9e2d3bb131" hidden="1">#REF!</definedName>
    <definedName name="TBaf6b6882_6ae3_4c3a_8261_a8e7392808f3" hidden="1">#REF!</definedName>
    <definedName name="TBaf6bb884_9004_4ea2_8fdc_04332425323a" hidden="1">#REF!</definedName>
    <definedName name="TBaf6de6a8_2199_467d_abf5_7dd42b8ca7c6" hidden="1">#REF!</definedName>
    <definedName name="TBaf7c63c5_e620_45fd_90f4_d9e5129d2f5c" hidden="1">#REF!</definedName>
    <definedName name="TBaf7dade2_f26b_412c_8ba5_3cd01c436b34" hidden="1">#REF!</definedName>
    <definedName name="TBaf7f4413_36cd_4db5_bfb2_485ff150d3a7" hidden="1">#REF!</definedName>
    <definedName name="TBaf8ea1dc_8c76_48f2_b405_317bdbc17180" hidden="1">#REF!</definedName>
    <definedName name="TBaf90a3f6_0f12_4e5d_8ff1_96f8d4094a4c" hidden="1">#REF!</definedName>
    <definedName name="TBaf924664_530e_485a_8220_6ae5dd1b4df8" hidden="1">#REF!</definedName>
    <definedName name="TBaf9b1dbb_5a4a_43c3_8cc4_0333b5b07c14" hidden="1">#REF!</definedName>
    <definedName name="TBafb128c6_8e54_471f_9d94_817b7560a430" hidden="1">#REF!</definedName>
    <definedName name="TBafc2f89c_6b82_411c_bf3f_e4f3596c7a5a" hidden="1">#REF!</definedName>
    <definedName name="TBafd8b008_4257_48ef_a840_6e4df57447a7" hidden="1">#REF!</definedName>
    <definedName name="TBafdf5b1f_8372_4a8e_afab_4035dbf608be" hidden="1">#REF!</definedName>
    <definedName name="TBaffe78d1_2cd7_4d35_b508_9f0f8ba483e0" hidden="1">#REF!</definedName>
    <definedName name="TBb008623e_2e9a_4dc2_b6f6_0b03644e17f1" hidden="1">#REF!</definedName>
    <definedName name="TBb00aac93_4606_4220_a556_c03a383144a1" hidden="1">#REF!</definedName>
    <definedName name="TBb00bb2af_2f8f_4435_86bf_a45ff60b1ac3" hidden="1">#REF!</definedName>
    <definedName name="TBb01f3d2d_74f4_4ff5_9b8e_374ff9927f7e" hidden="1">#REF!</definedName>
    <definedName name="TBb0360a8b_6cf5_4a93_9b4e_32ced4e5e409" hidden="1">#REF!</definedName>
    <definedName name="TBb03753a7_1491_4f73_bc96_47866d1b4ad8" hidden="1">#REF!</definedName>
    <definedName name="TBb03fd93b_f762_489b_bdb2_0d61c4b43b14" hidden="1">#REF!</definedName>
    <definedName name="TBb04830a8_accb_4a0c_b90a_15f3d0c833c4" hidden="1">#REF!</definedName>
    <definedName name="TBb0533ae1_ca96_4b43_8c0b_ac4bd8bedd14" hidden="1">#REF!</definedName>
    <definedName name="TBb056f831_0a40_4e72_a41c_f20b3bf355e5" hidden="1">#REF!</definedName>
    <definedName name="TBb058dc98_d944_45f6_aa01_c96c6148a0f9" hidden="1">#REF!</definedName>
    <definedName name="TBb05c299c_9070_4047_8601_7a7a63f249ec" hidden="1">#REF!</definedName>
    <definedName name="TBb063dc5c_0e0c_479d_8e0b_a2df1c1ccc31" hidden="1">#REF!</definedName>
    <definedName name="TBb07cee8b_98fc_4056_bea7_600f3bfeff60" hidden="1">#REF!</definedName>
    <definedName name="TBb08decbf_a246_4e95_9b89_edf9abcbea33" hidden="1">#REF!</definedName>
    <definedName name="TBb0b1d447_9ff5_48ce_a067_d9d67f1b4a5b" hidden="1">#REF!</definedName>
    <definedName name="TBb0b93ec4_17c0_4a65_8b4a_4e42b7cbe2a2" hidden="1">#REF!</definedName>
    <definedName name="TBb0bb62e0_cc59_41f4_8b9b_28c909cc18af" hidden="1">#REF!</definedName>
    <definedName name="TBb0c14b8b_6148_4542_9f0f_113242fba707" hidden="1">#REF!</definedName>
    <definedName name="TBb0c42ccb_90dd_41b8_abe7_9014df733401" hidden="1">#REF!</definedName>
    <definedName name="TBb0c6fb68_d357_4796_9b81_cf3daeb4d2a3" hidden="1">#REF!</definedName>
    <definedName name="TBb0c84c20_d563_4742_9345_2cbc3862482c" hidden="1">#REF!</definedName>
    <definedName name="TBb0ca1d06_87f2_475d_a6f2_4fd2e3ca7c8a" hidden="1">#REF!</definedName>
    <definedName name="TBb0d45325_bffd_4f5d_bf37_0b15b954e69d" hidden="1">#REF!</definedName>
    <definedName name="TBb0d4a32a_8da5_430f_a1ea_fc0a5fde7d5e" hidden="1">#REF!</definedName>
    <definedName name="TBb0d906b2_4fc7_4edd_8924_b4743b4749c6" hidden="1">#REF!</definedName>
    <definedName name="TBb0dfc128_de7b_4751_8b74_fb739134f322" hidden="1">#REF!</definedName>
    <definedName name="TBb0fa476e_a721_44e9_8668_598753266d04" hidden="1">#REF!</definedName>
    <definedName name="TBb0fc0bd8_6fdb_4546_93c2_94ada3fc1f7e" hidden="1">#REF!</definedName>
    <definedName name="TBb0fce9aa_373e_45a2_af6d_1bd8cca10577" hidden="1">#REF!</definedName>
    <definedName name="TBb102c34e_0eb8_4b8f_941f_fb8a17adc756" hidden="1">#REF!</definedName>
    <definedName name="TBb11df2e6_b1dc_409c_9c98_98de1ae2ae18" hidden="1">#REF!</definedName>
    <definedName name="TBb129d7b6_01ce_4d4e_9acc_ef2bc11bd6ad" hidden="1">#REF!</definedName>
    <definedName name="TBb12e04fa_8565_45b8_8d97_975a50e341a6" hidden="1">#REF!</definedName>
    <definedName name="TBb1302337_20f9_49b2_b948_9ab05e2fe764" hidden="1">#REF!</definedName>
    <definedName name="TBb1326e82_cca6_43c0_89ee_1dae5f7f9fe8" hidden="1">#REF!</definedName>
    <definedName name="TBb134d622_6266_402d_9347_54508df9a021" hidden="1">#REF!</definedName>
    <definedName name="TBb145abfb_724e_46d4_97d7_ad7fbbfc62d3" hidden="1">#REF!</definedName>
    <definedName name="TBb1514607_e4f8_4360_8d6e_4a073a7d78c7" hidden="1">#REF!</definedName>
    <definedName name="TBb16117c9_df4d_41c3_8aef_3d5e4de18d6b" hidden="1">#REF!</definedName>
    <definedName name="TBb1727b7d_28be_4da5_b212_578f88563c1f" hidden="1">#REF!</definedName>
    <definedName name="TBb1752715_9997_4f61_96ac_b6246e357f4f" hidden="1">#REF!</definedName>
    <definedName name="TBb17c644c_1c45_485f_8547_d9553e653f09" hidden="1">#REF!</definedName>
    <definedName name="TBb182cd51_93bf_4e3d_aa19_dc314aa8fb35" hidden="1">#REF!</definedName>
    <definedName name="TBb184287e_be0c_4fba_86de_16d16996ba87" hidden="1">#REF!</definedName>
    <definedName name="TBb184d283_d1a2_4fe0_87a6_af510c2cd4d1" hidden="1">#REF!</definedName>
    <definedName name="TBb19548a6_7387_4438_aa4b_3800c7522906" hidden="1">#REF!</definedName>
    <definedName name="TBb19ffc28_20e2_4f04_aad8_a778938b71fb" hidden="1">#REF!</definedName>
    <definedName name="TBb1a03c88_7402_4c86_ab86_78e7978b0710" hidden="1">#REF!</definedName>
    <definedName name="TBb1a08360_a51d_444a_a062_7729b9d219bf" hidden="1">#REF!</definedName>
    <definedName name="TBb1ae6ecd_66d4_4cee_9be6_654b4119835f" hidden="1">#REF!</definedName>
    <definedName name="TBb1b2799d_da47_4141_80bb_272b6822d865" hidden="1">#REF!</definedName>
    <definedName name="TBb1b98c27_ef4f_4690_b9b5_0557bb0129bf" hidden="1">#REF!</definedName>
    <definedName name="TBb1c5ddce_3a1d_4530_8398_2192108c41d7" hidden="1">#REF!</definedName>
    <definedName name="TBb1d0de62_90b4_4748_a323_39cd10cf3b8c" hidden="1">#REF!</definedName>
    <definedName name="TBb1dd2007_a7da_495a_8199_a7ae97b280ca" hidden="1">#REF!</definedName>
    <definedName name="TBb1e4bab2_8ff8_4d34_8ae6_d7d8c9974ce0" hidden="1">#REF!</definedName>
    <definedName name="TBb1e61739_dee3_4043_85ea_9939a6c5662e" hidden="1">#REF!</definedName>
    <definedName name="TBb1f403f8_6765_4af7_a9f1_5c2fba95e5f1" hidden="1">#REF!</definedName>
    <definedName name="TBb200bc10_04aa_4f41_8a25_849f49704ce7" hidden="1">#REF!</definedName>
    <definedName name="TBb200cca4_a042_49b6_83d8_d08f90a73cab" hidden="1">#REF!</definedName>
    <definedName name="TBb207a6af_74a7_4a2b_91a0_9a42e6d8460d" hidden="1">#REF!</definedName>
    <definedName name="TBb214ff24_b319_4716_b35d_58f19c235113" hidden="1">#REF!</definedName>
    <definedName name="TBb23b3284_9103_4374_8803_9aa0c8194802" hidden="1">#REF!</definedName>
    <definedName name="TBb24d9a8c_bc78_4fa1_9aa1_a78dcefbcc2d" hidden="1">#REF!</definedName>
    <definedName name="TBb2594ebe_a182_4dc5_9129_6fe4bbab54b1" hidden="1">#REF!</definedName>
    <definedName name="TBb25aabe4_ad91_4710_9eea_c3e4ee486ee4" hidden="1">#REF!</definedName>
    <definedName name="TBb261ac09_27ec_4d2a_9ba1_7132392c7bdf" hidden="1">#REF!</definedName>
    <definedName name="TBb26d0dbe_45f0_4c2f_a27b_bf325420f7b8" hidden="1">#REF!</definedName>
    <definedName name="TBb27d10a9_e6cf_4c48_9a8e_fe36a548f9c7" hidden="1">#REF!</definedName>
    <definedName name="TBb2814356_1def_416a_9093_7b22672c5791" hidden="1">#REF!</definedName>
    <definedName name="TBb2863354_09ac_4ce4_8dec_538cb47c86ea" hidden="1">#REF!</definedName>
    <definedName name="TBb28a78dc_86a1_4415_b3e7_67e91d0e0931" hidden="1">#REF!</definedName>
    <definedName name="TBb28f2c21_66c5_4afb_8e30_82961c35a34a" hidden="1">#REF!</definedName>
    <definedName name="TBb29ca086_e072_47d5_90ee_ef74315f7047" hidden="1">#REF!</definedName>
    <definedName name="TBb2a4bbd8_658f_4ba3_aa2e_b4a94846a486" hidden="1">#REF!</definedName>
    <definedName name="TBb2b16bba_9dbf_4f50_a1c7_0cfe8abb3807" hidden="1">#REF!</definedName>
    <definedName name="TBb2bebf0e_c095_4d6b_9cc4_7469edb0c39e" hidden="1">#REF!</definedName>
    <definedName name="TBb2cfdb06_49cd_411b_9878_9cb5abe4bceb" hidden="1">#REF!</definedName>
    <definedName name="TBb2e65dd4_a2d3_4ce3_86b8_432a8099740f" hidden="1">#REF!</definedName>
    <definedName name="TBb2e726f1_e2e1_41f3_abea_760d1a0969ef" hidden="1">#REF!</definedName>
    <definedName name="TBb2effb0d_0000_42b2_a586_70c0a53b9fee" hidden="1">#REF!</definedName>
    <definedName name="TBb2f4c5f2_9261_407d_b460_f435923e4bca" hidden="1">#REF!</definedName>
    <definedName name="TBb2f7e94b_32d3_4075_9ff3_120157e1ff2d" hidden="1">#REF!</definedName>
    <definedName name="TBb3259cf7_a7cc_47bb_b08d_ba418bc7783d" hidden="1">#REF!</definedName>
    <definedName name="TBb326003f_7770_4711_820d_3910a356f092" hidden="1">#REF!</definedName>
    <definedName name="TBb3342794_f06a_40cd_9bfe_e94fbe0e1058" hidden="1">#REF!</definedName>
    <definedName name="TBb350c804_48f2_4ced_b564_5c7711b5a6e7" hidden="1">#REF!</definedName>
    <definedName name="TBb35c8426_a1ad_4dc6_99bb_64ee1b417b13" hidden="1">#REF!</definedName>
    <definedName name="TBb367a02b_2064_46c7_8dab_10c1a3a82917" hidden="1">#REF!</definedName>
    <definedName name="TBb36e43f0_8927_42fb_8834_1119620ac7cc" hidden="1">#REF!</definedName>
    <definedName name="TBb373d2da_fa8c_4f03_84e0_4aac69d47c86" hidden="1">#REF!</definedName>
    <definedName name="TBb37411d3_a29a_4926_8242_53f3f53fcbc9" hidden="1">#REF!</definedName>
    <definedName name="TBb38f85c3_068f_4fc5_acb9_88a9058df8d2" hidden="1">#REF!</definedName>
    <definedName name="TBb38fa4c9_8b79_41cc_af68_df5febab34f6" hidden="1">#REF!</definedName>
    <definedName name="TBb39f382b_d8ef_400e_a61f_7e8260da97fb" hidden="1">#REF!</definedName>
    <definedName name="TBb3a9c000_e7b6_4bf5_88bb_43321953f8ab" hidden="1">#REF!</definedName>
    <definedName name="TBb3c16579_58cf_4e6f_83fd_645715764095" hidden="1">#REF!</definedName>
    <definedName name="TBb3ce4f64_7ad9_453e_a48f_242bf14527c5" hidden="1">#REF!</definedName>
    <definedName name="TBb3d130d3_da77_4b23_bd3d_390ee12b723b" hidden="1">#REF!</definedName>
    <definedName name="TBb3e09c65_562f_46a3_a2d5_73da7ea1d776" hidden="1">#REF!</definedName>
    <definedName name="TBb3eabd3e_eb02_400e_8b38_6ecb2cdd176f" hidden="1">#REF!</definedName>
    <definedName name="TBb3fb757d_d32b_4636_ba2a_ab7c331d3a29" hidden="1">#REF!</definedName>
    <definedName name="TBb3fd395a_93fb_40b6_910b_edc59af8e19e" hidden="1">#REF!</definedName>
    <definedName name="TBb3fe09b6_4eb3_4af7_a2a4_1f4b7a55fd1a" hidden="1">#REF!</definedName>
    <definedName name="TBb4018a4b_8a9f_42d2_a5b0_edb6169fd93c" hidden="1">#REF!</definedName>
    <definedName name="TBb41149e1_79be_4b62_9bbd_22cc5cf43b86" hidden="1">#REF!</definedName>
    <definedName name="TBb419335c_b169_46d5_8733_17643883e39c" hidden="1">#REF!</definedName>
    <definedName name="TBb41c1d4a_b5be_47b4_9010_de987a33158a" hidden="1">#REF!</definedName>
    <definedName name="TBb4206fdd_90ef_404e_aef7_17ec39025797" hidden="1">#REF!</definedName>
    <definedName name="TBb42828ba_1ad0_421e_8402_7f8bb23206f5" hidden="1">#REF!</definedName>
    <definedName name="TBb42a179b_38d9_41d9_9a6f_35af376e9850" hidden="1">#REF!</definedName>
    <definedName name="TBb43078c0_3dbb_4205_aef5_2c7765651cdd" hidden="1">#REF!</definedName>
    <definedName name="TBb4318812_195a_4d49_80a5_6d53b379172f" hidden="1">#REF!</definedName>
    <definedName name="TBb4492e54_4603_4ec3_8f71_a8c721e4594d" hidden="1">#REF!</definedName>
    <definedName name="TBb44c8c47_419a_4b0d_93d4_7d2b8d47e624" hidden="1">#REF!</definedName>
    <definedName name="TBb451a04f_cff2_4fe5_8bd8_6839f3bd4342" hidden="1">#REF!</definedName>
    <definedName name="TBb4527b30_89d4_4d41_ac47_a7e107406483" hidden="1">#REF!</definedName>
    <definedName name="TBb45573e6_cdb3_4f71_b2c4_0f04ff3ef2f2" hidden="1">#REF!</definedName>
    <definedName name="TBb456494c_52fe_416b_927b_71d2f28d49ee" hidden="1">#REF!</definedName>
    <definedName name="TBb45e61e2_a5ee_4e0a_a546_8a70e045b21d" hidden="1">#REF!</definedName>
    <definedName name="TBb461df5a_97e8_4047_a015_5b15b1f864af" hidden="1">#REF!</definedName>
    <definedName name="TBb467ff97_05d2_4826_9814_36dc5dfa43b3" hidden="1">#REF!</definedName>
    <definedName name="TBb4766892_6611_4dd2_b934_121ce7696141" hidden="1">#REF!</definedName>
    <definedName name="TBb4769917_4ad0_466b_9058_20def6a20c30" hidden="1">#REF!</definedName>
    <definedName name="TBb48ab89f_d7e1_4409_8193_1bb5fbece13a" hidden="1">#REF!</definedName>
    <definedName name="TBb49c504f_e2d6_4537_8e7b_f3c5794f0378" hidden="1">#REF!</definedName>
    <definedName name="TBb4bcdd5e_9c75_425f_a349_4a9b74c17a60" hidden="1">#REF!</definedName>
    <definedName name="TBb4bfb8e4_96f3_4770_8060_07e02a290137" hidden="1">#REF!</definedName>
    <definedName name="TBb4c10d12_9517_48fd_bdc4_76233247e411" hidden="1">#REF!</definedName>
    <definedName name="TBb4c50e9b_dcf9_4c2f_80fa_83f58636d3a3" hidden="1">#REF!</definedName>
    <definedName name="TBb4cf1d48_5427_40ec_8762_a19ea884b2b6" hidden="1">#REF!</definedName>
    <definedName name="TBb4d6eab4_fcea_43c3_bc2b_7b14307166cc" hidden="1">#REF!</definedName>
    <definedName name="TBb4dc28b9_2e6e_42dd_be2a_07b12e013bfd" hidden="1">#REF!</definedName>
    <definedName name="TBb4f63096_a4b1_41c8_af7f_dae6fccab788" hidden="1">#REF!</definedName>
    <definedName name="TBb4fea123_ec62_4ad8_baa4_c70203684bb5" hidden="1">#REF!</definedName>
    <definedName name="TBb508251f_b9b9_486f_9c20_c08ed52a0ecf" hidden="1">#REF!</definedName>
    <definedName name="TBb5135876_c358_4b32_80f2_61c7ffc20ab9" hidden="1">#REF!</definedName>
    <definedName name="TBb51765a5_36d6_4a5b_85ca_02deae107273" hidden="1">#REF!</definedName>
    <definedName name="TBb51c17d4_3b83_4891_bc8a_5fd0b87c33e2" hidden="1">#REF!</definedName>
    <definedName name="TBb5243bca_7c3b_49d0_9c8d_080b1649f0a2" hidden="1">#REF!</definedName>
    <definedName name="TBb527d124_332b_449d_8eab_2294a367faef" hidden="1">#REF!</definedName>
    <definedName name="TBb529ed41_dbbd_4f6f_bb2e_6c6102d8ff5b" hidden="1">#REF!</definedName>
    <definedName name="TBb543368c_bef7_4a2b_90a6_d00f0e3d4751" hidden="1">#REF!</definedName>
    <definedName name="TBb54a79f8_8f38_4e4b_90a4_67774b60eb9b" hidden="1">#REF!</definedName>
    <definedName name="TBb5535774_c796_43f4_abe4_602cd4cee4af" hidden="1">#REF!</definedName>
    <definedName name="TBb55379f1_7759_4be5_80c7_378e0aae74cd" hidden="1">#REF!</definedName>
    <definedName name="TBb5631626_93b4_4cf0_bdb6_d8df349ad4ba" hidden="1">#REF!</definedName>
    <definedName name="TBb57881f3_7a54_4fd8_9b57_c784ed2025b7" hidden="1">#REF!</definedName>
    <definedName name="TBb57d2201_2192_4a0d_aacd_cdfe8e069903" hidden="1">#REF!</definedName>
    <definedName name="TBb5856cf5_66f0_4c97_b594_b0ed613d94e8" hidden="1">#REF!</definedName>
    <definedName name="TBb596d3f2_7b23_4197_86fc_443d527c56f4" hidden="1">#REF!</definedName>
    <definedName name="TBb5a265bd_c1aa_4c77_8628_acc034e6d896" hidden="1">#REF!</definedName>
    <definedName name="TBb5a2b8a6_46ee_4e60_92cf_62c5a20b9443" hidden="1">#REF!</definedName>
    <definedName name="TBb5b60340_ac74_44b3_8337_f2200af78103" hidden="1">#REF!</definedName>
    <definedName name="TBb5c23688_58b6_40e9_8427_26a51213ecec" hidden="1">#REF!</definedName>
    <definedName name="TBb5c26c1b_9a06_49f5_81c3_de9089b4977a" hidden="1">#REF!</definedName>
    <definedName name="TBb5c50133_7228_4b8c_8959_73d1d624123f" hidden="1">#REF!</definedName>
    <definedName name="TBb5d91eb8_277d_481d_b8b8_a9364b28670e" hidden="1">#REF!</definedName>
    <definedName name="TBb5db0666_e7f3_4924_b04d_c8bcf4bfbe44" hidden="1">#REF!</definedName>
    <definedName name="TBb5db986a_3618_4159_a8d6_b9ff24ad1ec4" hidden="1">#REF!</definedName>
    <definedName name="TBb5ddd545_07dc_4f77_b7de_6be0fc875b26" hidden="1">#REF!</definedName>
    <definedName name="TBb5e27f22_cf2d_44cf_8b80_370a7478a100" hidden="1">#REF!</definedName>
    <definedName name="TBb5eded45_3678_4439_ae38_72dc86cc804f" hidden="1">#REF!</definedName>
    <definedName name="TBb5eec18b_a271_4106_9f54_af2782c9b4a5" hidden="1">#REF!</definedName>
    <definedName name="TBb5f41aa1_9afe_483a_8c22_b1fa1b3f1fbe" hidden="1">#REF!</definedName>
    <definedName name="TBb5f6e2b5_14a2_4ea6_9eb0_ec9af02ea114" hidden="1">#REF!</definedName>
    <definedName name="TBb5ff82ac_56b5_45df_8896_bddf6779f77b" hidden="1">#REF!</definedName>
    <definedName name="TBb612214c_0273_4b41_81d4_dcb7846122f3" hidden="1">#REF!</definedName>
    <definedName name="TBb61dc35c_b8b7_4765_96ba_070edb444044" hidden="1">#REF!</definedName>
    <definedName name="TBb6202db0_cc05_4e7b_b7d4_68b223d48d92" hidden="1">#REF!</definedName>
    <definedName name="TBb624c7fa_1d51_4583_8c11_439357dacaaf" hidden="1">#REF!</definedName>
    <definedName name="TBb6267821_b455_4233_891b_e85fce53d1d9" hidden="1">#REF!</definedName>
    <definedName name="TBb62ad9e4_4901_4a90_a9bd_50739e5eb3ae" hidden="1">#REF!</definedName>
    <definedName name="TBb6439b1f_ddc5_41d4_86d9_e6955f59ff77" hidden="1">#REF!</definedName>
    <definedName name="TBb649c07d_bd4c_4813_b27d_0def8682b960" hidden="1">#REF!</definedName>
    <definedName name="TBb64cce9b_c83f_40a3_9004_e972ab90560a" hidden="1">#REF!</definedName>
    <definedName name="TBb65b14cb_795e_4fcf_a0a8_ee721b117ab6" hidden="1">#REF!</definedName>
    <definedName name="TBb6609a14_3900_405d_81af_0aa129466847" hidden="1">#REF!</definedName>
    <definedName name="TBb6613d04_730b_4191_bf89_5ffe9cfdd45e" hidden="1">#REF!</definedName>
    <definedName name="TBb6620aa2_918d_4143_bf4e_4f0caacd4a66" hidden="1">#REF!</definedName>
    <definedName name="TBb666b9b4_41f0_4365_8a17_8296ac64a481" hidden="1">#REF!</definedName>
    <definedName name="TBb678a9ce_4fc9_4fb9_972c_e7fcf0e6a113" hidden="1">#REF!</definedName>
    <definedName name="TBb67e7a62_378c_4b10_8268_abca4da254d5" hidden="1">#REF!</definedName>
    <definedName name="TBb68f7cb4_08db_445c_8da2_efd8dbfdd7aa" hidden="1">#REF!</definedName>
    <definedName name="TBb6991659_e6de_4c28_9484_a8eaedfcbed6" hidden="1">#REF!</definedName>
    <definedName name="TBb6a6d0aa_43a3_4ded_a956_245da1ebfde9" hidden="1">#REF!</definedName>
    <definedName name="TBb6b019da_c7ce_4e39_adf0_2aabcb1b7ea4" hidden="1">#REF!</definedName>
    <definedName name="TBb6b45c1b_1b48_4be0_a648_a437ca8acbc9" hidden="1">#REF!</definedName>
    <definedName name="TBb6d2f66b_9872_4e85_8179_8cb8abf82f52" hidden="1">#REF!</definedName>
    <definedName name="TBb6d6a79a_8a6a_4c53_9401_3457373b20a6" hidden="1">#REF!</definedName>
    <definedName name="TBb6d863ee_b8c2_499c_80ac_281bc7354ded" hidden="1">#REF!</definedName>
    <definedName name="TBb7053c5d_b1a6_4b9d_8f35_c56b668b687c" hidden="1">#REF!</definedName>
    <definedName name="TBb711d755_682c_424e_a2b6_1cd4e8191c31" hidden="1">#REF!</definedName>
    <definedName name="TBb72ba364_f303_4cad_ab68_2b196a4670c2" hidden="1">#REF!</definedName>
    <definedName name="TBb7360e89_e262_4485_948e_9e8f8500b401" hidden="1">#REF!</definedName>
    <definedName name="TBb73f5a86_30d7_4589_ba81_6b768c8b2edc" hidden="1">#REF!</definedName>
    <definedName name="TBb7454e8d_cbc0_4054_9d56_8714f71e05ee" hidden="1">#REF!</definedName>
    <definedName name="TBb7457b09_31e2_404e_950f_0a448cf1f9ee" hidden="1">#REF!</definedName>
    <definedName name="TBb7510637_4576_413d_b727_5d30d9c25e08" hidden="1">#REF!</definedName>
    <definedName name="TBb754d88f_4843_4b57_9cb3_0725e581e095" hidden="1">#REF!</definedName>
    <definedName name="TBb762ce71_8e70_4c84_842f_cfbe95880165" hidden="1">#REF!</definedName>
    <definedName name="TBb76aa7d8_2fb7_45fb_8694_4f27533ebfec" hidden="1">#REF!</definedName>
    <definedName name="TBb76d37cf_6790_4824_b8b0_c5a09fe229dc" hidden="1">#REF!</definedName>
    <definedName name="TBb7837352_5022_420a_8296_cac7db5e5d3d" hidden="1">#REF!</definedName>
    <definedName name="TBb78cc3eb_4e79_4abe_8558_7815a4d53ba1" hidden="1">#REF!</definedName>
    <definedName name="TBb79e6dac_00ba_4060_8be4_833717ea1b8e" hidden="1">#REF!</definedName>
    <definedName name="TBb7a035da_dc14_4280_a2fc_d20699bb3ad4" hidden="1">#REF!</definedName>
    <definedName name="TBb7aa4355_d912_42ac_a3f3_1c822f44acbe" hidden="1">#REF!</definedName>
    <definedName name="TBb7ace982_7ecf_482f_a918_4805b0c77aaa" hidden="1">#REF!</definedName>
    <definedName name="TBb7b7ec1f_c75a_4490_b612_caec82b74337" hidden="1">#REF!</definedName>
    <definedName name="TBb7b8aa79_09fc_4e9d_8259_9f98e9ae60e9" hidden="1">#REF!</definedName>
    <definedName name="TBb7ce97cd_dddf_49ed_8a62_070fa623836e" hidden="1">#REF!</definedName>
    <definedName name="TBb7d3dbac_c290_4b62_839c_afaf70b52f73" hidden="1">#REF!</definedName>
    <definedName name="TBb7d7f1c9_c8bf_4411_91fe_3213b766bdad" hidden="1">#REF!</definedName>
    <definedName name="TBb7d86b3c_6bb4_4a68_8f24_d1f6048194da" hidden="1">#REF!</definedName>
    <definedName name="TBb7dbb272_1b40_4d31_9b3d_5ea74a373fde" hidden="1">#REF!</definedName>
    <definedName name="TBb7e2600e_c961_4329_9ad3_22239012dc92" hidden="1">#REF!</definedName>
    <definedName name="TBb7eb7a21_5984_4856_a5bd_d4591cd124f3" hidden="1">#REF!</definedName>
    <definedName name="TBb80e3595_aad6_4229_a3eb_d3d9f6f4dbef" hidden="1">#REF!</definedName>
    <definedName name="TBb80f10ec_4805_4e18_96a2_c10747ed4898" hidden="1">#REF!</definedName>
    <definedName name="TBb819d18b_398f_4253_8a5c_beca5758cd18" hidden="1">#REF!</definedName>
    <definedName name="TBb8291229_b898_4f58_b962_bfebea32f386" hidden="1">#REF!</definedName>
    <definedName name="TBb83ed248_9950_4e81_b784_26da4b0561c3" hidden="1">#REF!</definedName>
    <definedName name="TBb84756f4_b043_499a_8a9c_4d3d997a476f" hidden="1">#REF!</definedName>
    <definedName name="TBb85425ce_216a_4827_a641_89a3d0488abb" hidden="1">#REF!</definedName>
    <definedName name="TBb85bae7c_387d_4bcf_8ec2_d6f99948b2e0" hidden="1">#REF!</definedName>
    <definedName name="TBb85e5b24_ce71_4e8e_88d6_9021e118d1a7" hidden="1">#REF!</definedName>
    <definedName name="TBb8751a8a_b093_4efa_b7fa_26aae799aca7" hidden="1">#REF!</definedName>
    <definedName name="TBb8814cc9_cb99_4958_93ef_9f98cae92d68" hidden="1">#REF!</definedName>
    <definedName name="TBb88e9a29_067f_4200_932e_58ff449ef70e" hidden="1">#REF!</definedName>
    <definedName name="TBb8a807e7_fc1d_4880_bde7_6e6c0337b26e" hidden="1">#REF!</definedName>
    <definedName name="TBb8a93473_bdbe_4e5b_99af_7be8894d195b" hidden="1">#REF!</definedName>
    <definedName name="TBb8af9984_f105_4eb6_a970_58faff96de9f" hidden="1">#REF!</definedName>
    <definedName name="TBb8b0ba9a_74db_4d3f_a527_7ef6de9d7473" hidden="1">#REF!</definedName>
    <definedName name="TBb8bb788e_17b3_42ae_83df_645af70c1a06" hidden="1">#REF!</definedName>
    <definedName name="TBb8e34180_fd0a_4b25_a508_392b03eeb94f" hidden="1">#REF!</definedName>
    <definedName name="TBb8e8d114_9405_43b7_b4e2_fdc7c7cd36e2" hidden="1">#REF!</definedName>
    <definedName name="TBb8f532f5_4d9f_4981_9d38_e8c7535c043a" hidden="1">#REF!</definedName>
    <definedName name="TBb90de651_b98d_49d1_a9d4_88925e59835a" hidden="1">#REF!</definedName>
    <definedName name="TBb910102e_0714_46fd_abfd_55f5c741fc4c" hidden="1">#REF!</definedName>
    <definedName name="TBb91dfd6a_b6f6_4f42_99bb_61f64e3ab1e9" hidden="1">#REF!</definedName>
    <definedName name="TBb93131fc_0ce5_4c98_9c17_53c171208181" hidden="1">#REF!</definedName>
    <definedName name="TBb94161ac_4e85_4218_a48b_f0b739c28289" hidden="1">#REF!</definedName>
    <definedName name="TBb94fa0ae_6104_4d45_baa6_3458c88078e3" hidden="1">#REF!</definedName>
    <definedName name="TBb95415b5_7624_4a70_b759_1e9425e3b89e" hidden="1">#REF!</definedName>
    <definedName name="TBb9558040_c0b3_4425_a6d8_3471e7033420" hidden="1">#REF!</definedName>
    <definedName name="TBb95bb884_e39f_48c2_9192_a50d68a8d686" hidden="1">#REF!</definedName>
    <definedName name="TBb969def5_f45a_44b2_bfc0_9b282ad3c344" hidden="1">#REF!</definedName>
    <definedName name="TBb9804051_afdb_47c6_ad7c_2e7799d6d9ac" hidden="1">#REF!</definedName>
    <definedName name="TBb984e672_5dff_4b61_9027_a3527230010c" hidden="1">#REF!</definedName>
    <definedName name="TBb9914671_d0cb_4f93_b6a0_10f3a676884f" hidden="1">#REF!</definedName>
    <definedName name="TBb9932a4f_ec24_4480_8027_8249473270bc" hidden="1">#REF!</definedName>
    <definedName name="TBb99c9df4_c37d_49a4_874c_d4de3c51fad7" hidden="1">#REF!</definedName>
    <definedName name="TBb99e7272_e2a6_4fb7_a9a9_e5e3b961f3ce" hidden="1">#REF!</definedName>
    <definedName name="TBb9c21786_9e82_4800_8448_c5870c40e40d" hidden="1">#REF!</definedName>
    <definedName name="TBb9c3a87b_e494_433e_b3a7_fb46cd22169a" hidden="1">#REF!</definedName>
    <definedName name="TBb9cfc8b9_3f1f_4d8e_ac7a_66e1e70190cc" hidden="1">#REF!</definedName>
    <definedName name="TBb9d64e47_2618_487c_899f_8167e1ce9c34" hidden="1">#REF!</definedName>
    <definedName name="TBb9eb59be_d95b_439b_98d8_e5ab8ac3dd0a" hidden="1">#REF!</definedName>
    <definedName name="TBb9f0b377_ca61_481a_b344_b4be49960871" hidden="1">#REF!</definedName>
    <definedName name="TBb9fbf621_488f_4ee0_90ab_aa9890dfbc1f" hidden="1">#REF!</definedName>
    <definedName name="TBba18d428_f341_4f81_8cfe_c9ba21d4a2da" hidden="1">#REF!</definedName>
    <definedName name="TBba20f7b4_0bda_4d90_aed4_04349fab865a" hidden="1">#REF!</definedName>
    <definedName name="TBba21fd0a_d5b9_4cdc_a243_eabc581f179b" hidden="1">#REF!</definedName>
    <definedName name="TBba22731d_d945_4793_b99d_87925a7ff27a" hidden="1">#REF!</definedName>
    <definedName name="TBba425ee0_e6d2_4d18_99f0_21ed4beee87c" hidden="1">#REF!</definedName>
    <definedName name="TBba57381c_8237_4bb8_ac91_d34d486f0b32" hidden="1">#REF!</definedName>
    <definedName name="TBba57819b_4fdc_4a69_b3bd_ced3bdb8b71f" hidden="1">#REF!</definedName>
    <definedName name="TBba649eb3_fe59_405f_9338_626a82c33e8d" hidden="1">#REF!</definedName>
    <definedName name="TBba6a7728_a450_4005_a131_82e0cc031934" hidden="1">#REF!</definedName>
    <definedName name="TBba6a7bc4_f4c0_49c7_8375_74ed5171eb5c" hidden="1">#REF!</definedName>
    <definedName name="TBba725afc_ed1a_43ea_8c0f_4de66582f657" hidden="1">#REF!</definedName>
    <definedName name="TBba788d79_861a_4a28_ae8f_5c021861d2c0" hidden="1">#REF!</definedName>
    <definedName name="TBba7cf4f9_513f_409c_b7f5_73675e6f1b7f" hidden="1">#REF!</definedName>
    <definedName name="TBba7d6564_5f0e_413a_baac_e40f8423b63f" hidden="1">#REF!</definedName>
    <definedName name="TBba83796f_32f3_4014_9ff4_b8a9d4e7c72f" hidden="1">#REF!</definedName>
    <definedName name="TBbaa56484_01c4_4f1b_8dce_4b47337fc97a" hidden="1">#REF!</definedName>
    <definedName name="TBbaac0662_13ff_4260_a7d0_64160afc296d" hidden="1">#REF!</definedName>
    <definedName name="TBbaafdfd6_9335_4f1a_9eb9_8e7a36678686" hidden="1">#REF!</definedName>
    <definedName name="TBbabf3721_2d07_448f_8206_2ff0fa53ee27" hidden="1">#REF!</definedName>
    <definedName name="TBbac490a3_4571_4852_89c0_afab83eaf85f" hidden="1">#REF!</definedName>
    <definedName name="TBbad32273_0788_4b17_9474_f7a7436d8859" hidden="1">#REF!</definedName>
    <definedName name="TBbae2f4f5_1215_4a9b_a2d1_5c70774f7a63" hidden="1">#REF!</definedName>
    <definedName name="TBbae69f4c_2447_4a8c_a30f_aff002f9df80" hidden="1">#REF!</definedName>
    <definedName name="TBbae7ebac_f477_4790_9a88_2d63358783a8" hidden="1">#REF!</definedName>
    <definedName name="TBbb0f48fd_61f5_48d4_928c_15beafed3d29" hidden="1">#REF!</definedName>
    <definedName name="TBbb18b5e5_cf60_40ff_81e9_9a9dab716259" hidden="1">#REF!</definedName>
    <definedName name="TBbb18e84b_6f1a_4d9e_9e79_9830da110cd2" hidden="1">#REF!</definedName>
    <definedName name="TBbb2810cc_cbeb_4caf_abc7_ad3b3aba2655" hidden="1">#REF!</definedName>
    <definedName name="TBbb2b939f_453e_4386_9cfe_38aa79b0079f" hidden="1">#REF!</definedName>
    <definedName name="TBbb30e29d_63a9_4197_ba8e_49a4a141e11d" hidden="1">#REF!</definedName>
    <definedName name="TBbb4dc4f0_8e68_4a3e_85c9_2b9353c707ae" hidden="1">#REF!</definedName>
    <definedName name="TBbb52f0f7_4906_484d_b6cf_86e154d141b8" hidden="1">#REF!</definedName>
    <definedName name="TBbb61d235_86ad_4ffc_b175_9d1954733407" hidden="1">#REF!</definedName>
    <definedName name="TBbb620c5a_88d5_4bab_b0ab_c11d979097bd" hidden="1">#REF!</definedName>
    <definedName name="TBbb6fd1f9_91e4_49c3_af41_86f2a9276b85" hidden="1">#REF!</definedName>
    <definedName name="TBbb6fe778_836e_4ab2_b4ff_c09218936f08" hidden="1">#REF!</definedName>
    <definedName name="TBbb770c38_a486_45a1_89ba_45bd81de1385" hidden="1">#REF!</definedName>
    <definedName name="TBbb79b24b_6107_47a5_bd75_8811212eed2e" hidden="1">#REF!</definedName>
    <definedName name="TBbb8d7c3d_9dce_4204_be3b_6a5bc6701e96" hidden="1">#REF!</definedName>
    <definedName name="TBbb8e9c52_0aca_407b_88fc_d6493f09571d" hidden="1">#REF!</definedName>
    <definedName name="TBbb964e77_e50e_4f95_ba6e_d306d5b21476" hidden="1">#REF!</definedName>
    <definedName name="TBbb9b02b7_4b82_4a0e_9fc9_04fcbff1616a" hidden="1">#REF!</definedName>
    <definedName name="TBbb9c3c2c_f6b4_4240_9f09_b56885e69e39" hidden="1">#REF!</definedName>
    <definedName name="TBbbbd99b5_0552_4abd_b7fc_13a164d6d69c" hidden="1">#REF!</definedName>
    <definedName name="TBbbc36460_5e91_4728_b53d_da22e10d3943" hidden="1">#REF!</definedName>
    <definedName name="TBbbd1131c_d576_4f21_bac3_c82a58e37f54" hidden="1">#REF!</definedName>
    <definedName name="TBbbd313df_036d_45b1_b6ad_8314f7ce6a65" hidden="1">#REF!</definedName>
    <definedName name="TBbbe71b2c_aeeb_4730_a02a_b368828a01e6" hidden="1">#REF!</definedName>
    <definedName name="TBbbeabc66_9072_49e3_83e9_ecaafaa75953" hidden="1">#REF!</definedName>
    <definedName name="TBbc014b01_1c5c_46af_9b8d_aa61c16de5cb" hidden="1">#REF!</definedName>
    <definedName name="TBbc0683e7_c44f_4a0c_8471_e8dbaa68c925" hidden="1">#REF!</definedName>
    <definedName name="TBbc29c1f5_675f_4a5d_88c2_0def5e5860d5" hidden="1">#REF!</definedName>
    <definedName name="TBbc2b6246_a08b_4806_87a0_d4d0bc51f900" hidden="1">#REF!</definedName>
    <definedName name="TBbc2d15de_50c1_4c99_98a9_6cdba87b9a68" hidden="1">#REF!</definedName>
    <definedName name="TBbc3173e9_3877_445e_b181_6c03eff76b9b" hidden="1">#REF!</definedName>
    <definedName name="TBbc3c6652_15c9_4132_9be0_5844d9581ae1" hidden="1">#REF!</definedName>
    <definedName name="TBbc408e13_492e_4292_addc_9c3120842438" hidden="1">#REF!</definedName>
    <definedName name="TBbc4e5fb9_5e29_4bc0_9949_74422c503624" hidden="1">#REF!</definedName>
    <definedName name="TBbc507421_3006_48c4_8827_6ba53bdae4fa" hidden="1">#REF!</definedName>
    <definedName name="TBbc5f1273_5fed_458f_b557_35244afed81d" hidden="1">#REF!</definedName>
    <definedName name="TBbc608389_c515_4e75_a563_f79c52188485" hidden="1">#REF!</definedName>
    <definedName name="TBbc60aa39_f613_4b02_93d2_59d80a1d5b4c" hidden="1">#REF!</definedName>
    <definedName name="TBbc715796_577f_435d_8850_757c90e77e4b" hidden="1">#REF!</definedName>
    <definedName name="TBbc764695_c73a_45d1_a9e7_c8d0fbfc1c07" hidden="1">#REF!</definedName>
    <definedName name="TBbc7687c3_c046_490f_bd3b_206ce8c5a166" hidden="1">#REF!</definedName>
    <definedName name="TBbc791f3d_edcc_41c9_a77d_576a31635c99" hidden="1">#REF!</definedName>
    <definedName name="TBbc82de79_0b5c_4238_8c30_d4ed60f97181" hidden="1">#REF!</definedName>
    <definedName name="TBbc88fd75_646b_485c_aa78_cf065fa8ebda" hidden="1">#REF!</definedName>
    <definedName name="TBbca063d2_3904_451b_86c3_4915a50206a4" hidden="1">#REF!</definedName>
    <definedName name="TBbca160e7_b8dc_4384_9d6d_cc1cbc0c3abe" hidden="1">#REF!</definedName>
    <definedName name="TBbcaea7e7_2437_451c_81cc_5859c7cb9b55" hidden="1">#REF!</definedName>
    <definedName name="TBbcc36a66_cc54_4d38_8660_786dac98ae4f" hidden="1">#REF!</definedName>
    <definedName name="TBbcc60016_1257_4131_b8f1_1aa05ce47791" hidden="1">#REF!</definedName>
    <definedName name="TBbcc8832e_7bfc_464b_85ba_0bb95ba06878" hidden="1">#REF!</definedName>
    <definedName name="TBbcd7bcdf_a382_458a_adfc_6b701b580e73" hidden="1">#REF!</definedName>
    <definedName name="TBbcdb8cbb_aae7_4d93_8c4c_06b446737793" hidden="1">#REF!</definedName>
    <definedName name="TBbce46a3d_3882_4d26_bd01_0f13174f1bf6" hidden="1">#REF!</definedName>
    <definedName name="TBbcfdd878_be47_4402_af9e_d0cc54c722b6" hidden="1">#REF!</definedName>
    <definedName name="TBbd0e5554_f169_459d_ae87_b08b30f1f6d5" hidden="1">#REF!</definedName>
    <definedName name="TBbd1263b0_a34f_4e34_a546_4649144e53c5" hidden="1">#REF!</definedName>
    <definedName name="TBbd1e53dd_d02d_4c08_810f_4e364cfa94e2" hidden="1">#REF!</definedName>
    <definedName name="TBbd20db04_1ffe_4e43_aad8_e0d118d80c5f" hidden="1">#REF!</definedName>
    <definedName name="TBbd221430_0497_4101_b89f_401147535fa4" hidden="1">#REF!</definedName>
    <definedName name="TBbd228019_d302_44f2_ba04_e275683ac222" hidden="1">#REF!</definedName>
    <definedName name="TBbd2df7d0_1362_4fa4_9d6f_af626beb2e78" hidden="1">#REF!</definedName>
    <definedName name="TBbd486c9a_b506_40a8_bac7_a0bb53c51e1e" hidden="1">#REF!</definedName>
    <definedName name="TBbd55d0a9_663e_4e3f_9f60_17adfc6c2748" hidden="1">#REF!</definedName>
    <definedName name="TBbd598d07_7379_4485_9624_ba100b0abe25" hidden="1">#REF!</definedName>
    <definedName name="TBbd6aa293_b316_4c0c_9491_77c4f1cf5175" hidden="1">#REF!</definedName>
    <definedName name="TBbd867850_c282_47ef_a378_5aa94b398b10" hidden="1">#REF!</definedName>
    <definedName name="TBbd91b030_8287_4ede_9848_1e9415152cd6" hidden="1">#REF!</definedName>
    <definedName name="TBbd96b028_2dc3_4915_9afb_5e000dca0401" hidden="1">#REF!</definedName>
    <definedName name="TBbda0c29a_70da_43b6_b0f4_58cd7f6bb879" hidden="1">#REF!</definedName>
    <definedName name="TBbda8e971_e4e6_45e1_bf35_2d693708f6b0" hidden="1">#REF!</definedName>
    <definedName name="TBbdab63f3_ae96_4326_9b28_fc5a76b87077" hidden="1">#REF!</definedName>
    <definedName name="TBbdbee76b_c5b4_472f_a09c_83948392d5f5" hidden="1">#REF!</definedName>
    <definedName name="TBbdd33b50_b773_4bbf_ba10_3b3937bb19f8" hidden="1">#REF!</definedName>
    <definedName name="TBbddc8134_b509_4f04_beed_c94e40caa156" hidden="1">#REF!</definedName>
    <definedName name="TBbde47738_6c52_4b77_a41f_ab51fab4026f" hidden="1">#REF!</definedName>
    <definedName name="TBbde592fd_1a4e_42f8_ad29_067185dd6a56" hidden="1">#REF!</definedName>
    <definedName name="TBbdf166a3_1ce1_4241_be6b_70219bf5c695" hidden="1">#REF!</definedName>
    <definedName name="TBbdf2c07d_90a4_4172_bcde_36325991a3e4" hidden="1">#REF!</definedName>
    <definedName name="TBbdfec140_7630_47c7_89c7_f02a76e92cea" hidden="1">#REF!</definedName>
    <definedName name="TBbe01617f_7170_4930_8d63_7cf63148cae4" hidden="1">#REF!</definedName>
    <definedName name="TBbe051672_805e_4ec0_8e4b_507fa47e3476" hidden="1">#REF!</definedName>
    <definedName name="TBbe0bb06c_27fe_4689_8f3d_65337209451e" hidden="1">#REF!</definedName>
    <definedName name="TBbe12d7d8_4341_4c15_a934_463767fb19dc" hidden="1">#REF!</definedName>
    <definedName name="TBbe2a07b2_0f64_4bef_9d26_c003c0f22749" hidden="1">#REF!</definedName>
    <definedName name="TBbe377f17_71b0_4387_8fb3_9299037adb2d" hidden="1">#REF!</definedName>
    <definedName name="TBbe38d4e0_a0ea_4f75_ab60_e3a2d18bea49" hidden="1">#REF!</definedName>
    <definedName name="TBbe3d79bc_0c54_465b_9f27_c66cfa63469f" hidden="1">#REF!</definedName>
    <definedName name="TBbe4ca04e_cee3_428b_8051_3e6714df9634" hidden="1">#REF!</definedName>
    <definedName name="TBbe4ec01f_9018_443b_90ce_158a9bb3d776" hidden="1">#REF!</definedName>
    <definedName name="TBbe4ed2e4_2a4e_4c45_b657_5bf7fdc9981f" hidden="1">#REF!</definedName>
    <definedName name="TBbe548ac3_512e_4b9d_b763_43218afe5fad" hidden="1">#REF!</definedName>
    <definedName name="TBbe55f0bc_294a_4403_9378_73a4811fae69" hidden="1">#REF!</definedName>
    <definedName name="TBbe63d690_8dcf_4bd5_a3c6_9a83ab1fee47" hidden="1">#REF!</definedName>
    <definedName name="TBbe992f1b_f9b5_4171_924d_7301326b8a23" hidden="1">#REF!</definedName>
    <definedName name="TBbea497f6_9069_417f_809e_eaac2842d1d1" hidden="1">#REF!</definedName>
    <definedName name="TBbeb16bbf_c487_46f2_a01c_0447a3575c6c" hidden="1">#REF!</definedName>
    <definedName name="TBbeb58aa1_36de_4f27_89f5_3fb614e2d940" hidden="1">#REF!</definedName>
    <definedName name="TBbebb73ec_bfa1_44c0_9eff_3def307e1ca2" hidden="1">#REF!</definedName>
    <definedName name="TBbed8a360_d443_495e_9d93_98ff1b7940ae" hidden="1">#REF!</definedName>
    <definedName name="TBbed95d35_11f4_49d1_a0b3_724a9bebeef8" hidden="1">#REF!</definedName>
    <definedName name="TBbeda051b_579d_4b19_8b4b_6ad0bf0ef572" hidden="1">#REF!</definedName>
    <definedName name="TBbef7903b_dfdd_46c2_825d_c13f3812a238" hidden="1">#REF!</definedName>
    <definedName name="TBbefa1356_a3f0_422d_bcb2_9312ea8e4beb" hidden="1">#REF!</definedName>
    <definedName name="TBbf065dba_bbd7_49a0_8c51_3b2c6ee77aa8" hidden="1">#REF!</definedName>
    <definedName name="TBbf0ac3a9_d4bc_4c14_b6e3_25a94ef85046" hidden="1">#REF!</definedName>
    <definedName name="TBbf12d4e2_96cf_486e_ae06_d09ff0515e5c" hidden="1">#REF!</definedName>
    <definedName name="TBbf440c3d_e6b7_44cb_943b_2d3eb30b6d44" hidden="1">#REF!</definedName>
    <definedName name="TBbf5893f7_d2fd_4b93_b6fd_8a190c3cf4df" hidden="1">#REF!</definedName>
    <definedName name="TBbf71351f_d4d3_4868_a540_eaa6959fe9aa" hidden="1">#REF!</definedName>
    <definedName name="TBbf82925a_eb0e_4ebe_b8ef_244e24b824e7" hidden="1">#REF!</definedName>
    <definedName name="TBbf84b116_580d_43fd_8b33_f2f53453de25" hidden="1">#REF!</definedName>
    <definedName name="TBbf887f7a_f304_4321_b98a_ecc42957de6b" hidden="1">#REF!</definedName>
    <definedName name="TBbf8aef1e_4993_4de5_9334_77211873fc30" hidden="1">#REF!</definedName>
    <definedName name="TBbf908f53_8301_4330_a517_20e089319169" hidden="1">#REF!</definedName>
    <definedName name="TBbfa9ee58_d824_4a9a_b3d1_4cabfad1f56d" hidden="1">#REF!</definedName>
    <definedName name="TBbfb16aa0_037c_4dac_be42_6a2eec908366" hidden="1">#REF!</definedName>
    <definedName name="TBbfc5e748_d932_44dd_b6e1_30c85447f691" hidden="1">#REF!</definedName>
    <definedName name="TBbfc5f379_107f_4ca0_b02f_cc4dfd9c4cca" hidden="1">#REF!</definedName>
    <definedName name="TBbfcbc3fb_ee68_4354_a9b8_12894abc3c82" hidden="1">#REF!</definedName>
    <definedName name="TBbfd36983_0ed5_4a0b_b72d_33c37ca592ec" hidden="1">#REF!</definedName>
    <definedName name="TBbfd58df4_98b5_41df_bcd7_feaed4b32cb5" hidden="1">#REF!</definedName>
    <definedName name="TBbfe4c40a_cbdb_4357_861b_fc81251af371" hidden="1">#REF!</definedName>
    <definedName name="TBbfe5759c_6d88_47d2_8113_c2c46cb6dc8a" hidden="1">#REF!</definedName>
    <definedName name="TBbfee5e17_452c_4cf0_9fcd_9c4e891bce57" hidden="1">#REF!</definedName>
    <definedName name="TBbffe2cd9_97e5_4538_b2ea_1a7c36a4b4f8" hidden="1">#REF!</definedName>
    <definedName name="TBc00c12c4_944e_44dd_8d3a_333982bdcf69" hidden="1">#REF!</definedName>
    <definedName name="TBc01096d2_7806_4122_897d_071a0d4cf599" hidden="1">#REF!</definedName>
    <definedName name="TBc019afed_db95_4d50_918c_ca86d04c3c7a" hidden="1">#REF!</definedName>
    <definedName name="TBc01f5941_a8a2_479a_ae0d_28d8dddb6a4e" hidden="1">#REF!</definedName>
    <definedName name="TBc02095b9_8b6b_4b93_9325_08fda4f3ef18" hidden="1">#REF!</definedName>
    <definedName name="TBc036f622_7ff5_4593_bbc6_a5b784eeed21" hidden="1">#REF!</definedName>
    <definedName name="TBc0376213_b66a_4739_ad4b_356b3128fc6f" hidden="1">#REF!</definedName>
    <definedName name="TBc03995e5_bb0d_4ba8_b69e_880e1968bfb5" hidden="1">#REF!</definedName>
    <definedName name="TBc03a0066_0c6d_4fe2_98c7_2f43eac4ec6d" hidden="1">#REF!</definedName>
    <definedName name="TBc03b6b3d_06ce_4599_9e82_3cc622ee93fa" hidden="1">#REF!</definedName>
    <definedName name="TBc03f557f_1554_4ef1_8acf_636ce01acf9e" hidden="1">#REF!</definedName>
    <definedName name="TBc050990a_ce28_4dca_94d9_ced21bf934ca" hidden="1">#REF!</definedName>
    <definedName name="TBc058091c_ee1b_475c_b664_993714b7209a" hidden="1">#REF!</definedName>
    <definedName name="TBc05d3eb6_a16f_411c_8cb8_f5305b55d14f" hidden="1">#REF!</definedName>
    <definedName name="TBc05eae5c_1806_4c57_906b_b81d8d385325" hidden="1">#REF!</definedName>
    <definedName name="TBc063a8b9_4228_42e6_8faf_f780e3fa6b5c" hidden="1">#REF!</definedName>
    <definedName name="TBc06aa716_9910_47be_b933_cd8cd99132bd" hidden="1">#REF!</definedName>
    <definedName name="TBc0826d76_e534_43d3_b4f5_d82c5dd3e530" hidden="1">#REF!</definedName>
    <definedName name="TBc0a7daa9_a75d_4b2e_9d9c_2c6a41fc4051" hidden="1">#REF!</definedName>
    <definedName name="TBc0baf4ab_7410_435a_80c7_c2a64d0ec6f3" hidden="1">#REF!</definedName>
    <definedName name="TBc0c235cb_62d7_424f_a85a_ccdbf4fed914" hidden="1">#REF!</definedName>
    <definedName name="TBc0d73ad6_3bde_492c_903d_b060ec126dd7" hidden="1">#REF!</definedName>
    <definedName name="TBc0dcc702_984f_48ba_add0_7639d02bf8d6" hidden="1">#REF!</definedName>
    <definedName name="TBc0f26370_0d39_4108_b2c5_78820c7d81b0" hidden="1">#REF!</definedName>
    <definedName name="TBc0f314db_f2a6_4553_bdd0_46332f890fbf" hidden="1">#REF!</definedName>
    <definedName name="TBc11bbb5c_3927_45f5_ae38_92c3ef152ff5" hidden="1">#REF!</definedName>
    <definedName name="TBc124da3b_04dc_41e3_b984_c1cca0030b71" hidden="1">#REF!</definedName>
    <definedName name="TBc125cb9d_2376_4a69_bbdb_b7ede3f0e3ab" hidden="1">#REF!</definedName>
    <definedName name="TBc1276ec0_1a3c_4fa7_9975_e3a409060837" hidden="1">#REF!</definedName>
    <definedName name="TBc12d6bdf_f747_4a0b_b888_e5356833c78e" hidden="1">#REF!</definedName>
    <definedName name="TBc13daa03_5ef6_41c6_9bde_03e482669f5a" hidden="1">#REF!</definedName>
    <definedName name="TBc13dd2e1_8ba5_4b41_8013_8e2d763c11e6" hidden="1">#REF!</definedName>
    <definedName name="TBc145c510_7a96_4492_8bdb_b24cb4e7bace" hidden="1">#REF!</definedName>
    <definedName name="TBc14803f2_cf64_430c_adb3_4301b9c017ff" hidden="1">#REF!</definedName>
    <definedName name="TBc14a2c82_cf36_44f7_a541_e86a4c8c1d91" hidden="1">#REF!</definedName>
    <definedName name="TBc151909d_91d3_4de1_9cd7_c2127d9c921d" hidden="1">#REF!</definedName>
    <definedName name="TBc15a4bda_a92c_46c1_b7d0_26af793d7e43" hidden="1">#REF!</definedName>
    <definedName name="TBc163ed90_384f_4758_bed9_a492ab6dcdab" hidden="1">#REF!</definedName>
    <definedName name="TBc16f12c0_8623_40a3_8158_c972391dabb2" hidden="1">#REF!</definedName>
    <definedName name="TBc177b856_79be_4fba_a0a7_ad3fb4f379bd" hidden="1">#REF!</definedName>
    <definedName name="TBc17a0203_bc20_46c8_9fde_e3adb9067040" hidden="1">#REF!</definedName>
    <definedName name="TBc17c2174_37c3_419c_9503_0f6a1ae2e4de" hidden="1">#REF!</definedName>
    <definedName name="TBc1887fd8_3259_498f_82ca_50f94bd74973" hidden="1">#REF!</definedName>
    <definedName name="TBc18a8e93_212d_46cf_9cb6_96861929b2b6" hidden="1">#REF!</definedName>
    <definedName name="TBc196adf6_8e45_4322_9e8f_1ea52344491e" hidden="1">#REF!</definedName>
    <definedName name="TBc197fb74_0993_4494_9c7f_a65b01c742ca" hidden="1">#REF!</definedName>
    <definedName name="TBc1a52d1b_62d4_4fd8_8a95_f25233729649" hidden="1">#REF!</definedName>
    <definedName name="TBc1a7f816_273d_4975_9329_e3337051f18f" hidden="1">#REF!</definedName>
    <definedName name="TBc1bd1bed_39cc_49d9_8fcb_3c44c491e7dc" hidden="1">#REF!</definedName>
    <definedName name="TBc1c14a84_de42_4442_969d_8f2fdc1516eb" hidden="1">#REF!</definedName>
    <definedName name="TBc1c58e26_8bdf_447f_b7c1_c1316e7b9bd9" hidden="1">#REF!</definedName>
    <definedName name="TBc1cf8739_17ca_4f22_b991_d57ef53704ed" hidden="1">#REF!</definedName>
    <definedName name="TBc1d372ae_3bf6_49ab_b933_34991071504d" hidden="1">#REF!</definedName>
    <definedName name="TBc1d3c402_322f_4d47_b36e_f314188cca11" hidden="1">#REF!</definedName>
    <definedName name="TBc1d44482_dda0_40d1_a587_d20348b25b14" hidden="1">#REF!</definedName>
    <definedName name="TBc1d52ea5_a198_4e16_9b4d_6f549d836e9d" hidden="1">#REF!</definedName>
    <definedName name="TBc1dc6909_2792_4146_9398_826ca43ad458" hidden="1">#REF!</definedName>
    <definedName name="TBc1dce3ab_ee54_4124_b597_6d2f12a168fc" hidden="1">#REF!</definedName>
    <definedName name="TBc1e84e52_67e1_49d5_a506_361095577777" hidden="1">#REF!</definedName>
    <definedName name="TBc1ece5d5_035b_4f5e_916d_e03febf8fff5" hidden="1">#REF!</definedName>
    <definedName name="TBc1f1d1d6_fe4c_4a15_952e_c531419e96f9" hidden="1">#REF!</definedName>
    <definedName name="TBc2137994_73ea_4baa_8b39_d0c87225161f" hidden="1">#REF!</definedName>
    <definedName name="TBc21e932c_c3a2_4456_b1e5_5602d4660c60" hidden="1">#REF!</definedName>
    <definedName name="TBc21ef9aa_3905_414d_9374_7168a633ba8d" hidden="1">#REF!</definedName>
    <definedName name="TBc220b341_08ba_415c_8770_3cb27ea353e9" hidden="1">#REF!</definedName>
    <definedName name="TBc224a466_681b_4747_a029_593e4e1b1af0" hidden="1">#REF!</definedName>
    <definedName name="TBc22766c6_bc43_4b29_800b_987e8eeee1e8" hidden="1">#REF!</definedName>
    <definedName name="TBc234b036_2d6e_4129_883d_6cf596d5c25b" hidden="1">#REF!</definedName>
    <definedName name="TBc2387c31_6b2e_41b1_a581_bfba87674ddf" hidden="1">#REF!</definedName>
    <definedName name="TBc24271dd_8698_47c3_ae52_cbd0e01c298b" hidden="1">#REF!</definedName>
    <definedName name="TBc2460786_a474_487a_be26_490e396665e0" hidden="1">#REF!</definedName>
    <definedName name="TBc2466c6f_1b29_44e4_bc7f_0f64984d4da7" hidden="1">#REF!</definedName>
    <definedName name="TBc2503934_7a00_48cd_b95a_fa10a8f31291" hidden="1">#REF!</definedName>
    <definedName name="TBc25657c2_65f9_46f3_895a_a653bac51f90" hidden="1">#REF!</definedName>
    <definedName name="TBc26091a4_118e_4ce0_851c_fa62d1bdb5c7" hidden="1">#REF!</definedName>
    <definedName name="TBc2739543_a520_4310_9c22_4624ebe542c7" hidden="1">#REF!</definedName>
    <definedName name="TBc27515a0_9a91_4c1b_905f_bbbac549c7fd" hidden="1">#REF!</definedName>
    <definedName name="TBc27e08eb_f062_4194_bfa7_d0fcc60dee49" hidden="1">#REF!</definedName>
    <definedName name="TBc27e59d3_9b99_433c_b345_4aee8d5bca0e" hidden="1">#REF!</definedName>
    <definedName name="TBc2821247_fa32_4738_82ad_f48c0ba3a46a" hidden="1">#REF!</definedName>
    <definedName name="TBc28b639f_ec93_43fe_876b_2e814cbf9472" hidden="1">#REF!</definedName>
    <definedName name="TBc29f0af2_b046_4c6f_be8a_b8210cf3f102" hidden="1">#REF!</definedName>
    <definedName name="TBc2aabc94_5d12_4223_8cb1_80b28607a970" hidden="1">#REF!</definedName>
    <definedName name="TBc2ad9e44_1dc8_4ca1_b97e_1fc489cff731" hidden="1">#REF!</definedName>
    <definedName name="TBc2af6d28_80f7_4df0_be55_ee719c2b6d24" hidden="1">#REF!</definedName>
    <definedName name="TBc2bba28a_fed7_43df_9fa6_ed8559b36535" hidden="1">#REF!</definedName>
    <definedName name="TBc2cf1538_ba18_4cce_a4bc_0d572294f1a0" hidden="1">#REF!</definedName>
    <definedName name="TBc2d08558_3b4c_4334_810b_eb46a9c6747e" hidden="1">#REF!</definedName>
    <definedName name="TBc2d8a973_d45a_4f26_8f22_82a8aca738cf" hidden="1">#REF!</definedName>
    <definedName name="TBc2eadd54_c536_435c_89c8_6c91096d7a0c" hidden="1">#REF!</definedName>
    <definedName name="TBc2ec32c4_94bf_426b_bb5e_8ab70e16112c" hidden="1">#REF!</definedName>
    <definedName name="TBc2ef82b5_8b28_4088_9293_69fdcb219d76" hidden="1">#REF!</definedName>
    <definedName name="TBc2f8fdbc_3cda_484e_af46_cd019a33e6ed" hidden="1">#REF!</definedName>
    <definedName name="TBc308c6d8_c642_456c_8689_ab28add63373" hidden="1">#REF!</definedName>
    <definedName name="TBc317d58c_aef2_493e_b0ec_83fbe3a3ee91" hidden="1">#REF!</definedName>
    <definedName name="TBc319e708_81ca_49d0_8ca8_460b05b38d84" hidden="1">#REF!</definedName>
    <definedName name="TBc32c59d9_525e_46df_a6b6_07be2af1ad12" hidden="1">#REF!</definedName>
    <definedName name="TBc32e8918_c7b5_4839_a76c_f00c5cc66069" hidden="1">#REF!</definedName>
    <definedName name="TBc3315826_7363_4a7a_ab5e_917bd55be425" hidden="1">#REF!</definedName>
    <definedName name="TBc3364f6a_cfc8_4b5f_a6a6_dd00f4836761" hidden="1">#REF!</definedName>
    <definedName name="TBc33a918f_8a20_44fe_9390_cdc454740f2d" hidden="1">#REF!</definedName>
    <definedName name="TBc33f9219_08eb_4d73_b9f5_88d18be9c857" hidden="1">#REF!</definedName>
    <definedName name="TBc3463778_41bb_44f0_b635_786d389c1917" hidden="1">#REF!</definedName>
    <definedName name="TBc34eef07_f417_4f34_a9a5_7c2e7d4ee121" hidden="1">#REF!</definedName>
    <definedName name="TBc3513e3b_1df3_40ab_903b_e74737dc9aca" hidden="1">#REF!</definedName>
    <definedName name="TBc355f112_122a_4edf_a1a1_0950b8286681" hidden="1">#REF!</definedName>
    <definedName name="TBc35b157c_1486_4378_8fc5_31cdf347185a" hidden="1">#REF!</definedName>
    <definedName name="TBc364a598_f73e_4b2a_b80b_1fcfb33b2cb2" hidden="1">#REF!</definedName>
    <definedName name="TBc3669152_5ae4_4ba5_8279_5c9c8f7e5ce0" hidden="1">#REF!</definedName>
    <definedName name="TBc3698b83_d223_4f68_9d93_70d1833e7021" hidden="1">#REF!</definedName>
    <definedName name="TBc36a650b_7e89_4736_b956_978a457ffbd6" hidden="1">#REF!</definedName>
    <definedName name="TBc3760a20_f504_4d5d_942b_719da9ed528d" hidden="1">#REF!</definedName>
    <definedName name="TBc383cf23_1352_4b16_b55a_a57b6f5c9ea7" hidden="1">#REF!</definedName>
    <definedName name="TBc3853903_18b0_4bd0_99eb_fc45272788a7" hidden="1">#REF!</definedName>
    <definedName name="TBc39d5f0c_c206_448c_8d01_4e413cadbd5a" hidden="1">#REF!</definedName>
    <definedName name="TBc39e541e_4d14_409b_a764_cb80f8b2e2d7" hidden="1">#REF!</definedName>
    <definedName name="TBc39eaa9f_130b_4803_b15a_c81c942c7f3c" hidden="1">#REF!</definedName>
    <definedName name="TBc3a0de00_d8a6_4aef_934f_47d7a771d78c" hidden="1">#REF!</definedName>
    <definedName name="TBc3a1a33e_338d_409e_b0a9_7208ec46c738" hidden="1">#REF!</definedName>
    <definedName name="TBc3b16350_d4b9_440e_98ac_ee7f409462a6" hidden="1">#REF!</definedName>
    <definedName name="TBc3c15bb1_adc6_48e3_89ec_2b22f1babfe6" hidden="1">#REF!</definedName>
    <definedName name="TBc3c3c47b_1fa4_4d08_8e97_deb7982256f8" hidden="1">#REF!</definedName>
    <definedName name="TBc3d249c7_b16d_4960_93d1_8c20ee67e133" hidden="1">#REF!</definedName>
    <definedName name="TBc3d4b852_35fe_4886_8594_6da317e4e994" hidden="1">#REF!</definedName>
    <definedName name="TBc3e71e98_efdd_40b5_a9f3_5964d41bb21b" hidden="1">#REF!</definedName>
    <definedName name="TBc3ec2c75_4033_4c7a_89a0_8decf715effb" hidden="1">#REF!</definedName>
    <definedName name="TBc3eff843_6950_4f15_a26d_807c259bacdc" hidden="1">#REF!</definedName>
    <definedName name="TBc3f2d16c_5e05_459c_823e_a6e59666066a" hidden="1">#REF!</definedName>
    <definedName name="TBc3f70384_e2cc_4887_88bd_fdffaa541b68" hidden="1">#REF!</definedName>
    <definedName name="TBc3ff6ba7_8175_4274_b8a7_3d9bf2dc1ced" hidden="1">#REF!</definedName>
    <definedName name="TBc401e9f1_9b22_4f1a_9556_5ac9406066b5" hidden="1">#REF!</definedName>
    <definedName name="TBc41abc1b_cbad_4694_ba3e_754a9b144a52" hidden="1">#REF!</definedName>
    <definedName name="TBc426a3a4_2307_4dfd_9d44_f8e732b82321" hidden="1">#REF!</definedName>
    <definedName name="TBc4517ec7_18b5_407a_9e54_9ea2499862c8" hidden="1">#REF!</definedName>
    <definedName name="TBc458dee9_84df_421d_abb4_50fa848ed99e" hidden="1">#REF!</definedName>
    <definedName name="TBc46079cb_7b93_4576_9f4d_ff7f9e3a54a2" hidden="1">#REF!</definedName>
    <definedName name="TBc4644d9f_7bb5_4a78_bf53_6189de21bd66" hidden="1">#REF!</definedName>
    <definedName name="TBc46b2b33_ed93_416f_93cd_5f81dadd5e44" hidden="1">#REF!</definedName>
    <definedName name="TBc46c4cd7_c5a7_4eaf_b853_eb35032f6db1" hidden="1">#REF!</definedName>
    <definedName name="TBc472b70c_e7b7_4bd4_bda7_ac2d08913e1e" hidden="1">#REF!</definedName>
    <definedName name="TBc4744d22_42fc_474b_9da9_b4c2cf13656c" hidden="1">#REF!</definedName>
    <definedName name="TBc47da81c_7a4b_4055_9fa4_c2176aa18c4c" hidden="1">#REF!</definedName>
    <definedName name="TBc48b6fd7_cb37_43da_8edc_0cf28e85fb5d" hidden="1">#REF!</definedName>
    <definedName name="TBc48ba6b8_c40e_41ad_bdc9_5a3e1a3a5997" hidden="1">#REF!</definedName>
    <definedName name="TBc48ec845_76fd_4b97_9cf3_f53a63575a7f" hidden="1">#REF!</definedName>
    <definedName name="TBc492bcc1_03e9_4e29_815c_5fcb89cb1059" hidden="1">#REF!</definedName>
    <definedName name="TBc49a3063_b3e0_48e0_9817_5fd9d19879cc" hidden="1">#REF!</definedName>
    <definedName name="TBc4a0719f_bc9f_4999_ab69_ff1dc159db38" hidden="1">#REF!</definedName>
    <definedName name="TBc4ac41a3_7f98_423f_a3af_fc1401284195" hidden="1">#REF!</definedName>
    <definedName name="TBc4af24ae_c5e8_4b2a_a245_e0b5fb6fa7bd" hidden="1">#REF!</definedName>
    <definedName name="TBc4b06e44_d611_4f13_a3dd_5409d7ad3145" hidden="1">#REF!</definedName>
    <definedName name="TBc4b47f0b_b9d8_4284_a854_8657adc609c6" hidden="1">#REF!</definedName>
    <definedName name="TBc4ca3485_02ff_4f5f_824e_272baa556083" hidden="1">#REF!</definedName>
    <definedName name="TBc4cc45da_d443_46cf_867c_fb67f7bdfdfc" hidden="1">#REF!</definedName>
    <definedName name="TBc4cce3f8_ec9d_47ae_88e7_d6cb2c487ea3" hidden="1">#REF!</definedName>
    <definedName name="TBc4cea72f_d32c_4d81_90a1_8dc9e83056ef" hidden="1">#REF!</definedName>
    <definedName name="TBc4e582cc_54ee_4983_b423_783da97c741c" hidden="1">#REF!</definedName>
    <definedName name="TBc4e5a812_da20_445e_b22f_de5dee24989f" hidden="1">#REF!</definedName>
    <definedName name="TBc4ed3596_a50b_4097_a9f6_0d2dc4180093" hidden="1">#REF!</definedName>
    <definedName name="TBc5114257_f299_4696_9032_6751b29c98ae" hidden="1">#REF!</definedName>
    <definedName name="TBc51f824d_a6c9_4f42_9ff1_ecf5af008db0" hidden="1">#REF!</definedName>
    <definedName name="TBc520505d_af10_48c1_872e_408f344f350e" hidden="1">#REF!</definedName>
    <definedName name="TBc52683e8_ffd8_4ccc_916e_bfc0ae3ca224" hidden="1">#REF!</definedName>
    <definedName name="TBc53bbc0d_9c40_4c8b_ba35_06eb3e79a63a" hidden="1">#REF!</definedName>
    <definedName name="TBc53c14ea_9911_4a36_abc0_46c74adc6e2d" hidden="1">#REF!</definedName>
    <definedName name="TBc53d4615_06af_48d7_9e9a_10780dd1cfa3" hidden="1">#REF!</definedName>
    <definedName name="TBc54ec408_e498_4f19_9b22_82cf447fe089" hidden="1">#REF!</definedName>
    <definedName name="TBc554f50c_c68a_405e_b906_1c02aa6fb4df" hidden="1">#REF!</definedName>
    <definedName name="TBc55870ba_5164_4f43_8ff6_aedcb7f517b1" hidden="1">#REF!</definedName>
    <definedName name="TBc55bddd9_56a7_471b_bac3_c0c7532e5f09" hidden="1">#REF!</definedName>
    <definedName name="TBc56d5adf_47f6_4849_aa4b_c788026b149e" hidden="1">#REF!</definedName>
    <definedName name="TBc56e5ec3_2177_4e7f_8e30_b5cfe8e9e46e" hidden="1">#REF!</definedName>
    <definedName name="TBc5866253_f802_46a4_87d7_f1a7d3100c29" hidden="1">#REF!</definedName>
    <definedName name="TBc591477f_61f5_49b3_8b96_b4c11c0ed76c" hidden="1">#REF!</definedName>
    <definedName name="TBc5a2838a_19bf_400c_8b3a_e88ce6684c52" hidden="1">#REF!</definedName>
    <definedName name="TBc5b117ef_044c_473b_9874_b13c0994a408" hidden="1">#REF!</definedName>
    <definedName name="TBc5c49265_1fc2_4e1a_b733_9bc7e29ea630" hidden="1">#REF!</definedName>
    <definedName name="TBc5c90f7b_5824_46b6_b22e_99d6428266b0" hidden="1">#REF!</definedName>
    <definedName name="TBc5d0ba65_ce37_4a76_9cca_48324ffeefec" hidden="1">#REF!</definedName>
    <definedName name="TBc5d10436_fcfc_4055_aea9_1eda71c0271f" hidden="1">#REF!</definedName>
    <definedName name="TBc5d58e20_a97c_4a29_8448_6957a804866e" hidden="1">#REF!</definedName>
    <definedName name="TBc5d777f6_f20b_4d55_a173_fc4afc50dcf0" hidden="1">#REF!</definedName>
    <definedName name="TBc5dbd0ed_3f50_4efd_979a_deab0262fdd2" hidden="1">#REF!</definedName>
    <definedName name="TBc5e3f899_718a_4b0b_928c_1ceddfb7bb85" hidden="1">#REF!</definedName>
    <definedName name="TBc5e650e4_7e7b_4284_9b47_37f54c01845e" hidden="1">#REF!</definedName>
    <definedName name="TBc5e878fe_7918_4a6a_b623_e1a9f969a5e7" hidden="1">#REF!</definedName>
    <definedName name="TBc5e88f47_4388_4fb0_913c_db748d4eaf60" hidden="1">#REF!</definedName>
    <definedName name="TBc5f0d880_167f_438e_9a54_7ce9d7b59522" hidden="1">#REF!</definedName>
    <definedName name="TBc5f70c7b_53ce_4a1b_8b90_8ed3f18dfc5c" hidden="1">#REF!</definedName>
    <definedName name="TBc5f8e6d4_797c_4bdd_b3da_cff13d449ddb" hidden="1">#REF!</definedName>
    <definedName name="TBc5fbb35e_bdaf_48e0_8e1a_4b54d13d02e0" hidden="1">#REF!</definedName>
    <definedName name="TBc5fbb8a9_bb1a_4b36_9986_8369987b930e" hidden="1">#REF!</definedName>
    <definedName name="TBc60440cf_10ca_44db_8add_803a5940a981" hidden="1">#REF!</definedName>
    <definedName name="TBc6111913_a336_484d_8189_14b7787a53ef" hidden="1">#REF!</definedName>
    <definedName name="TBc6200389_e70e_4159_9fed_76d387ad547d" hidden="1">#REF!</definedName>
    <definedName name="TBc62148fe_f361_41c0_8431_dee1de92ca95" hidden="1">#REF!</definedName>
    <definedName name="TBc6237ee5_f877_4c0b_b3b5_b691d2ee6528" hidden="1">#REF!</definedName>
    <definedName name="TBc624e43a_df02_4ff2_89bb_2b957e18a0c7" hidden="1">#REF!</definedName>
    <definedName name="TBc626f3ff_c99b_4cca_be64_80c4284aa4a2" hidden="1">#REF!</definedName>
    <definedName name="TBc63086e5_14aa_49eb_b5a8_8315d01160c8" hidden="1">#REF!</definedName>
    <definedName name="TBc64b911c_106f_4993_a352_edebe0e11301" hidden="1">#REF!</definedName>
    <definedName name="TBc651ac39_ddc1_4094_81ee_e780db66d814" hidden="1">#REF!</definedName>
    <definedName name="TBc65a86e6_fe53_4906_a3a8_b62a0a4f691a" hidden="1">#REF!</definedName>
    <definedName name="TBc6612d9e_4e08_47fa_abf1_b50d2ce4867f" hidden="1">#REF!</definedName>
    <definedName name="TBc66dd0fc_bc18_4738_b1c9_78f03b5723f3" hidden="1">#REF!</definedName>
    <definedName name="TBc6842845_c7fc_47ef_a584_1378ccc40549" hidden="1">#REF!</definedName>
    <definedName name="TBc6c3a1aa_1709_4b58_8374_d34c8ae2a2c7" hidden="1">#REF!</definedName>
    <definedName name="TBc6cc9c5f_733e_418a_ab0c_b94b41f4052e" hidden="1">#REF!</definedName>
    <definedName name="TBc6da326b_4deb_4830_a1c5_fbed1f65ceee" hidden="1">#REF!</definedName>
    <definedName name="TBc6ddc9d0_54b3_4551_91bf_72739745fd24" hidden="1">#REF!</definedName>
    <definedName name="TBc6ed444a_493f_4c9f_b5b4_9ec5aadfe3cf" hidden="1">#REF!</definedName>
    <definedName name="TBc6f17865_aaab_4246_aaf6_9e94a523affc" hidden="1">#REF!</definedName>
    <definedName name="TBc6fa16d5_b7d7_4f7f_92fe_9cef487e6d56" hidden="1">#REF!</definedName>
    <definedName name="TBc70184a6_1a66_4c7d_91b1_d40f75aaeac8" hidden="1">#REF!</definedName>
    <definedName name="TBc709020a_8b30_4367_8e01_1c06e439cc7f" hidden="1">#REF!</definedName>
    <definedName name="TBc710f4f6_0472_49a4_b7d2_fae38f54abc8" hidden="1">#REF!</definedName>
    <definedName name="TBc71150b0_be40_4c69_bab9_906497dfabd1" hidden="1">#REF!</definedName>
    <definedName name="TBc71e2546_0677_4913_ac8b_dddf09461ade" hidden="1">#REF!</definedName>
    <definedName name="TBc725edbc_2d14_4d8e_9767_b30bc74e1958" hidden="1">#REF!</definedName>
    <definedName name="TBc7261b49_9322_4399_9a7e_94e3ef5bcdae" hidden="1">#REF!</definedName>
    <definedName name="TBc72fcd7d_876a_4cc9_8143_9d5a13a1f146" hidden="1">#REF!</definedName>
    <definedName name="TBc73095cd_af37_4817_837f_4b633bbb6c0f" hidden="1">#REF!</definedName>
    <definedName name="TBc73fe920_50cd_45c0_b17a_18f147826b3c" hidden="1">#REF!</definedName>
    <definedName name="TBc7481f3a_7a39_41bf_ad41_5083fb415246" hidden="1">#REF!</definedName>
    <definedName name="TBc74b2a7a_0d1c_4998_9f26_3299f7d06bdb" hidden="1">#REF!</definedName>
    <definedName name="TBc74e27f1_0070_46eb_96ff_a76b01f1e407" hidden="1">#REF!</definedName>
    <definedName name="TBc75c1009_c3de_4451_a36f_dabe94576071" hidden="1">#REF!</definedName>
    <definedName name="TBc77424e7_9197_4c2f_b55a_9a93f2437e39" hidden="1">#REF!</definedName>
    <definedName name="TBc77e8a29_2673_4cf5_9388_3e5fd235e391" hidden="1">#REF!</definedName>
    <definedName name="TBc77ee3ed_192f_4fa0_8b3c_77ac01182cdf" hidden="1">#REF!</definedName>
    <definedName name="TBc7a3345f_9a75_40e6_8977_2bb8434bbae9" hidden="1">#REF!</definedName>
    <definedName name="TBc7a68024_baca_4d63_ab30_31d3d779a67a" hidden="1">#REF!</definedName>
    <definedName name="TBc7ad4789_9cd3_4fae_aefc_d62f73a5342d" hidden="1">#REF!</definedName>
    <definedName name="TBc7b29f3e_47b3_4580_bb95_d769a4b4fdc5" hidden="1">#REF!</definedName>
    <definedName name="TBc7b74749_3057_417a_a743_02e8a4f92c34" hidden="1">#REF!</definedName>
    <definedName name="TBc7b9e0f0_9dd2_4345_a253_c44e961239ce" hidden="1">#REF!</definedName>
    <definedName name="TBc7bd24f7_a8fd_4713_9613_1b1f186c2153" hidden="1">#REF!</definedName>
    <definedName name="TBc7bea99c_0d01_48e0_801b_e20e65f5c1d2" hidden="1">#REF!</definedName>
    <definedName name="TBc7bf719e_7688_4edb_854e_fe9a6e611c1f" hidden="1">#REF!</definedName>
    <definedName name="TBc7c5b8d6_1911_4366_be47_2b545d80cfd1" hidden="1">#REF!</definedName>
    <definedName name="TBc7c98c91_b811_42d9_b818_cf5ebc2e9cc9" hidden="1">#REF!</definedName>
    <definedName name="TBc7cf6f2f_3a63_4b46_9465_c70f379c0d65" hidden="1">#REF!</definedName>
    <definedName name="TBc7e6edbd_ed8c_414f_8d47_a7dbdfcdd572" hidden="1">#REF!</definedName>
    <definedName name="TBc7e9e352_06df_4242_aa47_c91d66442c3a" hidden="1">#REF!</definedName>
    <definedName name="TBc7f5a974_5049_4f43_bdef_41c81375dbf2" hidden="1">#REF!</definedName>
    <definedName name="TBc8157b75_995d_4436_b72d_22e6c2f3a3cb" hidden="1">#REF!</definedName>
    <definedName name="TBc8168e81_8f53_4683_a875_bb7687870ca5" hidden="1">#REF!</definedName>
    <definedName name="TBc81a33a8_f0ab_4366_a701_9d13426331c4" hidden="1">#REF!</definedName>
    <definedName name="TBc8333064_9db3_4d4f_997c_0a37779db73c" hidden="1">#REF!</definedName>
    <definedName name="TBc833a409_080a_4a63_ae05_c00a5f12da38" hidden="1">#REF!</definedName>
    <definedName name="TBc83a882f_0c10_487c_aa78_c7d4aa03b2e5" hidden="1">#REF!</definedName>
    <definedName name="TBc8447ca5_fa77_4d02_9983_d2f32a551ce2" hidden="1">#REF!</definedName>
    <definedName name="TBc8527fda_5ed7_4911_b15c_f181dcde6630" hidden="1">#REF!</definedName>
    <definedName name="TBc860dcb9_24eb_4a57_8f15_fcde3e1ec769" hidden="1">#REF!</definedName>
    <definedName name="TBc867e4ed_8f95_478a_8b8f_fa4aa9beaf05" hidden="1">#REF!</definedName>
    <definedName name="TBc868c8a3_2115_482e_8e08_5be0e1ebc832" hidden="1">#REF!</definedName>
    <definedName name="TBc875498a_14e8_4047_9392_af85c627d127" hidden="1">#REF!</definedName>
    <definedName name="TBc8b23844_4530_41e8_92c5_6953f007a80d" hidden="1">#REF!</definedName>
    <definedName name="TBc8d251e8_b8cd_4f70_96d2_5307bc5ee2bf" hidden="1">#REF!</definedName>
    <definedName name="TBc8dd9258_c27c_4585_801d_bc2ab3a96d92" hidden="1">#REF!</definedName>
    <definedName name="TBc8fcfe52_de92_45ac_94ce_6798b95544ed" hidden="1">#REF!</definedName>
    <definedName name="TBc9002e3b_a1ae_466e_b58f_cb086e43da9c" hidden="1">#REF!</definedName>
    <definedName name="TBc9164934_5095_496b_b972_10f9180c2bb0" hidden="1">#REF!</definedName>
    <definedName name="TBc9216295_d0cf_476b_bb7b_ddc13764956b" hidden="1">#REF!</definedName>
    <definedName name="TBc92a992d_870d_48aa_a1f3_6ead16c12683" hidden="1">#REF!</definedName>
    <definedName name="TBc930618c_a7f9_416f_8088_28d831447f6f" hidden="1">#REF!</definedName>
    <definedName name="TBc9337aa3_cb72_45de_a09b_30ec5b4a12fd" hidden="1">#REF!</definedName>
    <definedName name="TBc9347409_b4fb_485a_a3fb_a60fd1f7512a" hidden="1">#REF!</definedName>
    <definedName name="TBc944a951_8f56_4a76_8140_b8c352be34ac" hidden="1">#REF!</definedName>
    <definedName name="TBc952d5ae_3f45_40eb_8e45_0863df8f0ed1" hidden="1">#REF!</definedName>
    <definedName name="TBc9595a6b_905f_4d51_8f4e_d6082bb8e2ee" hidden="1">#REF!</definedName>
    <definedName name="TBc972e3ef_44a5_4931_a37f_df0164784b52" hidden="1">#REF!</definedName>
    <definedName name="TBc980355c_d750_45c8_bdec_248329709506" hidden="1">#REF!</definedName>
    <definedName name="TBc9904705_ba23_4ac7_a3f0_46a803b946b7" hidden="1">#REF!</definedName>
    <definedName name="TBc99bc4d9_eb25_4bb3_aad9_a800cd51fcd3" hidden="1">#REF!</definedName>
    <definedName name="TBc99e6392_097e_4eda_b614_de5d786cff0a" hidden="1">#REF!</definedName>
    <definedName name="TBc9a32696_b879_4bcd_b0c3_d2847a92d10e" hidden="1">#REF!</definedName>
    <definedName name="TBc9a56a30_4b5c_4c61_9c46_488fbe65399c" hidden="1">#REF!</definedName>
    <definedName name="TBc9c1d662_6eb3_4e86_b1ef_bb408f2e329d" hidden="1">#REF!</definedName>
    <definedName name="TBc9ca3948_8178_4520_ae2c_aa598af45ea6" hidden="1">#REF!</definedName>
    <definedName name="TBc9f2741f_e8b8_416c_bad9_2a1e27593d78" hidden="1">#REF!</definedName>
    <definedName name="TBc9f798b2_ef30_4943_97d3_98b04df31206" hidden="1">#REF!</definedName>
    <definedName name="TBc9f9dc28_9819_49fd_b64d_e7957211131e" hidden="1">#REF!</definedName>
    <definedName name="TBca0fd47e_930c_485c_a461_af905e7b99c1" hidden="1">#REF!</definedName>
    <definedName name="TBca1a7020_85b3_4476_b621_b65ea87b7808" hidden="1">#REF!</definedName>
    <definedName name="TBca28ed6a_6608_4e6e_8ca4_9e27bc7363ee" hidden="1">#REF!</definedName>
    <definedName name="TBca31abf8_499a_4791_a53d_7f20f681b455" hidden="1">#REF!</definedName>
    <definedName name="TBca328cd3_682b_4f7d_9252_275c4c3dadd6" hidden="1">#REF!</definedName>
    <definedName name="TBca505691_664b_4650_95a4_d1bf49d85735" hidden="1">#REF!</definedName>
    <definedName name="TBca528972_1a4f_4870_9f8b_07818f5ee119" hidden="1">#REF!</definedName>
    <definedName name="TBca5b1e0a_33a7_4a23_8723_1c1f74abc9a0" hidden="1">#REF!</definedName>
    <definedName name="TBca5ffa7a_8c82_4140_8372_c609424a058d" hidden="1">#REF!</definedName>
    <definedName name="TBca63492f_7af3_4d61_95ef_82c0d59e6009" hidden="1">#REF!</definedName>
    <definedName name="TBca667d28_0025_4e0e_943e_40ed090282cc" hidden="1">#REF!</definedName>
    <definedName name="TBca6fe314_d5c7_4415_8300_b90bf050fde7" hidden="1">#REF!</definedName>
    <definedName name="TBca6ffba9_5c37_4ce3_885a_c03e0c4c89c7" hidden="1">#REF!</definedName>
    <definedName name="TBca7bad03_76e5_4459_810a_4e9253245950" hidden="1">#REF!</definedName>
    <definedName name="TBca822bc5_11eb_484d_8934_6e2e8f5630b1" hidden="1">#REF!</definedName>
    <definedName name="TBca88ab25_341a_40c7_90ed_76de97bb5082" hidden="1">#REF!</definedName>
    <definedName name="TBca956399_3320_4a72_b0c2_a1c58a685968" hidden="1">#REF!</definedName>
    <definedName name="TBca9998e1_a547_4a2d_85ee_9eb4ef0d787b" hidden="1">#REF!</definedName>
    <definedName name="TBca9cf393_ce7d_4606_afea_2d3ef532ced8" hidden="1">#REF!</definedName>
    <definedName name="TBca9e93df_c46e_44e0_a275_05be560de748" hidden="1">#REF!</definedName>
    <definedName name="TBcaa16e30_41e8_4de5_8948_01de08ec44a5" hidden="1">#REF!</definedName>
    <definedName name="TBcaad1685_9083_4b4b_9007_b7b47dac1576" hidden="1">#REF!</definedName>
    <definedName name="TBcaaeef02_fdc7_46a7_bb34_cc54077971a8" hidden="1">#REF!</definedName>
    <definedName name="TBcab8f8ec_88ea_4a02_9a4d_aa7ee719bf1c" hidden="1">#REF!</definedName>
    <definedName name="TBcab996a6_7e45_44fb_8c68_6f1990e0d739" hidden="1">#REF!</definedName>
    <definedName name="TBcac07d8a_8806_4c5c_a9c5_8f9d714d49d0" hidden="1">#REF!</definedName>
    <definedName name="TBcac1b0aa_ba6d_421b_b671_4d010b3b5ba8" hidden="1">#REF!</definedName>
    <definedName name="TBcad659c3_7bca_4d31_87ce_4a44f667135c" hidden="1">#REF!</definedName>
    <definedName name="TBcad83f0e_200e_4413_aca5_07e2df30d08e" hidden="1">#REF!</definedName>
    <definedName name="TBcae63697_64b4_48c6_aa6f_7a4cb8876633" hidden="1">#REF!</definedName>
    <definedName name="TBcaef58d2_ae43_4b7e_ba6e_f789c1e52258" hidden="1">#REF!</definedName>
    <definedName name="TBcafccfb7_806d_4b40_aebc_d8da81730a52" hidden="1">#REF!</definedName>
    <definedName name="TBcb0b8e94_3555_4993_b80c_6a52935fb577" hidden="1">#REF!</definedName>
    <definedName name="TBcb12b823_8da8_4873_b414_6fe9cdc869c2" hidden="1">#REF!</definedName>
    <definedName name="TBcb25b239_f46b_4ae2_9162_683179255d61" hidden="1">#REF!</definedName>
    <definedName name="TBcb4de849_8fd3_4627_a9f7_3b2d2952886e" hidden="1">#REF!</definedName>
    <definedName name="TBcb4e1828_3ae3_4f0c_975b_8db59853d2d1" hidden="1">#REF!</definedName>
    <definedName name="TBcb4f85a6_7fc7_4a31_bcfd_ab5a8801868f" hidden="1">#REF!</definedName>
    <definedName name="TBcb559c93_7bdf_4640_9fc6_8c2b8e3d35a7" hidden="1">#REF!</definedName>
    <definedName name="TBcb5ace80_3753_4d8d_9271_c4be30feeae8" hidden="1">#REF!</definedName>
    <definedName name="TBcb5d2ec7_44c0_4afd_be98_71eeaab77fd9" hidden="1">#REF!</definedName>
    <definedName name="TBcb6e6765_d160_4b77_ab85_1b1f93fb267f" hidden="1">#REF!</definedName>
    <definedName name="TBcb70bd63_23d0_49d5_a5dc_74f333369fb9" hidden="1">#REF!</definedName>
    <definedName name="TBcb720ec2_7f65_4965_aa77_a4605fd8554b" hidden="1">#REF!</definedName>
    <definedName name="TBcb753210_0abe_473b_812c_428a9d8f5537" hidden="1">#REF!</definedName>
    <definedName name="TBcb755ae5_c65b_4b1a_8537_1058d0e9612d" hidden="1">#REF!</definedName>
    <definedName name="TBcb797a66_b9d5_4397_a0d7_7dec7f3992cd" hidden="1">#REF!</definedName>
    <definedName name="TBcb79a978_12ed_46bd_acd5_66a3e9538f93" hidden="1">#REF!</definedName>
    <definedName name="TBcb7ab532_f068_4c2b_9381_d2c755323d11" hidden="1">#REF!</definedName>
    <definedName name="TBcb7b6d26_4270_46cf_a0bf_3caf552efc1d" hidden="1">#REF!</definedName>
    <definedName name="TBcb85b8b4_3f0b_4023_ae51_0c7459cea47b" hidden="1">#REF!</definedName>
    <definedName name="TBcb85c699_d08f_4b28_b02c_8d3908f0fcf0" hidden="1">#REF!</definedName>
    <definedName name="TBcb9075bd_26d8_420b_b58a_cf85b35a6def" hidden="1">#REF!</definedName>
    <definedName name="TBcb94b038_2932_4026_ac4a_bd6e215b35f7" hidden="1">#REF!</definedName>
    <definedName name="TBcba1efa0_04d7_4302_ad2a_6524c743b8b8" hidden="1">#REF!</definedName>
    <definedName name="TBcbad62f3_025f_490a_8719_1ae402ff55e6" hidden="1">#REF!</definedName>
    <definedName name="TBcbb719a7_21f1_446c_b169_379373a096d4" hidden="1">#REF!</definedName>
    <definedName name="TBcbbae45c_a3ca_4cac_92a7_213ae2415330" hidden="1">#REF!</definedName>
    <definedName name="TBcbc50182_3edd_4f56_96cf_b9399e3f9bde" hidden="1">#REF!</definedName>
    <definedName name="TBcbdd5d39_45fe_4266_b647_b73d770f9bf3" hidden="1">#REF!</definedName>
    <definedName name="TBcbe38f69_a9e7_4812_9176_a4b907602fe7" hidden="1">#REF!</definedName>
    <definedName name="TBcc093c04_a3c7_4667_8519_d091f25e627d" hidden="1">#REF!</definedName>
    <definedName name="TBcc0c6a48_4f7f_4687_8be9_bcd4215eb509" hidden="1">#REF!</definedName>
    <definedName name="TBcc1a37aa_412f_4b0a_a50a_1283ac6ea864" hidden="1">#REF!</definedName>
    <definedName name="TBcc1f0992_4c33_4cad_a119_7c8b7b247eeb" hidden="1">#REF!</definedName>
    <definedName name="TBcc1f3aa7_ec7c_4f8c_8a69_ebdd2ec29f3c" hidden="1">#REF!</definedName>
    <definedName name="TBcc23f6cf_9ee2_4939_a079_dfa5b23d6ca4" hidden="1">#REF!</definedName>
    <definedName name="TBcc25636c_9bb9_48b9_9636_ce7f4fbbe59d" hidden="1">#REF!</definedName>
    <definedName name="TBcc401ff9_5e08_4a30_b507_537346b493c9" hidden="1">#REF!</definedName>
    <definedName name="TBcc4b89c3_70cb_4838_acdf_f02551e6bcb4" hidden="1">#REF!</definedName>
    <definedName name="TBcc5de603_858a_48d2_b5e3_db7e622f5fa2" hidden="1">#REF!</definedName>
    <definedName name="TBcc7462e8_7f40_4dfd_8d28_763af3a2045c" hidden="1">#REF!</definedName>
    <definedName name="TBcc773f8a_9226_4315_bb36_b45963bb20d6" hidden="1">#REF!</definedName>
    <definedName name="TBcc80ecd9_615d_453a_99a9_f349e9181d83" hidden="1">#REF!</definedName>
    <definedName name="TBcc8d9c86_803f_435c_829a_ab721a7c24c4" hidden="1">#REF!</definedName>
    <definedName name="TBcc99bab8_5828_4f1b_aa3c_8dc2908e2ddf" hidden="1">#REF!</definedName>
    <definedName name="TBcc9ba259_8ad0_4309_80d8_be25d6d9a5d4" hidden="1">#REF!</definedName>
    <definedName name="TBcca33cdf_c856_442c_8efe_1501654b9fd9" hidden="1">#REF!</definedName>
    <definedName name="TBcca7b64e_3d0a_412d_93f5_ee9a880c6831" hidden="1">#REF!</definedName>
    <definedName name="TBccb489f6_889c_4fdc_9e3b_d8a8b8b3e1b0" hidden="1">#REF!</definedName>
    <definedName name="TBccd41926_4852_4d25_9615_ae65c28f3778" hidden="1">#REF!</definedName>
    <definedName name="TBccda4a73_5ca1_41ac_8c04_54dd1df7deeb" hidden="1">#REF!</definedName>
    <definedName name="TBccde4c4a_c0ea_460c_bd8d_bb94072e0b3d" hidden="1">#REF!</definedName>
    <definedName name="TBccf053e3_8d12_417a_98d2_1d686025e272" hidden="1">#REF!</definedName>
    <definedName name="TBccf1fd0e_f2a1_4870_b394_60e5e1acdeca" hidden="1">#REF!</definedName>
    <definedName name="TBccfb5d6b_a49b_46a9_8194_54e922fa6449" hidden="1">#REF!</definedName>
    <definedName name="TBcd0a76cf_9cc4_4d06_9b30_7ac4258b18da" hidden="1">#REF!</definedName>
    <definedName name="TBcd0d7902_953e_4198_b16d_66d97f2ee98a" hidden="1">#REF!</definedName>
    <definedName name="TBcd2f3c03_e5d7_40c6_8662_aa055dbb143f" hidden="1">#REF!</definedName>
    <definedName name="TBcd35c306_e482_401f_874b_5e2c3ce109a8" hidden="1">#REF!</definedName>
    <definedName name="TBcd55a80f_1b50_4528_99dc_8dca82040c39" hidden="1">#REF!</definedName>
    <definedName name="TBcd5b2f5d_d5e5_4648_8bf9_085afa207926" hidden="1">#REF!</definedName>
    <definedName name="TBcd670fb5_3726_411a_881b_4374ac5a8cbc" hidden="1">#REF!</definedName>
    <definedName name="TBcd6e3b7b_3ace_4e59_93bd_b4ac12705600" hidden="1">#REF!</definedName>
    <definedName name="TBcd7c7254_8b69_43c7_8905_c9c7564d70fd" hidden="1">#REF!</definedName>
    <definedName name="TBcd7c838c_f9dc_4e12_8515_ed8673ab79ae" hidden="1">#REF!</definedName>
    <definedName name="TBcd8c0f89_bf60_4644_b16c_529723134ab7" hidden="1">#REF!</definedName>
    <definedName name="TBcd8f85bb_9407_4f27_860d_89f0dc169c4a" hidden="1">#REF!</definedName>
    <definedName name="TBcd94f0bc_41a0_4e2f_b7b0_5cbfe1ae2993" hidden="1">#REF!</definedName>
    <definedName name="TBcd9eb1b0_f870_45cc_b730_a1988044e712" hidden="1">#REF!</definedName>
    <definedName name="TBcda569ab_39ba_4fb1_a67f_ce0200adc03d" hidden="1">#REF!</definedName>
    <definedName name="TBcda9e7a5_4089_4997_94f5_ddca50883452" hidden="1">#REF!</definedName>
    <definedName name="TBcda9fb77_ef3c_425c_8a5f_0376fc125d7a" hidden="1">#REF!</definedName>
    <definedName name="TBcdc5d45f_d5b5_49bd_b9a1_95521cb5e62e" hidden="1">#REF!</definedName>
    <definedName name="TBcde4fca1_5c73_4109_bedb_d934a9632d9f" hidden="1">#REF!</definedName>
    <definedName name="TBcdf34381_ac0f_44b6_9267_423320657dfc" hidden="1">#REF!</definedName>
    <definedName name="TBcdf474ed_3e70_4501_8719_b06fbc4032a2" hidden="1">#REF!</definedName>
    <definedName name="TBce023558_810a_41dd_929a_c29135f367ca" hidden="1">#REF!</definedName>
    <definedName name="TBce07584d_4cc5_4300_8001_3d5c09ee286a" hidden="1">#REF!</definedName>
    <definedName name="TBce0efd97_c5a9_40e7_aa28_d15da439e349" hidden="1">#REF!</definedName>
    <definedName name="TBce174c05_28b2_4014_b09a_964522ccc678" hidden="1">#REF!</definedName>
    <definedName name="TBce1d97be_9c5a_435f_a668_dc89d83408e6" hidden="1">#REF!</definedName>
    <definedName name="TBce30e220_352e_4a4d_bc90_eab848bbc4f7" hidden="1">#REF!</definedName>
    <definedName name="TBce4046cb_9b7a_4ad5_8126_aa15f1ac1b76" hidden="1">#REF!</definedName>
    <definedName name="TBce42566e_344b_4a85_8812_a22e7ca28d0f" hidden="1">#REF!</definedName>
    <definedName name="TBce42e499_b59c_4fa5_8605_2e80294fcd94" hidden="1">#REF!</definedName>
    <definedName name="TBce4b50a3_d043_4a7e_aaab_5aa2a9b0322d" hidden="1">#REF!</definedName>
    <definedName name="TBce50338c_f755_4b6b_8162_60de19b2c7f2" hidden="1">#REF!</definedName>
    <definedName name="TBce5060da_c4f3_48d0_8b5a_d6e0331d8364" hidden="1">#REF!</definedName>
    <definedName name="TBce511888_9189_44b8_bc00_18accb22414e" hidden="1">#REF!</definedName>
    <definedName name="TBce54d49a_f746_4efb_8b5d_e9ae26b7a813" hidden="1">#REF!</definedName>
    <definedName name="TBce6376c7_fa2b_4a45_8072_f84f4df5ad8f" hidden="1">#REF!</definedName>
    <definedName name="TBce6ddebe_c8fe_47d4_9de2_25a3a4fad64c" hidden="1">#REF!</definedName>
    <definedName name="TBce6f3229_3896_4c93_a81e_a2883297c4ba" hidden="1">#REF!</definedName>
    <definedName name="TBce7238aa_9235_4a97_97c1_045530782fa2" hidden="1">#REF!</definedName>
    <definedName name="TBce751b5f_8445_4a20_9eea_70d610e0bb5b" hidden="1">#REF!</definedName>
    <definedName name="TBce773b99_d658_4beb_9f84_9daeb1a9b7d9" hidden="1">#REF!</definedName>
    <definedName name="TBce99558c_1969_4274_82bd_a2e877ee6c69" hidden="1">#REF!</definedName>
    <definedName name="TBce9df4eb_137a_4f07_acf5_61ab39e16063" hidden="1">#REF!</definedName>
    <definedName name="TBce9f623a_2dd9_44d6_90c7_ecbfd14c02a6" hidden="1">#REF!</definedName>
    <definedName name="TBcea53a5d_aec6_4321_b8d7_c7311b54f72f" hidden="1">#REF!</definedName>
    <definedName name="TBceb55117_c6ff_4021_884a_945d3cf9c628" hidden="1">#REF!</definedName>
    <definedName name="TBceba0345_852b_4b7c_9452_4559b5546574" hidden="1">#REF!</definedName>
    <definedName name="TBcebd4941_233c_45a8_9614_f7067fbc7d8f" hidden="1">#REF!</definedName>
    <definedName name="TBced5a2cc_0d26_41bf_b25f_fb192dfddf69" hidden="1">#REF!</definedName>
    <definedName name="TBcee700c8_a46d_4ec0_b81d_1b06597cacb1" hidden="1">#REF!</definedName>
    <definedName name="TBceecaab5_dbc2_4e6b_a2c0_78290d10bf81" hidden="1">#REF!</definedName>
    <definedName name="TBcf005db5_02a0_4e73_8f14_18de48c63b6f" hidden="1">#REF!</definedName>
    <definedName name="TBcf03abbf_a43a_47e5_89d4_1e17e6b84e16" hidden="1">#REF!</definedName>
    <definedName name="TBcf090d17_000b_462a_9896_afe7f7800345" hidden="1">#REF!</definedName>
    <definedName name="TBcf0fec19_996d_4e4a_a147_d7d79c728892" hidden="1">#REF!</definedName>
    <definedName name="TBcf1b7ec6_7c1d_4479_81ea_3fc76d3082dc" hidden="1">#REF!</definedName>
    <definedName name="TBcf2e3d68_9010_4d3c_be59_53b07920f1ad" hidden="1">#REF!</definedName>
    <definedName name="TBcf3ac33d_abb7_4134_9e0c_f270606e5962" hidden="1">#REF!</definedName>
    <definedName name="TBcf50fab6_f288_4903_a7e8_9bc815429b1a" hidden="1">#REF!</definedName>
    <definedName name="TBcf5981fd_01bb_41dc_893c_4d39817ddb59" hidden="1">#REF!</definedName>
    <definedName name="TBcf6162e0_b364_473e_9f79_e510b267702c" hidden="1">#REF!</definedName>
    <definedName name="TBcf6d0df0_130b_483d_9fc6_7704be583319" hidden="1">#REF!</definedName>
    <definedName name="TBcf71ef62_36b7_4112_838d_b8d996921140" hidden="1">#REF!</definedName>
    <definedName name="TBcf77ce0b_8803_4e91_bf85_c5ae42342e3a" hidden="1">#REF!</definedName>
    <definedName name="TBcf815e37_1448_41da_8795_2d6965205afe" hidden="1">#REF!</definedName>
    <definedName name="TBcf867c00_a467_42b9_9439_5ceed96cbe20" hidden="1">#REF!</definedName>
    <definedName name="TBcf914835_e9de_475b_9d6a_a58144797e9b" hidden="1">#REF!</definedName>
    <definedName name="TBcf91e497_ce0f_4a75_986a_a57ab557b974" hidden="1">#REF!</definedName>
    <definedName name="TBcf945176_f48c_4e03_9e08_43e649563da6" hidden="1">#REF!</definedName>
    <definedName name="TBcf9754ac_d244_42ce_8617_cfc8977d1e71" hidden="1">#REF!</definedName>
    <definedName name="TBcfbf475e_e22c_47ba_860e_6c92ae42cdf1" hidden="1">#REF!</definedName>
    <definedName name="TBcfcbb512_cdf1_49ef_bb75_2b8bcf663e30" hidden="1">#REF!</definedName>
    <definedName name="TBcfec5dcb_3e68_4567_9961_7111daa2e709" hidden="1">#REF!</definedName>
    <definedName name="TBcff01837_b241_40ed_a987_1479961c4e9d" hidden="1">#REF!</definedName>
    <definedName name="TBcff193b3_08b3_4e7e_b1b7_b9f7f3e18698" hidden="1">#REF!</definedName>
    <definedName name="TBd00f0cc8_76e6_48b1_aad7_5179c972465f" hidden="1">#REF!</definedName>
    <definedName name="TBd01c56b6_2f92_4337_8c96_13692334ff0f" hidden="1">#REF!</definedName>
    <definedName name="TBd02c8fa7_2e8c_4098_86b8_d07c463c3933" hidden="1">#REF!</definedName>
    <definedName name="TBd033876a_bc22_46fd_ab73_908dc0fce7e7" hidden="1">#REF!</definedName>
    <definedName name="TBd044d32e_164b_4fd3_ae27_a50dcf3dff9b" hidden="1">#REF!</definedName>
    <definedName name="TBd051148a_1875_459f_a745_f9813f87efd4" hidden="1">#REF!</definedName>
    <definedName name="TBd054abef_275d_4aa7_94c4_60dcebcadb35" hidden="1">#REF!</definedName>
    <definedName name="TBd057be79_9499_4341_997e_1212e8fbda07" hidden="1">#REF!</definedName>
    <definedName name="TBd05e6f55_e89e_45f5_b3dd_75277303fe6a" hidden="1">#REF!</definedName>
    <definedName name="TBd060fd68_c441_497f_ac88_d9e1a495cfe4" hidden="1">#REF!</definedName>
    <definedName name="TBd0629f3e_117b_4221_a099_8e447a88c987" hidden="1">#REF!</definedName>
    <definedName name="TBd0691f3b_5fbb_4e7f_bac6_a0ce1612ac24" hidden="1">#REF!</definedName>
    <definedName name="TBd0705e1c_6456_466b_852a_4d4358dbb4be" hidden="1">#REF!</definedName>
    <definedName name="TBd07643f4_c21b_41bc_bdc7_d177d451a332" hidden="1">#REF!</definedName>
    <definedName name="TBd076ddde_6c23_4e0d_8aa4_32d9d361f255" hidden="1">#REF!</definedName>
    <definedName name="TBd084cec2_fb38_44b2_837d_d3c6545863ca" hidden="1">#REF!</definedName>
    <definedName name="TBd084f30d_7f16_4fdc_8878_2e56fd0a9e23" hidden="1">#REF!</definedName>
    <definedName name="TBd0962f23_7df9_4db8_b152_27e7a873deda" hidden="1">#REF!</definedName>
    <definedName name="TBd09a8902_b492_43dc_a7dc_0b7b8929492e" hidden="1">#REF!</definedName>
    <definedName name="TBd09cfab1_d1c0_4416_98b7_165ee725712f" hidden="1">#REF!</definedName>
    <definedName name="TBd09e49a2_af5f_489c_a2f9_a6086d2b8579" hidden="1">#REF!</definedName>
    <definedName name="TBd0b2fd97_617b_48a6_841a_660725221e68" hidden="1">#REF!</definedName>
    <definedName name="TBd0c4a84e_2787_455e_aad4_f287bd063991" hidden="1">#REF!</definedName>
    <definedName name="TBd0dc188f_bb6e_4518_ba43_5eecf2db2ad3" hidden="1">#REF!</definedName>
    <definedName name="TBd0e00d23_6745_4661_ad8c_9568eb513cee" hidden="1">#REF!</definedName>
    <definedName name="TBd0ebf2a5_bc88_473d_be87_d2961ed66465" hidden="1">#REF!</definedName>
    <definedName name="TBd0ff0938_62ad_441f_85fe_48926e5d0ee7" hidden="1">#REF!</definedName>
    <definedName name="TBd103f30d_010f_4643_a0bd_910128203d79" hidden="1">#REF!</definedName>
    <definedName name="TBd108c7f9_72e5_45d8_95e7_39900048d6b9" hidden="1">#REF!</definedName>
    <definedName name="TBd1246080_6fb0_4849_91a9_03d6f2731109" hidden="1">#REF!</definedName>
    <definedName name="TBd1445d4b_c8f4_4b3f_844a_1004ec7b220d" hidden="1">#REF!</definedName>
    <definedName name="TBd1559f1a_0ad9_4e87_9292_af83f1216be9" hidden="1">#REF!</definedName>
    <definedName name="TBd15caaaf_7acc_4827_9e00_9e4d80f27df0" hidden="1">#REF!</definedName>
    <definedName name="TBd16367d8_9eae_494f_8db6_7115e663c856" hidden="1">#REF!</definedName>
    <definedName name="TBd17b9350_cc14_44a3_b731_d6c50f9af6f9" hidden="1">#REF!</definedName>
    <definedName name="TBd180f458_115c_4606_80b9_76a5956f34df" hidden="1">#REF!</definedName>
    <definedName name="TBd18e642d_fdc5_4a9f_ba9c_f635871e5b7b" hidden="1">#REF!</definedName>
    <definedName name="TBd19d623c_57fc_465c_bc18_cd69e97ddf59" hidden="1">#REF!</definedName>
    <definedName name="TBd19db3d6_3c30_4b9a_8a17_e74c59de29c8" hidden="1">#REF!</definedName>
    <definedName name="TBd1a4d438_7221_4bc2_883a_fc87cc71dc09" hidden="1">#REF!</definedName>
    <definedName name="TBd1b6700a_c66c_4fa9_a996_82a90cc502cc" hidden="1">#REF!</definedName>
    <definedName name="TBd1c2a137_bf10_45b0_a49d_8eb618c7dfc0" hidden="1">#REF!</definedName>
    <definedName name="TBd1ce6e45_7823_4f92_83f3_17929ccbd00c" hidden="1">#REF!</definedName>
    <definedName name="TBd1d6335d_155d_43b1_9f3d_66b31645e0f9" hidden="1">#REF!</definedName>
    <definedName name="TBd1ed4ec4_753e_48f7_bcf0_4620f07100a9" hidden="1">#REF!</definedName>
    <definedName name="TBd1fcb74b_2999_45c7_9b68_c197e433754f" hidden="1">#REF!</definedName>
    <definedName name="TBd20e630e_faac_4544_9b0d_43bb1cbc5265" hidden="1">#REF!</definedName>
    <definedName name="TBd2224e4d_48bf_4947_a0d5_2e807764295c" hidden="1">#REF!</definedName>
    <definedName name="TBd22bd68b_a8a3_4136_a932_74363cfa23f4" hidden="1">#REF!</definedName>
    <definedName name="TBd23e4890_c378_44c6_99d4_3b41b23b6c9b" hidden="1">#REF!</definedName>
    <definedName name="TBd245cebe_5914_4059_ad68_4791e52fcbe7" hidden="1">#REF!</definedName>
    <definedName name="TBd24fee8b_e7b0_4d7b_b2bc_24bc3787b1cf" hidden="1">#REF!</definedName>
    <definedName name="TBd2539894_39d0_497b_9037_a7c711d3d338" hidden="1">#REF!</definedName>
    <definedName name="TBd25c5df3_a9b5_4a5c_8f7a_7acef43472d1" hidden="1">#REF!</definedName>
    <definedName name="TBd26500bf_b9d8_4e8e_9c11_a710e3ff4253" hidden="1">#REF!</definedName>
    <definedName name="TBd26896ff_d0bc_4bed_8cd0_631072d0d14e" hidden="1">#REF!</definedName>
    <definedName name="TBd2695ef7_a6b0_4e48_805e_538c47a065fe" hidden="1">#REF!</definedName>
    <definedName name="TBd28d4d59_d146_45a6_8ed7_4bdefb770222" hidden="1">#REF!</definedName>
    <definedName name="TBd28eb859_0111_4d9c_b5e5_4cf3bdb4f6fc" hidden="1">#REF!</definedName>
    <definedName name="TBd29ab326_0762_4535_92c0_16a712e0d430" hidden="1">#REF!</definedName>
    <definedName name="TBd29ed301_23a5_479d_bb4c_4e4cc051029d" hidden="1">#REF!</definedName>
    <definedName name="TBd2a7f113_254e_400d_8cc9_0613b2d007ec" hidden="1">#REF!</definedName>
    <definedName name="TBd2b41248_3f24_403c_9c61_25ad150385e3" hidden="1">#REF!</definedName>
    <definedName name="TBd2cdccde_98f8_4aee_aa3c_0070626b0cdd" hidden="1">#REF!</definedName>
    <definedName name="TBd2e27603_0b6d_4bb1_886d_10a1813ac057" hidden="1">#REF!</definedName>
    <definedName name="TBd2fbb79f_45ab_43a5_b3f4_23b3d2e1e1e1" hidden="1">#REF!</definedName>
    <definedName name="TBd2fdddf9_415a_4e7b_a9b5_1cd40aabaa64" hidden="1">#REF!</definedName>
    <definedName name="TBd305544a_b360_43be_9e8d_3218122241a3" hidden="1">#REF!</definedName>
    <definedName name="TBd31148d8_5cdb_4e88_ac6b_19b916b7ca1b" hidden="1">#REF!</definedName>
    <definedName name="TBd3201b69_8290_44d1_b657_161520ae5c03" hidden="1">#REF!</definedName>
    <definedName name="TBd338a36f_8454_4c1a_85fb_78f08454aafd" hidden="1">#REF!</definedName>
    <definedName name="TBd34adce5_8d19_48c9_9c79_e12fdf05ec9b" hidden="1">#REF!</definedName>
    <definedName name="TBd3522122_0394_46e1_9e54_625663e5f8f0" hidden="1">#REF!</definedName>
    <definedName name="TBd35b9160_902c_4cd0_b6b1_8ea8f2b54962" hidden="1">#REF!</definedName>
    <definedName name="TBd36bf0c5_c5cb_4783_862b_e9ce827411b6" hidden="1">#REF!</definedName>
    <definedName name="TBd378e914_6d26_436b_96f1_c9b7e34f2893" hidden="1">#REF!</definedName>
    <definedName name="TBd3813bf3_8956_442c_9e1b_ccb96a213dc3" hidden="1">#REF!</definedName>
    <definedName name="TBd382616c_4b26_455d_a720_ecdf23236017" hidden="1">#REF!</definedName>
    <definedName name="TBd38877c7_e328_4b2e_81d0_0c546ae28ab1" hidden="1">#REF!</definedName>
    <definedName name="TBd3933fe0_9af7_4bae_874a_e5322231e055" hidden="1">#REF!</definedName>
    <definedName name="TBd3a5efaa_e8d5_42b1_8e93_e0938da24f88" hidden="1">#REF!</definedName>
    <definedName name="TBd3ac0eca_385b_45b2_8676_d36fdc1cac43" hidden="1">#REF!</definedName>
    <definedName name="TBd3ae7427_7276_456b_b71e_5baabec3c3b6" hidden="1">#REF!</definedName>
    <definedName name="TBd3bdf7ee_6269_45ad_8436_32f3712ee6f5" hidden="1">#REF!</definedName>
    <definedName name="TBd3c07c7d_43d3_4fa1_9b1a_9c0f2d8c5209" hidden="1">#REF!</definedName>
    <definedName name="TBd3c1cecd_c70a_4c54_ab64_6a0b89c3fc6f" hidden="1">#REF!</definedName>
    <definedName name="TBd3c65147_3f0a_45e1_91c2_77fda15c33be" hidden="1">#REF!</definedName>
    <definedName name="TBd3c787bd_2788_4b70_9dae_019b5b0335b7" hidden="1">#REF!</definedName>
    <definedName name="TBd3e86505_c5fa_4304_9d4e_1109b6ad7565" hidden="1">#REF!</definedName>
    <definedName name="TBd3f05bc1_441f_48b5_9584_8bb20ac66d8a" hidden="1">#REF!</definedName>
    <definedName name="TBd3fefdb7_4555_4a5d_a53b_b5e4bcb06db7" hidden="1">#REF!</definedName>
    <definedName name="TBd403321f_d704_4c9a_a228_93d9e39ed328" hidden="1">#REF!</definedName>
    <definedName name="TBd4054213_805a_42d8_ab4c_9d9d0536a831" hidden="1">#REF!</definedName>
    <definedName name="TBd40cb5f5_462e_45e5_8edf_db6eb71c64a3" hidden="1">#REF!</definedName>
    <definedName name="TBd4157019_fa48_4ecf_a446_8d3c043157c8" hidden="1">#REF!</definedName>
    <definedName name="TBd4167578_e06e_4fa2_b6b3_d473dbc472f6" hidden="1">#REF!</definedName>
    <definedName name="TBd41684e0_49e2_4a5a_acec_ec7ca5294fed" hidden="1">#REF!</definedName>
    <definedName name="TBd41d1274_b288_4d65_a924_ac910d90b873" hidden="1">#REF!</definedName>
    <definedName name="TBd4253975_d0e3_41df_b746_2abb631fa433" hidden="1">#REF!</definedName>
    <definedName name="TBd42baa88_b948_4b99_a177_fea122aded53" hidden="1">#REF!</definedName>
    <definedName name="TBd43ca559_c8d2_407c_a303_a89de3dcf196" hidden="1">#REF!</definedName>
    <definedName name="TBd4411bf7_9207_41b7_804b_50dbc1681773" hidden="1">#REF!</definedName>
    <definedName name="TBd442be9a_ba5d_4180_9475_2488eda60a84" hidden="1">#REF!</definedName>
    <definedName name="TBd44bb042_d5d5_4e3d_bfcc_067c1be9d490" hidden="1">#REF!</definedName>
    <definedName name="TBd456434f_b1c8_4a00_9c91_547a50a41a46" hidden="1">#REF!</definedName>
    <definedName name="TBd45cbc63_b147_40a8_a6c9_a906ebdaa0e1" hidden="1">#REF!</definedName>
    <definedName name="TBd463cf6e_0801_4897_90cc_3e15ed23344b" hidden="1">#REF!</definedName>
    <definedName name="TBd47caf9c_10a8_4d48_a7e5_050fdae6f226" hidden="1">#REF!</definedName>
    <definedName name="TBd47cd018_6e0a_4c64_a548_8ec77fcbc7a7" hidden="1">#REF!</definedName>
    <definedName name="TBd47d44b6_1837_43f7_a2b1_655133b7247e" hidden="1">#REF!</definedName>
    <definedName name="TBd48ad5cc_6697_497f_8dd7_68a4ec0511a7" hidden="1">#REF!</definedName>
    <definedName name="TBd4a78c11_52bc_4d22_8431_6ea3c0b85b20" hidden="1">#REF!</definedName>
    <definedName name="TBd4b37442_4fa9_4eaf_be95_2f071e7d7bba" hidden="1">#REF!</definedName>
    <definedName name="TBd4b81ae9_6c5f_4c9c_86fc_b2d39d71ad70" hidden="1">#REF!</definedName>
    <definedName name="TBd4c15236_35c9_4599_81ff_6b8dc40301c5" hidden="1">#REF!</definedName>
    <definedName name="TBd4e8ef92_295b_434b_904c_68875490dc09" hidden="1">#REF!</definedName>
    <definedName name="TBd4e91720_6aeb_4657_bc21_d91c51a54848" hidden="1">#REF!</definedName>
    <definedName name="TBd4fb6e11_6913_4a86_a3bb_48aa1f120ad9" hidden="1">#REF!</definedName>
    <definedName name="TBd4fc84c4_89e5_4581_b938_59380fae0bd9" hidden="1">#REF!</definedName>
    <definedName name="TBd4fe327a_09b9_4f9b_8751_0fbc1bd748ef" hidden="1">#REF!</definedName>
    <definedName name="TBd50b9d44_8ef9_41bf_ae99_ae265f12f71d" hidden="1">#REF!</definedName>
    <definedName name="TBd50c3169_c657_4a70_8ef5_ff9e54289ae9" hidden="1">#REF!</definedName>
    <definedName name="TBd51ac5b4_9796_45d1_9013_08150b64c3e2" hidden="1">#REF!</definedName>
    <definedName name="TBd5248256_7ab1_4b2c_9a4c_16daf4a7003e" hidden="1">#REF!</definedName>
    <definedName name="TBd525116b_0700_4c4c_a9f1_ce8f47043716" hidden="1">#REF!</definedName>
    <definedName name="TBd526a324_fb32_41d9_b019_fd2d7dc1176b" hidden="1">#REF!</definedName>
    <definedName name="TBd52945e0_8df5_4603_bd42_7c93f5092815" hidden="1">#REF!</definedName>
    <definedName name="TBd52a6f1b_a816_4736_a7de_fa92a1583712" hidden="1">#REF!</definedName>
    <definedName name="TBd53be178_b0a8_4a91_8e9d_6db27933c237" hidden="1">#REF!</definedName>
    <definedName name="TBd54e7b00_c371_4ab8_86ea_cf46d127a207" hidden="1">#REF!</definedName>
    <definedName name="TBd5678a30_a171_4b32_901e_2191508ac1b9" hidden="1">#REF!</definedName>
    <definedName name="TBd5697773_91c2_4479_9e36_1278cb2a4a93" hidden="1">#REF!</definedName>
    <definedName name="TBd57c16f6_3095_40f5_8396_67cf3eb8e602" hidden="1">#REF!</definedName>
    <definedName name="TBd5880163_5540_497a_95af_806ea0b7803b" hidden="1">#REF!</definedName>
    <definedName name="TBd5883208_99e9_4757_8a61_39ed5d1e7878" hidden="1">#REF!</definedName>
    <definedName name="TBd5a56755_c029_4f2c_a8c8_00f118685e69" hidden="1">#REF!</definedName>
    <definedName name="TBd5af3b23_3e46_42f9_bac3_f6b43dca193a" hidden="1">#REF!</definedName>
    <definedName name="TBd5af7b4a_07f1_4eb3_9716_33b04d490feb" hidden="1">#REF!</definedName>
    <definedName name="TBd5bec025_ae28_4917_ba25_bd0abf1acdda" hidden="1">#REF!</definedName>
    <definedName name="TBd5cf72e3_00c8_4980_bc73_15a72b3045e2" hidden="1">#REF!</definedName>
    <definedName name="TBd5d729ad_2160_47f3_9c32_513cdd9040d6" hidden="1">#REF!</definedName>
    <definedName name="TBd5eae55a_adcd_4784_b1e0_d731337cccb4" hidden="1">#REF!</definedName>
    <definedName name="TBd5ef8c94_af7f_446d_9f7c_39b144b0130e" hidden="1">#REF!</definedName>
    <definedName name="TBd603a309_5c45_4201_852e_7bc34e5ebed0" hidden="1">#REF!</definedName>
    <definedName name="TBd618df91_05d3_4ffb_88d7_49b4941e0f1b" hidden="1">#REF!</definedName>
    <definedName name="TBd6193b96_7277_4844_b182_85eb1d6c0152" hidden="1">#REF!</definedName>
    <definedName name="TBd620ff00_f38b_4f2b_8af5_96d04f086a95" hidden="1">#REF!</definedName>
    <definedName name="TBd6250547_b792_4742_ade6_21c472fd5c90" hidden="1">#REF!</definedName>
    <definedName name="TBd6421c3f_54a7_448d_9121_69d81fc7c310" hidden="1">#REF!</definedName>
    <definedName name="TBd64a48f8_c015_481a_a8eb_9336c58cdf1c" hidden="1">#REF!</definedName>
    <definedName name="TBd6563267_6552_46aa_8af2_bad33365151e" hidden="1">#REF!</definedName>
    <definedName name="TBd66429af_afec_43be_8994_e80d3b63674e" hidden="1">#REF!</definedName>
    <definedName name="TBd670e7f0_5547_43e3_8553_de0a0fb846fb" hidden="1">#REF!</definedName>
    <definedName name="TBd681f8a3_05e5_44ef_9cd9_79a6219c1e60" hidden="1">#REF!</definedName>
    <definedName name="TBd68dd40b_2558_46a0_852e_5bb434055112" hidden="1">#REF!</definedName>
    <definedName name="TBd68f07e2_717e_4c6c_9795_deaff09e575e" hidden="1">#REF!</definedName>
    <definedName name="TBd6923bf3_7e3f_4a04_9adb_e7b28af7708d" hidden="1">#REF!</definedName>
    <definedName name="TBd6ab4644_1830_4747_a8a5_4afbb5c92cab" hidden="1">#REF!</definedName>
    <definedName name="TBd6b4b1ef_4766_46dc_b20a_2ecb90360829" hidden="1">#REF!</definedName>
    <definedName name="TBd6b5c6ce_c010_4140_b641_2292e984d6d6" hidden="1">#REF!</definedName>
    <definedName name="TBd6cc73fb_8564_45da_8660_b1f3ebbffbfb" hidden="1">#REF!</definedName>
    <definedName name="TBd6ee9fa4_3dbf_447c_a06a_a7cddfb13ac6" hidden="1">#REF!</definedName>
    <definedName name="TBd6f9ac36_5e61_4acf_89cf_88eb6ab21b06" hidden="1">#REF!</definedName>
    <definedName name="TBd700e7e3_dc1c_4a1e_88de_9450ebd391c9" hidden="1">#REF!</definedName>
    <definedName name="TBd7051adf_dc64_4b6a_9675_003f60bb8de1" hidden="1">#REF!</definedName>
    <definedName name="TBd711ba1e_7af3_4e0a_9499_d0502f0c88f1" hidden="1">#REF!</definedName>
    <definedName name="TBd72317de_4a79_4bbc_a1bf_a894d29fdab0" hidden="1">#REF!</definedName>
    <definedName name="TBd724ae77_0d80_4df5_bd5b_e924d7278755" hidden="1">#REF!</definedName>
    <definedName name="TBd7252d87_72b5_41e3_818e_402f09c9ffbb" hidden="1">#REF!</definedName>
    <definedName name="TBd726a38b_ce88_4688_8585_e60f54f94a9f" hidden="1">#REF!</definedName>
    <definedName name="TBd72776c7_e71e_4087_a503_dd1dcb7cd34b" hidden="1">#REF!</definedName>
    <definedName name="TBd736d7de_018d_40e5_a6f3_a2f3bbb98e2a" hidden="1">#REF!</definedName>
    <definedName name="TBd73e30a6_0147_4436_a023_746f217eb9a4" hidden="1">#REF!</definedName>
    <definedName name="TBd74721ad_cc4f_47bc_ad6e_29c624926153" hidden="1">#REF!</definedName>
    <definedName name="TBd759db40_ed85_4d86_b4b5_f0fbc0115436" hidden="1">#REF!</definedName>
    <definedName name="TBd75d3b20_bb1e_4c7e_bb25_9fdedf84f8d3" hidden="1">#REF!</definedName>
    <definedName name="TBd75fe6ef_07e5_407a_8d9d_7631baf6fe3b" hidden="1">#REF!</definedName>
    <definedName name="TBd763ba1e_beb8_4633_b7a4_860b4dfcb6f9" hidden="1">#REF!</definedName>
    <definedName name="TBd766a447_2d75_489c_8d7e_e98c142ef11e" hidden="1">#REF!</definedName>
    <definedName name="TBd7676021_9c94_489b_abfa_f8fad8c7dd50" hidden="1">#REF!</definedName>
    <definedName name="TBd76b9c2e_ff0b_4c11_b65f_ae08ed320fd2" hidden="1">#REF!</definedName>
    <definedName name="TBd7725f13_ac32_4d63_8b6c_c7203378e76e" hidden="1">#REF!</definedName>
    <definedName name="TBd7913cf5_da0b_46d9_9557_beb3c35b33f0" hidden="1">#REF!</definedName>
    <definedName name="TBd7936efc_a253_4b46_86f7_91e96eda2baa" hidden="1">#REF!</definedName>
    <definedName name="TBd793a0e5_9a29_4c24_81cb_a1ffdbba984f" hidden="1">#REF!</definedName>
    <definedName name="TBd7c0b66d_2946_453f_8c75_3d797a2f86c4" hidden="1">#REF!</definedName>
    <definedName name="TBd7ccd23a_1431_4901_a465_4df329958eea" hidden="1">#REF!</definedName>
    <definedName name="TBd7d09fb9_f0f5_49e7_8fbd_1e554dde3bc9" hidden="1">#REF!</definedName>
    <definedName name="TBd7e953af_3b7b_45f9_a707_631748f59d1a" hidden="1">#REF!</definedName>
    <definedName name="TBd7f4582a_d560_45f1_9436_7d9609759332" hidden="1">#REF!</definedName>
    <definedName name="TBd7f50214_11dd_4c5d_b941_354e8a88adc8" hidden="1">#REF!</definedName>
    <definedName name="TBd7f6df59_d749_4857_b29c_dd70078ebcd7" hidden="1">#REF!</definedName>
    <definedName name="TBd8003f10_1d38_4275_b646_55c1216e497e" hidden="1">#REF!</definedName>
    <definedName name="TBd8037afc_4ae7_4a38_8458_5c5d835aa869" hidden="1">#REF!</definedName>
    <definedName name="TBd8220dfa_8428_4f65_a11e_3e0b4a788f83" hidden="1">#REF!</definedName>
    <definedName name="TBd8323f16_b36f_4063_a7cf_e355686e2e1e" hidden="1">#REF!</definedName>
    <definedName name="TBd83b48ff_f970_4631_a2db_701257e514eb" hidden="1">#REF!</definedName>
    <definedName name="TBd83c617b_ef89_42ed_835c_a0e3db6bc688" hidden="1">#REF!</definedName>
    <definedName name="TBd83cdb74_f2e6_4768_89d2_51b637940c78" hidden="1">#REF!</definedName>
    <definedName name="TBd83f0638_1251_477f_9ca2_54b9bc82a151" hidden="1">#REF!</definedName>
    <definedName name="TBd85a2fe0_82ef_4f31_9a37_5d89989c77f5" hidden="1">#REF!</definedName>
    <definedName name="TBd85f27cc_16b5_4c8b_80b8_986508bbc92b" hidden="1">#REF!</definedName>
    <definedName name="TBd85f5bb0_4675_4481_b42c_7639022cba5e" hidden="1">#REF!</definedName>
    <definedName name="TBd86009e6_7383_412f_8e12_6e4622133527" hidden="1">#REF!</definedName>
    <definedName name="TBd87b8fa9_c172_45fa_aee5_a45c3c979e5c" hidden="1">#REF!</definedName>
    <definedName name="TBd87c6305_1218_4e6d_8196_0bca381c6a83" hidden="1">#REF!</definedName>
    <definedName name="TBd8842902_4405_447d_99cf_15a987972f89" hidden="1">#REF!</definedName>
    <definedName name="TBd88c6cd7_d566_4912_bfbe_c37b0f839c1f" hidden="1">#REF!</definedName>
    <definedName name="TBd8969832_a6a6_4f70_930c_927a29b62ffc" hidden="1">#REF!</definedName>
    <definedName name="TBd8a41db0_e726_4dfc_a74c_1cec8fdbd696" hidden="1">#REF!</definedName>
    <definedName name="TBd8ad14a1_0017_496c_9da3_dd91b1a6c156" hidden="1">#REF!</definedName>
    <definedName name="TBd8b2f8ed_1a83_491f_9fba_02df836d4f09" hidden="1">#REF!</definedName>
    <definedName name="TBd8bb51fd_bf9d_4201_b961_2382b85b0607" hidden="1">#REF!</definedName>
    <definedName name="TBd8bfff23_8124_4f38_accc_dfe4f4980d65" hidden="1">#REF!</definedName>
    <definedName name="TBd8c60581_315e_48c2_be36_fa0cece73735" hidden="1">#REF!</definedName>
    <definedName name="TBd8d34374_1c5e_4d88_99b3_14dbf44e7338" hidden="1">#REF!</definedName>
    <definedName name="TBd8de24a4_dc02_4556_8838_f1c4a95f8aa2" hidden="1">#REF!</definedName>
    <definedName name="TBd8ece5ec_a605_4411_a455_b6b46c1a71d9" hidden="1">#REF!</definedName>
    <definedName name="TBd8ee922f_8705_4801_aded_28489e872d43" hidden="1">#REF!</definedName>
    <definedName name="TBd906e645_8087_4294_ae31_35154f27d4c1" hidden="1">#REF!</definedName>
    <definedName name="TBd91f7544_1918_4e27_9301_4808ebcc6f94" hidden="1">#REF!</definedName>
    <definedName name="TBd9233ff1_8f25_4bff_9942_a630ef6cbace" hidden="1">#REF!</definedName>
    <definedName name="TBd92434e4_ed1c_407b_b62b_e77910ee3e74" hidden="1">#REF!</definedName>
    <definedName name="TBd92bc918_a5a0_4da8_bd57_aefb6f0a6f9c" hidden="1">#REF!</definedName>
    <definedName name="TBd9358887_42f0_4522_abae_40a3d2fd2f4d" hidden="1">#REF!</definedName>
    <definedName name="TBd93cf58e_6cc9_4fc7_bdf2_366dd4ade13c" hidden="1">#REF!</definedName>
    <definedName name="TBd943dc74_2937_4de1_8d8f_41a6e2b18a5c" hidden="1">#REF!</definedName>
    <definedName name="TBd94e1b4c_3992_42de_9a1f_0e9ca7100b09" hidden="1">#REF!</definedName>
    <definedName name="TBd95185bd_eb2b_4cf8_892f_f1433f6f11af" hidden="1">#REF!</definedName>
    <definedName name="TBd9701608_be7c_41a7_be54_516ba944a6da" hidden="1">#REF!</definedName>
    <definedName name="TBd97b54f6_ea67_4f30_9e0b_6d5077c2fd91" hidden="1">#REF!</definedName>
    <definedName name="TBd9993ddf_331f_4139_a4c1_c005d82ec21f" hidden="1">#REF!</definedName>
    <definedName name="TBd99efa02_42d5_460a_98f7_0a791bd56a27" hidden="1">#REF!</definedName>
    <definedName name="TBd9a2fa0b_2d87_4fa8_a397_7d3de8cc8277" hidden="1">#REF!</definedName>
    <definedName name="TBd9bda806_e1cf_45c6_abb9_faf312ed22df" hidden="1">#REF!</definedName>
    <definedName name="TBd9df3e0b_ce6c_4251_808c_2cf5d26b7989" hidden="1">#REF!</definedName>
    <definedName name="TBd9e1b665_bb43_445f_abc3_7f60c1e38578" hidden="1">#REF!</definedName>
    <definedName name="TBd9f4e1d1_d044_435b_814d_a94eddc93d0b" hidden="1">#REF!</definedName>
    <definedName name="TBda1fadbc_f705_4690_8dc8_3222426ac1f3" hidden="1">#REF!</definedName>
    <definedName name="TBda5c8cdf_c8db_410f_aed2_8b2c8ee7eb84" hidden="1">#REF!</definedName>
    <definedName name="TBda644ead_1105_4ca1_9dd9_14087d4c7fe3" hidden="1">#REF!</definedName>
    <definedName name="TBda645378_8865_4f67_b487_9bade1baceef" hidden="1">#REF!</definedName>
    <definedName name="TBda660a1d_6f51_4fac_a8ed_b041ddf2842a" hidden="1">#REF!</definedName>
    <definedName name="TBda7108fa_6c19_46a1_ab39_9ac7c59c95c6" hidden="1">#REF!</definedName>
    <definedName name="TBda714dc8_0235_4d56_a5f3_e6a11eeb2298" hidden="1">#REF!</definedName>
    <definedName name="TBda92093b_c73c_4aaa_85a4_84d9cbfbec89" hidden="1">#REF!</definedName>
    <definedName name="TBda96a312_185d_481a_95a8_e075ba44a81c" hidden="1">#REF!</definedName>
    <definedName name="TBda998bbf_8790_4d1c_9624_3938f57f41f5" hidden="1">#REF!</definedName>
    <definedName name="TBda9bca7c_579b_4608_a3f9_018fc7a72473" hidden="1">#REF!</definedName>
    <definedName name="TBdaa4003b_3eba_4bc7_8f5f_eab8d79d038b" hidden="1">#REF!</definedName>
    <definedName name="TBdab94f8f_5ca4_4db9_ab36_468743c81a94" hidden="1">#REF!</definedName>
    <definedName name="TBdac4371c_163d_464a_876e_91865fb23dff" hidden="1">#REF!</definedName>
    <definedName name="TBdace0080_d633_4da4_bf2f_269081ae7e87" hidden="1">#REF!</definedName>
    <definedName name="TBdad1fad1_d682_4243_806b_7179a4ffb45a" hidden="1">#REF!</definedName>
    <definedName name="TBdadc011a_16c0_4710_9536_ba3640bb3b9b" hidden="1">#REF!</definedName>
    <definedName name="TBdaec46e9_c2d2_438d_b0fa_94b3252c0a2e" hidden="1">#REF!</definedName>
    <definedName name="TBdb02e136_45d7_4157_9108_17cc83dc0a73" hidden="1">#REF!</definedName>
    <definedName name="TBdb1e9d3b_fab6_4e8d_832c_326273250221" hidden="1">#REF!</definedName>
    <definedName name="TBdb230ca5_6f62_4605_81d8_9aac3922f67e" hidden="1">#REF!</definedName>
    <definedName name="TBdb46e326_ceb7_4fe2_8cb8_509356bc9cac" hidden="1">#REF!</definedName>
    <definedName name="TBdb552296_57a4_40b1_9e34_5997e9a60c91" hidden="1">#REF!</definedName>
    <definedName name="TBdb5e5ad2_f32a_4ad4_a725_3780b06c783c" hidden="1">#REF!</definedName>
    <definedName name="TBdb69cfaa_59cb_421a_9121_3d19da98d4ca" hidden="1">#REF!</definedName>
    <definedName name="TBdb6a29b8_051c_4b19_9a50_beb702bcf388" hidden="1">#REF!</definedName>
    <definedName name="TBdb6f9872_a4f0_42e6_ae14_0b23c4ef7a63" hidden="1">#REF!</definedName>
    <definedName name="TBdb75cd6e_9b51_46bd_949e_7d372a7e7217" hidden="1">#REF!</definedName>
    <definedName name="TBdb838e5d_b817_4e5a_8dd6_03ace569e74f" hidden="1">#REF!</definedName>
    <definedName name="TBdb8da712_59bf_402c_9a78_b68ace4af57e" hidden="1">#REF!</definedName>
    <definedName name="TBdb9569bb_dbe4_4635_862c_4b0ddb5af482" hidden="1">#REF!</definedName>
    <definedName name="TBdba3e444_3da2_493b_8ff9_2c6ac7fedac1" hidden="1">#REF!</definedName>
    <definedName name="TBdbad63bc_01d6_4d00_a8cd_631797620f51" hidden="1">#REF!</definedName>
    <definedName name="TBdbadec70_d34d_44a2_bd58_ecf7304cf0a6" hidden="1">#REF!</definedName>
    <definedName name="TBdbb00f63_47f3_4edb_8582_3bf9bc388267" hidden="1">#REF!</definedName>
    <definedName name="TBdbb4825c_14ac_4834_b42d_63cc70227d6a" hidden="1">#REF!</definedName>
    <definedName name="TBdbc5e43c_30f7_4a6a_af1e_6e17b77c7f3c" hidden="1">#REF!</definedName>
    <definedName name="TBdbcd2e3e_7dda_402e_98ff_0db84ddfd6b0" hidden="1">#REF!</definedName>
    <definedName name="TBdbd9f934_5766_440c_90aa_756aa6e5b81a" hidden="1">#REF!</definedName>
    <definedName name="TBdbdb5176_9acc_444c_88c6_83d12418f1bc" hidden="1">#REF!</definedName>
    <definedName name="TBdbe93522_636c_40c8_8cec_aacedf0b845f" hidden="1">#REF!</definedName>
    <definedName name="TBdbeedb68_ef19_4535_aad2_a76d25839e40" hidden="1">#REF!</definedName>
    <definedName name="TBdbfc66b1_f108_406a_81de_876467b5cbbb" hidden="1">#REF!</definedName>
    <definedName name="TBdc08fa59_e7e2_4382_a5db_3cbd5f427ab4" hidden="1">#REF!</definedName>
    <definedName name="TBdc2cefbe_fbe9_4f29_ad5e_d4423a19156b" hidden="1">#REF!</definedName>
    <definedName name="TBdc385616_60e9_48c1_96ac_07feb01c98ba" hidden="1">#REF!</definedName>
    <definedName name="TBdc479e99_28f3_4a59_bb2b_ea735783cc0c" hidden="1">#REF!</definedName>
    <definedName name="TBdc4f5d99_7deb_443b_a9d0_bebc71140048" hidden="1">#REF!</definedName>
    <definedName name="TBdc57173f_fb0b_4ea9_9dbe_675768313186" hidden="1">#REF!</definedName>
    <definedName name="TBdc811771_4ab3_457a_a272_984bbba88000" hidden="1">#REF!</definedName>
    <definedName name="TBdc92e7a1_76f5_41d8_ba62_494e6c2cb299" hidden="1">#REF!</definedName>
    <definedName name="TBdcb1d237_242e_4d5f_a657_896ec024d5fe" hidden="1">#REF!</definedName>
    <definedName name="TBdce49193_6843_4d52_a9c0_f746a2db9dae" hidden="1">#REF!</definedName>
    <definedName name="TBdd03ed8c_eae9_4290_be10_bb21ed54046f" hidden="1">#REF!</definedName>
    <definedName name="TBdd26e71f_6c56_4b2f_9a4d_9e40045a5f08" hidden="1">#REF!</definedName>
    <definedName name="TBdd2a8b98_3628_42dc_af10_fc9117e79279" hidden="1">#REF!</definedName>
    <definedName name="TBdd3a4514_5da5_41bf_926d_f30c286dc35e" hidden="1">#REF!</definedName>
    <definedName name="TBdd3a7b5b_69f2_4a60_9dc1_3bd165c0da26" hidden="1">#REF!</definedName>
    <definedName name="TBdd4969db_7f0f_4c46_a49d_550062bb16b5" hidden="1">#REF!</definedName>
    <definedName name="TBdd4ab4a1_a62b_4276_a308_dd52976639ab" hidden="1">#REF!</definedName>
    <definedName name="TBdd5a0874_b443_405f_ac8c_20383aa1f692" hidden="1">#REF!</definedName>
    <definedName name="TBdd5a376c_e169_4016_9804_1f42d80569d6" hidden="1">#REF!</definedName>
    <definedName name="TBdd5d2434_f182_4126_8ba4_037b1dc5b689" hidden="1">#REF!</definedName>
    <definedName name="TBdd5d6c64_7f52_4e4c_ad30_d5a20d26f033" hidden="1">#REF!</definedName>
    <definedName name="TBdd7d17dc_107d_45a1_ad46_4a0c819452d1" hidden="1">#REF!</definedName>
    <definedName name="TBdd869418_40a1_455a_93b4_8bce5860ea64" hidden="1">#REF!</definedName>
    <definedName name="TBdd87540d_73b9_4f2c_bd02_a628f0aba0ce" hidden="1">#REF!</definedName>
    <definedName name="TBdd9031eb_9abc_440f_88b1_b0794abc64c3" hidden="1">#REF!</definedName>
    <definedName name="TBddb27d31_cee0_412c_864b_8fc9ee53d46f" hidden="1">#REF!</definedName>
    <definedName name="TBddba0f62_6d7c_4050_bd76_eef903e94b6d" hidden="1">#REF!</definedName>
    <definedName name="TBddbf6169_f767_4e20_b943_fed410ab74a5" hidden="1">#REF!</definedName>
    <definedName name="TBddca80c9_ee5a_4907_b950_67df398b338c" hidden="1">#REF!</definedName>
    <definedName name="TBddd9a75f_00ac_4202_83b3_50ab321785c9" hidden="1">#REF!</definedName>
    <definedName name="TBddfa0232_1583_4907_9c5e_801eb4f5e344" hidden="1">#REF!</definedName>
    <definedName name="TBddfdf9b1_d5cf_4f31_8d95_12b6b4a657dc" hidden="1">#REF!</definedName>
    <definedName name="TBde0101f0_bf72_415d_af22_3c2cd80511f2" hidden="1">#REF!</definedName>
    <definedName name="TBde1bb9c6_d4dd_477f_a7d9_69118f182092" hidden="1">#REF!</definedName>
    <definedName name="TBde2b5763_e30c_4003_8f3b_da96b5277988" hidden="1">#REF!</definedName>
    <definedName name="TBde30dfc1_8799_4830_a01a_21ce2d79589a" hidden="1">#REF!</definedName>
    <definedName name="TBde340703_58e5_4f96_84e5_86657ed97a53" hidden="1">#REF!</definedName>
    <definedName name="TBde5e18a1_065b_4690_8428_ac8fac0bef33" hidden="1">#REF!</definedName>
    <definedName name="TBde703009_63dc_40e7_beae_30e87da082e1" hidden="1">#REF!</definedName>
    <definedName name="TBde78c97d_533b_423b_a0ef_2479a02814db" hidden="1">#REF!</definedName>
    <definedName name="TBde848d39_0bfc_4f43_9f36_2438c137cc83" hidden="1">#REF!</definedName>
    <definedName name="TBde896473_9288_4292_b96f_dff17cd5dbc3" hidden="1">#REF!</definedName>
    <definedName name="TBde955832_bc42_4a53_aaa8_67b3a6502a40" hidden="1">#REF!</definedName>
    <definedName name="TBdeb11ccc_c09f_4e5b_b580_760b3ff28be9" hidden="1">#REF!</definedName>
    <definedName name="TBdeb1aa32_5e44_4541_adc1_726760bada75" hidden="1">#REF!</definedName>
    <definedName name="TBdeb2bca3_5c34_407b_af3f_8f17a799272e" hidden="1">#REF!</definedName>
    <definedName name="TBdeb30067_6026_4bc7_ac9d_17ca94af1537" hidden="1">#REF!</definedName>
    <definedName name="TBdec9bd1f_629b_4bb5_a229_b70392092f08" hidden="1">#REF!</definedName>
    <definedName name="TBdedb7a6d_e05b_4db9_9872_358855d11f9c" hidden="1">#REF!</definedName>
    <definedName name="TBdedc122c_7f8c_4fac_ac40_062f0529f72d" hidden="1">#REF!</definedName>
    <definedName name="TBdedfab69_ed23_4eed_b6c9_cf2b155e041d" hidden="1">#REF!</definedName>
    <definedName name="TBdee96e4b_8c2a_4e64_930f_e22d105dc701" hidden="1">#REF!</definedName>
    <definedName name="TBdf0567e1_fe6f_4c78_8144_0fb1d7f2dd0a" hidden="1">#REF!</definedName>
    <definedName name="TBdf0c368c_b904_4485_b9ac_da5670c1859a" hidden="1">#REF!</definedName>
    <definedName name="TBdf277f6f_76a7_4c42_85a3_e1307de4042b" hidden="1">#REF!</definedName>
    <definedName name="TBdf2abf88_f5bf_4401_998f_6694fb601377" hidden="1">#REF!</definedName>
    <definedName name="TBdf3bfa39_9af0_477b_8d7f_0f7fa2cf83ea" hidden="1">#REF!</definedName>
    <definedName name="TBdf403d7e_0c83_4dec_92bb_62b81ad5c812" hidden="1">#REF!</definedName>
    <definedName name="TBdf50b732_d579_4506_9798_11cd54b8e127" hidden="1">#REF!</definedName>
    <definedName name="TBdf558a4d_991d_4f80_ab59_0cc68d397703" hidden="1">#REF!</definedName>
    <definedName name="TBdf560aeb_a42d_4118_aa12_bce3cf336998" hidden="1">#REF!</definedName>
    <definedName name="TBdf5d7469_aee2_436b_82a1_0168837d2a2d" hidden="1">#REF!</definedName>
    <definedName name="TBdf873a67_6271_4dd3_a74a_8f9d4432dce5" hidden="1">#REF!</definedName>
    <definedName name="TBdf911b05_8cdb_45dc_8e59_116ce62a2894" hidden="1">#REF!</definedName>
    <definedName name="TBdf9b2228_0c0e_43c4_a99d_00612e717fca" hidden="1">#REF!</definedName>
    <definedName name="TBdf9cd13e_6f52_42aa_92dc_019df162f957" hidden="1">#REF!</definedName>
    <definedName name="TBdfa9e1ab_6df6_489b_9b05_639ecfdb470f" hidden="1">#REF!</definedName>
    <definedName name="TBdfaffb90_94de_4476_b2e4_aba809cc47e2" hidden="1">#REF!</definedName>
    <definedName name="TBdfb00708_dbbf_4576_b143_f67d3a06f9f2" hidden="1">#REF!</definedName>
    <definedName name="TBdfb377ae_a123_4dd3_8bda_805f35b0bf42" hidden="1">#REF!</definedName>
    <definedName name="TBdfb6f44e_22b1_46db_bcaf_444228390604" hidden="1">#REF!</definedName>
    <definedName name="TBdfc38e2e_4dd1_4510_a927_f6c6fa4334c8" hidden="1">#REF!</definedName>
    <definedName name="TBdfc572f0_23ff_4838_8608_1b192b40fb61" hidden="1">#REF!</definedName>
    <definedName name="TBdfc83332_d457_47cb_afc1_44a787547ba4" hidden="1">#REF!</definedName>
    <definedName name="TBdfd0a226_5d76_4b24_8173_a1abfc2c3cfb" hidden="1">#REF!</definedName>
    <definedName name="TBdfd57351_e1a0_4e41_8d23_52b4114fd92f" hidden="1">#REF!</definedName>
    <definedName name="TBdfe0cb5e_9b35_469f_bf48_bcd7e63d1334" hidden="1">#REF!</definedName>
    <definedName name="TBdfec1ef5_81b7_41c6_827b_971881c9230e" hidden="1">#REF!</definedName>
    <definedName name="TBdff62c53_b7cf_4621_89f1_cc9efbc91764" hidden="1">#REF!</definedName>
    <definedName name="TBdffa9e48_67c5_4fbe_b15d_c8ccaf2af937" hidden="1">#REF!</definedName>
    <definedName name="TBdffd5eb3_5f07_496e_8c31_5264d3cc66bd" hidden="1">#REF!</definedName>
    <definedName name="TBe00871ec_9f07_4185_afa3_2d90607ff1af" hidden="1">#REF!</definedName>
    <definedName name="TBe00b8809_27e5_49be_b5fa_d67aa274c302" hidden="1">#REF!</definedName>
    <definedName name="TBe00d808c_24a9_41ff_b8cf_ee8e7115dc61" hidden="1">#REF!</definedName>
    <definedName name="TBe014c1e5_31d0_47e0_a88f_1d7d3d045bed" hidden="1">#REF!</definedName>
    <definedName name="TBe0199d1e_5d94_4cec_b4b4_182d16b330b7" hidden="1">#REF!</definedName>
    <definedName name="TBe025e5f6_397c_47be_933b_3cd78ef2fdd9" hidden="1">#REF!</definedName>
    <definedName name="TBe034fd66_5efd_4e4b_a8dc_cc6b942920f3" hidden="1">#REF!</definedName>
    <definedName name="TBe0423b69_1494_490b_99f9_ce42364b4d0a" hidden="1">#REF!</definedName>
    <definedName name="TBe04b0628_3626_4ab8_8860_cba3b16e64e3" hidden="1">#REF!</definedName>
    <definedName name="TBe0507f73_45d0_49fe_a904_81161272117d" hidden="1">#REF!</definedName>
    <definedName name="TBe058d288_fd12_43c7_a759_d37e28471062" hidden="1">#REF!</definedName>
    <definedName name="TBe0592d46_bdec_41ea_8170_5fa094d6297d" hidden="1">#REF!</definedName>
    <definedName name="TBe05c3b10_0c56_44fd_b65a_e1f56dbdae7f" hidden="1">#REF!</definedName>
    <definedName name="TBe06a622a_76e5_4d4b_b5df_2d15cde8f1e8" hidden="1">#REF!</definedName>
    <definedName name="TBe08d10df_a2cb_4f72_bfae_606a25eb3ec7" hidden="1">#REF!</definedName>
    <definedName name="TBe09bc817_a8c7_43c1_8d8b_172b7e28020c" hidden="1">#REF!</definedName>
    <definedName name="TBe0acdb63_6243_48cc_87f2_023f26e1b1ae" hidden="1">#REF!</definedName>
    <definedName name="TBe0bd09ec_4cf1_4032_a2de_a40d71248cf9" hidden="1">#REF!</definedName>
    <definedName name="TBe0d528e8_57a7_416d_b3cc_07865cd5c8d2" hidden="1">#REF!</definedName>
    <definedName name="TBe0e146ac_641f_4a6c_b842_567b1a4d3640" hidden="1">#REF!</definedName>
    <definedName name="TBe0eaa5b1_7cff_4990_9126_996d5c31fa17" hidden="1">#REF!</definedName>
    <definedName name="TBe0f11746_7bea_446e_98b3_ed8d9954d2e5" hidden="1">#REF!</definedName>
    <definedName name="TBe0f428c7_ecdb_46f3_a336_3a76583b07a2" hidden="1">#REF!</definedName>
    <definedName name="TBe0f6f17d_f12b_492e_a697_2cdb22e5d64d" hidden="1">#REF!</definedName>
    <definedName name="TBe0f897e8_2ae5_4ddf_961f_2077944c8e76" hidden="1">#REF!</definedName>
    <definedName name="TBe0fc7361_8a99_4b54_886e_f486ec25dc5b" hidden="1">#REF!</definedName>
    <definedName name="TBe0fec1db_a766_4cb9_b691_191178bc184f" hidden="1">#REF!</definedName>
    <definedName name="TBe11c88ef_0028_4d66_9fc3_8b45a2fe4b7b" hidden="1">#REF!</definedName>
    <definedName name="TBe1268680_6bc4_47de_b2bf_e302ab4a5e53" hidden="1">#REF!</definedName>
    <definedName name="TBe12ea539_adff_4934_93a5_11b1ab39d8f7" hidden="1">#REF!</definedName>
    <definedName name="TBe13d6756_4886_4dd1_828f_5e2561f96e13" hidden="1">#REF!</definedName>
    <definedName name="TBe14c94d4_2a26_472e_b18d_b1c8a7f51c29" hidden="1">#REF!</definedName>
    <definedName name="TBe171f3ff_2aaf_434d_bead_b1f0e453a1a0" hidden="1">#REF!</definedName>
    <definedName name="TBe1829203_eace_419a_ac41_97c65cbb617a" hidden="1">#REF!</definedName>
    <definedName name="TBe182d624_9831_44bd_a6ec_bb4d51464b7a" hidden="1">#REF!</definedName>
    <definedName name="TBe1856c89_ce1c_42b6_83df_188c18891824" hidden="1">#REF!</definedName>
    <definedName name="TBe19309dc_66b8_4d3a_b4fe_259d83b8b3f1" hidden="1">#REF!</definedName>
    <definedName name="TBe19324d9_17f2_4543_b987_624d3c0cb260" hidden="1">#REF!</definedName>
    <definedName name="TBe1957f8d_b90b_4e4c_8b9a_0e3f2248adea" hidden="1">#REF!</definedName>
    <definedName name="TBe1a2025d_d948_4a11_83ac_68a67f503fcb" hidden="1">#REF!</definedName>
    <definedName name="TBe1a6da94_d5ba_4f4d_aaa5_924a2f2e3b2a" hidden="1">#REF!</definedName>
    <definedName name="TBe1b4ad97_807c_4f15_babe_09b2923fc445" hidden="1">#REF!</definedName>
    <definedName name="TBe1bec151_f05e_4b75_96d5_e1f1a9787136" hidden="1">#REF!</definedName>
    <definedName name="TBe1c1a958_8760_4316_87b6_d47dc81a0edd" hidden="1">#REF!</definedName>
    <definedName name="TBe1cdb9a2_8bfc_4409_b12e_9ff9eb2302f7" hidden="1">#REF!</definedName>
    <definedName name="TBe1d31226_75a6_415a_853b_1b76e0436506" hidden="1">#REF!</definedName>
    <definedName name="TBe1d97f98_8b4d_43b6_a798_ac4572daba37" hidden="1">#REF!</definedName>
    <definedName name="TBe1dc37fa_0447_44b2_8be4_5d48852dfa5b" hidden="1">#REF!</definedName>
    <definedName name="TBe1f13915_99d5_47e3_844e_658c0a2e0716" hidden="1">#REF!</definedName>
    <definedName name="TBe2180492_ee44_4d4b_9744_4bc12947b7e1" hidden="1">#REF!</definedName>
    <definedName name="TBe218cce4_2246_4bae_b736_2065bfc7d53a" hidden="1">#REF!</definedName>
    <definedName name="TBe2268114_66aa_4f44_a224_8106006145d2" hidden="1">#REF!</definedName>
    <definedName name="TBe22fa67c_8df9_4e95_9b1d_8ade953bf29c" hidden="1">#REF!</definedName>
    <definedName name="TBe23631d2_def4_4da6_bbca_39ca59679685" hidden="1">#REF!</definedName>
    <definedName name="TBe237fd66_5bd6_4d9a_8b63_05117e140e04" hidden="1">#REF!</definedName>
    <definedName name="TBe257c27a_2e88_4777_93ae_d580b7fb2dab" hidden="1">#REF!</definedName>
    <definedName name="TBe25aa36d_fe8a_495f_9259_0c76156f6cd9" hidden="1">#REF!</definedName>
    <definedName name="TBe25b3997_21b7_47d6_b829_893972f48cc3" hidden="1">#REF!</definedName>
    <definedName name="TBe2745940_a3ea_46b3_be57_e95b4bed6d5a" hidden="1">#REF!</definedName>
    <definedName name="TBe27da72e_cd92_40b4_97bb_fc1252f6ac1c" hidden="1">#REF!</definedName>
    <definedName name="TBe2a8fc4a_60fb_421f_978c_674a2b998284" hidden="1">#REF!</definedName>
    <definedName name="TBe2b3dd3b_1e13_41c7_8b82_54702c8fa40c" hidden="1">#REF!</definedName>
    <definedName name="TBe2bf16de_54eb_4705_83f1_17d8e6f6a890" hidden="1">#REF!</definedName>
    <definedName name="TBe2c2a78e_27ab_4b32_a3aa_d886ad036309" hidden="1">#REF!</definedName>
    <definedName name="TBe2e51915_f8a9_419b_9a5f_e4fec126383c" hidden="1">#REF!</definedName>
    <definedName name="TBe2e69dc4_4d7d_4f79_8cd6_e4105674a846" hidden="1">#REF!</definedName>
    <definedName name="TBe2ece15a_1f29_4435_a2af_e504fe488a65" hidden="1">#REF!</definedName>
    <definedName name="TBe2ed9f16_248e_4bca_862f_586451792063" hidden="1">#REF!</definedName>
    <definedName name="TBe2ee36af_d280_4c78_9293_483e87f850ad" hidden="1">#REF!</definedName>
    <definedName name="TBe2f7197d_6bbc_4c33_af78_f301fc852c0e" hidden="1">#REF!</definedName>
    <definedName name="TBe30fb982_b441_4183_a4c2_3db13c46eb9c" hidden="1">#REF!</definedName>
    <definedName name="TBe3130013_50dc_4305_bed5_5312ab6d103b" hidden="1">#REF!</definedName>
    <definedName name="TBe31e84c8_1e2c_47c2_a818_e07e6e93c77b" hidden="1">#REF!</definedName>
    <definedName name="TBe330c6b3_8f13_498e_9a99_505ee20b60fd" hidden="1">#REF!</definedName>
    <definedName name="TBe3380b5e_b089_4e8b_b4d7_6c26a13e5337" hidden="1">#REF!</definedName>
    <definedName name="TBe342f83b_d851_4f0d_a09a_fc3c2b9c6a61" hidden="1">#REF!</definedName>
    <definedName name="TBe34355cf_a9e7_4706_902b_661d731b6e41" hidden="1">#REF!</definedName>
    <definedName name="TBe360ff4d_5d4a_4f0e_8194_f7ad2908e893" hidden="1">#REF!</definedName>
    <definedName name="TBe3637d63_ab76_4bdb_b6a5_e4a5dcf79a1c" hidden="1">#REF!</definedName>
    <definedName name="TBe38fdfe8_6454_41dc_a8be_a28c79d7ca81" hidden="1">#REF!</definedName>
    <definedName name="TBe3b6a5e7_ba60_487b_98e7_da77f4d3aa87" hidden="1">#REF!</definedName>
    <definedName name="TBe3b836e4_4a76_4b9c_80b3_5c8cd2d3a594" hidden="1">#REF!</definedName>
    <definedName name="TBe3d099bf_d38e_4f96_948f_152bf08bb600" hidden="1">#REF!</definedName>
    <definedName name="TBe3d1a5d9_01d7_4cd8_a6b0_3f11360bdaa1" hidden="1">#REF!</definedName>
    <definedName name="TBe3d9b544_3094_4548_bca6_9b8398d4292e" hidden="1">#REF!</definedName>
    <definedName name="TBe3e64479_ee38_4559_a643_d47bd9186a03" hidden="1">#REF!</definedName>
    <definedName name="TBe3f99adb_d508_43b7_9e92_f91a87bf105d" hidden="1">#REF!</definedName>
    <definedName name="TBe427da0b_2ab7_48e4_87dc_5eb712e91851" hidden="1">#REF!</definedName>
    <definedName name="TBe431b64c_8620_40fa_a18f_b144f18ea518" hidden="1">#REF!</definedName>
    <definedName name="TBe43acdf2_1a32_4b51_95aa_e46d70db150e" hidden="1">#REF!</definedName>
    <definedName name="TBe44b5acd_60f1_45a7_b915_ddc829191f61" hidden="1">#REF!</definedName>
    <definedName name="TBe45adc4b_6a7e_46b0_94ab_64dd23429c97" hidden="1">#REF!</definedName>
    <definedName name="TBe45f1ffd_1d51_4412_b6cb_8b6279ce98d6" hidden="1">#REF!</definedName>
    <definedName name="TBe460ce55_2ab5_4d84_afa1_2e4180de8cdb" hidden="1">#REF!</definedName>
    <definedName name="TBe47cda67_902e_4a3e_b30e_9cf161b97a5c" hidden="1">#REF!</definedName>
    <definedName name="TBe4849461_9d88_4778_8e8a_9bbd674c9a0a" hidden="1">#REF!</definedName>
    <definedName name="TBe48fa5c5_6cf1_44e4_b300_d2c19fc839f9" hidden="1">#REF!</definedName>
    <definedName name="TBe4916f08_639e_452a_8f5c_db8c7d711e17" hidden="1">#REF!</definedName>
    <definedName name="TBe4a860e2_8365_426f_bc86_5ad1763b1a4a" hidden="1">#REF!</definedName>
    <definedName name="TBe4a866a9_e5c8_4c80_8684_add66db4d869" hidden="1">#REF!</definedName>
    <definedName name="TBe4aeeccc_a205_4b1d_97c9_fb2a6c7eef78" hidden="1">#REF!</definedName>
    <definedName name="TBe4ba2d9b_4932_4145_9e3b_9061d00952e4" hidden="1">#REF!</definedName>
    <definedName name="TBe4bedfe3_fb80_4db1_94d5_f298009b2021" hidden="1">#REF!</definedName>
    <definedName name="TBe4c4f804_9e20_4503_ab12_b95994f7d170" hidden="1">#REF!</definedName>
    <definedName name="TBe4ce5bf9_1d41_4052_a40f_c01f66947cef" hidden="1">#REF!</definedName>
    <definedName name="TBe4ef7093_9def_4f07_9188_4be5b4b98fb7" hidden="1">#REF!</definedName>
    <definedName name="TBe4efa06d_f0d9_4130_bd2f_9ef85f5c77cc" hidden="1">#REF!</definedName>
    <definedName name="TBe5074fbb_92df_47a3_9d13_3bfcd85f5a69" hidden="1">#REF!</definedName>
    <definedName name="TBe50e6885_1e6f_431c_9fb8_5103b72a8ba9" hidden="1">#REF!</definedName>
    <definedName name="TBe52fdca1_c678_44db_a72b_75978bbea12a" hidden="1">#REF!</definedName>
    <definedName name="TBe5343e5d_3822_4567_acaf_0184e9749d72" hidden="1">#REF!</definedName>
    <definedName name="TBe537becf_44fa_40fc_8326_72bfa7fc774b" hidden="1">#REF!</definedName>
    <definedName name="TBe53daadd_bfac_451b_aa03_11ad6a9d93c7" hidden="1">#REF!</definedName>
    <definedName name="TBe545b594_89ef_4ab4_a3a0_940fb2ab49f7" hidden="1">#REF!</definedName>
    <definedName name="TBe548e1f0_2131_4468_8508_2d248b1aa481" hidden="1">#REF!</definedName>
    <definedName name="TBe54b183f_eea1_4a38_9f25_8b8974abba83" hidden="1">#REF!</definedName>
    <definedName name="TBe55e2828_a7ad_413c_94ba_4c9a6e20ee2b" hidden="1">#REF!</definedName>
    <definedName name="TBe5626a32_cdd1_4c20_b066_5f624cf5dc14" hidden="1">#REF!</definedName>
    <definedName name="TBe569ba8d_9cc0_4267_8d2f_21acab967d61" hidden="1">#REF!</definedName>
    <definedName name="TBe575354e_6f2e_4260_ad7f_a0f4b765a5c1" hidden="1">#REF!</definedName>
    <definedName name="TBe57c15bc_a7be_4524_9b83_3acc078a20a5" hidden="1">#REF!</definedName>
    <definedName name="TBe57f3563_b6a6_4a2b_816d_0f80e0a42957" hidden="1">#REF!</definedName>
    <definedName name="TBe5961bad_a03c_43a8_9dc6_cd567480f4cc" hidden="1">#REF!</definedName>
    <definedName name="TBe59b8a29_b4ec_4105_83b4_b611b13994bd" hidden="1">#REF!</definedName>
    <definedName name="TBe5ba6a4b_70a3_434c_a8fc_e1bd87cdc988" hidden="1">#REF!</definedName>
    <definedName name="TBe5c68a2e_33c3_4e02_a4db_63fb86ef7f35" hidden="1">#REF!</definedName>
    <definedName name="TBe5ddc41d_bd08_478b_ba6e_0d3fc2bbdf49" hidden="1">#REF!</definedName>
    <definedName name="TBe5e51b09_06ff_4dfe_b811_0bc2b5f702a6" hidden="1">#REF!</definedName>
    <definedName name="TBe5f0f75b_fa48_40fc_b197_d98158b92e0e" hidden="1">#REF!</definedName>
    <definedName name="TBe5f1e167_6ade_4dc8_b453_17e45cc93cd0" hidden="1">#REF!</definedName>
    <definedName name="TBe6468dc0_e9d9_4176_8598_138c5f83ea64" hidden="1">#REF!</definedName>
    <definedName name="TBe649af8a_19ac_4017_859e_00f12e4ce285" hidden="1">#REF!</definedName>
    <definedName name="TBe6511ccc_28c2_4a2e_869e_964d9d6faa05" hidden="1">#REF!</definedName>
    <definedName name="TBe657a616_2634_407b_a162_fb2ea022fcd8" hidden="1">#REF!</definedName>
    <definedName name="TBe66390c4_4fd3_4fa6_bb3c_d6bfd95c2ff3" hidden="1">#REF!</definedName>
    <definedName name="TBe674708d_dced_4cf9_a87d_76cc022ed44f" hidden="1">#REF!</definedName>
    <definedName name="TBe677bc6b_12d1_4e09_8ca2_a81749fd320c" hidden="1">#REF!</definedName>
    <definedName name="TBe67c005c_dc82_4e57_ae71_9fd761694f68" hidden="1">#REF!</definedName>
    <definedName name="TBe67e036e_180d_4650_9411_0af3ba73ef21" hidden="1">#REF!</definedName>
    <definedName name="TBe6887770_411d_480a_a886_24df49468b53" hidden="1">#REF!</definedName>
    <definedName name="TBe68f066d_81ee_419f_a599_adcda2121db2" hidden="1">#REF!</definedName>
    <definedName name="TBe6ad3f91_52fb_44de_953e_d1849dea65d7" hidden="1">#REF!</definedName>
    <definedName name="TBe6b26c5d_4d22_453c_92be_92ed36d6f286" hidden="1">#REF!</definedName>
    <definedName name="TBe6c53332_8179_4690_a269_3562b040ffb8" hidden="1">#REF!</definedName>
    <definedName name="TBe6c6b56a_8060_457e_9105_0846fd9cff97" hidden="1">#REF!</definedName>
    <definedName name="TBe6cf2e05_88aa_46a6_83aa_19a9b65b2f8c" hidden="1">#REF!</definedName>
    <definedName name="TBe6cfbffc_2533_4f04_adc1_4442cb3b876b" hidden="1">#REF!</definedName>
    <definedName name="TBe6e0b620_16f0_4375_81c0_1926568c1880" hidden="1">#REF!</definedName>
    <definedName name="TBe7086c6d_3f10_4ce8_ba32_43712bc78035" hidden="1">#REF!</definedName>
    <definedName name="TBe708b79c_0cd9_42cb_bc62_798655cdd753" hidden="1">#REF!</definedName>
    <definedName name="TBe71e92b9_2d13_4358_886c_6a8934829abe" hidden="1">#REF!</definedName>
    <definedName name="TBe71f3602_11cb_4752_a048_242ad42b4438" hidden="1">#REF!</definedName>
    <definedName name="TBe7207135_aa32_49a0_aa94_fb416e8278d6" hidden="1">#REF!</definedName>
    <definedName name="TBe72a19f4_3f6f_4073_b286_d83c1dba9e35" hidden="1">#REF!</definedName>
    <definedName name="TBe72b5c80_8fce_4d6d_982b_2f48b468dd16" hidden="1">#REF!</definedName>
    <definedName name="TBe76d2cbb_7c37_4bb7_a686_77fd47442df0" hidden="1">#REF!</definedName>
    <definedName name="TBe7721eee_7edd_48e0_b6fc_1c833a5efaf5" hidden="1">#REF!</definedName>
    <definedName name="TBe7797088_f484_4d77_8c0b_75b3e76d73ac" hidden="1">#REF!</definedName>
    <definedName name="TBe782a270_c036_431f_999d_f994666b6d8d" hidden="1">#REF!</definedName>
    <definedName name="TBe7a2732c_c3df_4c92_8b84_17bc515544aa" hidden="1">#REF!</definedName>
    <definedName name="TBe7c7bea3_7ba6_487b_a42c_98aa9adb0980" hidden="1">#REF!</definedName>
    <definedName name="TBe7ccc9bf_e075_4f17_901a_83941a86b4ae" hidden="1">#REF!</definedName>
    <definedName name="TBe7ce39f9_a17b_4c0b_a21d_e88723ce3d53" hidden="1">#REF!</definedName>
    <definedName name="TBe7da5d37_ccff_4418_9903_cbe79de0225a" hidden="1">#REF!</definedName>
    <definedName name="TBe7e1b98b_8fd1_4676_b75a_641087d2202c" hidden="1">#REF!</definedName>
    <definedName name="TBe7ec8f7d_f76f_4680_9bad_c65d7f37d1dc" hidden="1">#REF!</definedName>
    <definedName name="TBe80b9c22_83c4_4d37_9820_96bc65213ec4" hidden="1">#REF!</definedName>
    <definedName name="TBe80e0ed9_891b_4581_9a3e_6703071235cf" hidden="1">#REF!</definedName>
    <definedName name="TBe824c898_c97f_490e_823a_d6e667b6baf2" hidden="1">#REF!</definedName>
    <definedName name="TBe82a373a_8c41_4ae8_9251_f6288a73f3b2" hidden="1">#REF!</definedName>
    <definedName name="TBe8331198_b10a_4eb3_8fe5_35fa61402ae2" hidden="1">#REF!</definedName>
    <definedName name="TBe8354335_bd93_472c_b087_b8ec0d107d46" hidden="1">#REF!</definedName>
    <definedName name="TBe83b0850_9533_44d3_b53b_0f4eecd9adf8" hidden="1">#REF!</definedName>
    <definedName name="TBe85a5a76_5acb_42b5_99a8_2b9453c2e7d8" hidden="1">#REF!</definedName>
    <definedName name="TBe86c031b_4acd_4ed0_b4d9_144fc31b2c5d" hidden="1">#REF!</definedName>
    <definedName name="TBe8726f75_98a9_4b16_9bd4_2f6524ddc80c" hidden="1">#REF!</definedName>
    <definedName name="TBe87eff13_f388_419d_a65f_4dab39a19131" hidden="1">#REF!</definedName>
    <definedName name="TBe88685de_7079_4239_8beb_61936ffdfd26" hidden="1">#REF!</definedName>
    <definedName name="TBe88950c4_662e_4e8f_b788_be712dc85077" hidden="1">#REF!</definedName>
    <definedName name="TBe891ca7b_d757_4df9_be07_d67ad6d0566d" hidden="1">#REF!</definedName>
    <definedName name="TBe893b161_10a4_4200_80ef_f3462fd9a858" hidden="1">#REF!</definedName>
    <definedName name="TBe89562b9_07dd_4cc4_bbcb_6843b539a7f5" hidden="1">#REF!</definedName>
    <definedName name="TBe89a1f2c_dc14_4f30_8710_a5b8a95b0ab0" hidden="1">#REF!</definedName>
    <definedName name="TBe8a36ef3_d5ae_42e9_8fe3_b2690afca3f9" hidden="1">#REF!</definedName>
    <definedName name="TBe8a6117b_911d_4a57_885e_d01b45db73a0" hidden="1">#REF!</definedName>
    <definedName name="TBe8ac3903_3218_408d_8d7b_c54f499294c7" hidden="1">#REF!</definedName>
    <definedName name="TBe8b88cee_aa54_48da_8adb_1b58767277d0" hidden="1">#REF!</definedName>
    <definedName name="TBe8c5ca43_4095_4993_bf2d_27d51ff26fe1" hidden="1">#REF!</definedName>
    <definedName name="TBe8dd842d_4a19_45eb_b5c1_6c3c72031e9b" hidden="1">#REF!</definedName>
    <definedName name="TBe8e39b14_8c3e_48f2_8e26_ad9a864405c1" hidden="1">#REF!</definedName>
    <definedName name="TBe8e3fa50_a5a0_48a9_9a04_a272ee172d90" hidden="1">#REF!</definedName>
    <definedName name="TBe8ea6afd_ea5a_4658_9e6e_9ef3ce410f0d" hidden="1">#REF!</definedName>
    <definedName name="TBe8f08785_fe39_4443_8214_bf06de3727bb" hidden="1">#REF!</definedName>
    <definedName name="TBe8f645cf_266e_4307_8b75_370e92a7e928" hidden="1">#REF!</definedName>
    <definedName name="TBe8f91d0a_9724_4740_a38f_c95b6369492e" hidden="1">#REF!</definedName>
    <definedName name="TBe8faf66d_bf34_4d2a_be61_e18f25211da9" hidden="1">#REF!</definedName>
    <definedName name="TBe8fef651_71ac_4833_9ecc_0a670ec8e2a8" hidden="1">#REF!</definedName>
    <definedName name="TBe901189f_68a3_4add_b797_61f989441b4b" hidden="1">#REF!</definedName>
    <definedName name="TBe9095e49_0b26_4745_ba5c_e6ba2217fb7e" hidden="1">#REF!</definedName>
    <definedName name="TBe90f41e1_43c1_4121_94fa_a713457ccd6d" hidden="1">#REF!</definedName>
    <definedName name="TBe915a28a_c52c_4ee5_bebb_ad5399f6c564" hidden="1">#REF!</definedName>
    <definedName name="TBe9162f16_5177_4bfa_98dd_c2f1e1ec3f47" hidden="1">#REF!</definedName>
    <definedName name="TBe9289e90_1099_4b7f_a639_7f13b0601831" hidden="1">#REF!</definedName>
    <definedName name="TBe9338d22_aee5_4e50_9b4d_e8105f942077" hidden="1">#REF!</definedName>
    <definedName name="TBe93d1e4b_38ff_4be4_b30a_2e1e49986da9" hidden="1">#REF!</definedName>
    <definedName name="TBe9408ae5_a068_4a63_b294_876a75abdef8" hidden="1">#REF!</definedName>
    <definedName name="TBe9526b90_1c64_4b98_a248_5fadd39fac53" hidden="1">#REF!</definedName>
    <definedName name="TBe953acbf_9490_4d52_a98a_c556e9755e1a" hidden="1">#REF!</definedName>
    <definedName name="TBe9561c17_a855_466b_867f_38798701563c" hidden="1">#REF!</definedName>
    <definedName name="TBe966354b_2b0c_45eb_a905_773ef43c8821" hidden="1">#REF!</definedName>
    <definedName name="TBe97d5ad9_d6f5_47e2_901b_27b2834a2a3e" hidden="1">#REF!</definedName>
    <definedName name="TBe980560f_1371_4368_9856_6d35b28a69cd" hidden="1">#REF!</definedName>
    <definedName name="TBe99604f0_88c2_4731_acde_8cf950604b6f" hidden="1">#REF!</definedName>
    <definedName name="TBe9977051_654b_427e_8ea9_f5a86f8fd145" hidden="1">#REF!</definedName>
    <definedName name="TBe99b2b49_1262_4ab4_a4ca_b2e9d2d988b4" hidden="1">#REF!</definedName>
    <definedName name="TBe9a275c1_d911_48eb_908c_4708b57aede6" hidden="1">#REF!</definedName>
    <definedName name="TBe9a2fb81_01af_4a8a_bf72_7d1372ad9e74" hidden="1">#REF!</definedName>
    <definedName name="TBe9b26df4_0d8c_4b1a_8242_98f9659553e2" hidden="1">#REF!</definedName>
    <definedName name="TBe9b44b75_193c_49ca_b8ba_43d5c6dd5635" hidden="1">#REF!</definedName>
    <definedName name="TBe9b52331_97b7_481e_807f_1c2363ea8e71" hidden="1">#REF!</definedName>
    <definedName name="TBe9b89acf_de0e_49a8_967d_d4a95b346ce5" hidden="1">#REF!</definedName>
    <definedName name="TBe9ba0ab5_18c3_4869_a00f_61d650c2e02c" hidden="1">#REF!</definedName>
    <definedName name="TBe9d175a7_b579_4c14_8187_d19fea3cb166" hidden="1">#REF!</definedName>
    <definedName name="TBe9d9c448_85bc_4fb5_82da_84f8830e2f2a" hidden="1">#REF!</definedName>
    <definedName name="TBe9e06dfe_c9e1_43f6_8ead_f3033d84bd11" hidden="1">#REF!</definedName>
    <definedName name="TBe9e8f67f_6fb6_4a70_93bc_2991379f0734" hidden="1">#REF!</definedName>
    <definedName name="TBe9f064c4_9b96_460a_9b91_beec0f655e7e" hidden="1">#REF!</definedName>
    <definedName name="TBea03a3f0_d94b_406f_8dea_8ac03c05490e" hidden="1">#REF!</definedName>
    <definedName name="TBea22cca3_33e8_413e_b276_71387589dd09" hidden="1">#REF!</definedName>
    <definedName name="TBea250a08_1237_4494_8274_3f4cbb5fa906" hidden="1">#REF!</definedName>
    <definedName name="TBea355742_a485_4faa_a82b_57b96843df35" hidden="1">#REF!</definedName>
    <definedName name="TBea4f1b81_47ee_44f7_98fd_c0b37ee1c177" hidden="1">#REF!</definedName>
    <definedName name="TBea520b69_87c8_484c_ac3a_584cbb1599bf" hidden="1">#REF!</definedName>
    <definedName name="TBea71480e_2b0a_411a_b959_ce4a739a8b50" hidden="1">#REF!</definedName>
    <definedName name="TBea893b9e_4fef_4b3a_ac54_665596a74e41" hidden="1">#REF!</definedName>
    <definedName name="TBea8b29ff_f9ac_417c_a26a_4a813887dfaf" hidden="1">#REF!</definedName>
    <definedName name="TBea8eb460_6107_4865_b460_ec3d4a7cd72f" hidden="1">#REF!</definedName>
    <definedName name="TBea98fa17_f639_4318_b546_dd38db3d432b" hidden="1">#REF!</definedName>
    <definedName name="TBeaa9667b_db1d_4d43_85af_8c78cc2253ad" hidden="1">#REF!</definedName>
    <definedName name="TBeaaa12f6_b50e_4ac9_a6d8_391e67024480" hidden="1">#REF!</definedName>
    <definedName name="TBeacfb226_b46f_407c_afa3_bf77eb02be90" hidden="1">#REF!</definedName>
    <definedName name="TBeadcdf39_1d22_470a_aa69_ede31985dd18" hidden="1">#REF!</definedName>
    <definedName name="TBeae9843c_00c9_43f2_97e8_d218c57f2fbb" hidden="1">#REF!</definedName>
    <definedName name="TBeafe9035_a630_4d1b_8e5e_b3979c9e0e55" hidden="1">#REF!</definedName>
    <definedName name="TBeb1aff40_56b4_460a_8ee4_7a4557779591" hidden="1">#REF!</definedName>
    <definedName name="TBeb1c732a_3ac5_444b_99d2_3cae587002a2" hidden="1">#REF!</definedName>
    <definedName name="TBeb28cf34_81ac_465b_8691_8d284d7d78ef" hidden="1">#REF!</definedName>
    <definedName name="TBeb29c449_8de5_435b_931b_e75e1a031c9d" hidden="1">#REF!</definedName>
    <definedName name="TBeb2d0588_e1ba_429d_b40c_e42a4c8a6aa2" hidden="1">#REF!</definedName>
    <definedName name="TBeb3e89c8_a04a_4431_bf81_58cb08eb3730" hidden="1">#REF!</definedName>
    <definedName name="TBeb474ead_624e_4f42_b7d9_f2ecd4153b83" hidden="1">#REF!</definedName>
    <definedName name="TBeb4b9137_e796_4392_8fea_07f9050316e0" hidden="1">#REF!</definedName>
    <definedName name="TBeb4cc439_7f62_439c_8f57_3f58ef73c59b" hidden="1">#REF!</definedName>
    <definedName name="TBeb507390_4b13_4255_af93_e9e12844e266" hidden="1">#REF!</definedName>
    <definedName name="TBeb5d8eb1_c88d_4b0b_87b5_b59b49d40375" hidden="1">#REF!</definedName>
    <definedName name="TBeb693773_9c74_4897_bd88_671d01b9398e" hidden="1">#REF!</definedName>
    <definedName name="TBeb6c41ba_653e_4ebd_b0ef_13e7f4675c3d" hidden="1">#REF!</definedName>
    <definedName name="TBeb710e70_3161_415e_bdce_9ea8686b3a9f" hidden="1">#REF!</definedName>
    <definedName name="TBeb789e7e_5c41_4797_94af_19ff7eb310db" hidden="1">#REF!</definedName>
    <definedName name="TBeb7c616f_c659_4d7e_acb1_7dc960edc341" hidden="1">#REF!</definedName>
    <definedName name="TBeb85eee1_45bc_4517_8007_eeb80dd1a5e7" hidden="1">#REF!</definedName>
    <definedName name="TBeb8b871e_d3b8_4c80_b46e_859b6ba0c964" hidden="1">#REF!</definedName>
    <definedName name="TBebb0bc84_f8b4_4048_a0c6_63535d0ff9d4" hidden="1">#REF!</definedName>
    <definedName name="TBebbfc7b3_6945_496e_a836_32a6432e4c9b" hidden="1">#REF!</definedName>
    <definedName name="TBebc5acd5_08a4_46a8_92f1_651bc2c2d8ca" hidden="1">#REF!</definedName>
    <definedName name="TBebe12e54_8d76_440d_a011_692e9d5d302b" hidden="1">#REF!</definedName>
    <definedName name="TBec1983d9_6a9b_4086_bfab_d5f49e46f667" hidden="1">#REF!</definedName>
    <definedName name="TBec2a3db7_b43d_457c_8ff9_539f91ca6171" hidden="1">#REF!</definedName>
    <definedName name="TBec3bdb5a_0b3a_40d5_b4ee_7f3e781ad4a4" hidden="1">#REF!</definedName>
    <definedName name="TBec42c3a1_587b_4aa4_8669_f86a9285af9a" hidden="1">#REF!</definedName>
    <definedName name="TBec449f98_6047_4dad_b0a3_8d7ca6892851" hidden="1">#REF!</definedName>
    <definedName name="TBec5d5619_5bd0_46a0_a80d_0dd1cbdff1e7" hidden="1">#REF!</definedName>
    <definedName name="TBec6218b5_ddef_4cec_9778_39caa1f5ab7f" hidden="1">#REF!</definedName>
    <definedName name="TBec6938ec_ba8a_4001_8521_746657c5e017" hidden="1">#REF!</definedName>
    <definedName name="TBec6c637b_8b1b_45e6_bc19_24b53d082c28" hidden="1">#REF!</definedName>
    <definedName name="TBec79686d_9185_4eed_ad7f_9617b6c831e2" hidden="1">#REF!</definedName>
    <definedName name="TBec7e39de_ace8_49c1_b90f_0f23c0f9d5c3" hidden="1">#REF!</definedName>
    <definedName name="TBec8cfef9_0baa_42ed_8312_73a72405fe5b" hidden="1">#REF!</definedName>
    <definedName name="TBec9c9528_4c20_49a4_bf9f_938c7e8a0e03" hidden="1">#REF!</definedName>
    <definedName name="TBeca5c80d_3316_4ce8_9ea8_513d16229a58" hidden="1">#REF!</definedName>
    <definedName name="TBecaa6695_4c7a_4d16_b457_959ccf4ac668" hidden="1">#REF!</definedName>
    <definedName name="TBecae8584_5152_49f9_9231_80f67f078f1b" hidden="1">#REF!</definedName>
    <definedName name="TBecb04933_37a9_4e3a_9a3d_938c1d14869e" hidden="1">#REF!</definedName>
    <definedName name="TBecb91e1d_b434_4134_b66e_a7bbc279939c" hidden="1">#REF!</definedName>
    <definedName name="TBecbc2d96_7913_40ca_83ba_fa4715e7f674" hidden="1">#REF!</definedName>
    <definedName name="TBecc259c2_9145_4eae_a7a0_70912967f1bf" hidden="1">#REF!</definedName>
    <definedName name="TBecc79d90_8ea0_43e0_8250_ac5c509dbc1e" hidden="1">#REF!</definedName>
    <definedName name="TBecce0613_ac45_4a37_b081_20ddee42f0a9" hidden="1">#REF!</definedName>
    <definedName name="TBecceb11e_3075_46fa_8216_39453b08bfc1" hidden="1">#REF!</definedName>
    <definedName name="TBece6b27e_7fa0_41f5_be81_1ee7af75d42b" hidden="1">#REF!</definedName>
    <definedName name="TBece72681_506c_4908_bb58_95758a536881" hidden="1">#REF!</definedName>
    <definedName name="TBed00631e_1e28_44e0_ac7e_17476fe73816" hidden="1">#REF!</definedName>
    <definedName name="TBed08f1b2_10a1_41fb_b143_933540805cca" hidden="1">#REF!</definedName>
    <definedName name="TBed104a42_7fb1_4255_ad03_08965ff290da" hidden="1">#REF!</definedName>
    <definedName name="TBed182886_1dfe_4462_ad82_539b2aa2ddfa" hidden="1">#REF!</definedName>
    <definedName name="TBed27f041_e2ba_4f8d_9b61_011987d517db" hidden="1">#REF!</definedName>
    <definedName name="TBed38537c_4c9e_467a_9a50_3832ab14afa6" hidden="1">#REF!</definedName>
    <definedName name="TBed43671c_9bef_4ce7_9323_8e42de85902c" hidden="1">#REF!</definedName>
    <definedName name="TBed5e0aef_7de3_4fbb_8359_5fb5b9121639" hidden="1">#REF!</definedName>
    <definedName name="TBed607fd4_3777_4c56_b52d_df1bd11d73ed" hidden="1">#REF!</definedName>
    <definedName name="TBed694010_2ceb_4bff_af7d_eb58018a74da" hidden="1">#REF!</definedName>
    <definedName name="TBed729cd1_39c5_43c8_abb5_4d5225de8dd8" hidden="1">#REF!</definedName>
    <definedName name="TBed77b8e2_2fbf_409a_b28e_764cc4235e7f" hidden="1">#REF!</definedName>
    <definedName name="TBed7b3407_917b_493b_898c_4696eaf42d2d" hidden="1">#REF!</definedName>
    <definedName name="TBed80d331_6695_41a0_abeb_029d0f9203c3" hidden="1">#REF!</definedName>
    <definedName name="TBed96e1fc_7b76_4807_be89_dfe1f199c1f8" hidden="1">#REF!</definedName>
    <definedName name="TBeda6256f_d47b_4035_aee8_2d8457610b44" hidden="1">#REF!</definedName>
    <definedName name="TBedbad993_fbcf_41b5_abe9_3d9c9450f9ac" hidden="1">#REF!</definedName>
    <definedName name="TBedc71ea1_cb98_4ea9_aa76_721718cfe8b0" hidden="1">#REF!</definedName>
    <definedName name="TBedd419c6_ddbe_4405_8f4d_0948c1027a11" hidden="1">#REF!</definedName>
    <definedName name="TBedd8dc6c_2844_4094_82a1_f55bc623eac9" hidden="1">#REF!</definedName>
    <definedName name="TBedf4374c_91c2_424f_beab_727ec6379fdb" hidden="1">#REF!</definedName>
    <definedName name="TBee008a34_14df_4b00_b339_66ddc0299e95" hidden="1">#REF!</definedName>
    <definedName name="TBee11b677_3063_4ecc_ae0b_90af048a85f0" hidden="1">#REF!</definedName>
    <definedName name="TBee1202d6_cae6_47b5_a528_7263a7e24307" hidden="1">#REF!</definedName>
    <definedName name="TBee216633_aabb_4757_b861_7d41934bbcb1" hidden="1">#REF!</definedName>
    <definedName name="TBee21b981_51ce_4d85_b185_3607ae0c830a" hidden="1">#REF!</definedName>
    <definedName name="TBee21e86f_468e_4693_a629_75c690408c29" hidden="1">#REF!</definedName>
    <definedName name="TBee397911_656c_46b5_a326_fa07a0cab439" hidden="1">#REF!</definedName>
    <definedName name="TBee4226b9_9c07_4945_b2e3_dfb207e4bade" hidden="1">#REF!</definedName>
    <definedName name="TBee5af35b_9710_40ad_bbdb_cacfc228b6ac" hidden="1">#REF!</definedName>
    <definedName name="TBee618718_c036_4b04_816c_0a8ef0992752" hidden="1">#REF!</definedName>
    <definedName name="TBee6860c0_445e_490f_9228_0b6ad6233aaf" hidden="1">#REF!</definedName>
    <definedName name="TBee7340a0_7616_4ebd_a1d8_c32ff1be60d9" hidden="1">#REF!</definedName>
    <definedName name="TBee83948b_297e_4590_b359_26abb9e62111" hidden="1">#REF!</definedName>
    <definedName name="TBee88bd95_7e76_47ea_8960_52f531576779" hidden="1">#REF!</definedName>
    <definedName name="TBee8c1b2a_c1c8_4105_9ffd_a5e08a881f29" hidden="1">#REF!</definedName>
    <definedName name="TBee959ecf_086f_4a56_abc0_b6e8bcde14dc" hidden="1">#REF!</definedName>
    <definedName name="TBeeab14b4_ab87_4da2_92c2_271d687fc937" hidden="1">#REF!</definedName>
    <definedName name="TBeead40fb_9e23_44fb_b06f_f8dbc98d78f4" hidden="1">#REF!</definedName>
    <definedName name="TBeeb137d6_9457_4acd_90ff_b89eba9cc3be" hidden="1">#REF!</definedName>
    <definedName name="TBeeb4755d_ed22_4601_91df_5cd5f06dd911" hidden="1">#REF!</definedName>
    <definedName name="TBeecacb16_8cef_4b10_887c_10a40240b7b5" hidden="1">#REF!</definedName>
    <definedName name="TBeecb3604_9718_43ca_aa13_6af3035134fb" hidden="1">#REF!</definedName>
    <definedName name="TBeecc81e0_cd56_47f8_8a37_efa4b8412133" hidden="1">#REF!</definedName>
    <definedName name="TBeee445c3_0981_4efe_9007_a5136aafc8af" hidden="1">#REF!</definedName>
    <definedName name="TBeeec7c97_777b_4252_918e_83bb35de5788" hidden="1">#REF!</definedName>
    <definedName name="TBef0ef640_097d_44ea_9d35_3c258dd8f559" hidden="1">#REF!</definedName>
    <definedName name="TBef16497c_83fc_4ada_9fb1_f3531816722b" hidden="1">#REF!</definedName>
    <definedName name="TBef192a97_a551_4a80_b93d_2b0faecdb912" hidden="1">#REF!</definedName>
    <definedName name="TBef1a1b0a_3684_4f06_9cb8_8d511bf99862" hidden="1">#REF!</definedName>
    <definedName name="TBef3a9db3_1714_4767_a555_d94a8bfe99c7" hidden="1">#REF!</definedName>
    <definedName name="TBef3cb3e8_2371_4ae1_b03d_588f27232606" hidden="1">#REF!</definedName>
    <definedName name="TBef3ef247_f570_4aef_bac5_f467a0b71cc1" hidden="1">#REF!</definedName>
    <definedName name="TBef45b6d4_14cd_4590_ba0a_cb54582b20d0" hidden="1">#REF!</definedName>
    <definedName name="TBef4a8ec6_9562_4cba_8031_abded2cdacb9" hidden="1">#REF!</definedName>
    <definedName name="TBef6a0804_9b40_48d8_8e85_fdd160f26649" hidden="1">#REF!</definedName>
    <definedName name="TBef703a79_6060_4529_8c64_aae5399d60d9" hidden="1">#REF!</definedName>
    <definedName name="TBef7224c0_8551_46c3_89b3_d877ab07cb59" hidden="1">#REF!</definedName>
    <definedName name="TBef7b8f4b_2cbd_45e2_99df_52d10c0a28e9" hidden="1">#REF!</definedName>
    <definedName name="TBef7bad7e_a20b_4328_9e12_6c5bfe5253b0" hidden="1">#REF!</definedName>
    <definedName name="TBef8089aa_6f9e_4175_8f43_4b1f8874add0" hidden="1">#REF!</definedName>
    <definedName name="TBef894aab_6b55_447c_964d_4a8b3e209af3" hidden="1">#REF!</definedName>
    <definedName name="TBef953269_bcf3_4da3_b764_d88e9eae8965" hidden="1">#REF!</definedName>
    <definedName name="TBefac2cc0_137d_459b_9021_d42eb65f0049" hidden="1">#REF!</definedName>
    <definedName name="TBefb6fb3a_88bb_44d8_9a77_859f30696083" hidden="1">#REF!</definedName>
    <definedName name="TBefc08338_895c_4ebc_bd36_a9ab44da2eaf" hidden="1">#REF!</definedName>
    <definedName name="TBefc27745_b099_4328_84df_5a3876e87a55" hidden="1">#REF!</definedName>
    <definedName name="TBefcd847b_44bd_4898_9e8b_fdc51f52defe" hidden="1">#REF!</definedName>
    <definedName name="TBefd3e955_8e60_4114_afae_3df6aef45611" hidden="1">#REF!</definedName>
    <definedName name="TBefd82d51_7d10_44e5_9d05_fe3b8107ffda" hidden="1">#REF!</definedName>
    <definedName name="TBefda3372_b269_41b1_bf95_3ac6a51db7f7" hidden="1">#REF!</definedName>
    <definedName name="TBefdab037_4e99_4e8e_a47a_e28c83ab4a3f" hidden="1">#REF!</definedName>
    <definedName name="TBeff1722e_9f95_4cd2_b2fd_51a4ec740116" hidden="1">#REF!</definedName>
    <definedName name="TBeff775dd_8c81_4bf1_a691_34a694b4432e" hidden="1">#REF!</definedName>
    <definedName name="TBeffe1625_0995_480c_9544_61e14eb48024" hidden="1">#REF!</definedName>
    <definedName name="TBf00dea90_1a27_442f_ba28_6b3971c87f68" hidden="1">#REF!</definedName>
    <definedName name="TBf01c6aaa_2f42_47a5_9bce_0a0eae2da018" hidden="1">#REF!</definedName>
    <definedName name="TBf020f93c_60a8_4587_b2cc_f79e1a30495a" hidden="1">#REF!</definedName>
    <definedName name="TBf03104eb_3725_4810_a777_5ce09377f4c8" hidden="1">#REF!</definedName>
    <definedName name="TBf0447f8f_8ee6_4774_ac28_20c38f31eae6" hidden="1">#REF!</definedName>
    <definedName name="TBf04960b1_7052_4db6_872c_6dee256b515e" hidden="1">#REF!</definedName>
    <definedName name="TBf055bdc7_3348_4ec7_b78e_e25ba2864027" hidden="1">#REF!</definedName>
    <definedName name="TBf066a70a_5f1d_4f6c_8639_5ea098021119" hidden="1">#REF!</definedName>
    <definedName name="TBf073630e_f3e6_4947_980b_0c49834c23bd" hidden="1">#REF!</definedName>
    <definedName name="TBf08fa9c0_9ecf_45bc_b656_d676cf1e866e" hidden="1">#REF!</definedName>
    <definedName name="TBf0977c2d_63f3_43f8_bb4f_17dd956ef81f" hidden="1">#REF!</definedName>
    <definedName name="TBf0a22931_1144_4d5d_9673_711e7a025689" hidden="1">#REF!</definedName>
    <definedName name="TBf0a7a1f3_93b5_4d4f_af78_5bffb75619f8" hidden="1">#REF!</definedName>
    <definedName name="TBf0a9e7cd_eb8e_4180_a535_4bbc88494d1a" hidden="1">#REF!</definedName>
    <definedName name="TBf0ac558c_2420_4622_aaef_8ec81b361e02" hidden="1">#REF!</definedName>
    <definedName name="TBf0b60eee_c8ae_4da7_a880_27569c6e3b75" hidden="1">#REF!</definedName>
    <definedName name="TBf0b66ebf_f2c0_4a55_ac55_83536e999612" hidden="1">#REF!</definedName>
    <definedName name="TBf0cd32ab_801e_4eb7_9577_e5782d8ede77" hidden="1">#REF!</definedName>
    <definedName name="TBf0ceb8f1_8ab8_43b8_8783_79335b98a6a5" hidden="1">#REF!</definedName>
    <definedName name="TBf0f2164b_31ea_4652_ae63_ab08cab230d7" hidden="1">#REF!</definedName>
    <definedName name="TBf0f93be8_86c9_412f_a4c0_f6f9bbe33c90" hidden="1">#REF!</definedName>
    <definedName name="TBf0fb6d22_ed02_48c8_8990_7ee3267185e7" hidden="1">#REF!</definedName>
    <definedName name="TBf0ff0d18_2371_4d39_9ce5_e583e5e389f1" hidden="1">#REF!</definedName>
    <definedName name="TBf10f125d_4290_4d75_869d_b363193db150" hidden="1">#REF!</definedName>
    <definedName name="TBf1105646_cfe5_4718_9ee8_f163f46351fb" hidden="1">#REF!</definedName>
    <definedName name="TBf113c656_872f_4365_8bc7_0dfb6aba9793" hidden="1">#REF!</definedName>
    <definedName name="TBf11f5850_5517_415f_88ed_a4e50905a75f" hidden="1">#REF!</definedName>
    <definedName name="TBf1352359_954e_4451_aca7_49a3e39a3482" hidden="1">#REF!</definedName>
    <definedName name="TBf1396a1e_3693_4e8a_b8ff_dfefc6826ab7" hidden="1">#REF!</definedName>
    <definedName name="TBf13d5828_e476_4595_981d_e9c139b05055" hidden="1">#REF!</definedName>
    <definedName name="TBf13e17ec_9b8d_4842_85f4_e41b0cee570d" hidden="1">#REF!</definedName>
    <definedName name="TBf145054e_45b7_478e_9928_fbfad503642b" hidden="1">#REF!</definedName>
    <definedName name="TBf146fc7a_e8cd_4265_b2e9_4f9c87feae97" hidden="1">#REF!</definedName>
    <definedName name="TBf14fe236_31f5_4ad5_b3ca_9fee517379ea" hidden="1">#REF!</definedName>
    <definedName name="TBf158ea4e_ad7d_4212_a207_5b6caf7a4ecc" hidden="1">#REF!</definedName>
    <definedName name="TBf15f16c4_f919_4073_a256_58d5a266f9d1" hidden="1">#REF!</definedName>
    <definedName name="TBf16061a6_ea45_401a_9ebe_f5d2a33f7e12" hidden="1">#REF!</definedName>
    <definedName name="TBf161ec84_4737_4544_af09_affbd903c1fe" hidden="1">#REF!</definedName>
    <definedName name="TBf1643232_cb68_4f7d_a3f8_dca479b3dfff" hidden="1">#REF!</definedName>
    <definedName name="TBf190d349_869f_4723_bd29_e25bcc51df5e" hidden="1">#REF!</definedName>
    <definedName name="TBf1993b32_2e5e_4c35_b302_efab0f1b4593" hidden="1">#REF!</definedName>
    <definedName name="TBf1a57582_4528_4b99_8dfe_d2dd832488f5" hidden="1">#REF!</definedName>
    <definedName name="TBf1a8817e_9867_4fdc_aa7a_c80cdf2fb916" hidden="1">#REF!</definedName>
    <definedName name="TBf1a8bf74_b6aa_4810_88bb_ffd68b787fb4" hidden="1">#REF!</definedName>
    <definedName name="TBf1dc4191_8221_4509_af2c_ec7961638c30" hidden="1">#REF!</definedName>
    <definedName name="TBf1dfe5f7_c95b_4676_8322_ce6da1e3b9c7" hidden="1">#REF!</definedName>
    <definedName name="TBf1e49440_2f5c_4bf9_8d90_6e7a8ef6f3a5" hidden="1">#REF!</definedName>
    <definedName name="TBf1e4b5b6_4be4_4870_b6c0_4e031bd6df7c" hidden="1">#REF!</definedName>
    <definedName name="TBf1e53675_f26b_4a81_a13b_6188a8f8a9c0" hidden="1">#REF!</definedName>
    <definedName name="TBf1ef8862_6907_499b_b57c_8c58507acc57" hidden="1">#REF!</definedName>
    <definedName name="TBf1f9a302_8899_4fc4_b49e_141338d57ac6" hidden="1">#REF!</definedName>
    <definedName name="TBf1f9d4f1_384c_4084_8138_d9a3e46abd56" hidden="1">#REF!</definedName>
    <definedName name="TBf203a155_6549_4029_9a02_61c3f9ac3167" hidden="1">#REF!</definedName>
    <definedName name="TBf204538e_dd75_4079_af26_867263730a87" hidden="1">#REF!</definedName>
    <definedName name="TBf20cbc0d_5478_4355_bda7_d5a1141b95f9" hidden="1">#REF!</definedName>
    <definedName name="TBf210b1c0_63bd_42ca_adc9_9d6a22cda791" hidden="1">#REF!</definedName>
    <definedName name="TBf2110000_9d10_4cd9_97d1_4557afe0d016" hidden="1">#REF!</definedName>
    <definedName name="TBf214e418_a844_41f5_b2b2_a03d00ce2ec3" hidden="1">#REF!</definedName>
    <definedName name="TBf221614d_0fe1_4d27_b807_7a09624eecd9" hidden="1">#REF!</definedName>
    <definedName name="TBf2275ca3_1ac8_45dd_bcf9_2d4f2eeb8d12" hidden="1">#REF!</definedName>
    <definedName name="TBf22d3470_038c_45f6_acbc_ab17b4ced104" hidden="1">#REF!</definedName>
    <definedName name="TBf233f04d_439c_47d3_b7d2_4e35e86a4deb" hidden="1">#REF!</definedName>
    <definedName name="TBf23cfda2_c387_468a_853e_2a2e0cbd9c0b" hidden="1">#REF!</definedName>
    <definedName name="TBf2457394_b32c_4a90_ac08_f4d8b2811190" hidden="1">#REF!</definedName>
    <definedName name="TBf249cbaa_85aa_4c25_bbec_52187c66ab5a" hidden="1">#REF!</definedName>
    <definedName name="TBf24c4001_59ac_4ff4_9480_d6e19eb3cad1" hidden="1">#REF!</definedName>
    <definedName name="TBf264d428_5dd9_4746_b09c_bd1d4d3a8558" hidden="1">#REF!</definedName>
    <definedName name="TBf2774f96_a72c_45e2_8118_6c357c8f587d" hidden="1">#REF!</definedName>
    <definedName name="TBf2792c06_dfc1_4804_924b_14fb28dbf484" hidden="1">#REF!</definedName>
    <definedName name="TBf28d9af3_a32d_455b_8364_f41f2f037f33" hidden="1">#REF!</definedName>
    <definedName name="TBf28e0fca_ffdf_476b_a45e_0a5a7f046fd3" hidden="1">#REF!</definedName>
    <definedName name="TBf29927d9_3454_4b64_9885_21633fdbb5d4" hidden="1">#REF!</definedName>
    <definedName name="TBf2ba7baf_6d79_4a0d_9603_d6a0777aefbd" hidden="1">#REF!</definedName>
    <definedName name="TBf2cccf36_9974_4470_8a81_c52fb2a31bc2" hidden="1">#REF!</definedName>
    <definedName name="TBf2d6a221_6c97_4d91_84b9_0f7a6060cd9d" hidden="1">#REF!</definedName>
    <definedName name="TBf2e30a11_704e_4342_b779_b00e162e8858" hidden="1">#REF!</definedName>
    <definedName name="TBf2e4a29a_41b4_4b73_9e17_1aa5748ddb02" hidden="1">#REF!</definedName>
    <definedName name="TBf2fc2f0b_5879_4c4c_a5a8_3f1e77db0da7" hidden="1">#REF!</definedName>
    <definedName name="TBf304d5ba_3035_4ba6_9b3b_e59edb8c53d6" hidden="1">#REF!</definedName>
    <definedName name="TBf311e37e_3b1c_4b76_b57b_9be3b60d00bb" hidden="1">#REF!</definedName>
    <definedName name="TBf31855bc_f728_43a4_88fc_b882ff937c22" hidden="1">#REF!</definedName>
    <definedName name="TBf31ce85e_3598_49f9_9081_c8f4790005d0" hidden="1">#REF!</definedName>
    <definedName name="TBf31f12d0_2cfb_45b1_96db_975714ac8524" hidden="1">#REF!</definedName>
    <definedName name="TBf327ecd3_6036_4e28_8060_c88f4c92d98a" hidden="1">#REF!</definedName>
    <definedName name="TBf32aab16_793b_4970_81c6_4c6265b3731a" hidden="1">#REF!</definedName>
    <definedName name="TBf33969ba_791c_4afd_a3b0_bfbbf4288b4d" hidden="1">#REF!</definedName>
    <definedName name="TBf33bd6c1_162d_47d6_99dd_363f336ebab3" hidden="1">#REF!</definedName>
    <definedName name="TBf3431425_4521_41d6_953b_5711b341e428" hidden="1">#REF!</definedName>
    <definedName name="TBf34a6d83_ef65_46b0_9c3e_3489f0d965b7" hidden="1">#REF!</definedName>
    <definedName name="TBf35d3263_c725_4468_a11f_fd9fc576af3b" hidden="1">#REF!</definedName>
    <definedName name="TBf364281f_4724_473a_898c_3a5dad388667" hidden="1">#REF!</definedName>
    <definedName name="TBf3725028_6aa7_4a49_bee4_598ed4fecd6e" hidden="1">#REF!</definedName>
    <definedName name="TBf3739057_492e_4004_9837_207367d83a73" hidden="1">#REF!</definedName>
    <definedName name="TBf38acd53_c689_48f4_bdb0_c645cf243dbb" hidden="1">#REF!</definedName>
    <definedName name="TBf390442f_f1bf_4f56_99b0_a7ad9149e66b" hidden="1">#REF!</definedName>
    <definedName name="TBf396989d_5f56_46f4_b1e0_c5150f29ea54" hidden="1">#REF!</definedName>
    <definedName name="TBf3a896d3_f5f3_48f8_b304_0464314fa4b4" hidden="1">#REF!</definedName>
    <definedName name="TBf3a8ce26_9b19_422a_baec_51f8e85aa9f5" hidden="1">#REF!</definedName>
    <definedName name="TBf3ab2d54_b50a_4484_870f_249b1b01bf72" hidden="1">#REF!</definedName>
    <definedName name="TBf3ceba1b_d528_44d2_b93f_763b4d1356e3" hidden="1">#REF!</definedName>
    <definedName name="TBf3ddda90_f49f_4985_b04a_34c75d08e3d1" hidden="1">#REF!</definedName>
    <definedName name="TBf3df0f64_421a_403e_9361_cf5fc93218ef" hidden="1">#REF!</definedName>
    <definedName name="TBf3e0ac0a_65e2_4ca6_9e80_0f6d2518f6bb" hidden="1">#REF!</definedName>
    <definedName name="TBf3ec5945_3fa5_4d08_8de5_7f7bb36ca422" hidden="1">#REF!</definedName>
    <definedName name="TBf3ed1651_3f18_402b_aba0_766ea73a68c0" hidden="1">#REF!</definedName>
    <definedName name="TBf3fe5d4a_3f4c_48e1_be67_4d9c386cba1f" hidden="1">#REF!</definedName>
    <definedName name="TBf3fe7c1a_7337_4ea3_b9cd_7bc465f145be" hidden="1">#REF!</definedName>
    <definedName name="TBf407241c_9922_4a51_84f0_bd20320ac603" hidden="1">#REF!</definedName>
    <definedName name="TBf4243ba9_ba53_41d0_8a5e_b5b6b0eaac56" hidden="1">#REF!</definedName>
    <definedName name="TBf440ed9d_2fc6_4b4a_b154_5ea9cb834e81" hidden="1">#REF!</definedName>
    <definedName name="TBf449ea9b_3cae_4997_bbe8_83bbbb4e8c71" hidden="1">#REF!</definedName>
    <definedName name="TBf453b9cb_d74a_4a61_b292_0af1c954dae1" hidden="1">#REF!</definedName>
    <definedName name="TBf45c0b0d_9543_43cf_a6f5_4ac4a9219ea8" hidden="1">#REF!</definedName>
    <definedName name="TBf469a062_074c_434a_96e0_22f6c3c2b36b" hidden="1">#REF!</definedName>
    <definedName name="TBf46b755e_641d_4de7_b35e_561758bc07bf" hidden="1">#REF!</definedName>
    <definedName name="TBf4734c89_c76d_4b96_b7e9_8ae9c8333fce" hidden="1">#REF!</definedName>
    <definedName name="TBf4739df6_e9fc_43f3_9c65_5bdf90c709eb" hidden="1">#REF!</definedName>
    <definedName name="TBf48086d1_b274_4814_92f1_b48aba838369" hidden="1">#REF!</definedName>
    <definedName name="TBf481416a_b34a_4984_9968_e17aa5e96188" hidden="1">#REF!</definedName>
    <definedName name="TBf482aa98_c4bd_4f65_a23f_0557d0098ab8" hidden="1">#REF!</definedName>
    <definedName name="TBf484420f_cfac_408e_8f8a_71aced0088ce" hidden="1">#REF!</definedName>
    <definedName name="TBf4877592_4d93_430b_9c6a_2bc04eb4edee" hidden="1">#REF!</definedName>
    <definedName name="TBf48bb010_1a2a_4d1b_8ced_38357bc36e60" hidden="1">#REF!</definedName>
    <definedName name="TBf49a5419_21a7_47ae_8c19_be474a70afa3" hidden="1">#REF!</definedName>
    <definedName name="TBf49ac5b5_b843_4b7a_81ff_a57e21b350b5" hidden="1">#REF!</definedName>
    <definedName name="TBf49c53c6_5925_4400_a259_ebd0c3266846" hidden="1">#REF!</definedName>
    <definedName name="TBf4a13ddb_9117_487f_80a5_aebcd50b9b1f" hidden="1">#REF!</definedName>
    <definedName name="TBf4b2de05_be84_4ef9_9d3f_6614daccf1af" hidden="1">#REF!</definedName>
    <definedName name="TBf4b4e118_ac61_4a91_b1cb_eee27c1ddb08" hidden="1">#REF!</definedName>
    <definedName name="TBf4b82c47_ed69_4148_8442_08a34b502a5f" hidden="1">#REF!</definedName>
    <definedName name="TBf4c93110_61df_4f48_9b06_73ae2e7d45e3" hidden="1">#REF!</definedName>
    <definedName name="TBf4d948ef_1a08_404e_beb2_9c493141d6d8" hidden="1">#REF!</definedName>
    <definedName name="TBf4efd5ac_6b45_43a9_910e_dbb09dfc60f3" hidden="1">#REF!</definedName>
    <definedName name="TBf4f37ae4_210a_4e69_9c29_2120543436bb" hidden="1">#REF!</definedName>
    <definedName name="TBf4f5f727_53fb_4c28_8f86_f8f170e9d61f" hidden="1">#REF!</definedName>
    <definedName name="TBf4fb76ab_9863_4cd8_9d85_26c326bba60e" hidden="1">#REF!</definedName>
    <definedName name="TBf4fd282e_f3ab_4c4c_987a_2ca9fa17975a" hidden="1">#REF!</definedName>
    <definedName name="TBf5014a29_e820_4c34_ba31_35ee578eac24" hidden="1">#REF!</definedName>
    <definedName name="TBf5074678_c00c_41e0_bb67_f789bf04099c" hidden="1">#REF!</definedName>
    <definedName name="TBf50a20da_f7e6_4d8c_8fc1_7ca829bd4f15" hidden="1">#REF!</definedName>
    <definedName name="TBf50e7a58_483e_4a27_b11e_9d905392eecd" hidden="1">#REF!</definedName>
    <definedName name="TBf50fe7ec_af85_4811_a29a_a42fbe88a821" hidden="1">#REF!</definedName>
    <definedName name="TBf51f6d40_9fd5_403c_9c06_346e5aa53c5f" hidden="1">#REF!</definedName>
    <definedName name="TBf5266ad8_2aaa_4a8d_a9e3_787957c0c70e" hidden="1">#REF!</definedName>
    <definedName name="TBf52a991d_6b9c_4162_a69d_324b8016bd01" hidden="1">#REF!</definedName>
    <definedName name="TBf52c3cbe_974a_4b2f_9d39_b895afc90157" hidden="1">#REF!</definedName>
    <definedName name="TBf536135b_7dd7_4fa9_8efd_82bb1d9c7b40" hidden="1">#REF!</definedName>
    <definedName name="TBf54505c3_df17_4b5f_acd0_4f22fe7eb1ef" hidden="1">#REF!</definedName>
    <definedName name="TBf548e59e_0613_4f0e_a547_2ae96adf766f" hidden="1">#REF!</definedName>
    <definedName name="TBf54aa4b4_35bb_4e1e_a2fa_33adefcb691b" hidden="1">#REF!</definedName>
    <definedName name="TBf54cdd4d_04fd_455e_a25a_4596188e8f79" hidden="1">#REF!</definedName>
    <definedName name="TBf554abff_76ab_4ecd_ba5e_c12185298e61" hidden="1">#REF!</definedName>
    <definedName name="TBf56654a1_6c31_4a6b_ac2f_087ddc2f2c08" hidden="1">#REF!</definedName>
    <definedName name="TBf56f0f68_1846_46cc_9a1d_0a7907030194" hidden="1">#REF!</definedName>
    <definedName name="TBf590dde8_4b4d_43fa_ab19_07a59f00b120" hidden="1">#REF!</definedName>
    <definedName name="TBf5947f54_820f_46b9_b257_95f5ce7701ad" hidden="1">#REF!</definedName>
    <definedName name="TBf598f653_3ceb_472b_952d_d3f5c45c0ca9" hidden="1">#REF!</definedName>
    <definedName name="TBf59fac94_a1cb_44e2_af0f_f844f2f5305d" hidden="1">#REF!</definedName>
    <definedName name="TBf5a3bd07_41fd_447f_b8ab_9b144fc3d721" hidden="1">#REF!</definedName>
    <definedName name="TBf5a80528_ae07_408e_a276_2164679a6fff" hidden="1">#REF!</definedName>
    <definedName name="TBf5ad9b46_3652_49ff_928b_f1d6b4d9613e" hidden="1">#REF!</definedName>
    <definedName name="TBf5b94200_8346_4ab5_aecf_228e498956d7" hidden="1">#REF!</definedName>
    <definedName name="TBf5bab020_2347_4fd3_ad45_d59bc7201d2d" hidden="1">#REF!</definedName>
    <definedName name="TBf5c0ff7d_98b3_4ee9_8441_5cd2f459f5fd" hidden="1">#REF!</definedName>
    <definedName name="TBf5dd1cce_441e_4b09_a170_ae6e7f88e765" hidden="1">#REF!</definedName>
    <definedName name="TBf5e6f1a3_7acd_4af2_b12e_5fac51e015c8" hidden="1">#REF!</definedName>
    <definedName name="TBf5e7f1d8_0e15_438b_a17d_a1819a5d9d4d" hidden="1">#REF!</definedName>
    <definedName name="TBf5ea48df_afc3_42e6_8c03_726e24f11a41" hidden="1">#REF!</definedName>
    <definedName name="TBf607f06c_ff85_4615_a296_775e356e0e24" hidden="1">#REF!</definedName>
    <definedName name="TBf6180ea2_1f68_4b3b_8287_66b6b10ea892" hidden="1">#REF!</definedName>
    <definedName name="TBf628eb85_ceaa_46fd_a8f8_bde6ce46a081" hidden="1">#REF!</definedName>
    <definedName name="TBf63cde6a_2c1e_4e5a_bd80_d6db81b5e338" hidden="1">#REF!</definedName>
    <definedName name="TBf64d18e0_131d_461b_a986_a411c9b6ad50" hidden="1">#REF!</definedName>
    <definedName name="TBf65b4337_b986_4044_bcd7_3fced80214d3" hidden="1">#REF!</definedName>
    <definedName name="TBf65bd915_fb3d_42fe_a7f3_1360686044e6" hidden="1">#REF!</definedName>
    <definedName name="TBf660a694_1c5d_4570_b062_a81f7e882d4e" hidden="1">#REF!</definedName>
    <definedName name="TBf661df31_ecb2_4fb0_bdc9_848c7a500ab3" hidden="1">#REF!</definedName>
    <definedName name="TBf66565fc_e41c_4e57_b98c_c472cb89b6ee" hidden="1">#REF!</definedName>
    <definedName name="TBf665d0c2_d090_46d1_b3fa_dbf194ce5588" hidden="1">#REF!</definedName>
    <definedName name="TBf6761f04_cc50_400f_ab87_7eb2521d9aba" hidden="1">#REF!</definedName>
    <definedName name="TBf6779e50_87dc_42aa_b311_f70568595878" hidden="1">#REF!</definedName>
    <definedName name="TBf6836bb3_6e6b_4b10_a0c8_5aa4b635b926" hidden="1">#REF!</definedName>
    <definedName name="TBf68fca7f_2813_4d35_bae1_5976a4474df6" hidden="1">#REF!</definedName>
    <definedName name="TBf6ae5674_bed6_4b29_afac_bf03183b2128" hidden="1">#REF!</definedName>
    <definedName name="TBf6b3f0a1_669a_41e7_ac4d_4f74dd488d3f" hidden="1">#REF!</definedName>
    <definedName name="TBf6c53ed7_a2d8_4afb_886a_66e3d1bfad1c" hidden="1">#REF!</definedName>
    <definedName name="TBf6c5cb29_962f_4420_b6fa_43f42adac40b" hidden="1">#REF!</definedName>
    <definedName name="TBf6dbf718_fc48_498e_b5a4_c43aae62411e" hidden="1">#REF!</definedName>
    <definedName name="TBf6f42bc1_44d2_43a1_a1cc_6ad4e04b9dc0" hidden="1">#REF!</definedName>
    <definedName name="TBf70952ef_3325_4248_b960_09b445c91b63" hidden="1">#REF!</definedName>
    <definedName name="TBf70f0342_02e7_4ae0_bd73_793ac6e30633" hidden="1">#REF!</definedName>
    <definedName name="TBf710ee1c_b817_4816_a029_6ad9455320bc" hidden="1">#REF!</definedName>
    <definedName name="TBf71836ff_eb49_42c6_97ee_675626b6a231" hidden="1">#REF!</definedName>
    <definedName name="TBf722159b_8f9f_43d4_9d80_4fd3023510b0" hidden="1">#REF!</definedName>
    <definedName name="TBf7288d2b_921f_455a_8310_f79d91011569" hidden="1">#REF!</definedName>
    <definedName name="TBf72af057_f9d6_4dcb_a56f_e3b8f0709c9e" hidden="1">#REF!</definedName>
    <definedName name="TBf73e8b1b_126d_44c6_ba22_a1deb873450a" hidden="1">#REF!</definedName>
    <definedName name="TBf7405892_0c8f_4151_adca_319df13a0977" hidden="1">#REF!</definedName>
    <definedName name="TBf75405be_16ae_428c_bcf4_f4fea665b41a" hidden="1">#REF!</definedName>
    <definedName name="TBf7555afa_7a1c_4f00_90a0_e4d2429b355d" hidden="1">#REF!</definedName>
    <definedName name="TBf7614d11_2792_484a_bcc9_e239a935a0d2" hidden="1">#REF!</definedName>
    <definedName name="TBf7664c5e_8b26_4662_bf74_f66debb506f1" hidden="1">#REF!</definedName>
    <definedName name="TBf782cd2a_0796_4863_8c67_80c70afb6af8" hidden="1">#REF!</definedName>
    <definedName name="TBf78e07b9_9b10_4497_b637_98114dc46e97" hidden="1">#REF!</definedName>
    <definedName name="TBf7904e79_9601_4824_8117_1d69908cc13a" hidden="1">#REF!</definedName>
    <definedName name="TBf792c32b_61f6_491c_8b69_7b8394a44ccd" hidden="1">#REF!</definedName>
    <definedName name="TBf798ee4c_f7cb_4418_8bd7_be80a0e765dd" hidden="1">#REF!</definedName>
    <definedName name="TBf7a10a85_cf9b_4918_8f6f_1ecfa637e709" hidden="1">#REF!</definedName>
    <definedName name="TBf7a7eb73_6571_4153_8e09_49baa35e1c83" hidden="1">#REF!</definedName>
    <definedName name="TBf7a83dba_83ed_49c1_8cca_9164c2b1c33e" hidden="1">#REF!</definedName>
    <definedName name="TBf7b3df14_aba1_413c_85f0_601a2201db59" hidden="1">#REF!</definedName>
    <definedName name="TBf7b6f158_b56a_4e00_a993_28fe6c5ebf0e" hidden="1">#REF!</definedName>
    <definedName name="TBf7c1ca24_bd5b_44c8_819c_1c9ec819c7f0" hidden="1">#REF!</definedName>
    <definedName name="TBf7c53d3f_0fc5_49bd_959c_09326a0a28b4" hidden="1">#REF!</definedName>
    <definedName name="TBf7d29a8a_3f72_495c_b1c6_62e997ee8b0e" hidden="1">#REF!</definedName>
    <definedName name="TBf7e118a2_0f81_4fb8_ba91_1c3675c297c0" hidden="1">#REF!</definedName>
    <definedName name="TBf7e43462_aea8_4d1d_8373_c5c800164950" hidden="1">#REF!</definedName>
    <definedName name="TBf7ebd0a1_dbc5_486e_b3ae_f528f28584d8" hidden="1">#REF!</definedName>
    <definedName name="TBf7f19bb4_b7ca_490f_a74a_c39bf8ed8d4a" hidden="1">#REF!</definedName>
    <definedName name="TBf7f9f96f_6bc3_403c_8a79_797c2fb730c0" hidden="1">#REF!</definedName>
    <definedName name="TBf7fba236_30b5_43de_8b76_7e01bd2fd71e" hidden="1">#REF!</definedName>
    <definedName name="TBf80f4d1f_5aff_4bdc_8439_1a08e5580491" hidden="1">#REF!</definedName>
    <definedName name="TBf813f020_5edd_4530_b660_3d5d115b509b" hidden="1">#REF!</definedName>
    <definedName name="TBf819dbdc_04bf_4fa8_90a9_d5d1d6e42f17" hidden="1">#REF!</definedName>
    <definedName name="TBf81ba184_edd9_498f_9eba_5213e9bfd3ad" hidden="1">#REF!</definedName>
    <definedName name="TBf81cd93a_b19d_41de_9a34_330d38dfed88" hidden="1">#REF!</definedName>
    <definedName name="TBf81ce8b8_1993_442f_abd8_f4f7ea298bde" hidden="1">#REF!</definedName>
    <definedName name="TBf81feaee_727e_48bb_947b_16b6c5e8080f" hidden="1">#REF!</definedName>
    <definedName name="TBf828442a_b182_4f84_b1f3_620189e593a0" hidden="1">#REF!</definedName>
    <definedName name="TBf8454cea_40d3_4123_b94e_491d42f62c31" hidden="1">#REF!</definedName>
    <definedName name="TBf8554831_905c_4d72_87bc_123804c8b188" hidden="1">#REF!</definedName>
    <definedName name="TBf8595f55_92c4_4548_a09c_9e797c5ec87b" hidden="1">#REF!</definedName>
    <definedName name="TBf86063fa_beac_437d_9267_f7945fe17829" hidden="1">#REF!</definedName>
    <definedName name="TBf862472a_4e6b_4f91_b097_5b293a8db9e9" hidden="1">#REF!</definedName>
    <definedName name="TBf868225e_9337_4c5b_b784_d2ab66cc14d3" hidden="1">#REF!</definedName>
    <definedName name="TBf87348b4_dd0f_4ab6_b721_c42a282fac4e" hidden="1">#REF!</definedName>
    <definedName name="TBf87a78ef_6662_460f_829c_3404c2c48526" hidden="1">#REF!</definedName>
    <definedName name="TBf87ebed5_9aed_4981_bb5a_6f37bbb8a88c" hidden="1">#REF!</definedName>
    <definedName name="TBf880d979_26ff_418a_a795_7a799c4bf2be" hidden="1">#REF!</definedName>
    <definedName name="TBf895469e_296f_4eca_99e5_437f537e0f9a" hidden="1">#REF!</definedName>
    <definedName name="TBf8be3ad9_7a93_49ff_8d75_c2f114f97ca9" hidden="1">#REF!</definedName>
    <definedName name="TBf8db295f_60a3_4134_a86b_0b5598bdefb2" hidden="1">#REF!</definedName>
    <definedName name="TBf8ee221b_3f41_4198_be3b_b4dfba98b613" hidden="1">#REF!</definedName>
    <definedName name="TBf8f6368b_816f_47e8_9ab6_d8017d941ef1" hidden="1">#REF!</definedName>
    <definedName name="TBf9094524_ac00_451b_9380_0b8cc20d5308" hidden="1">#REF!</definedName>
    <definedName name="TBf9205b43_62c1_4aab_8679_7bc55558f9a6" hidden="1">#REF!</definedName>
    <definedName name="TBf93f49f0_4d88_4a81_80a0_9c1c619faf48" hidden="1">#REF!</definedName>
    <definedName name="TBf93fa6f8_3401_4000_a843_816773e7eec9" hidden="1">#REF!</definedName>
    <definedName name="TBf9453b3d_bdc9_4d7b_82c1_e26802b6beed" hidden="1">#REF!</definedName>
    <definedName name="TBf952481b_f94b_4178_8473_45edcb722e92" hidden="1">#REF!</definedName>
    <definedName name="TBf953a243_108d_4bb8_9e6b_34649c2ee56d" hidden="1">#REF!</definedName>
    <definedName name="TBf963807c_06b5_4c39_85a3_663e728220b3" hidden="1">#REF!</definedName>
    <definedName name="TBf9687dbb_a0b6_4f2e_8a2b_2952781f9270" hidden="1">#REF!</definedName>
    <definedName name="TBf96beef6_066a_4efb_bbcd_5a4f9bb06e66" hidden="1">#REF!</definedName>
    <definedName name="TBf96c2d36_8560_477a_ad56_3f0c1f3c9bac" hidden="1">#REF!</definedName>
    <definedName name="TBf9817c4f_eff8_41b9_a3ea_de45a8dc5e59" hidden="1">#REF!</definedName>
    <definedName name="TBf98a0f73_11dc_4a9a_b932_4a9c1e37fcf7" hidden="1">#REF!</definedName>
    <definedName name="TBf99a478b_3eb1_4ec6_af24_0c2bb0bec775" hidden="1">#REF!</definedName>
    <definedName name="TBf9a438b4_e415_4709_a29e_f66b4625ff17" hidden="1">#REF!</definedName>
    <definedName name="TBf9b036cf_9e65_460a_b6dd_5c9b7364d4ea" hidden="1">#REF!</definedName>
    <definedName name="TBf9b1c0e7_6126_444b_b6ca_bc9dbdde033b" hidden="1">#REF!</definedName>
    <definedName name="TBf9b397b1_0570_4229_8513_3fa73366a65b" hidden="1">#REF!</definedName>
    <definedName name="TBf9c8ad95_6e90_4071_967d_0056906cc015" hidden="1">#REF!</definedName>
    <definedName name="TBf9cd05c5_9618_41bb_b30c_1a8721e3cfb8" hidden="1">#REF!</definedName>
    <definedName name="TBf9d7f333_19d0_4256_8499_f52f40ea18a9" hidden="1">#REF!</definedName>
    <definedName name="TBf9e1a60b_b557_47cc_aafe_b65ddb4649fc" hidden="1">#REF!</definedName>
    <definedName name="TBf9e72579_d6aa_4676_9521_348593d2d559" hidden="1">#REF!</definedName>
    <definedName name="TBf9f8a42f_05de_4a4e_bc0a_14c1071f7c77" hidden="1">#REF!</definedName>
    <definedName name="TBfa0a81b8_472e_49f2_8b7a_b17afad79d4c" hidden="1">#REF!</definedName>
    <definedName name="TBfa1826a7_8410_452f_8306_846b28b4a41d" hidden="1">#REF!</definedName>
    <definedName name="TBfa2ca7e9_d7b5_4c6a_8302_b2346afb5ea4" hidden="1">#REF!</definedName>
    <definedName name="TBfa3c3e00_d06e_4b20_865d_a69acceed94b" hidden="1">#REF!</definedName>
    <definedName name="TBfa408a9c_298f_48b1_b4ca_1b0ca454e470" hidden="1">#REF!</definedName>
    <definedName name="TBfa4926c3_c968_41db_86f3_d2068e4316b4" hidden="1">#REF!</definedName>
    <definedName name="TBfa493fb0_cfc9_441b_a41b_b07c2e36a410" hidden="1">#REF!</definedName>
    <definedName name="TBfa4b0cc9_58ea_406b_b11e_23b0387cdc0e" hidden="1">#REF!</definedName>
    <definedName name="TBfa565a60_ed9a_4d1d_b29a_cba573461a39" hidden="1">#REF!</definedName>
    <definedName name="TBfa583486_48e7_412b_ac6a_9f85d9129220" hidden="1">#REF!</definedName>
    <definedName name="TBfa5acc53_45bb_4b82_b254_4c76869fa3d3" hidden="1">#REF!</definedName>
    <definedName name="TBfa5ccdc2_835e_446d_a565_3402fea3eafb" hidden="1">#REF!</definedName>
    <definedName name="TBfa66608c_c076_41bf_ba8d_5fe18b8141f6" hidden="1">#REF!</definedName>
    <definedName name="TBfa669256_ded8_4489_bd47_01bc2c98d574" hidden="1">#REF!</definedName>
    <definedName name="TBfa6c2477_b076_4de5_b6dc_d1cc2fade78a" hidden="1">#REF!</definedName>
    <definedName name="TBfa73e2c2_4602_4802_a1b8_5222f0b7366e" hidden="1">#REF!</definedName>
    <definedName name="TBfa774e18_430f_4ebf_a968_3ba8dd552ed2" hidden="1">#REF!</definedName>
    <definedName name="TBfa7c7b3b_d7cb_42e8_b9ca_c6782270154e" hidden="1">#REF!</definedName>
    <definedName name="TBfa83cbe4_0250_4da9_80ca_9c69bf46313d" hidden="1">#REF!</definedName>
    <definedName name="TBfa87960f_17d8_48c6_9fb9_f1eb028554cc" hidden="1">#REF!</definedName>
    <definedName name="TBfa91e018_45e6_42a8_8917_55a1012198ea" hidden="1">#REF!</definedName>
    <definedName name="TBfa960581_fab0_4f57_9cfd_9b8722484cb5" hidden="1">#REF!</definedName>
    <definedName name="TBfa974713_02fb_4434_9036_75a5088872cf" hidden="1">#REF!</definedName>
    <definedName name="TBfaa33997_bd9a_42d3_a94c_a451c71a6a7c" hidden="1">#REF!</definedName>
    <definedName name="TBfaa9ddf3_c5a7_4ac2_98bf_b1a2a6fa75a9" hidden="1">#REF!</definedName>
    <definedName name="TBfaaa966d_132e_4c65_bb3c_625764c05059" hidden="1">#REF!</definedName>
    <definedName name="TBfab6929e_7c99_4052_8ac4_f424a6cc9f17" hidden="1">#REF!</definedName>
    <definedName name="TBfabbbd05_0e12_44bc_877b_4107ff239324" hidden="1">#REF!</definedName>
    <definedName name="TBfac4ef2b_15d2_4e30_b86e_5f06221f5a5a" hidden="1">#REF!</definedName>
    <definedName name="TBfad4fd99_8f03_4bd7_bd01_119fa84e50ae" hidden="1">#REF!</definedName>
    <definedName name="TBfad915c9_4ceb_4a23_a4e7_40967c98fedd" hidden="1">#REF!</definedName>
    <definedName name="TBfae4e74a_398c_4407_ae8f_1c60bf8f549d" hidden="1">#REF!</definedName>
    <definedName name="TBfae4ff49_c30c_4b72_be55_e673bc4572cc" hidden="1">#REF!</definedName>
    <definedName name="TBfaf7f154_ac42_4535_a9c9_3873d3c842c9" hidden="1">#REF!</definedName>
    <definedName name="TBfaf9dfd9_d13e_45c1_acba_4cea5780ed62" hidden="1">#REF!</definedName>
    <definedName name="TBfb04ab64_04a3_4d63_831e_77b809563524" hidden="1">#REF!</definedName>
    <definedName name="TBfb06156a_e4a4_4a2f_bd0e_717910714e3c" hidden="1">#REF!</definedName>
    <definedName name="TBfb219e7b_53b8_46ab_9d2b_f89f1827a93e" hidden="1">#REF!</definedName>
    <definedName name="TBfb24f6a2_7ab4_4e7a_a6b4_beeb07a641ad" hidden="1">#REF!</definedName>
    <definedName name="TBfb2501aa_305d_47c4_b463_18e1b110f6ca" hidden="1">#REF!</definedName>
    <definedName name="TBfb2d291f_f430_4fc0_b987_11eb47d9fed5" hidden="1">#REF!</definedName>
    <definedName name="TBfb327d1f_9506_48e0_9eba_1d2044371eb8" hidden="1">#REF!</definedName>
    <definedName name="TBfb3cff5e_bf2e_4122_9a1e_e53406646dd7" hidden="1">#REF!</definedName>
    <definedName name="TBfb4b6801_1454_4247_8bb9_40915da3ad6b" hidden="1">#REF!</definedName>
    <definedName name="TBfb73d4da_05d3_403b_a328_3119aa98e1c3" hidden="1">#REF!</definedName>
    <definedName name="TBfb74d88c_576b_403a_a3d7_5c99c8d7820d" hidden="1">#REF!</definedName>
    <definedName name="TBfb7eb3a0_873b_495d_9594_899582afbbcd" hidden="1">#REF!</definedName>
    <definedName name="TBfb940a0b_b505_4aab_bc00_c58a2d618182" hidden="1">#REF!</definedName>
    <definedName name="TBfb9834af_0333_4c1e_8605_d86096620ec9" hidden="1">#REF!</definedName>
    <definedName name="TBfbaed366_fbe5_445b_bb26_5e5659a28af5" hidden="1">#REF!</definedName>
    <definedName name="TBfbc9daac_c580_4efd_8bea_58b7fe7ca4b2" hidden="1">#REF!</definedName>
    <definedName name="TBfbdb60b6_45e4_4e4f_b249_bb41cf23dbd6" hidden="1">#REF!</definedName>
    <definedName name="TBfbe924bf_5fa8_417d_abd0_658ca2c4aa8f" hidden="1">#REF!</definedName>
    <definedName name="TBfbeb4f2d_9bd7_4285_8f63_56da29f069d4" hidden="1">#REF!</definedName>
    <definedName name="TBfbfe0df7_38da_4428_8208_6de382ce8ccf" hidden="1">#REF!</definedName>
    <definedName name="TBfc0562ec_9183_4b3b_a46a_9b070199d40f" hidden="1">#REF!</definedName>
    <definedName name="TBfc18a232_2ad2_4365_8a0e_a36bba77b27b" hidden="1">#REF!</definedName>
    <definedName name="TBfc2087fb_6ac6_49af_864f_5c8ed7cb8d5a" hidden="1">#REF!</definedName>
    <definedName name="TBfc27a60c_1f13_4431_82f6_cb402cded40e" hidden="1">#REF!</definedName>
    <definedName name="TBfc322780_9172_4385_8d64_db0a15046340" hidden="1">#REF!</definedName>
    <definedName name="TBfc381d51_f8ad_4876_af28_d2d61f4c1a6f" hidden="1">#REF!</definedName>
    <definedName name="TBfc42661f_c1aa_4a61_93c3_1656f25dd735" hidden="1">#REF!</definedName>
    <definedName name="TBfc44befb_756f_49b5_a996_8e4f05d21ad8" hidden="1">#REF!</definedName>
    <definedName name="TBfc531ce2_48dd_480c_9700_9cde248d0cea" hidden="1">#REF!</definedName>
    <definedName name="TBfc582414_8c41_437d_9544_d37d726f5365" hidden="1">#REF!</definedName>
    <definedName name="TBfc5c35e5_7f02_403d_8668_4bc60b404993" hidden="1">#REF!</definedName>
    <definedName name="TBfc777e2c_c61b_4ba4_94f9_f29ab2ae2b66" hidden="1">#REF!</definedName>
    <definedName name="TBfc7f3070_52b4_4a19_8e53_190fbb45927d" hidden="1">#REF!</definedName>
    <definedName name="TBfc82f3bc_af77_467e_98ce_d84b0864706c" hidden="1">#REF!</definedName>
    <definedName name="TBfc97800c_c049_4ae6_861a_1251ff74ae0f" hidden="1">#REF!</definedName>
    <definedName name="TBfcb0a188_1cb4_4e70_8dd6_dc03224dbcc8" hidden="1">#REF!</definedName>
    <definedName name="TBfcb38e4a_4e53_4c4c_be10_e2540d79b484" hidden="1">#REF!</definedName>
    <definedName name="TBfcb920cc_53be_4532_a00c_eb62792258b5" hidden="1">#REF!</definedName>
    <definedName name="TBfcc6c930_8397_4022_b949_63a486b993f6" hidden="1">#REF!</definedName>
    <definedName name="TBfcc8cc67_166d_4a55_89e7_8668799d0a24" hidden="1">#REF!</definedName>
    <definedName name="TBfcca00a3_e9f1_4977_af0c_3f7ad9159de3" hidden="1">#REF!</definedName>
    <definedName name="TBfccb6c1f_756d_46b6_88af_14d4765170b7" hidden="1">#REF!</definedName>
    <definedName name="TBfcdfbb9f_134d_4871_9bc8_0594f62bca40" hidden="1">#REF!</definedName>
    <definedName name="TBfce718f3_fab7_473f_8d1b_0e3aeebe151a" hidden="1">#REF!</definedName>
    <definedName name="TBfcefe701_e80b_4948_b743_54deba07699f" hidden="1">#REF!</definedName>
    <definedName name="TBfd12b2bb_2910_4b64_8b8a_291c4544c692" hidden="1">#REF!</definedName>
    <definedName name="TBfd35fd80_99e0_48ac_bc59_201f0051c70d" hidden="1">#REF!</definedName>
    <definedName name="TBfd36a247_b6c1_465e_846a_30df6f96ca79" hidden="1">#REF!</definedName>
    <definedName name="TBfd38c6e4_0993_4909_b2fa_de19ebf21540" hidden="1">#REF!</definedName>
    <definedName name="TBfd4158f4_b309_4564_9ac2_ae0b9c87ba14" hidden="1">#REF!</definedName>
    <definedName name="TBfd43572f_4f83_462b_8003_29493a429f2d" hidden="1">#REF!</definedName>
    <definedName name="TBfd501d66_db98_45a0_875b_c79a74015e04" hidden="1">#REF!</definedName>
    <definedName name="TBfd527fb9_310c_493f_b577_cc70132cfbf9" hidden="1">#REF!</definedName>
    <definedName name="TBfd554c04_c38c_4a2f_a4c2_32b4c4d32de0" hidden="1">#REF!</definedName>
    <definedName name="TBfd655cfe_5b85_40ba_88cc_ee289a7b3121" hidden="1">#REF!</definedName>
    <definedName name="TBfd76f7e3_1bd8_4a1e_a9e8_644ef89f4600" hidden="1">#REF!</definedName>
    <definedName name="TBfd8092f3_5f34_4e62_9ca9_6e6963f9c6a0" hidden="1">#REF!</definedName>
    <definedName name="TBfd8714b7_82a2_4ca9_8fa1_d1058875e1bb" hidden="1">#REF!</definedName>
    <definedName name="TBfd92379e_a037_45e3_af06_c1d414132ac2" hidden="1">#REF!</definedName>
    <definedName name="TBfd94caef_e17a_4ce4_a418_c5ceefc290bb" hidden="1">#REF!</definedName>
    <definedName name="TBfd9b4b91_eda8_4c1f_be3d_c3cc6038ba9c" hidden="1">#REF!</definedName>
    <definedName name="TBfda1839e_d900_4e72_81a0_87ae62fb66a9" hidden="1">#REF!</definedName>
    <definedName name="TBfda3672d_e4fa_47ba_9fac_f93eef57de2c" hidden="1">#REF!</definedName>
    <definedName name="TBfdb13da0_5cfb_4381_ada1_784c79667730" hidden="1">#REF!</definedName>
    <definedName name="TBfdb9aabe_565c_4c50_bfaa_526813c4598e" hidden="1">#REF!</definedName>
    <definedName name="TBfdbc5d66_2905_4cae_8770_d998e0b4f6a4" hidden="1">#REF!</definedName>
    <definedName name="TBfdbd31d0_289d_48f7_ab06_dc8cbe1c8219" hidden="1">#REF!</definedName>
    <definedName name="TBfdbeacc6_cd3a_444c_9de1_507585ae660a" hidden="1">#REF!</definedName>
    <definedName name="TBfde374f9_96a6_4d74_91b1_2f1c9d59fec0" hidden="1">#REF!</definedName>
    <definedName name="TBfde4cfd9_5e59_4826_a62e_931fc0f7c3e8" hidden="1">#REF!</definedName>
    <definedName name="TBfdea5a58_da48_4bb0_ba2e_de8d1704342b" hidden="1">#REF!</definedName>
    <definedName name="TBfdf17bb1_e95f_4426_8c80_f0057273c769" hidden="1">#REF!</definedName>
    <definedName name="TBfdfd4f59_c950_4831_b10e_8fa965d5560e" hidden="1">#REF!</definedName>
    <definedName name="TBfe216f54_f5f8_465b_8677_5ff44fa74904" hidden="1">#REF!</definedName>
    <definedName name="TBfe29360b_7deb_448e_be66_d70c114b11a8" hidden="1">#REF!</definedName>
    <definedName name="TBfe2dfe91_8c4f_4fcf_ac34_308098df139f" hidden="1">#REF!</definedName>
    <definedName name="TBfe3416e8_9b13_402f_b2ae_58c596d74ef9" hidden="1">#REF!</definedName>
    <definedName name="TBfe35244f_a28d_464a_9423_fc5b766c1ced" hidden="1">#REF!</definedName>
    <definedName name="TBfe3908ab_31ab_4b54_9ad2_54310c3ba47b" hidden="1">#REF!</definedName>
    <definedName name="TBfe43a510_085f_43ba_8586_df2282cd4adf" hidden="1">#REF!</definedName>
    <definedName name="TBfe5ddbf8_cffd_4396_bda9_4e3bfd276340" hidden="1">#REF!</definedName>
    <definedName name="TBfe9133bb_6ffd_45aa_873b_3b20b0051c99" hidden="1">#REF!</definedName>
    <definedName name="TBfe920a52_cbd4_496a_9083_2891281af5f9" hidden="1">#REF!</definedName>
    <definedName name="TBfe9fdd72_dd97_4ec1_999d_7be892dc39fb" hidden="1">#REF!</definedName>
    <definedName name="TBfea59767_5361_411f_aa93_9058fa5b8843" hidden="1">#REF!</definedName>
    <definedName name="TBfea8b2a9_097b_4860_85ad_525c795f073f" hidden="1">#REF!</definedName>
    <definedName name="TBfeb01f01_21d2_41f2_a97b_844dae5785d8" hidden="1">#REF!</definedName>
    <definedName name="TBfec3b134_ad0b_4f4d_990d_228b56e389bd" hidden="1">#REF!</definedName>
    <definedName name="TBfecd27a6_39c1_4db7_a4eb_41162b9d34a7" hidden="1">#REF!</definedName>
    <definedName name="TBfee08198_247f_46e4_aaee_57f68355e10d" hidden="1">#REF!</definedName>
    <definedName name="TBfee435a1_47ab_4227_8048_7ff6fac0e2a9" hidden="1">#REF!</definedName>
    <definedName name="TBfee458b1_0041_4c52_8a2c_3da764b317a8" hidden="1">#REF!</definedName>
    <definedName name="TBfeeaf2b6_ebd9_4f56_8a49_a1690742f1bc" hidden="1">#REF!</definedName>
    <definedName name="TBfef073eb_36c6_476f_9ce3_a0ca317154f8" hidden="1">#REF!</definedName>
    <definedName name="TBfef381b4_4ad9_4129_883f_f61bf27c97bb" hidden="1">#REF!</definedName>
    <definedName name="TBfef4c17e_0c67_4ab9_b17b_8923eb48adf6" hidden="1">#REF!</definedName>
    <definedName name="TBff35eaca_dc70_4f8b_be30_71b43d3e1e81" hidden="1">#REF!</definedName>
    <definedName name="TBff3649f8_9de1_438c_818b_cf5f70017b5c" hidden="1">#REF!</definedName>
    <definedName name="TBff408c36_473a_4ea2_a719_c908eff2605a" hidden="1">#REF!</definedName>
    <definedName name="TBff47ee12_9e2c_4ba0_aeed_bb57fe40adc9" hidden="1">#REF!</definedName>
    <definedName name="TBff527008_aed2_4146_aae7_580053ddb1d6" hidden="1">#REF!</definedName>
    <definedName name="TBff539317_90c9_49e3_acc8_f796ec34cdb9" hidden="1">#REF!</definedName>
    <definedName name="TBff5de4cc_bbf9_4218_8a53_ef7ba43ca127" hidden="1">#REF!</definedName>
    <definedName name="TBff637b6b_d379_4f72_a214_fe28ec5daa9b" hidden="1">#REF!</definedName>
    <definedName name="TBff673596_d0a3_4142_a64d_5d20bacbbdab" hidden="1">#REF!</definedName>
    <definedName name="TBff6b220a_b63b_49d6_966b_59b5cbd5c306" hidden="1">#REF!</definedName>
    <definedName name="TBff6b9c54_b4f4_4abc_ab92_41a18f43a762" hidden="1">#REF!</definedName>
    <definedName name="TBff6da4f7_e122_41b5_8f27_e52e9d34bec9" hidden="1">#REF!</definedName>
    <definedName name="TBff7fe68b_13fb_416f_bad7_825a04186ecf" hidden="1">#REF!</definedName>
    <definedName name="TBff8040c1_6897_49b6_93b9_8fbbf2ef16fd" hidden="1">#REF!</definedName>
    <definedName name="TBff830d39_7861_4009_8eaf_80c4333c2320" hidden="1">#REF!</definedName>
    <definedName name="TBff9325c2_314f_40a1_85b4_113504f26c23" hidden="1">#REF!</definedName>
    <definedName name="TBff9e9dde_5204_4fa1_bf15_99527ce5a9be" hidden="1">#REF!</definedName>
    <definedName name="TBffa34ea8_45c5_4c24_b252_07debf135707" hidden="1">#REF!</definedName>
    <definedName name="TBffa513ff_1f06_4e6a_9e18_e80976b57cd2" hidden="1">#REF!</definedName>
    <definedName name="TBffb7a87b_f9d4_4a99_9bf3_72bf889bee55" hidden="1">#REF!</definedName>
    <definedName name="TBffbde92b_30ec_435e_9d25_975c041a7ff6" hidden="1">#REF!</definedName>
    <definedName name="TBffd64ce0_ed73_435e_9759_8b052d7e5c27" hidden="1">#REF!</definedName>
    <definedName name="TBffe75eb5_50f5_4d6e_a1f3_7e2abeb55b7f" hidden="1">#REF!</definedName>
    <definedName name="TBfff36d5b_067f_4dc6_b37e_48932474d280" hidden="1">#REF!</definedName>
    <definedName name="TBfff6204d_fcd2_46e9_bd9d_df55f9197a21" hidden="1">#REF!</definedName>
    <definedName name="tbl_ProdInfo" hidden="1">#REF!</definedName>
    <definedName name="Tem" localSheetId="10" hidden="1">{#N/A,#N/A,FALSE,"Pharm";#N/A,#N/A,FALSE,"WWCM"}</definedName>
    <definedName name="Tem" localSheetId="9" hidden="1">{#N/A,#N/A,FALSE,"Pharm";#N/A,#N/A,FALSE,"WWCM"}</definedName>
    <definedName name="Tem" hidden="1">{#N/A,#N/A,FALSE,"Pharm";#N/A,#N/A,FALSE,"WWCM"}</definedName>
    <definedName name="tempxxx" hidden="1">0</definedName>
    <definedName name="teq" localSheetId="10" hidden="1">{#N/A,#N/A,FALSE,"Pharm";#N/A,#N/A,FALSE,"WWCM"}</definedName>
    <definedName name="teq" localSheetId="9" hidden="1">{#N/A,#N/A,FALSE,"Pharm";#N/A,#N/A,FALSE,"WWCM"}</definedName>
    <definedName name="teq" hidden="1">{#N/A,#N/A,FALSE,"Pharm";#N/A,#N/A,FALSE,"WWCM"}</definedName>
    <definedName name="Tequin" localSheetId="10" hidden="1">{#N/A,#N/A,FALSE,"Pharm";#N/A,#N/A,FALSE,"WWCM"}</definedName>
    <definedName name="Tequin" localSheetId="9" hidden="1">{#N/A,#N/A,FALSE,"Pharm";#N/A,#N/A,FALSE,"WWCM"}</definedName>
    <definedName name="Tequin" hidden="1">{#N/A,#N/A,FALSE,"Pharm";#N/A,#N/A,FALSE,"WWCM"}</definedName>
    <definedName name="tequinol" localSheetId="10" hidden="1">{#N/A,#N/A,FALSE,"REPORT"}</definedName>
    <definedName name="tequinol" localSheetId="9" hidden="1">{#N/A,#N/A,FALSE,"REPORT"}</definedName>
    <definedName name="tequinol" hidden="1">{#N/A,#N/A,FALSE,"REPORT"}</definedName>
    <definedName name="test2_1" localSheetId="10" hidden="1">{#N/A,#N/A,FALSE,"Performance Flash Report"}</definedName>
    <definedName name="test2_1" localSheetId="9" hidden="1">{#N/A,#N/A,FALSE,"Performance Flash Report"}</definedName>
    <definedName name="test2_1" hidden="1">{#N/A,#N/A,FALSE,"Performance Flash Report"}</definedName>
    <definedName name="test2_1_1" localSheetId="10" hidden="1">{#N/A,#N/A,FALSE,"Performance Flash Report"}</definedName>
    <definedName name="test2_1_1" localSheetId="9" hidden="1">{#N/A,#N/A,FALSE,"Performance Flash Report"}</definedName>
    <definedName name="test2_1_1" hidden="1">{#N/A,#N/A,FALSE,"Performance Flash Report"}</definedName>
    <definedName name="test2_1_2" localSheetId="10" hidden="1">{#N/A,#N/A,FALSE,"Performance Flash Report"}</definedName>
    <definedName name="test2_1_2" localSheetId="9" hidden="1">{#N/A,#N/A,FALSE,"Performance Flash Report"}</definedName>
    <definedName name="test2_1_2" hidden="1">{#N/A,#N/A,FALSE,"Performance Flash Report"}</definedName>
    <definedName name="test2_1_3" localSheetId="10" hidden="1">{#N/A,#N/A,FALSE,"Performance Flash Report"}</definedName>
    <definedName name="test2_1_3" localSheetId="9" hidden="1">{#N/A,#N/A,FALSE,"Performance Flash Report"}</definedName>
    <definedName name="test2_1_3" hidden="1">{#N/A,#N/A,FALSE,"Performance Flash Report"}</definedName>
    <definedName name="test2_1_4" localSheetId="10" hidden="1">{#N/A,#N/A,FALSE,"Performance Flash Report"}</definedName>
    <definedName name="test2_1_4" localSheetId="9" hidden="1">{#N/A,#N/A,FALSE,"Performance Flash Report"}</definedName>
    <definedName name="test2_1_4" hidden="1">{#N/A,#N/A,FALSE,"Performance Flash Report"}</definedName>
    <definedName name="test2_2" localSheetId="10" hidden="1">{#N/A,#N/A,FALSE,"Performance Flash Report"}</definedName>
    <definedName name="test2_2" localSheetId="9" hidden="1">{#N/A,#N/A,FALSE,"Performance Flash Report"}</definedName>
    <definedName name="test2_2" hidden="1">{#N/A,#N/A,FALSE,"Performance Flash Report"}</definedName>
    <definedName name="test2_2_1" localSheetId="10" hidden="1">{#N/A,#N/A,FALSE,"Performance Flash Report"}</definedName>
    <definedName name="test2_2_1" localSheetId="9" hidden="1">{#N/A,#N/A,FALSE,"Performance Flash Report"}</definedName>
    <definedName name="test2_2_1" hidden="1">{#N/A,#N/A,FALSE,"Performance Flash Report"}</definedName>
    <definedName name="test2_2_2" localSheetId="10" hidden="1">{#N/A,#N/A,FALSE,"Performance Flash Report"}</definedName>
    <definedName name="test2_2_2" localSheetId="9" hidden="1">{#N/A,#N/A,FALSE,"Performance Flash Report"}</definedName>
    <definedName name="test2_2_2" hidden="1">{#N/A,#N/A,FALSE,"Performance Flash Report"}</definedName>
    <definedName name="test2_2_3" localSheetId="10" hidden="1">{#N/A,#N/A,FALSE,"Performance Flash Report"}</definedName>
    <definedName name="test2_2_3" localSheetId="9" hidden="1">{#N/A,#N/A,FALSE,"Performance Flash Report"}</definedName>
    <definedName name="test2_2_3" hidden="1">{#N/A,#N/A,FALSE,"Performance Flash Report"}</definedName>
    <definedName name="test2_2_4" localSheetId="10" hidden="1">{#N/A,#N/A,FALSE,"Performance Flash Report"}</definedName>
    <definedName name="test2_2_4" localSheetId="9" hidden="1">{#N/A,#N/A,FALSE,"Performance Flash Report"}</definedName>
    <definedName name="test2_2_4" hidden="1">{#N/A,#N/A,FALSE,"Performance Flash Report"}</definedName>
    <definedName name="test2_3" localSheetId="10" hidden="1">{#N/A,#N/A,FALSE,"Performance Flash Report"}</definedName>
    <definedName name="test2_3" localSheetId="9" hidden="1">{#N/A,#N/A,FALSE,"Performance Flash Report"}</definedName>
    <definedName name="test2_3" hidden="1">{#N/A,#N/A,FALSE,"Performance Flash Report"}</definedName>
    <definedName name="test2_3_1" localSheetId="10" hidden="1">{#N/A,#N/A,FALSE,"Performance Flash Report"}</definedName>
    <definedName name="test2_3_1" localSheetId="9" hidden="1">{#N/A,#N/A,FALSE,"Performance Flash Report"}</definedName>
    <definedName name="test2_3_1" hidden="1">{#N/A,#N/A,FALSE,"Performance Flash Report"}</definedName>
    <definedName name="test2_3_2" localSheetId="10" hidden="1">{#N/A,#N/A,FALSE,"Performance Flash Report"}</definedName>
    <definedName name="test2_3_2" localSheetId="9" hidden="1">{#N/A,#N/A,FALSE,"Performance Flash Report"}</definedName>
    <definedName name="test2_3_2" hidden="1">{#N/A,#N/A,FALSE,"Performance Flash Report"}</definedName>
    <definedName name="test2_3_3" localSheetId="10" hidden="1">{#N/A,#N/A,FALSE,"Performance Flash Report"}</definedName>
    <definedName name="test2_3_3" localSheetId="9" hidden="1">{#N/A,#N/A,FALSE,"Performance Flash Report"}</definedName>
    <definedName name="test2_3_3" hidden="1">{#N/A,#N/A,FALSE,"Performance Flash Report"}</definedName>
    <definedName name="test2_3_4" localSheetId="10" hidden="1">{#N/A,#N/A,FALSE,"Performance Flash Report"}</definedName>
    <definedName name="test2_3_4" localSheetId="9" hidden="1">{#N/A,#N/A,FALSE,"Performance Flash Report"}</definedName>
    <definedName name="test2_3_4" hidden="1">{#N/A,#N/A,FALSE,"Performance Flash Report"}</definedName>
    <definedName name="test2_4" localSheetId="10" hidden="1">{#N/A,#N/A,FALSE,"Performance Flash Report"}</definedName>
    <definedName name="test2_4" localSheetId="9" hidden="1">{#N/A,#N/A,FALSE,"Performance Flash Report"}</definedName>
    <definedName name="test2_4" hidden="1">{#N/A,#N/A,FALSE,"Performance Flash Report"}</definedName>
    <definedName name="test2_4_1" localSheetId="10" hidden="1">{#N/A,#N/A,FALSE,"Performance Flash Report"}</definedName>
    <definedName name="test2_4_1" localSheetId="9" hidden="1">{#N/A,#N/A,FALSE,"Performance Flash Report"}</definedName>
    <definedName name="test2_4_1" hidden="1">{#N/A,#N/A,FALSE,"Performance Flash Report"}</definedName>
    <definedName name="test2_4_2" localSheetId="10" hidden="1">{#N/A,#N/A,FALSE,"Performance Flash Report"}</definedName>
    <definedName name="test2_4_2" localSheetId="9" hidden="1">{#N/A,#N/A,FALSE,"Performance Flash Report"}</definedName>
    <definedName name="test2_4_2" hidden="1">{#N/A,#N/A,FALSE,"Performance Flash Report"}</definedName>
    <definedName name="test2_4_3" localSheetId="10" hidden="1">{#N/A,#N/A,FALSE,"Performance Flash Report"}</definedName>
    <definedName name="test2_4_3" localSheetId="9" hidden="1">{#N/A,#N/A,FALSE,"Performance Flash Report"}</definedName>
    <definedName name="test2_4_3" hidden="1">{#N/A,#N/A,FALSE,"Performance Flash Report"}</definedName>
    <definedName name="test2_4_4" localSheetId="10" hidden="1">{#N/A,#N/A,FALSE,"Performance Flash Report"}</definedName>
    <definedName name="test2_4_4" localSheetId="9" hidden="1">{#N/A,#N/A,FALSE,"Performance Flash Report"}</definedName>
    <definedName name="test2_4_4" hidden="1">{#N/A,#N/A,FALSE,"Performance Flash Report"}</definedName>
    <definedName name="test2_5" localSheetId="10" hidden="1">{#N/A,#N/A,FALSE,"Performance Flash Report"}</definedName>
    <definedName name="test2_5" localSheetId="9" hidden="1">{#N/A,#N/A,FALSE,"Performance Flash Report"}</definedName>
    <definedName name="test2_5" hidden="1">{#N/A,#N/A,FALSE,"Performance Flash Report"}</definedName>
    <definedName name="test2_5_1" localSheetId="10" hidden="1">{#N/A,#N/A,FALSE,"Performance Flash Report"}</definedName>
    <definedName name="test2_5_1" localSheetId="9" hidden="1">{#N/A,#N/A,FALSE,"Performance Flash Report"}</definedName>
    <definedName name="test2_5_1" hidden="1">{#N/A,#N/A,FALSE,"Performance Flash Report"}</definedName>
    <definedName name="test2_5_2" localSheetId="10" hidden="1">{#N/A,#N/A,FALSE,"Performance Flash Report"}</definedName>
    <definedName name="test2_5_2" localSheetId="9" hidden="1">{#N/A,#N/A,FALSE,"Performance Flash Report"}</definedName>
    <definedName name="test2_5_2" hidden="1">{#N/A,#N/A,FALSE,"Performance Flash Report"}</definedName>
    <definedName name="test2_5_3" localSheetId="10" hidden="1">{#N/A,#N/A,FALSE,"Performance Flash Report"}</definedName>
    <definedName name="test2_5_3" localSheetId="9" hidden="1">{#N/A,#N/A,FALSE,"Performance Flash Report"}</definedName>
    <definedName name="test2_5_3" hidden="1">{#N/A,#N/A,FALSE,"Performance Flash Report"}</definedName>
    <definedName name="test2_5_4" localSheetId="10" hidden="1">{#N/A,#N/A,FALSE,"Performance Flash Report"}</definedName>
    <definedName name="test2_5_4" localSheetId="9" hidden="1">{#N/A,#N/A,FALSE,"Performance Flash Report"}</definedName>
    <definedName name="test2_5_4" hidden="1">{#N/A,#N/A,FALSE,"Performance Flash Report"}</definedName>
    <definedName name="test3_1" localSheetId="10" hidden="1">{#N/A,#N/A,FALSE,"Performance Flash Report"}</definedName>
    <definedName name="test3_1" localSheetId="9" hidden="1">{#N/A,#N/A,FALSE,"Performance Flash Report"}</definedName>
    <definedName name="test3_1" hidden="1">{#N/A,#N/A,FALSE,"Performance Flash Report"}</definedName>
    <definedName name="test3_1_1" localSheetId="10" hidden="1">{#N/A,#N/A,FALSE,"Performance Flash Report"}</definedName>
    <definedName name="test3_1_1" localSheetId="9" hidden="1">{#N/A,#N/A,FALSE,"Performance Flash Report"}</definedName>
    <definedName name="test3_1_1" hidden="1">{#N/A,#N/A,FALSE,"Performance Flash Report"}</definedName>
    <definedName name="test3_1_2" localSheetId="10" hidden="1">{#N/A,#N/A,FALSE,"Performance Flash Report"}</definedName>
    <definedName name="test3_1_2" localSheetId="9" hidden="1">{#N/A,#N/A,FALSE,"Performance Flash Report"}</definedName>
    <definedName name="test3_1_2" hidden="1">{#N/A,#N/A,FALSE,"Performance Flash Report"}</definedName>
    <definedName name="test3_1_3" localSheetId="10" hidden="1">{#N/A,#N/A,FALSE,"Performance Flash Report"}</definedName>
    <definedName name="test3_1_3" localSheetId="9" hidden="1">{#N/A,#N/A,FALSE,"Performance Flash Report"}</definedName>
    <definedName name="test3_1_3" hidden="1">{#N/A,#N/A,FALSE,"Performance Flash Report"}</definedName>
    <definedName name="test3_1_4" localSheetId="10" hidden="1">{#N/A,#N/A,FALSE,"Performance Flash Report"}</definedName>
    <definedName name="test3_1_4" localSheetId="9" hidden="1">{#N/A,#N/A,FALSE,"Performance Flash Report"}</definedName>
    <definedName name="test3_1_4" hidden="1">{#N/A,#N/A,FALSE,"Performance Flash Report"}</definedName>
    <definedName name="test3_2" localSheetId="10" hidden="1">{#N/A,#N/A,FALSE,"Performance Flash Report"}</definedName>
    <definedName name="test3_2" localSheetId="9" hidden="1">{#N/A,#N/A,FALSE,"Performance Flash Report"}</definedName>
    <definedName name="test3_2" hidden="1">{#N/A,#N/A,FALSE,"Performance Flash Report"}</definedName>
    <definedName name="test3_2_1" localSheetId="10" hidden="1">{#N/A,#N/A,FALSE,"Performance Flash Report"}</definedName>
    <definedName name="test3_2_1" localSheetId="9" hidden="1">{#N/A,#N/A,FALSE,"Performance Flash Report"}</definedName>
    <definedName name="test3_2_1" hidden="1">{#N/A,#N/A,FALSE,"Performance Flash Report"}</definedName>
    <definedName name="test3_2_2" localSheetId="10" hidden="1">{#N/A,#N/A,FALSE,"Performance Flash Report"}</definedName>
    <definedName name="test3_2_2" localSheetId="9" hidden="1">{#N/A,#N/A,FALSE,"Performance Flash Report"}</definedName>
    <definedName name="test3_2_2" hidden="1">{#N/A,#N/A,FALSE,"Performance Flash Report"}</definedName>
    <definedName name="test3_2_3" localSheetId="10" hidden="1">{#N/A,#N/A,FALSE,"Performance Flash Report"}</definedName>
    <definedName name="test3_2_3" localSheetId="9" hidden="1">{#N/A,#N/A,FALSE,"Performance Flash Report"}</definedName>
    <definedName name="test3_2_3" hidden="1">{#N/A,#N/A,FALSE,"Performance Flash Report"}</definedName>
    <definedName name="test3_2_4" localSheetId="10" hidden="1">{#N/A,#N/A,FALSE,"Performance Flash Report"}</definedName>
    <definedName name="test3_2_4" localSheetId="9" hidden="1">{#N/A,#N/A,FALSE,"Performance Flash Report"}</definedName>
    <definedName name="test3_2_4" hidden="1">{#N/A,#N/A,FALSE,"Performance Flash Report"}</definedName>
    <definedName name="test3_3" localSheetId="10" hidden="1">{#N/A,#N/A,FALSE,"Performance Flash Report"}</definedName>
    <definedName name="test3_3" localSheetId="9" hidden="1">{#N/A,#N/A,FALSE,"Performance Flash Report"}</definedName>
    <definedName name="test3_3" hidden="1">{#N/A,#N/A,FALSE,"Performance Flash Report"}</definedName>
    <definedName name="test3_3_1" localSheetId="10" hidden="1">{#N/A,#N/A,FALSE,"Performance Flash Report"}</definedName>
    <definedName name="test3_3_1" localSheetId="9" hidden="1">{#N/A,#N/A,FALSE,"Performance Flash Report"}</definedName>
    <definedName name="test3_3_1" hidden="1">{#N/A,#N/A,FALSE,"Performance Flash Report"}</definedName>
    <definedName name="test3_3_2" localSheetId="10" hidden="1">{#N/A,#N/A,FALSE,"Performance Flash Report"}</definedName>
    <definedName name="test3_3_2" localSheetId="9" hidden="1">{#N/A,#N/A,FALSE,"Performance Flash Report"}</definedName>
    <definedName name="test3_3_2" hidden="1">{#N/A,#N/A,FALSE,"Performance Flash Report"}</definedName>
    <definedName name="test3_3_3" localSheetId="10" hidden="1">{#N/A,#N/A,FALSE,"Performance Flash Report"}</definedName>
    <definedName name="test3_3_3" localSheetId="9" hidden="1">{#N/A,#N/A,FALSE,"Performance Flash Report"}</definedName>
    <definedName name="test3_3_3" hidden="1">{#N/A,#N/A,FALSE,"Performance Flash Report"}</definedName>
    <definedName name="test3_3_4" localSheetId="10" hidden="1">{#N/A,#N/A,FALSE,"Performance Flash Report"}</definedName>
    <definedName name="test3_3_4" localSheetId="9" hidden="1">{#N/A,#N/A,FALSE,"Performance Flash Report"}</definedName>
    <definedName name="test3_3_4" hidden="1">{#N/A,#N/A,FALSE,"Performance Flash Report"}</definedName>
    <definedName name="test3_4" localSheetId="10" hidden="1">{#N/A,#N/A,FALSE,"Performance Flash Report"}</definedName>
    <definedName name="test3_4" localSheetId="9" hidden="1">{#N/A,#N/A,FALSE,"Performance Flash Report"}</definedName>
    <definedName name="test3_4" hidden="1">{#N/A,#N/A,FALSE,"Performance Flash Report"}</definedName>
    <definedName name="test3_4_1" localSheetId="10" hidden="1">{#N/A,#N/A,FALSE,"Performance Flash Report"}</definedName>
    <definedName name="test3_4_1" localSheetId="9" hidden="1">{#N/A,#N/A,FALSE,"Performance Flash Report"}</definedName>
    <definedName name="test3_4_1" hidden="1">{#N/A,#N/A,FALSE,"Performance Flash Report"}</definedName>
    <definedName name="test3_4_2" localSheetId="10" hidden="1">{#N/A,#N/A,FALSE,"Performance Flash Report"}</definedName>
    <definedName name="test3_4_2" localSheetId="9" hidden="1">{#N/A,#N/A,FALSE,"Performance Flash Report"}</definedName>
    <definedName name="test3_4_2" hidden="1">{#N/A,#N/A,FALSE,"Performance Flash Report"}</definedName>
    <definedName name="test3_4_3" localSheetId="10" hidden="1">{#N/A,#N/A,FALSE,"Performance Flash Report"}</definedName>
    <definedName name="test3_4_3" localSheetId="9" hidden="1">{#N/A,#N/A,FALSE,"Performance Flash Report"}</definedName>
    <definedName name="test3_4_3" hidden="1">{#N/A,#N/A,FALSE,"Performance Flash Report"}</definedName>
    <definedName name="test3_4_4" localSheetId="10" hidden="1">{#N/A,#N/A,FALSE,"Performance Flash Report"}</definedName>
    <definedName name="test3_4_4" localSheetId="9" hidden="1">{#N/A,#N/A,FALSE,"Performance Flash Report"}</definedName>
    <definedName name="test3_4_4" hidden="1">{#N/A,#N/A,FALSE,"Performance Flash Report"}</definedName>
    <definedName name="test3_5" localSheetId="10" hidden="1">{#N/A,#N/A,FALSE,"Performance Flash Report"}</definedName>
    <definedName name="test3_5" localSheetId="9" hidden="1">{#N/A,#N/A,FALSE,"Performance Flash Report"}</definedName>
    <definedName name="test3_5" hidden="1">{#N/A,#N/A,FALSE,"Performance Flash Report"}</definedName>
    <definedName name="test3_5_1" localSheetId="10" hidden="1">{#N/A,#N/A,FALSE,"Performance Flash Report"}</definedName>
    <definedName name="test3_5_1" localSheetId="9" hidden="1">{#N/A,#N/A,FALSE,"Performance Flash Report"}</definedName>
    <definedName name="test3_5_1" hidden="1">{#N/A,#N/A,FALSE,"Performance Flash Report"}</definedName>
    <definedName name="test3_5_2" localSheetId="10" hidden="1">{#N/A,#N/A,FALSE,"Performance Flash Report"}</definedName>
    <definedName name="test3_5_2" localSheetId="9" hidden="1">{#N/A,#N/A,FALSE,"Performance Flash Report"}</definedName>
    <definedName name="test3_5_2" hidden="1">{#N/A,#N/A,FALSE,"Performance Flash Report"}</definedName>
    <definedName name="test3_5_3" localSheetId="10" hidden="1">{#N/A,#N/A,FALSE,"Performance Flash Report"}</definedName>
    <definedName name="test3_5_3" localSheetId="9" hidden="1">{#N/A,#N/A,FALSE,"Performance Flash Report"}</definedName>
    <definedName name="test3_5_3" hidden="1">{#N/A,#N/A,FALSE,"Performance Flash Report"}</definedName>
    <definedName name="test3_5_4" localSheetId="10" hidden="1">{#N/A,#N/A,FALSE,"Performance Flash Report"}</definedName>
    <definedName name="test3_5_4" localSheetId="9" hidden="1">{#N/A,#N/A,FALSE,"Performance Flash Report"}</definedName>
    <definedName name="test3_5_4" hidden="1">{#N/A,#N/A,FALSE,"Performance Flash Report"}</definedName>
    <definedName name="teste" localSheetId="10" hidden="1">{#N/A,#N/A,FALSE,"Pharm";#N/A,#N/A,FALSE,"WWCM"}</definedName>
    <definedName name="teste" localSheetId="9" hidden="1">{#N/A,#N/A,FALSE,"Pharm";#N/A,#N/A,FALSE,"WWCM"}</definedName>
    <definedName name="teste" hidden="1">{#N/A,#N/A,FALSE,"Pharm";#N/A,#N/A,FALSE,"WWCM"}</definedName>
    <definedName name="TEWR" localSheetId="10" hidden="1">{#N/A,#N/A,TRUE,"Y생산";#N/A,#N/A,TRUE,"Y판매";#N/A,#N/A,TRUE,"Y총물량";#N/A,#N/A,TRUE,"Y능력";#N/A,#N/A,TRUE,"YKD"}</definedName>
    <definedName name="TEWR" localSheetId="9" hidden="1">{#N/A,#N/A,TRUE,"Y생산";#N/A,#N/A,TRUE,"Y판매";#N/A,#N/A,TRUE,"Y총물량";#N/A,#N/A,TRUE,"Y능력";#N/A,#N/A,TRUE,"YKD"}</definedName>
    <definedName name="TEWR" hidden="1">{#N/A,#N/A,TRUE,"Y생산";#N/A,#N/A,TRUE,"Y판매";#N/A,#N/A,TRUE,"Y총물량";#N/A,#N/A,TRUE,"Y능력";#N/A,#N/A,TRUE,"YKD"}</definedName>
    <definedName name="TextRefCopyRangeCount" hidden="1">4</definedName>
    <definedName name="TFUI" localSheetId="10" hidden="1">{"'용역비'!$A$4:$C$8"}</definedName>
    <definedName name="TFUI" localSheetId="9" hidden="1">{"'용역비'!$A$4:$C$8"}</definedName>
    <definedName name="TFUI" hidden="1">{"'용역비'!$A$4:$C$8"}</definedName>
    <definedName name="THEME2" localSheetId="10" hidden="1">{#N/A,#N/A,FALSE,"96 3월물량표";#N/A,#N/A,FALSE,"96 4월물량표";#N/A,#N/A,FALSE,"96 5월물량표"}</definedName>
    <definedName name="THEME2" localSheetId="9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HS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HS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H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HSDLR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HSDLR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HSDL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igr_Exhibit0251e8f3_b137_40b7_8b8f_cabf945c2330" hidden="1">#REF!</definedName>
    <definedName name="Tigr_Exhibit0252f0db_3110_46a3_8acf_6a3a4b61ed14" hidden="1">#REF!</definedName>
    <definedName name="Tigr_Exhibit0276e23b_e1b0_4866_ac45_66ffbbbac911" hidden="1">#REF!</definedName>
    <definedName name="Tigr_Exhibit04a7fc71_42a0_4f0c_b27a_33322aa5521c" hidden="1">#REF!</definedName>
    <definedName name="Tigr_Exhibit052758eb_b52b_4f82_9f75_645a7b67e7cf" hidden="1">#REF!</definedName>
    <definedName name="Tigr_Exhibit0532ca77_3641_4781_aab3_bd8637267533" hidden="1">#REF!</definedName>
    <definedName name="Tigr_Exhibit054d6e2c_0eb7_4e48_8113_5b3d3c1febe7" hidden="1">#REF!</definedName>
    <definedName name="Tigr_Exhibit0559ceb6_5b88_46c5_b0cc_fab940e1e323" hidden="1">#REF!</definedName>
    <definedName name="Tigr_Exhibit05e5b91a_c3b2_41bd_843f_f790b0c305a6" hidden="1">#REF!</definedName>
    <definedName name="Tigr_Exhibit0753cef9_1eab_4109_88e5_4fc0a06ffe7b" hidden="1">#REF!</definedName>
    <definedName name="Tigr_Exhibit0867e964_5b46_44a2_8057_933928d6bd4e" hidden="1">#REF!</definedName>
    <definedName name="Tigr_Exhibit08d08f03_6991_4427_87ab_3570a7239e2a" hidden="1">#REF!</definedName>
    <definedName name="Tigr_Exhibit09c6139a_20cc_4ae4_8cca_825537706b9f" hidden="1">#REF!</definedName>
    <definedName name="Tigr_Exhibit09e2ee84_786e_4809_90d1_7f3926dfcf7d" hidden="1">#REF!</definedName>
    <definedName name="Tigr_Exhibit0b7db248_8527_40de_bd9e_0f7b9434a4de" hidden="1">#REF!</definedName>
    <definedName name="Tigr_Exhibit0d1db3b1_bd5b_4e25_a84b_61fb9a5dc2df" hidden="1">#REF!</definedName>
    <definedName name="Tigr_Exhibit0edd0137_bcc6_4253_82f2_aa1c1bbcc0db" hidden="1">#REF!</definedName>
    <definedName name="Tigr_Exhibit0eece82a_d274_41eb_ac8e_5ae4362d986f" hidden="1">#REF!</definedName>
    <definedName name="Tigr_Exhibit0f927a52_5376_4e2e_8603_0a02feb41331" hidden="1">#REF!</definedName>
    <definedName name="Tigr_Exhibit11220970_1c92_40fc_8b72_e467c28205b9" hidden="1">#REF!</definedName>
    <definedName name="Tigr_Exhibit12702ec4_4fe2_4f30_b310_03e382b19c31" hidden="1">#REF!</definedName>
    <definedName name="Tigr_Exhibit12cdd3f6_6e98_423d_9145_b0ddebdd5584" hidden="1">#REF!</definedName>
    <definedName name="Tigr_Exhibit1353f2fd_40de_4f3d_95aa_1a02d7c0c52f" hidden="1">#REF!</definedName>
    <definedName name="Tigr_Exhibit1376d55e_0328_4060_b1fa_f130478c5c53" hidden="1">#REF!</definedName>
    <definedName name="Tigr_Exhibit13f93b11_b06a_454b_88ea_3865393bb9c1" hidden="1">#REF!</definedName>
    <definedName name="Tigr_Exhibit14c16f7e_084b_471c_b067_b6717c13c88d" hidden="1">#REF!</definedName>
    <definedName name="Tigr_Exhibit159810a4_33a0_46d7_ae5f_8463c704f14e" hidden="1">#REF!</definedName>
    <definedName name="Tigr_Exhibit15c6d7ad_7fa1_4401_a7b0_235781dec685" hidden="1">#REF!</definedName>
    <definedName name="Tigr_Exhibit16f0b067_18e1_4b91_af58_50d1ccd2c068" hidden="1">#REF!</definedName>
    <definedName name="Tigr_Exhibit18065eab_e803_4caf_ad78_8bc026419b10" hidden="1">#REF!</definedName>
    <definedName name="Tigr_Exhibit18148549_93d9_460a_8094_25e5cbfee999" hidden="1">#REF!</definedName>
    <definedName name="Tigr_Exhibit1815682b_7fc1_4f03_9115_603e65d0abe2" hidden="1">#REF!</definedName>
    <definedName name="Tigr_Exhibit18531cd9_ac58_495c_b2dd_015233fb5c2c" hidden="1">#REF!</definedName>
    <definedName name="Tigr_Exhibit18788067_bc27_4bdf_a75d_ed16980cf176" hidden="1">#REF!</definedName>
    <definedName name="Tigr_Exhibit19a01c81_98ed_4116_acfd_882bb3bdfc5b" hidden="1">#REF!</definedName>
    <definedName name="Tigr_Exhibit19f3a766_2898_418e_8552_929a825e558c" hidden="1">#REF!</definedName>
    <definedName name="Tigr_Exhibit1b947b72_4031_4465_bc89_629b836bd550" hidden="1">#REF!</definedName>
    <definedName name="Tigr_Exhibit1bf860b2_74d2_4e92_9e55_7fe522130050" hidden="1">#REF!</definedName>
    <definedName name="Tigr_Exhibit1dcc9b89_879c_430f_a19d_d914c35d571a" hidden="1">#REF!</definedName>
    <definedName name="Tigr_Exhibit1fd4fee5_6688_4506_afa6_99b06a788bab" hidden="1">#REF!</definedName>
    <definedName name="Tigr_Exhibit22ff6ee1_1d98_481b_8b48_200834e61b5e" hidden="1">#REF!</definedName>
    <definedName name="Tigr_Exhibit24e14962_1147_4170_8e36_a430b2ce94ee" hidden="1">#REF!</definedName>
    <definedName name="Tigr_Exhibit250e2c30_b2ca_494f_bd31_42b92f2460c6" hidden="1">#REF!</definedName>
    <definedName name="Tigr_Exhibit251e6d62_35ed_4a06_a97e_875e86791194" hidden="1">#REF!</definedName>
    <definedName name="Tigr_Exhibit260836b7_723d_4cf9_bd0d_be7a07db5017" hidden="1">#REF!</definedName>
    <definedName name="Tigr_Exhibit2648c36b_bfab_439f_a924_0d4a81f911ef" hidden="1">#REF!</definedName>
    <definedName name="Tigr_Exhibit28b54c99_eadd_43b8_af5d_cc63474c20f4" hidden="1">#REF!</definedName>
    <definedName name="Tigr_Exhibit291477a0_b231_49ec_8857_c5e081826376" hidden="1">#REF!</definedName>
    <definedName name="Tigr_Exhibit2a7675d9_fd47_454d_969e_707998e67efc" hidden="1">#REF!</definedName>
    <definedName name="Tigr_Exhibit2bd3493a_9e56_4cfd_b4f2_906398b05102" hidden="1">#REF!</definedName>
    <definedName name="Tigr_Exhibit2d2a1a2d_92af_45e9_9187_781cc1b28217" hidden="1">#REF!</definedName>
    <definedName name="Tigr_Exhibit2e4377f6_a9c5_4240_ac8b_25017672b924" hidden="1">#REF!</definedName>
    <definedName name="Tigr_Exhibit2f373b45_f098_411d_a515_8632f331e087" hidden="1">#REF!</definedName>
    <definedName name="Tigr_Exhibit31b1c20e_8224_4318_9354_e83d2f87f613" hidden="1">#REF!</definedName>
    <definedName name="Tigr_Exhibit33221ef8_90ca_4299_a810_e68e24394cc3" hidden="1">#REF!</definedName>
    <definedName name="Tigr_Exhibit33f93da0_d9f4_4dba_9f64_30e583fbb6af" hidden="1">#REF!</definedName>
    <definedName name="Tigr_Exhibit3410bfaa_d0de_4077_b0da_51cea03ea008" hidden="1">#REF!</definedName>
    <definedName name="Tigr_Exhibit3561e008_718f_4124_a0a6_ce6e3fb2b918" hidden="1">#REF!</definedName>
    <definedName name="Tigr_Exhibit3607763c_61a3_425d_9828_838b49cd60a4" hidden="1">#REF!</definedName>
    <definedName name="Tigr_Exhibit372fff2b_bb7a_4b04_9ecc_3343a473bb4e" hidden="1">#REF!</definedName>
    <definedName name="Tigr_Exhibit373e47f8_def2_4760_b96c_4ec2d1a97515" hidden="1">#REF!</definedName>
    <definedName name="Tigr_Exhibit3743094b_8cf2_4f33_bd45_dd25a8fa1297" hidden="1">#REF!</definedName>
    <definedName name="Tigr_Exhibit37f70757_7ab5_47a5_88fa_4e1041bc9f2a" hidden="1">#REF!</definedName>
    <definedName name="Tigr_Exhibit3a85790b_2de5_4caa_943b_a7da3bb1d932" hidden="1">#REF!</definedName>
    <definedName name="Tigr_Exhibit3b50c542_7d49_48fd_91c5_3dca34bc58f1" hidden="1">#REF!</definedName>
    <definedName name="Tigr_Exhibit3baa6212_76c9_4fd2_a353_a338f543d272" hidden="1">#REF!</definedName>
    <definedName name="Tigr_Exhibit4007e85a_0f0a_4451_96a0_a602b462f895" hidden="1">#REF!</definedName>
    <definedName name="Tigr_Exhibit4235078f_d5a5_4053_a58e_f3cfc917e51f" hidden="1">#REF!</definedName>
    <definedName name="Tigr_Exhibit44537736_a80d_4068_8116_9651848251ed" hidden="1">#REF!</definedName>
    <definedName name="Tigr_Exhibit44ae1ee2_0d16_43a2_aa3b_235d4e841682" hidden="1">#REF!</definedName>
    <definedName name="Tigr_Exhibit4549c626_e4e1_4086_ae2b_d843a17ea929" hidden="1">#REF!</definedName>
    <definedName name="Tigr_Exhibit46107d4a_5629_40e0_a476_6a3bbff5526e" hidden="1">#REF!</definedName>
    <definedName name="Tigr_Exhibit46977b9c_68c4_49a2_a62b_0e23f6911dba" hidden="1">#REF!</definedName>
    <definedName name="Tigr_Exhibit46ffe5ef_a99a_43c1_843b_d00aa14ceed5" hidden="1">#REF!</definedName>
    <definedName name="Tigr_Exhibit478971b2_eb7b_4ec2_a86a_49ce965744cc" hidden="1">#REF!</definedName>
    <definedName name="Tigr_Exhibit4b2db65c_739f_43b7_b144_2aec9d04611e" hidden="1">#REF!</definedName>
    <definedName name="Tigr_Exhibit4e0c452c_85d0_419a_934e_e31742a63c22" hidden="1">#REF!</definedName>
    <definedName name="Tigr_Exhibit4e78010d_cdf8_4c32_8142_721a89cbf8f4" hidden="1">#REF!</definedName>
    <definedName name="Tigr_Exhibit4fd7d242_d4d9_4e9b_ae29_84759f5cb7f7" hidden="1">#REF!</definedName>
    <definedName name="Tigr_Exhibit56e748e9_95b9_461d_8e6b_4fb7a9352c8c" hidden="1">#REF!</definedName>
    <definedName name="Tigr_Exhibit5bd26021_df29_404f_8d5f_c2e6d99ddbbf" hidden="1">#REF!</definedName>
    <definedName name="Tigr_Exhibit5de04934_a8b0_4ee3_a895_6c67eebbb3ad" hidden="1">#REF!</definedName>
    <definedName name="Tigr_Exhibit625ea9ae_a65a_44b8_8a29_9c22f3015d9a" hidden="1">#REF!</definedName>
    <definedName name="Tigr_Exhibit63700b08_acd8_46d3_9a24_b4f4d777090c" hidden="1">#REF!</definedName>
    <definedName name="Tigr_Exhibit637452a9_e1d3_40c9_8e77_fd8ecc30e6ba" hidden="1">#REF!</definedName>
    <definedName name="Tigr_Exhibit63882f68_ea0d_4c86_9ccb_2dab22d487ae" hidden="1">#REF!</definedName>
    <definedName name="Tigr_Exhibit640c7502_a9ee_493d_8793_b80254bb4ed5" hidden="1">#REF!</definedName>
    <definedName name="Tigr_Exhibit6456dc27_801e_4255_a00f_bd1d87c3b6c4" hidden="1">#REF!</definedName>
    <definedName name="Tigr_Exhibit65f667bc_586d_4789_993c_3547417b965c" hidden="1">#REF!</definedName>
    <definedName name="Tigr_Exhibit6765910b_ce04_47a7_ac1b_d3239cffdec8" hidden="1">#REF!</definedName>
    <definedName name="Tigr_Exhibit6904f00c_8ec2_47b6_8c57_70af32614792" hidden="1">#REF!</definedName>
    <definedName name="Tigr_Exhibit69f3a19c_6a28_4c16_bbc5_4c17ddc27e12" hidden="1">#REF!</definedName>
    <definedName name="Tigr_Exhibit6a1037bd_3a6e_4864_ae7a_3612249bdf95" hidden="1">#REF!</definedName>
    <definedName name="Tigr_Exhibit6a8ecc63_dee3_45e4_b78c_b18c285a33df" hidden="1">#REF!</definedName>
    <definedName name="Tigr_Exhibit6c43a7ef_d535_48fd_8366_924c8e89a0df" hidden="1">#REF!</definedName>
    <definedName name="Tigr_Exhibit6dbc89ef_1392_428e_8295_715c03733425" hidden="1">#REF!</definedName>
    <definedName name="Tigr_Exhibit6dfd61a3_fd82_4f10_89a5_6b1e2e8e8080" hidden="1">#REF!</definedName>
    <definedName name="Tigr_Exhibit71bee93c_df14_4f78_9340_4c837e5088eb" hidden="1">#REF!</definedName>
    <definedName name="Tigr_Exhibit73c7eba1_4d3e_44f4_9517_8d786ec0ddd5" hidden="1">#REF!</definedName>
    <definedName name="Tigr_Exhibit74a18c19_c2bb_4cd9_8be4_b1568f11ccac" hidden="1">#REF!</definedName>
    <definedName name="Tigr_Exhibit75724a61_0858_429e_81eb_8cdd99c8c464" hidden="1">#REF!</definedName>
    <definedName name="Tigr_Exhibit758753bc_5a90_4867_846f_6717097926af" hidden="1">#REF!</definedName>
    <definedName name="Tigr_Exhibit761fe820_9fe0_495d_a0f3_581f0dac559a" hidden="1">#REF!</definedName>
    <definedName name="Tigr_Exhibit76361536_ab18_45fa_9d85_19b5504881de" hidden="1">#REF!</definedName>
    <definedName name="Tigr_Exhibit765ab6e1_273f_444b_97ea_4ea8d51614ab" hidden="1">#REF!</definedName>
    <definedName name="Tigr_Exhibit7664c6ce_ba0b_4ae5_b2d7_d8a9ce77ee5a" hidden="1">#REF!</definedName>
    <definedName name="Tigr_Exhibit76e30025_a033_40d2_9ed4_d63bcf584e21" hidden="1">#REF!</definedName>
    <definedName name="Tigr_Exhibit773804d8_9d0a_4951_96e3_6b59a5fc5c79" hidden="1">#REF!</definedName>
    <definedName name="Tigr_Exhibit7883eb9c_b8ae_4924_a595_4eaa71790201" hidden="1">#REF!</definedName>
    <definedName name="Tigr_Exhibit78f9bdf7_881d_4899_a48d_4a2ced6bf885" hidden="1">#REF!</definedName>
    <definedName name="Tigr_Exhibit79bba6e4_372f_4fd8_ae19_2792a509291b" hidden="1">#REF!</definedName>
    <definedName name="Tigr_Exhibit7a9ed8df_e48a_4cc4_b4b0_b40a749ed99e" hidden="1">#REF!</definedName>
    <definedName name="Tigr_Exhibit7b8a8428_6c35_4505_b545_df710d1ee704" hidden="1">#REF!</definedName>
    <definedName name="Tigr_Exhibit7d1b6f85_de05_462c_966a_53e99256b604" hidden="1">#REF!</definedName>
    <definedName name="Tigr_Exhibit7d35651d_caf1_4f8b_a810_fe75f142bd7b" hidden="1">#REF!</definedName>
    <definedName name="Tigr_Exhibit7d516c65_40f7_4c69_b5b0_2abd7fd38e4a" hidden="1">#REF!</definedName>
    <definedName name="Tigr_Exhibit7d6c8193_2cd5_4078_83bd_54766f50db9d" hidden="1">#REF!</definedName>
    <definedName name="Tigr_Exhibit7dc34e70_1b7b_4fb5_a657_035732cbc141" hidden="1">#REF!</definedName>
    <definedName name="Tigr_Exhibit8271f576_98f9_4445_a4c5_819302dda430" hidden="1">#REF!</definedName>
    <definedName name="Tigr_Exhibit839f1a9e_e496_4ca6_8d51_387a38c29cba" hidden="1">#REF!</definedName>
    <definedName name="Tigr_Exhibit83b0d802_ebc1_457b_aaa1_559be294ec55" hidden="1">#REF!</definedName>
    <definedName name="Tigr_Exhibit842cfada_9277_4a7f_a342_fff1d0424d4c" hidden="1">#REF!</definedName>
    <definedName name="Tigr_Exhibit86b54134_efab_48d4_a211_4ad9c1edca26" hidden="1">#REF!</definedName>
    <definedName name="Tigr_Exhibit86ec9785_0798_4440_a3c9_b94db58338ac" hidden="1">#REF!</definedName>
    <definedName name="Tigr_Exhibit8730f800_157e_46a9_ac2c_c235a05b5f57" hidden="1">#REF!</definedName>
    <definedName name="Tigr_Exhibit8756ada5_63bd_4786_aff9_b20c717c97ab" hidden="1">#REF!</definedName>
    <definedName name="Tigr_Exhibit8a26f9ed_8c2a_4e04_9243_4d2e0acbc770" hidden="1">#REF!</definedName>
    <definedName name="Tigr_Exhibit8cfa44cb_d6c9_476e_8fac_debf33233d2b" hidden="1">#REF!</definedName>
    <definedName name="Tigr_Exhibit8dbf70f9_f5cd_47a3_9fb9_889e6686be6b" hidden="1">#REF!</definedName>
    <definedName name="Tigr_Exhibit8ebc4c97_3eb3_4edf_a3ca_2f32b6722d89" hidden="1">#REF!</definedName>
    <definedName name="Tigr_Exhibit90763e4b_1516_44b9_8598_1f7d2b259470" hidden="1">#REF!</definedName>
    <definedName name="Tigr_Exhibit9099d50b_c8ce_48f9_9e5f_63739ed76e54" hidden="1">#REF!</definedName>
    <definedName name="Tigr_Exhibit90bb92b9_f751_4a94_a1bb_b1d5c7f98661" hidden="1">#REF!</definedName>
    <definedName name="Tigr_Exhibit9441555c_2857_4b56_a8ad_2a49929f3bc3" hidden="1">#REF!</definedName>
    <definedName name="Tigr_Exhibit94fd5e06_95a1_4048_bab5_fd50c61ffa9c" hidden="1">#REF!</definedName>
    <definedName name="Tigr_Exhibit952a184e_746a_4bfd_87f4_dd841c5f63d3" hidden="1">#REF!</definedName>
    <definedName name="Tigr_Exhibit95e82775_dbba_41ad_b742_8c93978443ab" hidden="1">#REF!</definedName>
    <definedName name="Tigr_Exhibit966295f3_0a3e_4578_89ed_1509d8f54874" hidden="1">#REF!</definedName>
    <definedName name="Tigr_Exhibit9859793c_99bc_4de1_a2b6_eb4d6552c334" hidden="1">#REF!</definedName>
    <definedName name="Tigr_Exhibit98cfbcec_2801_4510_ad07_047350310faa" hidden="1">#REF!</definedName>
    <definedName name="Tigr_Exhibit99358916_6cdc_4dc4_9186_809b20c08a58" hidden="1">#REF!</definedName>
    <definedName name="Tigr_Exhibit996a89c0_48ba_4508_8102_f498218d897b" hidden="1">#REF!</definedName>
    <definedName name="Tigr_Exhibit9bf28dce_9d95_44da_a9c2_9d2ee0803ba8" hidden="1">#REF!</definedName>
    <definedName name="Tigr_Exhibit9c1db91e_8a12_4466_b9ee_65b7a72d75bb" hidden="1">#REF!</definedName>
    <definedName name="Tigr_Exhibit9e1c5918_96f4_413e_8a5e_f8157bdd9e14" hidden="1">#REF!</definedName>
    <definedName name="Tigr_Exhibit9e9f1a27_4456_4ea1_a5bd_1b404fa370a3" hidden="1">#REF!</definedName>
    <definedName name="Tigr_Exhibita0333870_acd9_4efe_b603_333cdf8a91e9" hidden="1">#REF!</definedName>
    <definedName name="Tigr_Exhibita10dcdf0_87ab_4661_b72b_77e51cde7d22" hidden="1">#REF!</definedName>
    <definedName name="Tigr_Exhibita14b5afd_6ab9_4b1b_a741_665b13925247" hidden="1">#REF!</definedName>
    <definedName name="Tigr_Exhibita4596109_1fd7_4aa2_bf03_197c5b9358d8" hidden="1">#REF!</definedName>
    <definedName name="Tigr_Exhibita61f70b5_b1a5_47c8_b37c_b0003b2db5fa" hidden="1">#REF!</definedName>
    <definedName name="Tigr_Exhibita6573778_fb93_46bb_b58f_d1c5145b888d" hidden="1">#REF!</definedName>
    <definedName name="Tigr_Exhibita6ef4fb4_4507_44a7_aa85_57cc19aa2d51" hidden="1">#REF!</definedName>
    <definedName name="Tigr_Exhibita886db1f_c1df_446f_8362_4232f5281b3e" hidden="1">#REF!</definedName>
    <definedName name="Tigr_Exhibita8b677eb_61d1_4b6d_b76b_2171ee7e66bd" hidden="1">#REF!</definedName>
    <definedName name="Tigr_Exhibita8ca5e15_fce9_40ff_b421_407da4fbec46" hidden="1">#REF!</definedName>
    <definedName name="Tigr_Exhibitabc24b58_4ff7_4cfb_8228_0e32fbc824d5" hidden="1">#REF!</definedName>
    <definedName name="Tigr_Exhibitae18ced4_e1e0_402d_a970_bcb12b514514" hidden="1">#REF!</definedName>
    <definedName name="Tigr_Exhibitaef413a9_402b_4cfb_a54f_3de1829aeb2f" hidden="1">#REF!</definedName>
    <definedName name="Tigr_Exhibitb0102c27_d1b4_47e7_9435_1f12dc022274" hidden="1">#REF!</definedName>
    <definedName name="Tigr_Exhibitb016510e_4b41_44d9_ac70_28c5b3b1ab94" hidden="1">#REF!</definedName>
    <definedName name="Tigr_Exhibitb04cac0a_1c10_43b2_beb7_f8ca5505871b" hidden="1">#REF!</definedName>
    <definedName name="Tigr_Exhibitb188cb86_4ea2_4068_afe3_75206d032bbd" hidden="1">#REF!</definedName>
    <definedName name="Tigr_Exhibitb1e66864_f7de_492a_ac7c_3f0e0f6c7d01" hidden="1">#REF!</definedName>
    <definedName name="Tigr_Exhibitb265129e_197b_4d56_8873_cb1e2334d754" hidden="1">#REF!</definedName>
    <definedName name="Tigr_Exhibitb267cfee_3349_4143_bde0_50bac4825bd3" hidden="1">#REF!</definedName>
    <definedName name="Tigr_Exhibitb48b4648_24b1_4082_bd26_3d846931db7d" hidden="1">#REF!</definedName>
    <definedName name="Tigr_Exhibitb5b7bc99_cafb_41fc_a1dc_25af387eb43b" hidden="1">#REF!</definedName>
    <definedName name="Tigr_Exhibitb63e268f_a24d_4238_a4a0_c5893065b670" hidden="1">#REF!</definedName>
    <definedName name="Tigr_Exhibitb8a38a3e_142f_4258_884b_a764e6bbb83c" hidden="1">#REF!</definedName>
    <definedName name="Tigr_Exhibitbc092762_6b62_46cb_9eaf_1b60f1368027" hidden="1">#REF!</definedName>
    <definedName name="Tigr_Exhibitbf50a578_5649_41bd_b7be_14d12a28a7e0" hidden="1">#REF!</definedName>
    <definedName name="Tigr_Exhibitbfc37188_6a2e_4d37_a529_500608e2c58c" hidden="1">#REF!</definedName>
    <definedName name="Tigr_Exhibitbfcfedb2_d33c_4909_853e_ce2910d3563f" hidden="1">#REF!</definedName>
    <definedName name="Tigr_Exhibitc0392bae_0d5e_4f29_a175_a8fb054b6b91" hidden="1">#REF!</definedName>
    <definedName name="Tigr_Exhibitc21e1477_10fe_449f_a0d3_7bda6ae4e86c" hidden="1">#REF!</definedName>
    <definedName name="Tigr_Exhibitc26d4add_3307_43df_9b7f_a17d07a3f582" hidden="1">#REF!</definedName>
    <definedName name="Tigr_Exhibitc35fedb1_bee3_4714_a562_ff87e410069e" hidden="1">#REF!</definedName>
    <definedName name="Tigr_Exhibitc5a78b4d_2190_41ad_92e4_cae87900db68" hidden="1">#REF!</definedName>
    <definedName name="Tigr_Exhibitc5fdfce6_8cd5_4be4_b4d8_37fcdc8aafb3" hidden="1">#REF!</definedName>
    <definedName name="Tigr_Exhibitc7ce36d4_5050_48cd_a0d9_eb1c2f7d4cb6" hidden="1">#REF!</definedName>
    <definedName name="Tigr_Exhibitc8208024_8eda_48f7_8b3f_da71a4b2083e" hidden="1">#REF!</definedName>
    <definedName name="Tigr_Exhibitc9917977_94c3_4132_aae1_85e990b1ffa2" hidden="1">#REF!</definedName>
    <definedName name="Tigr_Exhibitca149985_9034_48f9_bb09_b87ad9c3d44e" hidden="1">#REF!</definedName>
    <definedName name="Tigr_Exhibitcc94038d_3ac9_43ea_b972_1cdc91072631" hidden="1">#REF!</definedName>
    <definedName name="Tigr_Exhibitccd1229a_c5fe_45f4_a234_e6c06598c266" hidden="1">#REF!</definedName>
    <definedName name="Tigr_Exhibitcf66f16f_2304_49a2_bb90_faaf02cff9a5" hidden="1">#REF!</definedName>
    <definedName name="Tigr_Exhibitcf9a1244_0816_4ea1_9e9f_9e05cb8e1f0c" hidden="1">#REF!</definedName>
    <definedName name="Tigr_Exhibitd0d4a24a_3c84_4d34_9540_7cbcda4c8f91" hidden="1">#REF!</definedName>
    <definedName name="Tigr_Exhibitd1974b4b_e3bd_476d_8364_9026cfcd9e09" hidden="1">#REF!</definedName>
    <definedName name="Tigr_Exhibitd230ec7d_a86e_450e_8fff_de18935f3f16" hidden="1">#REF!</definedName>
    <definedName name="Tigr_Exhibitd42187ee_70e8_458c_b25a_82ac566da623" hidden="1">#REF!</definedName>
    <definedName name="Tigr_Exhibitd5f33f7e_6b3f_4090_b44c_4575bae296ba" hidden="1">#REF!</definedName>
    <definedName name="Tigr_Exhibitd61ceaa5_3479_499b_b71c_249a64eba4e6" hidden="1">#REF!</definedName>
    <definedName name="Tigr_Exhibitd71ec966_7ba6_44ec_98e4_a7fbc65d0608" hidden="1">#REF!</definedName>
    <definedName name="Tigr_Exhibitd73ce434_c789_4275_852e_5fb3fc42651a" hidden="1">#REF!</definedName>
    <definedName name="Tigr_Exhibitd8d6372e_d085_4e40_8a54_905152d74317" hidden="1">#REF!</definedName>
    <definedName name="Tigr_Exhibitdb70d3c0_834a_4335_8138_8d02752427b8" hidden="1">#REF!</definedName>
    <definedName name="Tigr_Exhibitdb881c9b_a985_4ac6_ad3b_e34e4454b67a" hidden="1">#REF!</definedName>
    <definedName name="Tigr_Exhibitdbd8a65c_8e65_4b5c_a7b8_61648ee0c4b1" hidden="1">#REF!</definedName>
    <definedName name="Tigr_Exhibitdc0e660d_c754_4130_ac2a_4cfb0f8bdce4" hidden="1">#REF!</definedName>
    <definedName name="Tigr_Exhibitddd60920_cbf0_4b60_8705_2a27de574aca" hidden="1">#REF!</definedName>
    <definedName name="Tigr_Exhibitdffafafa_016f_4d71_b197_20194a89365b" hidden="1">#REF!</definedName>
    <definedName name="Tigr_Exhibite015f1f7_d600_47bf_b12f_6e8eec959c28" hidden="1">#REF!</definedName>
    <definedName name="Tigr_Exhibite1792956_846d_4514_bba6_984e836e32de" hidden="1">#REF!</definedName>
    <definedName name="Tigr_Exhibite29205e5_b140_4c8b_8c49_a18c5628af4d" hidden="1">#REF!</definedName>
    <definedName name="Tigr_Exhibite2f136a7_06be_4f94_908b_fdf9aafa11aa" hidden="1">#REF!</definedName>
    <definedName name="Tigr_Exhibite6f3c89d_0b57_44af_8ddf_823a9e41ed51" hidden="1">#REF!</definedName>
    <definedName name="Tigr_Exhibite6f47c10_5d7b_4773_8fc0_f516326eab6b" hidden="1">#REF!</definedName>
    <definedName name="Tigr_Exhibite8d4e0e0_ee22_4391_a613_2e4725b0c670" hidden="1">#REF!</definedName>
    <definedName name="Tigr_Exhibite9307328_2ca1_4002_a67c_901d963ea5ae" hidden="1">#REF!</definedName>
    <definedName name="Tigr_Exhibite9a6a6c3_70dc_459d_afd9_abe7ff521ea6" hidden="1">#REF!</definedName>
    <definedName name="Tigr_Exhibitea7c3252_fc5f_48c3_9e42_e3a82b3c8f8e" hidden="1">#REF!</definedName>
    <definedName name="Tigr_Exhibitebd428a5_8f70_4b4c_93a3_38a528d6233e" hidden="1">#REF!</definedName>
    <definedName name="Tigr_Exhibitedcf37ef_e060_4523_8737_5495927728e4" hidden="1">#REF!</definedName>
    <definedName name="Tigr_Exhibitee171f6a_9d90_4037_b493_86b3da9f9ac0" hidden="1">#REF!</definedName>
    <definedName name="Tigr_Exhibitef6760f5_cce8_43fd_947e_19c017f5f586" hidden="1">#REF!</definedName>
    <definedName name="Tigr_Exhibitef81990a_97b6_4ecd_96e3_7a23323b0d61" hidden="1">#REF!</definedName>
    <definedName name="Tigr_Exhibitf15b278a_74f9_4ada_aa5d_65d54fad1ded" hidden="1">#REF!</definedName>
    <definedName name="Tigr_Exhibitf1720610_c3d4_4de7_9110_c046d3dedeae" hidden="1">#REF!</definedName>
    <definedName name="Tigr_Exhibitf1995bf3_7c57_46fc_945c_1ef576e6e1ec" hidden="1">#REF!</definedName>
    <definedName name="Tigr_Exhibitf440249c_e9c1_4bbc_966b_f7c10b1ae527" hidden="1">#REF!</definedName>
    <definedName name="Tigr_Exhibitf4a7fa35_9463_4402_957c_12d87016076d" hidden="1">#REF!</definedName>
    <definedName name="Tigr_Exhibitf565e68e_b513_45d8_ae40_7e2650e2f2c7" hidden="1">#REF!</definedName>
    <definedName name="Tigr_Exhibitf5e4399a_63b3_40b1_a1ea_446209ffdc16" hidden="1">#REF!</definedName>
    <definedName name="Tigr_Exhibitf5e6f05d_dd06_418b_91e8_dca0bff34163" hidden="1">#REF!</definedName>
    <definedName name="Tigr_Exhibitf6affcdf_f3ee_4a67_b6bc_72c3e65f6c05" hidden="1">#REF!</definedName>
    <definedName name="Tigr_Exhibitf6cce7e7_8279_4eb2_8d04_f3d5626b6cde" hidden="1">#REF!</definedName>
    <definedName name="Tigr_Exhibitfa0a547a_2d38_4f0f_bb16_da64f6d79a71" hidden="1">#REF!</definedName>
    <definedName name="Tigr_Exhibitfc7d3f47_5f61_4a35_9582_9218a7ae2858" hidden="1">#REF!</definedName>
    <definedName name="Tigr_Exhibitfd8f1306_f9b2_401a_b792_affb6c3dd4b5" hidden="1">#REF!</definedName>
    <definedName name="Tigr_Exhibitfe1ea962_44c7_494b_9ef0_c7f1524ff64c" hidden="1">#REF!</definedName>
    <definedName name="Tigr_Exhibitfe3d65f9_9d84_4286_b2f3_48c812e0f8b6" hidden="1">#REF!</definedName>
    <definedName name="Tigr_Exhibitffa569f6_9d1d_4096_a7bc_29048cd4e69c" hidden="1">#REF!</definedName>
    <definedName name="TIR" localSheetId="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IR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k" localSheetId="10" hidden="1">{"'Jibu9811 (3)'!$B$1:$J$433"}</definedName>
    <definedName name="tk" localSheetId="9" hidden="1">{"'Jibu9811 (3)'!$B$1:$J$433"}</definedName>
    <definedName name="tk" hidden="1">{"'Jibu9811 (3)'!$B$1:$J$433"}</definedName>
    <definedName name="TLF" localSheetId="10" hidden="1">{"'10_03일자별'!$A$2:$H$31"}</definedName>
    <definedName name="TLF" localSheetId="9" hidden="1">{"'10_03일자별'!$A$2:$H$31"}</definedName>
    <definedName name="TLF" hidden="1">{"'10_03일자별'!$A$2:$H$31"}</definedName>
    <definedName name="tlsdmsdk" localSheetId="10" hidden="1">{#N/A,#N/A,FALSE,"Pharm";#N/A,#N/A,FALSE,"WWCM"}</definedName>
    <definedName name="tlsdmsdk" localSheetId="9" hidden="1">{#N/A,#N/A,FALSE,"Pharm";#N/A,#N/A,FALSE,"WWCM"}</definedName>
    <definedName name="tlsdmsdk" hidden="1">{#N/A,#N/A,FALSE,"Pharm";#N/A,#N/A,FALSE,"WWCM"}</definedName>
    <definedName name="TOC_Hdg_3" hidden="1">#REF!</definedName>
    <definedName name="TOC_Hdg_4" hidden="1">#REF!</definedName>
    <definedName name="TOC_Hdg_5" hidden="1">#REF!</definedName>
    <definedName name="Top" localSheetId="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p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PO" hidden="1">#REF!</definedName>
    <definedName name="Toto" localSheetId="1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Toto" localSheetId="9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Toto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Toto_1" localSheetId="1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Toto_1" localSheetId="9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Toto_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treeList" hidden="1">"11111100000000000000000000000000000000000000000000000000000000000000000000000000000000000000000000000000000000000000000000000000000000000000000000000000000000000000000000000000000000000000000000000000"</definedName>
    <definedName name="tryeuyit" localSheetId="10" hidden="1">{#N/A,#N/A,FALSE,"Pharm";#N/A,#N/A,FALSE,"WWCM"}</definedName>
    <definedName name="tryeuyit" localSheetId="9" hidden="1">{#N/A,#N/A,FALSE,"Pharm";#N/A,#N/A,FALSE,"WWCM"}</definedName>
    <definedName name="tryeuyit" hidden="1">{#N/A,#N/A,FALSE,"Pharm";#N/A,#N/A,FALSE,"WWCM"}</definedName>
    <definedName name="TTRUR" localSheetId="10" hidden="1">{"summary",#N/A,FALSE,"2000 vs 1999";"detail",#N/A,FALSE,"2000 vs 1999"}</definedName>
    <definedName name="TTRUR" localSheetId="9" hidden="1">{"summary",#N/A,FALSE,"2000 vs 1999";"detail",#N/A,FALSE,"2000 vs 1999"}</definedName>
    <definedName name="TTRUR" hidden="1">{"summary",#N/A,FALSE,"2000 vs 1999";"detail",#N/A,FALSE,"2000 vs 1999"}</definedName>
    <definedName name="TTRUR_1" localSheetId="10" hidden="1">{"summary",#N/A,FALSE,"2000 vs 1999";"detail",#N/A,FALSE,"2000 vs 1999"}</definedName>
    <definedName name="TTRUR_1" localSheetId="9" hidden="1">{"summary",#N/A,FALSE,"2000 vs 1999";"detail",#N/A,FALSE,"2000 vs 1999"}</definedName>
    <definedName name="TTRUR_1" hidden="1">{"summary",#N/A,FALSE,"2000 vs 1999";"detail",#N/A,FALSE,"2000 vs 1999"}</definedName>
    <definedName name="TTT" localSheetId="10" hidden="1">{#N/A,#N/A,FALSE,"UNIT";#N/A,#N/A,FALSE,"UNIT";#N/A,#N/A,FALSE,"계정"}</definedName>
    <definedName name="TTT" localSheetId="9" hidden="1">{#N/A,#N/A,FALSE,"UNIT";#N/A,#N/A,FALSE,"UNIT";#N/A,#N/A,FALSE,"계정"}</definedName>
    <definedName name="TTT" hidden="1">{#N/A,#N/A,FALSE,"UNIT";#N/A,#N/A,FALSE,"UNIT";#N/A,#N/A,FALSE,"계정"}</definedName>
    <definedName name="TTT_1" localSheetId="10" hidden="1">{#N/A,#N/A,FALSE,"UNIT";#N/A,#N/A,FALSE,"UNIT";#N/A,#N/A,FALSE,"계정"}</definedName>
    <definedName name="TTT_1" localSheetId="9" hidden="1">{#N/A,#N/A,FALSE,"UNIT";#N/A,#N/A,FALSE,"UNIT";#N/A,#N/A,FALSE,"계정"}</definedName>
    <definedName name="TTT_1" hidden="1">{#N/A,#N/A,FALSE,"UNIT";#N/A,#N/A,FALSE,"UNIT";#N/A,#N/A,FALSE,"계정"}</definedName>
    <definedName name="tttt" localSheetId="10" hidden="1">{"summary",#N/A,FALSE,"2000 vs 1999";"detail",#N/A,FALSE,"2000 vs 1999"}</definedName>
    <definedName name="tttt" localSheetId="9" hidden="1">{"summary",#N/A,FALSE,"2000 vs 1999";"detail",#N/A,FALSE,"2000 vs 1999"}</definedName>
    <definedName name="tttt" hidden="1">{"summary",#N/A,FALSE,"2000 vs 1999";"detail",#N/A,FALSE,"2000 vs 1999"}</definedName>
    <definedName name="tttt_1" localSheetId="10" hidden="1">{"summary",#N/A,FALSE,"2000 vs 1999";"detail",#N/A,FALSE,"2000 vs 1999"}</definedName>
    <definedName name="tttt_1" localSheetId="9" hidden="1">{"summary",#N/A,FALSE,"2000 vs 1999";"detail",#N/A,FALSE,"2000 vs 1999"}</definedName>
    <definedName name="tttt_1" hidden="1">{"summary",#N/A,FALSE,"2000 vs 1999";"detail",#N/A,FALSE,"2000 vs 1999"}</definedName>
    <definedName name="tttttttt" localSheetId="10" hidden="1">{"Eilbericht_UBA",#N/A,FALSE,"EB"}</definedName>
    <definedName name="tttttttt" localSheetId="9" hidden="1">{"Eilbericht_UBA",#N/A,FALSE,"EB"}</definedName>
    <definedName name="tttttttt" hidden="1">{"Eilbericht_UBA",#N/A,FALSE,"EB"}</definedName>
    <definedName name="tttttttt_1" localSheetId="10" hidden="1">{"Eilbericht_UBA",#N/A,FALSE,"EB"}</definedName>
    <definedName name="tttttttt_1" localSheetId="9" hidden="1">{"Eilbericht_UBA",#N/A,FALSE,"EB"}</definedName>
    <definedName name="tttttttt_1" hidden="1">{"Eilbericht_UBA",#N/A,FALSE,"EB"}</definedName>
    <definedName name="tu" localSheetId="10" hidden="1">{"'용역비'!$A$4:$C$8"}</definedName>
    <definedName name="tu" localSheetId="9" hidden="1">{"'용역비'!$A$4:$C$8"}</definedName>
    <definedName name="tu" hidden="1">{"'용역비'!$A$4:$C$8"}</definedName>
    <definedName name="tuilol" localSheetId="10" hidden="1">{"'용역비'!$A$4:$C$8"}</definedName>
    <definedName name="tuilol" localSheetId="9" hidden="1">{"'용역비'!$A$4:$C$8"}</definedName>
    <definedName name="tuilol" hidden="1">{"'용역비'!$A$4:$C$8"}</definedName>
    <definedName name="TYJ" localSheetId="10" hidden="1">{"'용역비'!$A$4:$C$8"}</definedName>
    <definedName name="TYJ" localSheetId="9" hidden="1">{"'용역비'!$A$4:$C$8"}</definedName>
    <definedName name="TYJ" hidden="1">{"'용역비'!$A$4:$C$8"}</definedName>
    <definedName name="tyje" localSheetId="10" hidden="1">{"'용역비'!$A$4:$C$8"}</definedName>
    <definedName name="tyje" localSheetId="9" hidden="1">{"'용역비'!$A$4:$C$8"}</definedName>
    <definedName name="tyje" hidden="1">{"'용역비'!$A$4:$C$8"}</definedName>
    <definedName name="tyjet" localSheetId="10" hidden="1">{"'용역비'!$A$4:$C$8"}</definedName>
    <definedName name="tyjet" localSheetId="9" hidden="1">{"'용역비'!$A$4:$C$8"}</definedName>
    <definedName name="tyjet" hidden="1">{"'용역비'!$A$4:$C$8"}</definedName>
    <definedName name="tyu" localSheetId="10" hidden="1">{"'용역비'!$A$4:$C$8"}</definedName>
    <definedName name="tyu" localSheetId="9" hidden="1">{"'용역비'!$A$4:$C$8"}</definedName>
    <definedName name="tyu" hidden="1">{"'용역비'!$A$4:$C$8"}</definedName>
    <definedName name="TYUTU" localSheetId="10" hidden="1">{"summary",#N/A,FALSE,"2000 vs 1999";"detail",#N/A,FALSE,"2000 vs 1999"}</definedName>
    <definedName name="TYUTU" localSheetId="9" hidden="1">{"summary",#N/A,FALSE,"2000 vs 1999";"detail",#N/A,FALSE,"2000 vs 1999"}</definedName>
    <definedName name="TYUTU" hidden="1">{"summary",#N/A,FALSE,"2000 vs 1999";"detail",#N/A,FALSE,"2000 vs 1999"}</definedName>
    <definedName name="TYUTU_1" localSheetId="10" hidden="1">{"summary",#N/A,FALSE,"2000 vs 1999";"detail",#N/A,FALSE,"2000 vs 1999"}</definedName>
    <definedName name="TYUTU_1" localSheetId="9" hidden="1">{"summary",#N/A,FALSE,"2000 vs 1999";"detail",#N/A,FALSE,"2000 vs 1999"}</definedName>
    <definedName name="TYUTU_1" hidden="1">{"summary",#N/A,FALSE,"2000 vs 1999";"detail",#N/A,FALSE,"2000 vs 1999"}</definedName>
    <definedName name="TYUTY" localSheetId="10" hidden="1">{"summary",#N/A,FALSE,"2000 vs 1999";"detail",#N/A,FALSE,"2000 vs 1999"}</definedName>
    <definedName name="TYUTY" localSheetId="9" hidden="1">{"summary",#N/A,FALSE,"2000 vs 1999";"detail",#N/A,FALSE,"2000 vs 1999"}</definedName>
    <definedName name="TYUTY" hidden="1">{"summary",#N/A,FALSE,"2000 vs 1999";"detail",#N/A,FALSE,"2000 vs 1999"}</definedName>
    <definedName name="TYUTY_1" localSheetId="10" hidden="1">{"summary",#N/A,FALSE,"2000 vs 1999";"detail",#N/A,FALSE,"2000 vs 1999"}</definedName>
    <definedName name="TYUTY_1" localSheetId="9" hidden="1">{"summary",#N/A,FALSE,"2000 vs 1999";"detail",#N/A,FALSE,"2000 vs 1999"}</definedName>
    <definedName name="TYUTY_1" hidden="1">{"summary",#N/A,FALSE,"2000 vs 1999";"detail",#N/A,FALSE,"2000 vs 1999"}</definedName>
    <definedName name="tyutytyi" localSheetId="10" hidden="1">{#N/A,#N/A,FALSE,"Pharm";#N/A,#N/A,FALSE,"WWCM"}</definedName>
    <definedName name="tyutytyi" localSheetId="9" hidden="1">{#N/A,#N/A,FALSE,"Pharm";#N/A,#N/A,FALSE,"WWCM"}</definedName>
    <definedName name="tyutytyi" hidden="1">{#N/A,#N/A,FALSE,"Pharm";#N/A,#N/A,FALSE,"WWCM"}</definedName>
    <definedName name="TYUTYUYT" localSheetId="10" hidden="1">{"summary",#N/A,FALSE,"2000 vs 1999";"detail",#N/A,FALSE,"2000 vs 1999"}</definedName>
    <definedName name="TYUTYUYT" localSheetId="9" hidden="1">{"summary",#N/A,FALSE,"2000 vs 1999";"detail",#N/A,FALSE,"2000 vs 1999"}</definedName>
    <definedName name="TYUTYUYT" hidden="1">{"summary",#N/A,FALSE,"2000 vs 1999";"detail",#N/A,FALSE,"2000 vs 1999"}</definedName>
    <definedName name="TYUTYUYT_1" localSheetId="10" hidden="1">{"summary",#N/A,FALSE,"2000 vs 1999";"detail",#N/A,FALSE,"2000 vs 1999"}</definedName>
    <definedName name="TYUTYUYT_1" localSheetId="9" hidden="1">{"summary",#N/A,FALSE,"2000 vs 1999";"detail",#N/A,FALSE,"2000 vs 1999"}</definedName>
    <definedName name="TYUTYUYT_1" hidden="1">{"summary",#N/A,FALSE,"2000 vs 1999";"detail",#N/A,FALSE,"2000 vs 1999"}</definedName>
    <definedName name="tyyufkjkhjd" localSheetId="10" hidden="1">{#N/A,#N/A,FALSE,"Pharm";#N/A,#N/A,FALSE,"WWCM"}</definedName>
    <definedName name="tyyufkjkhjd" localSheetId="9" hidden="1">{#N/A,#N/A,FALSE,"Pharm";#N/A,#N/A,FALSE,"WWCM"}</definedName>
    <definedName name="tyyufkjkhjd" hidden="1">{#N/A,#N/A,FALSE,"Pharm";#N/A,#N/A,FALSE,"WWCM"}</definedName>
    <definedName name="u100tir" localSheetId="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ir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op" localSheetId="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op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o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i" hidden="1">#REF!</definedName>
    <definedName name="ulo" localSheetId="10" hidden="1">{"'용역비'!$A$4:$C$8"}</definedName>
    <definedName name="ulo" localSheetId="9" hidden="1">{"'용역비'!$A$4:$C$8"}</definedName>
    <definedName name="ulo" hidden="1">{"'용역비'!$A$4:$C$8"}</definedName>
    <definedName name="UnConSubFY00" localSheetId="10" hidden="1">{"UNCONMONTH",#N/A,FALSE,"UNCON"}</definedName>
    <definedName name="UnConSubFY00" localSheetId="9" hidden="1">{"UNCONMONTH",#N/A,FALSE,"UNCON"}</definedName>
    <definedName name="UnConSubFY00" hidden="1">{"UNCONMONTH",#N/A,FALSE,"UNCON"}</definedName>
    <definedName name="UnConSubFY00_1" localSheetId="10" hidden="1">{"UNCONMONTH",#N/A,FALSE,"UNCON"}</definedName>
    <definedName name="UnConSubFY00_1" localSheetId="9" hidden="1">{"UNCONMONTH",#N/A,FALSE,"UNCON"}</definedName>
    <definedName name="UnConSubFY00_1" hidden="1">{"UNCONMONTH",#N/A,FALSE,"UNCON"}</definedName>
    <definedName name="UnConSubSummaryFY00" localSheetId="10" hidden="1">{"UNCONYEAR",#N/A,FALSE,"UNCON"}</definedName>
    <definedName name="UnConSubSummaryFY00" localSheetId="9" hidden="1">{"UNCONYEAR",#N/A,FALSE,"UNCON"}</definedName>
    <definedName name="UnConSubSummaryFY00" hidden="1">{"UNCONYEAR",#N/A,FALSE,"UNCON"}</definedName>
    <definedName name="UnConSubSummaryFY00_1" localSheetId="10" hidden="1">{"UNCONYEAR",#N/A,FALSE,"UNCON"}</definedName>
    <definedName name="UnConSubSummaryFY00_1" localSheetId="9" hidden="1">{"UNCONYEAR",#N/A,FALSE,"UNCON"}</definedName>
    <definedName name="UnConSubSummaryFY00_1" hidden="1">{"UNCONYEAR",#N/A,FALSE,"UNCON"}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2" localSheetId="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NIT2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NIT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NKNOWN" hidden="1">39472.4140856481</definedName>
    <definedName name="UUU" localSheetId="10" hidden="1">{#N/A,#N/A,FALSE,"CCTV"}</definedName>
    <definedName name="UUU" localSheetId="9" hidden="1">{#N/A,#N/A,FALSE,"CCTV"}</definedName>
    <definedName name="UUU" hidden="1">{#N/A,#N/A,FALSE,"CCTV"}</definedName>
    <definedName name="uuuu" localSheetId="10" hidden="1">{#N/A,#N/A,FALSE,"Ocean";#N/A,#N/A,FALSE,"NewYork";#N/A,#N/A,FALSE,"Gateway";#N/A,#N/A,FALSE,"GVH";#N/A,#N/A,FALSE,"GVM";#N/A,#N/A,FALSE,"GVT"}</definedName>
    <definedName name="uuuu" localSheetId="9" hidden="1">{#N/A,#N/A,FALSE,"Ocean";#N/A,#N/A,FALSE,"NewYork";#N/A,#N/A,FALSE,"Gateway";#N/A,#N/A,FALSE,"GVH";#N/A,#N/A,FALSE,"GVM";#N/A,#N/A,FALSE,"GVT"}</definedName>
    <definedName name="uuuu" hidden="1">{#N/A,#N/A,FALSE,"Ocean";#N/A,#N/A,FALSE,"NewYork";#N/A,#N/A,FALSE,"Gateway";#N/A,#N/A,FALSE,"GVH";#N/A,#N/A,FALSE,"GVM";#N/A,#N/A,FALSE,"GVT"}</definedName>
    <definedName name="uuuu_1" localSheetId="10" hidden="1">{#N/A,#N/A,FALSE,"Ocean";#N/A,#N/A,FALSE,"NewYork";#N/A,#N/A,FALSE,"Gateway";#N/A,#N/A,FALSE,"GVH";#N/A,#N/A,FALSE,"GVM";#N/A,#N/A,FALSE,"GVT"}</definedName>
    <definedName name="uuuu_1" localSheetId="9" hidden="1">{#N/A,#N/A,FALSE,"Ocean";#N/A,#N/A,FALSE,"NewYork";#N/A,#N/A,FALSE,"Gateway";#N/A,#N/A,FALSE,"GVH";#N/A,#N/A,FALSE,"GVM";#N/A,#N/A,FALSE,"GVT"}</definedName>
    <definedName name="uuuu_1" hidden="1">{#N/A,#N/A,FALSE,"Ocean";#N/A,#N/A,FALSE,"NewYork";#N/A,#N/A,FALSE,"Gateway";#N/A,#N/A,FALSE,"GVH";#N/A,#N/A,FALSE,"GVM";#N/A,#N/A,FALSE,"GVT"}</definedName>
    <definedName name="UYI" localSheetId="10" hidden="1">{"summary",#N/A,FALSE,"2000 vs 1999";"detail",#N/A,FALSE,"2000 vs 1999"}</definedName>
    <definedName name="UYI" localSheetId="9" hidden="1">{"summary",#N/A,FALSE,"2000 vs 1999";"detail",#N/A,FALSE,"2000 vs 1999"}</definedName>
    <definedName name="UYI" hidden="1">{"summary",#N/A,FALSE,"2000 vs 1999";"detail",#N/A,FALSE,"2000 vs 1999"}</definedName>
    <definedName name="UYI_1" localSheetId="10" hidden="1">{"summary",#N/A,FALSE,"2000 vs 1999";"detail",#N/A,FALSE,"2000 vs 1999"}</definedName>
    <definedName name="UYI_1" localSheetId="9" hidden="1">{"summary",#N/A,FALSE,"2000 vs 1999";"detail",#N/A,FALSE,"2000 vs 1999"}</definedName>
    <definedName name="UYI_1" hidden="1">{"summary",#N/A,FALSE,"2000 vs 1999";"detail",#N/A,FALSE,"2000 vs 1999"}</definedName>
    <definedName name="UYIYU" localSheetId="10" hidden="1">{#N/A,#N/A,FALSE,"Summary";#N/A,#N/A,FALSE,"Instructions";#N/A,#N/A,FALSE,"Aero97 (Malaysia)";#N/A,#N/A,FALSE,"Caledonian";#N/A,#N/A,FALSE,"Celma";#N/A,#N/A,FALSE,"Dallas";#N/A,#N/A,FALSE,"Ontario";#N/A,#N/A,FALSE,"Strother";#N/A,#N/A,FALSE,"Varig";#N/A,#N/A,FALSE,"Wales";#N/A,#N/A,FALSE,"Xiamen";#N/A,#N/A,FALSE,"Delivery and Quality";#N/A,#N/A,FALSE,"Issue Resolution Process"}</definedName>
    <definedName name="UYIYU" localSheetId="9" hidden="1">{#N/A,#N/A,FALSE,"Summary";#N/A,#N/A,FALSE,"Instructions";#N/A,#N/A,FALSE,"Aero97 (Malaysia)";#N/A,#N/A,FALSE,"Caledonian";#N/A,#N/A,FALSE,"Celma";#N/A,#N/A,FALSE,"Dallas";#N/A,#N/A,FALSE,"Ontario";#N/A,#N/A,FALSE,"Strother";#N/A,#N/A,FALSE,"Varig";#N/A,#N/A,FALSE,"Wales";#N/A,#N/A,FALSE,"Xiamen";#N/A,#N/A,FALSE,"Delivery and Quality";#N/A,#N/A,FALSE,"Issue Resolution Process"}</definedName>
    <definedName name="UYIYU" hidden="1">{#N/A,#N/A,FALSE,"Summary";#N/A,#N/A,FALSE,"Instructions";#N/A,#N/A,FALSE,"Aero97 (Malaysia)";#N/A,#N/A,FALSE,"Caledonian";#N/A,#N/A,FALSE,"Celma";#N/A,#N/A,FALSE,"Dallas";#N/A,#N/A,FALSE,"Ontario";#N/A,#N/A,FALSE,"Strother";#N/A,#N/A,FALSE,"Varig";#N/A,#N/A,FALSE,"Wales";#N/A,#N/A,FALSE,"Xiamen";#N/A,#N/A,FALSE,"Delivery and Quality";#N/A,#N/A,FALSE,"Issue Resolution Process"}</definedName>
    <definedName name="UYIYU_1" localSheetId="10" hidden="1">{#N/A,#N/A,FALSE,"Summary";#N/A,#N/A,FALSE,"Instructions";#N/A,#N/A,FALSE,"Aero97 (Malaysia)";#N/A,#N/A,FALSE,"Caledonian";#N/A,#N/A,FALSE,"Celma";#N/A,#N/A,FALSE,"Dallas";#N/A,#N/A,FALSE,"Ontario";#N/A,#N/A,FALSE,"Strother";#N/A,#N/A,FALSE,"Varig";#N/A,#N/A,FALSE,"Wales";#N/A,#N/A,FALSE,"Xiamen";#N/A,#N/A,FALSE,"Delivery and Quality";#N/A,#N/A,FALSE,"Issue Resolution Process"}</definedName>
    <definedName name="UYIYU_1" localSheetId="9" hidden="1">{#N/A,#N/A,FALSE,"Summary";#N/A,#N/A,FALSE,"Instructions";#N/A,#N/A,FALSE,"Aero97 (Malaysia)";#N/A,#N/A,FALSE,"Caledonian";#N/A,#N/A,FALSE,"Celma";#N/A,#N/A,FALSE,"Dallas";#N/A,#N/A,FALSE,"Ontario";#N/A,#N/A,FALSE,"Strother";#N/A,#N/A,FALSE,"Varig";#N/A,#N/A,FALSE,"Wales";#N/A,#N/A,FALSE,"Xiamen";#N/A,#N/A,FALSE,"Delivery and Quality";#N/A,#N/A,FALSE,"Issue Resolution Process"}</definedName>
    <definedName name="UYIYU_1" hidden="1">{#N/A,#N/A,FALSE,"Summary";#N/A,#N/A,FALSE,"Instructions";#N/A,#N/A,FALSE,"Aero97 (Malaysia)";#N/A,#N/A,FALSE,"Caledonian";#N/A,#N/A,FALSE,"Celma";#N/A,#N/A,FALSE,"Dallas";#N/A,#N/A,FALSE,"Ontario";#N/A,#N/A,FALSE,"Strother";#N/A,#N/A,FALSE,"Varig";#N/A,#N/A,FALSE,"Wales";#N/A,#N/A,FALSE,"Xiamen";#N/A,#N/A,FALSE,"Delivery and Quality";#N/A,#N/A,FALSE,"Issue Resolution Process"}</definedName>
    <definedName name="uyteyj" hidden="1">#REF!</definedName>
    <definedName name="v22072450" localSheetId="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22072450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2207245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B" localSheetId="10" hidden="1">{#N/A,#N/A,FALSE,"이태원철근"}</definedName>
    <definedName name="VB" localSheetId="9" hidden="1">{#N/A,#N/A,FALSE,"이태원철근"}</definedName>
    <definedName name="VB" hidden="1">{#N/A,#N/A,FALSE,"이태원철근"}</definedName>
    <definedName name="vb.inv.tot" hidden="1">#REF!</definedName>
    <definedName name="VBN" localSheetId="10" hidden="1">{#N/A,#N/A,FALSE,"이태원철근"}</definedName>
    <definedName name="VBN" localSheetId="9" hidden="1">{#N/A,#N/A,FALSE,"이태원철근"}</definedName>
    <definedName name="VBN" hidden="1">{#N/A,#N/A,FALSE,"이태원철근"}</definedName>
    <definedName name="vbvn" hidden="1">"c116"</definedName>
    <definedName name="vendor" localSheetId="10" hidden="1">{#N/A,#N/A,FALSE,"Marketing";#N/A,#N/A,FALSE,"Selling";#N/A,#N/A,FALSE,"Promotional";#N/A,#N/A,FALSE,"Advertising"}</definedName>
    <definedName name="vendor" localSheetId="9" hidden="1">{#N/A,#N/A,FALSE,"Marketing";#N/A,#N/A,FALSE,"Selling";#N/A,#N/A,FALSE,"Promotional";#N/A,#N/A,FALSE,"Advertising"}</definedName>
    <definedName name="vendor" hidden="1">{#N/A,#N/A,FALSE,"Marketing";#N/A,#N/A,FALSE,"Selling";#N/A,#N/A,FALSE,"Promotional";#N/A,#N/A,FALSE,"Advertising"}</definedName>
    <definedName name="vertex42_copyright" hidden="1">"© 2006-2018 Vertex42 LLC"</definedName>
    <definedName name="vertex42_id" hidden="1">"gantt-chart_L.xlsx"</definedName>
    <definedName name="vertex42_title" hidden="1">"Gantt Chart Template"</definedName>
    <definedName name="vio" localSheetId="10" hidden="1">{#N/A,#N/A,TRUE,"CC_IN965"}</definedName>
    <definedName name="vio" localSheetId="9" hidden="1">{#N/A,#N/A,TRUE,"CC_IN965"}</definedName>
    <definedName name="vio" hidden="1">{#N/A,#N/A,TRUE,"CC_IN965"}</definedName>
    <definedName name="violet" localSheetId="10" hidden="1">{#N/A,#N/A,TRUE,"CC_IN965"}</definedName>
    <definedName name="violet" localSheetId="9" hidden="1">{#N/A,#N/A,TRUE,"CC_IN965"}</definedName>
    <definedName name="violet" hidden="1">{#N/A,#N/A,TRUE,"CC_IN965"}</definedName>
    <definedName name="vks" hidden="1">#REF!</definedName>
    <definedName name="VTM_1" hidden="1">#REF!</definedName>
    <definedName name="VTM_10" hidden="1">#REF!</definedName>
    <definedName name="VTM_11" hidden="1">#REF!,#REF!</definedName>
    <definedName name="VTM_12" hidden="1">#REF!</definedName>
    <definedName name="VTM_13" hidden="1">#REF!,#REF!</definedName>
    <definedName name="VTM_14" hidden="1">#REF!,#REF!</definedName>
    <definedName name="VTM_18" hidden="1">#REF!</definedName>
    <definedName name="VTM_19" hidden="1">#REF!</definedName>
    <definedName name="VTM_2" hidden="1">#REF!</definedName>
    <definedName name="VTM_20" hidden="1">#REF!</definedName>
    <definedName name="VTM_3" hidden="1">#REF!,#REF!,#REF!,#REF!,#REF!,#REF!,#REF!</definedName>
    <definedName name="VTM_4" hidden="1">#REF!,#REF!,#REF!,#REF!,#REF!,#REF!,#REF!</definedName>
    <definedName name="VTM_5" hidden="1">#REF!,#REF!,#REF!,#REF!,#REF!,#REF!</definedName>
    <definedName name="VTM_6" hidden="1">#REF!,#REF!,#REF!,#REF!,#REF!,#REF!,#REF!</definedName>
    <definedName name="VTM_7" hidden="1">#REF!,#REF!,#REF!,#REF!,#REF!,#REF!</definedName>
    <definedName name="VTM_8" hidden="1">#REF!</definedName>
    <definedName name="VTM_9" hidden="1">#REF!,#REF!</definedName>
    <definedName name="vv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vv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vv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vv_1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vv_1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vv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vvv" localSheetId="10" hidden="1">{"summary",#N/A,FALSE,"2000 vs 1999";"detail",#N/A,FALSE,"2000 vs 1999"}</definedName>
    <definedName name="vvv" localSheetId="9" hidden="1">{"summary",#N/A,FALSE,"2000 vs 1999";"detail",#N/A,FALSE,"2000 vs 1999"}</definedName>
    <definedName name="vvv" hidden="1">{"summary",#N/A,FALSE,"2000 vs 1999";"detail",#N/A,FALSE,"2000 vs 1999"}</definedName>
    <definedName name="vvv_1" localSheetId="10" hidden="1">{"summary",#N/A,FALSE,"2000 vs 1999";"detail",#N/A,FALSE,"2000 vs 1999"}</definedName>
    <definedName name="vvv_1" localSheetId="9" hidden="1">{"summary",#N/A,FALSE,"2000 vs 1999";"detail",#N/A,FALSE,"2000 vs 1999"}</definedName>
    <definedName name="vvv_1" hidden="1">{"summary",#N/A,FALSE,"2000 vs 1999";"detail",#N/A,FALSE,"2000 vs 1999"}</definedName>
    <definedName name="VW" localSheetId="10" hidden="1">{#N/A,#N/A,FALSE,"기안지";#N/A,#N/A,FALSE,"통신지"}</definedName>
    <definedName name="VW" localSheetId="9" hidden="1">{#N/A,#N/A,FALSE,"기안지";#N/A,#N/A,FALSE,"통신지"}</definedName>
    <definedName name="VW" hidden="1">{#N/A,#N/A,FALSE,"기안지";#N/A,#N/A,FALSE,"통신지"}</definedName>
    <definedName name="vxcz" localSheetId="1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xcz" localSheetId="9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xcz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xcz_1" localSheetId="1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xcz_1" localSheetId="9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xcz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xcz_1_1" localSheetId="1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xcz_1_1" localSheetId="9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xcz_1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xcz_1_2" localSheetId="1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xcz_1_2" localSheetId="9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xcz_1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xcz_2" localSheetId="1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xcz_2" localSheetId="9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xcz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xcz_3" localSheetId="1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xcz_3" localSheetId="9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xcz_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4er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4er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4er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a" localSheetId="10" hidden="1">{#N/A,#N/A,FALSE,"Pharm";#N/A,#N/A,FALSE,"WWCM"}</definedName>
    <definedName name="wa" localSheetId="9" hidden="1">{#N/A,#N/A,FALSE,"Pharm";#N/A,#N/A,FALSE,"WWCM"}</definedName>
    <definedName name="wa" hidden="1">{#N/A,#N/A,FALSE,"Pharm";#N/A,#N/A,FALSE,"WWCM"}</definedName>
    <definedName name="waaa" localSheetId="10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aaa" localSheetId="9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aaa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ach" localSheetId="1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ach" localSheetId="9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ac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ach_1" localSheetId="1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ach_1" localSheetId="9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ach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ach_2" localSheetId="1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ach_2" localSheetId="9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ach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achovia" localSheetId="1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achovia" localSheetId="9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achovi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achovia_1" localSheetId="1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achovia_1" localSheetId="9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achovia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achovia_2" localSheetId="1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achovia_2" localSheetId="9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achovia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algreen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algreen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algreen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as" localSheetId="10" hidden="1">{#N/A,#N/A,FALSE,"Sales Graph";#N/A,#N/A,FALSE,"BUC Graph";#N/A,#N/A,FALSE,"P&amp;L - YTD"}</definedName>
    <definedName name="was" localSheetId="9" hidden="1">{#N/A,#N/A,FALSE,"Sales Graph";#N/A,#N/A,FALSE,"BUC Graph";#N/A,#N/A,FALSE,"P&amp;L - YTD"}</definedName>
    <definedName name="was" hidden="1">{#N/A,#N/A,FALSE,"Sales Graph";#N/A,#N/A,FALSE,"BUC Graph";#N/A,#N/A,FALSE,"P&amp;L - YTD"}</definedName>
    <definedName name="Waterfall" localSheetId="10" hidden="1">{#N/A,#N/A,FALSE,"P&amp;L Variance";#N/A,#N/A,FALSE,"Location P&amp;L (Actual)";#N/A,#N/A,FALSE,"Location P&amp;L (Budget)";#N/A,#N/A,FALSE,"Location P&amp;L (Variance)";#N/A,#N/A,FALSE,"By Month P&amp;L"}</definedName>
    <definedName name="Waterfall" localSheetId="9" hidden="1">{#N/A,#N/A,FALSE,"P&amp;L Variance";#N/A,#N/A,FALSE,"Location P&amp;L (Actual)";#N/A,#N/A,FALSE,"Location P&amp;L (Budget)";#N/A,#N/A,FALSE,"Location P&amp;L (Variance)";#N/A,#N/A,FALSE,"By Month P&amp;L"}</definedName>
    <definedName name="Waterfall" hidden="1">{#N/A,#N/A,FALSE,"P&amp;L Variance";#N/A,#N/A,FALSE,"Location P&amp;L (Actual)";#N/A,#N/A,FALSE,"Location P&amp;L (Budget)";#N/A,#N/A,FALSE,"Location P&amp;L (Variance)";#N/A,#N/A,FALSE,"By Month P&amp;L"}</definedName>
    <definedName name="Waterfall_1" localSheetId="10" hidden="1">{#N/A,#N/A,FALSE,"P&amp;L Variance";#N/A,#N/A,FALSE,"Location P&amp;L (Actual)";#N/A,#N/A,FALSE,"Location P&amp;L (Budget)";#N/A,#N/A,FALSE,"Location P&amp;L (Variance)";#N/A,#N/A,FALSE,"By Month P&amp;L"}</definedName>
    <definedName name="Waterfall_1" localSheetId="9" hidden="1">{#N/A,#N/A,FALSE,"P&amp;L Variance";#N/A,#N/A,FALSE,"Location P&amp;L (Actual)";#N/A,#N/A,FALSE,"Location P&amp;L (Budget)";#N/A,#N/A,FALSE,"Location P&amp;L (Variance)";#N/A,#N/A,FALSE,"By Month P&amp;L"}</definedName>
    <definedName name="Waterfall_1" hidden="1">{#N/A,#N/A,FALSE,"P&amp;L Variance";#N/A,#N/A,FALSE,"Location P&amp;L (Actual)";#N/A,#N/A,FALSE,"Location P&amp;L (Budget)";#N/A,#N/A,FALSE,"Location P&amp;L (Variance)";#N/A,#N/A,FALSE,"By Month P&amp;L"}</definedName>
    <definedName name="Waterfall1" localSheetId="10" hidden="1">{#N/A,#N/A,FALSE,"P&amp;L Variance";#N/A,#N/A,FALSE,"Location P&amp;L (Actual)";#N/A,#N/A,FALSE,"Location P&amp;L (Budget)";#N/A,#N/A,FALSE,"Location P&amp;L (Variance)";#N/A,#N/A,FALSE,"By Month P&amp;L"}</definedName>
    <definedName name="Waterfall1" localSheetId="9" hidden="1">{#N/A,#N/A,FALSE,"P&amp;L Variance";#N/A,#N/A,FALSE,"Location P&amp;L (Actual)";#N/A,#N/A,FALSE,"Location P&amp;L (Budget)";#N/A,#N/A,FALSE,"Location P&amp;L (Variance)";#N/A,#N/A,FALSE,"By Month P&amp;L"}</definedName>
    <definedName name="Waterfall1" hidden="1">{#N/A,#N/A,FALSE,"P&amp;L Variance";#N/A,#N/A,FALSE,"Location P&amp;L (Actual)";#N/A,#N/A,FALSE,"Location P&amp;L (Budget)";#N/A,#N/A,FALSE,"Location P&amp;L (Variance)";#N/A,#N/A,FALSE,"By Month P&amp;L"}</definedName>
    <definedName name="Waterfall1_1" localSheetId="10" hidden="1">{#N/A,#N/A,FALSE,"P&amp;L Variance";#N/A,#N/A,FALSE,"Location P&amp;L (Actual)";#N/A,#N/A,FALSE,"Location P&amp;L (Budget)";#N/A,#N/A,FALSE,"Location P&amp;L (Variance)";#N/A,#N/A,FALSE,"By Month P&amp;L"}</definedName>
    <definedName name="Waterfall1_1" localSheetId="9" hidden="1">{#N/A,#N/A,FALSE,"P&amp;L Variance";#N/A,#N/A,FALSE,"Location P&amp;L (Actual)";#N/A,#N/A,FALSE,"Location P&amp;L (Budget)";#N/A,#N/A,FALSE,"Location P&amp;L (Variance)";#N/A,#N/A,FALSE,"By Month P&amp;L"}</definedName>
    <definedName name="Waterfall1_1" hidden="1">{#N/A,#N/A,FALSE,"P&amp;L Variance";#N/A,#N/A,FALSE,"Location P&amp;L (Actual)";#N/A,#N/A,FALSE,"Location P&amp;L (Budget)";#N/A,#N/A,FALSE,"Location P&amp;L (Variance)";#N/A,#N/A,FALSE,"By Month P&amp;L"}</definedName>
    <definedName name="wb" localSheetId="10" hidden="1">{#N/A,#N/A,FALSE,"Pharm";#N/A,#N/A,FALSE,"WWCM"}</definedName>
    <definedName name="wb" localSheetId="9" hidden="1">{#N/A,#N/A,FALSE,"Pharm";#N/A,#N/A,FALSE,"WWCM"}</definedName>
    <definedName name="wb" hidden="1">{#N/A,#N/A,FALSE,"Pharm";#N/A,#N/A,FALSE,"WWCM"}</definedName>
    <definedName name="wc" localSheetId="10" hidden="1">{#N/A,#N/A,FALSE,"Pharm";#N/A,#N/A,FALSE,"WWCM"}</definedName>
    <definedName name="wc" localSheetId="9" hidden="1">{#N/A,#N/A,FALSE,"Pharm";#N/A,#N/A,FALSE,"WWCM"}</definedName>
    <definedName name="wc" hidden="1">{#N/A,#N/A,FALSE,"Pharm";#N/A,#N/A,FALSE,"WWCM"}</definedName>
    <definedName name="we" localSheetId="10" hidden="1">{"Monthly6Q",#N/A,FALSE,"0614ESL"}</definedName>
    <definedName name="we" localSheetId="9" hidden="1">{"Monthly6Q",#N/A,FALSE,"0614ESL"}</definedName>
    <definedName name="we" hidden="1">{"Monthly6Q",#N/A,FALSE,"0614ESL"}</definedName>
    <definedName name="we_1" localSheetId="10" hidden="1">{"Monthly6Q",#N/A,FALSE,"0614ESL"}</definedName>
    <definedName name="we_1" localSheetId="9" hidden="1">{"Monthly6Q",#N/A,FALSE,"0614ESL"}</definedName>
    <definedName name="we_1" hidden="1">{"Monthly6Q",#N/A,FALSE,"0614ESL"}</definedName>
    <definedName name="WEARF" localSheetId="10" hidden="1">{#N/A,#N/A,TRUE,"Y생산";#N/A,#N/A,TRUE,"Y판매";#N/A,#N/A,TRUE,"Y총물량";#N/A,#N/A,TRUE,"Y능력";#N/A,#N/A,TRUE,"YKD"}</definedName>
    <definedName name="WEARF" localSheetId="9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d" localSheetId="1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d" localSheetId="9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ds" localSheetId="1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ds" localSheetId="9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d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dtwo" localSheetId="1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dtwo" localSheetId="9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dtwo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f_1" localSheetId="10" hidden="1">{#N/A,#N/A,FALSE,"Performance Flash Report"}</definedName>
    <definedName name="wef_1" localSheetId="9" hidden="1">{#N/A,#N/A,FALSE,"Performance Flash Report"}</definedName>
    <definedName name="wef_1" hidden="1">{#N/A,#N/A,FALSE,"Performance Flash Report"}</definedName>
    <definedName name="wef_1_1" localSheetId="10" hidden="1">{#N/A,#N/A,FALSE,"Performance Flash Report"}</definedName>
    <definedName name="wef_1_1" localSheetId="9" hidden="1">{#N/A,#N/A,FALSE,"Performance Flash Report"}</definedName>
    <definedName name="wef_1_1" hidden="1">{#N/A,#N/A,FALSE,"Performance Flash Report"}</definedName>
    <definedName name="wef_1_2" localSheetId="10" hidden="1">{#N/A,#N/A,FALSE,"Performance Flash Report"}</definedName>
    <definedName name="wef_1_2" localSheetId="9" hidden="1">{#N/A,#N/A,FALSE,"Performance Flash Report"}</definedName>
    <definedName name="wef_1_2" hidden="1">{#N/A,#N/A,FALSE,"Performance Flash Report"}</definedName>
    <definedName name="wef_1_3" localSheetId="10" hidden="1">{#N/A,#N/A,FALSE,"Performance Flash Report"}</definedName>
    <definedName name="wef_1_3" localSheetId="9" hidden="1">{#N/A,#N/A,FALSE,"Performance Flash Report"}</definedName>
    <definedName name="wef_1_3" hidden="1">{#N/A,#N/A,FALSE,"Performance Flash Report"}</definedName>
    <definedName name="wef_1_4" localSheetId="10" hidden="1">{#N/A,#N/A,FALSE,"Performance Flash Report"}</definedName>
    <definedName name="wef_1_4" localSheetId="9" hidden="1">{#N/A,#N/A,FALSE,"Performance Flash Report"}</definedName>
    <definedName name="wef_1_4" hidden="1">{#N/A,#N/A,FALSE,"Performance Flash Report"}</definedName>
    <definedName name="wef_2" localSheetId="10" hidden="1">{#N/A,#N/A,FALSE,"Performance Flash Report"}</definedName>
    <definedName name="wef_2" localSheetId="9" hidden="1">{#N/A,#N/A,FALSE,"Performance Flash Report"}</definedName>
    <definedName name="wef_2" hidden="1">{#N/A,#N/A,FALSE,"Performance Flash Report"}</definedName>
    <definedName name="wef_2_1" localSheetId="10" hidden="1">{#N/A,#N/A,FALSE,"Performance Flash Report"}</definedName>
    <definedName name="wef_2_1" localSheetId="9" hidden="1">{#N/A,#N/A,FALSE,"Performance Flash Report"}</definedName>
    <definedName name="wef_2_1" hidden="1">{#N/A,#N/A,FALSE,"Performance Flash Report"}</definedName>
    <definedName name="wef_2_2" localSheetId="10" hidden="1">{#N/A,#N/A,FALSE,"Performance Flash Report"}</definedName>
    <definedName name="wef_2_2" localSheetId="9" hidden="1">{#N/A,#N/A,FALSE,"Performance Flash Report"}</definedName>
    <definedName name="wef_2_2" hidden="1">{#N/A,#N/A,FALSE,"Performance Flash Report"}</definedName>
    <definedName name="wef_2_3" localSheetId="10" hidden="1">{#N/A,#N/A,FALSE,"Performance Flash Report"}</definedName>
    <definedName name="wef_2_3" localSheetId="9" hidden="1">{#N/A,#N/A,FALSE,"Performance Flash Report"}</definedName>
    <definedName name="wef_2_3" hidden="1">{#N/A,#N/A,FALSE,"Performance Flash Report"}</definedName>
    <definedName name="wef_2_4" localSheetId="10" hidden="1">{#N/A,#N/A,FALSE,"Performance Flash Report"}</definedName>
    <definedName name="wef_2_4" localSheetId="9" hidden="1">{#N/A,#N/A,FALSE,"Performance Flash Report"}</definedName>
    <definedName name="wef_2_4" hidden="1">{#N/A,#N/A,FALSE,"Performance Flash Report"}</definedName>
    <definedName name="wef_3" localSheetId="10" hidden="1">{#N/A,#N/A,FALSE,"Performance Flash Report"}</definedName>
    <definedName name="wef_3" localSheetId="9" hidden="1">{#N/A,#N/A,FALSE,"Performance Flash Report"}</definedName>
    <definedName name="wef_3" hidden="1">{#N/A,#N/A,FALSE,"Performance Flash Report"}</definedName>
    <definedName name="wef_3_1" localSheetId="10" hidden="1">{#N/A,#N/A,FALSE,"Performance Flash Report"}</definedName>
    <definedName name="wef_3_1" localSheetId="9" hidden="1">{#N/A,#N/A,FALSE,"Performance Flash Report"}</definedName>
    <definedName name="wef_3_1" hidden="1">{#N/A,#N/A,FALSE,"Performance Flash Report"}</definedName>
    <definedName name="wef_3_2" localSheetId="10" hidden="1">{#N/A,#N/A,FALSE,"Performance Flash Report"}</definedName>
    <definedName name="wef_3_2" localSheetId="9" hidden="1">{#N/A,#N/A,FALSE,"Performance Flash Report"}</definedName>
    <definedName name="wef_3_2" hidden="1">{#N/A,#N/A,FALSE,"Performance Flash Report"}</definedName>
    <definedName name="wef_3_3" localSheetId="10" hidden="1">{#N/A,#N/A,FALSE,"Performance Flash Report"}</definedName>
    <definedName name="wef_3_3" localSheetId="9" hidden="1">{#N/A,#N/A,FALSE,"Performance Flash Report"}</definedName>
    <definedName name="wef_3_3" hidden="1">{#N/A,#N/A,FALSE,"Performance Flash Report"}</definedName>
    <definedName name="wef_3_4" localSheetId="10" hidden="1">{#N/A,#N/A,FALSE,"Performance Flash Report"}</definedName>
    <definedName name="wef_3_4" localSheetId="9" hidden="1">{#N/A,#N/A,FALSE,"Performance Flash Report"}</definedName>
    <definedName name="wef_3_4" hidden="1">{#N/A,#N/A,FALSE,"Performance Flash Report"}</definedName>
    <definedName name="wef_4" localSheetId="10" hidden="1">{#N/A,#N/A,FALSE,"Performance Flash Report"}</definedName>
    <definedName name="wef_4" localSheetId="9" hidden="1">{#N/A,#N/A,FALSE,"Performance Flash Report"}</definedName>
    <definedName name="wef_4" hidden="1">{#N/A,#N/A,FALSE,"Performance Flash Report"}</definedName>
    <definedName name="wef_4_1" localSheetId="10" hidden="1">{#N/A,#N/A,FALSE,"Performance Flash Report"}</definedName>
    <definedName name="wef_4_1" localSheetId="9" hidden="1">{#N/A,#N/A,FALSE,"Performance Flash Report"}</definedName>
    <definedName name="wef_4_1" hidden="1">{#N/A,#N/A,FALSE,"Performance Flash Report"}</definedName>
    <definedName name="wef_4_2" localSheetId="10" hidden="1">{#N/A,#N/A,FALSE,"Performance Flash Report"}</definedName>
    <definedName name="wef_4_2" localSheetId="9" hidden="1">{#N/A,#N/A,FALSE,"Performance Flash Report"}</definedName>
    <definedName name="wef_4_2" hidden="1">{#N/A,#N/A,FALSE,"Performance Flash Report"}</definedName>
    <definedName name="wef_4_3" localSheetId="10" hidden="1">{#N/A,#N/A,FALSE,"Performance Flash Report"}</definedName>
    <definedName name="wef_4_3" localSheetId="9" hidden="1">{#N/A,#N/A,FALSE,"Performance Flash Report"}</definedName>
    <definedName name="wef_4_3" hidden="1">{#N/A,#N/A,FALSE,"Performance Flash Report"}</definedName>
    <definedName name="wef_4_4" localSheetId="10" hidden="1">{#N/A,#N/A,FALSE,"Performance Flash Report"}</definedName>
    <definedName name="wef_4_4" localSheetId="9" hidden="1">{#N/A,#N/A,FALSE,"Performance Flash Report"}</definedName>
    <definedName name="wef_4_4" hidden="1">{#N/A,#N/A,FALSE,"Performance Flash Report"}</definedName>
    <definedName name="wef_5" localSheetId="10" hidden="1">{#N/A,#N/A,FALSE,"Performance Flash Report"}</definedName>
    <definedName name="wef_5" localSheetId="9" hidden="1">{#N/A,#N/A,FALSE,"Performance Flash Report"}</definedName>
    <definedName name="wef_5" hidden="1">{#N/A,#N/A,FALSE,"Performance Flash Report"}</definedName>
    <definedName name="wef_5_1" localSheetId="10" hidden="1">{#N/A,#N/A,FALSE,"Performance Flash Report"}</definedName>
    <definedName name="wef_5_1" localSheetId="9" hidden="1">{#N/A,#N/A,FALSE,"Performance Flash Report"}</definedName>
    <definedName name="wef_5_1" hidden="1">{#N/A,#N/A,FALSE,"Performance Flash Report"}</definedName>
    <definedName name="wef_5_2" localSheetId="10" hidden="1">{#N/A,#N/A,FALSE,"Performance Flash Report"}</definedName>
    <definedName name="wef_5_2" localSheetId="9" hidden="1">{#N/A,#N/A,FALSE,"Performance Flash Report"}</definedName>
    <definedName name="wef_5_2" hidden="1">{#N/A,#N/A,FALSE,"Performance Flash Report"}</definedName>
    <definedName name="wef_5_3" localSheetId="10" hidden="1">{#N/A,#N/A,FALSE,"Performance Flash Report"}</definedName>
    <definedName name="wef_5_3" localSheetId="9" hidden="1">{#N/A,#N/A,FALSE,"Performance Flash Report"}</definedName>
    <definedName name="wef_5_3" hidden="1">{#N/A,#N/A,FALSE,"Performance Flash Report"}</definedName>
    <definedName name="wef_5_4" localSheetId="10" hidden="1">{#N/A,#N/A,FALSE,"Performance Flash Report"}</definedName>
    <definedName name="wef_5_4" localSheetId="9" hidden="1">{#N/A,#N/A,FALSE,"Performance Flash Report"}</definedName>
    <definedName name="wef_5_4" hidden="1">{#N/A,#N/A,FALSE,"Performance Flash Report"}</definedName>
    <definedName name="wefd" localSheetId="1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9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re" localSheetId="10" hidden="1">{#N/A,#N/A,FALSE,"EXP97"}</definedName>
    <definedName name="were" localSheetId="9" hidden="1">{#N/A,#N/A,FALSE,"EXP97"}</definedName>
    <definedName name="were" hidden="1">{#N/A,#N/A,FALSE,"EXP97"}</definedName>
    <definedName name="werew" localSheetId="10" hidden="1">{"summary",#N/A,FALSE,"2000 vs 1999";"detail",#N/A,FALSE,"2000 vs 1999"}</definedName>
    <definedName name="werew" localSheetId="9" hidden="1">{"summary",#N/A,FALSE,"2000 vs 1999";"detail",#N/A,FALSE,"2000 vs 1999"}</definedName>
    <definedName name="werew" hidden="1">{"summary",#N/A,FALSE,"2000 vs 1999";"detail",#N/A,FALSE,"2000 vs 1999"}</definedName>
    <definedName name="werew_1" localSheetId="10" hidden="1">{"summary",#N/A,FALSE,"2000 vs 1999";"detail",#N/A,FALSE,"2000 vs 1999"}</definedName>
    <definedName name="werew_1" localSheetId="9" hidden="1">{"summary",#N/A,FALSE,"2000 vs 1999";"detail",#N/A,FALSE,"2000 vs 1999"}</definedName>
    <definedName name="werew_1" hidden="1">{"summary",#N/A,FALSE,"2000 vs 1999";"detail",#N/A,FALSE,"2000 vs 1999"}</definedName>
    <definedName name="werewewa" localSheetId="10" hidden="1">{"summary",#N/A,FALSE,"2000 vs 1999";"detail",#N/A,FALSE,"2000 vs 1999"}</definedName>
    <definedName name="werewewa" localSheetId="9" hidden="1">{"summary",#N/A,FALSE,"2000 vs 1999";"detail",#N/A,FALSE,"2000 vs 1999"}</definedName>
    <definedName name="werewewa" hidden="1">{"summary",#N/A,FALSE,"2000 vs 1999";"detail",#N/A,FALSE,"2000 vs 1999"}</definedName>
    <definedName name="werewewa_1" localSheetId="10" hidden="1">{"summary",#N/A,FALSE,"2000 vs 1999";"detail",#N/A,FALSE,"2000 vs 1999"}</definedName>
    <definedName name="werewewa_1" localSheetId="9" hidden="1">{"summary",#N/A,FALSE,"2000 vs 1999";"detail",#N/A,FALSE,"2000 vs 1999"}</definedName>
    <definedName name="werewewa_1" hidden="1">{"summary",#N/A,FALSE,"2000 vs 1999";"detail",#N/A,FALSE,"2000 vs 1999"}</definedName>
    <definedName name="werrr" localSheetId="10" hidden="1">{#N/A,#N/A,FALSE,"Pharm";#N/A,#N/A,FALSE,"WWCM"}</definedName>
    <definedName name="werrr" localSheetId="9" hidden="1">{#N/A,#N/A,FALSE,"Pharm";#N/A,#N/A,FALSE,"WWCM"}</definedName>
    <definedName name="werrr" hidden="1">{#N/A,#N/A,FALSE,"Pharm";#N/A,#N/A,FALSE,"WWCM"}</definedName>
    <definedName name="wertwertwy" localSheetId="10" hidden="1">{#N/A,#N/A,FALSE,"UNIT";#N/A,#N/A,FALSE,"UNIT";#N/A,#N/A,FALSE,"계정"}</definedName>
    <definedName name="wertwertwy" localSheetId="9" hidden="1">{#N/A,#N/A,FALSE,"UNIT";#N/A,#N/A,FALSE,"UNIT";#N/A,#N/A,FALSE,"계정"}</definedName>
    <definedName name="wertwertwy" hidden="1">{#N/A,#N/A,FALSE,"UNIT";#N/A,#N/A,FALSE,"UNIT";#N/A,#N/A,FALSE,"계정"}</definedName>
    <definedName name="wertwertwy_1" localSheetId="10" hidden="1">{#N/A,#N/A,FALSE,"UNIT";#N/A,#N/A,FALSE,"UNIT";#N/A,#N/A,FALSE,"계정"}</definedName>
    <definedName name="wertwertwy_1" localSheetId="9" hidden="1">{#N/A,#N/A,FALSE,"UNIT";#N/A,#N/A,FALSE,"UNIT";#N/A,#N/A,FALSE,"계정"}</definedName>
    <definedName name="wertwertwy_1" hidden="1">{#N/A,#N/A,FALSE,"UNIT";#N/A,#N/A,FALSE,"UNIT";#N/A,#N/A,FALSE,"계정"}</definedName>
    <definedName name="wet" localSheetId="10" hidden="1">{"INCSTMT1",#N/A,FALSE,"COR";"INCSTMT2",#N/A,FALSE,"COR"}</definedName>
    <definedName name="wet" localSheetId="9" hidden="1">{"INCSTMT1",#N/A,FALSE,"COR";"INCSTMT2",#N/A,FALSE,"COR"}</definedName>
    <definedName name="wet" hidden="1">{"INCSTMT1",#N/A,FALSE,"COR";"INCSTMT2",#N/A,FALSE,"COR"}</definedName>
    <definedName name="wetwo" localSheetId="1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two" localSheetId="9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two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w" hidden="1">#REF!</definedName>
    <definedName name="wfeww" localSheetId="10" hidden="1">{#N/A,#N/A,FALSE,"JANLN2"}</definedName>
    <definedName name="wfeww" localSheetId="9" hidden="1">{#N/A,#N/A,FALSE,"JANLN2"}</definedName>
    <definedName name="wfeww" hidden="1">{#N/A,#N/A,FALSE,"JANLN2"}</definedName>
    <definedName name="wfeww_1" localSheetId="10" hidden="1">{#N/A,#N/A,FALSE,"JANLN2"}</definedName>
    <definedName name="wfeww_1" localSheetId="9" hidden="1">{#N/A,#N/A,FALSE,"JANLN2"}</definedName>
    <definedName name="wfeww_1" hidden="1">{#N/A,#N/A,FALSE,"JANLN2"}</definedName>
    <definedName name="wfrewwras" localSheetId="10" hidden="1">{#N/A,#N/A,FALSE,"JANLN2"}</definedName>
    <definedName name="wfrewwras" localSheetId="9" hidden="1">{#N/A,#N/A,FALSE,"JANLN2"}</definedName>
    <definedName name="wfrewwras" hidden="1">{#N/A,#N/A,FALSE,"JANLN2"}</definedName>
    <definedName name="wfrewwras_1" localSheetId="10" hidden="1">{#N/A,#N/A,FALSE,"JANLN2"}</definedName>
    <definedName name="wfrewwras_1" localSheetId="9" hidden="1">{#N/A,#N/A,FALSE,"JANLN2"}</definedName>
    <definedName name="wfrewwras_1" hidden="1">{#N/A,#N/A,FALSE,"JANLN2"}</definedName>
    <definedName name="whyerty" localSheetId="10" hidden="1">{#N/A,#N/A,FALSE,"UNIT";#N/A,#N/A,FALSE,"UNIT";#N/A,#N/A,FALSE,"계정"}</definedName>
    <definedName name="whyerty" localSheetId="9" hidden="1">{#N/A,#N/A,FALSE,"UNIT";#N/A,#N/A,FALSE,"UNIT";#N/A,#N/A,FALSE,"계정"}</definedName>
    <definedName name="whyerty" hidden="1">{#N/A,#N/A,FALSE,"UNIT";#N/A,#N/A,FALSE,"UNIT";#N/A,#N/A,FALSE,"계정"}</definedName>
    <definedName name="whyerty_1" localSheetId="10" hidden="1">{#N/A,#N/A,FALSE,"UNIT";#N/A,#N/A,FALSE,"UNIT";#N/A,#N/A,FALSE,"계정"}</definedName>
    <definedName name="whyerty_1" localSheetId="9" hidden="1">{#N/A,#N/A,FALSE,"UNIT";#N/A,#N/A,FALSE,"UNIT";#N/A,#N/A,FALSE,"계정"}</definedName>
    <definedName name="whyerty_1" hidden="1">{#N/A,#N/A,FALSE,"UNIT";#N/A,#N/A,FALSE,"UNIT";#N/A,#N/A,FALSE,"계정"}</definedName>
    <definedName name="wjd" hidden="1">#REF!</definedName>
    <definedName name="wkgk" localSheetId="10" hidden="1">{#N/A,#N/A,FALSE,"BS";#N/A,#N/A,FALSE,"PL";#N/A,#N/A,FALSE,"처분";#N/A,#N/A,FALSE,"현금";#N/A,#N/A,FALSE,"매출";#N/A,#N/A,FALSE,"원가";#N/A,#N/A,FALSE,"경영"}</definedName>
    <definedName name="wkgk" localSheetId="9" hidden="1">{#N/A,#N/A,FALSE,"BS";#N/A,#N/A,FALSE,"PL";#N/A,#N/A,FALSE,"처분";#N/A,#N/A,FALSE,"현금";#N/A,#N/A,FALSE,"매출";#N/A,#N/A,FALSE,"원가";#N/A,#N/A,FALSE,"경영"}</definedName>
    <definedName name="wkgk" hidden="1">{#N/A,#N/A,FALSE,"BS";#N/A,#N/A,FALSE,"PL";#N/A,#N/A,FALSE,"처분";#N/A,#N/A,FALSE,"현금";#N/A,#N/A,FALSE,"매출";#N/A,#N/A,FALSE,"원가";#N/A,#N/A,FALSE,"경영"}</definedName>
    <definedName name="wm.조골재1" localSheetId="10" hidden="1">{#N/A,#N/A,FALSE,"조골재"}</definedName>
    <definedName name="wm.조골재1" localSheetId="9" hidden="1">{#N/A,#N/A,FALSE,"조골재"}</definedName>
    <definedName name="wm.조골재1" hidden="1">{#N/A,#N/A,FALSE,"조골재"}</definedName>
    <definedName name="Wockhardt" localSheetId="1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ockhardt" localSheetId="9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ockhardt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orkbookPriority" hidden="1">-294658458</definedName>
    <definedName name="working" localSheetId="10" hidden="1">{#N/A,#N/A,FALSE,"REPORT"}</definedName>
    <definedName name="working" localSheetId="9" hidden="1">{#N/A,#N/A,FALSE,"REPORT"}</definedName>
    <definedName name="working" hidden="1">{#N/A,#N/A,FALSE,"REPORT"}</definedName>
    <definedName name="WOS_IQ_Div_payment_date" hidden="1">"c2205"</definedName>
    <definedName name="WOS_IQ_Div_record_date" hidden="1">"c2204"</definedName>
    <definedName name="WOS_IQ_xdiv_date" hidden="1">"c2203"</definedName>
    <definedName name="WPL" localSheetId="10" hidden="1">{#N/A,#N/A,FALSE,"BS";#N/A,#N/A,FALSE,"PL";#N/A,#N/A,FALSE,"처분";#N/A,#N/A,FALSE,"현금";#N/A,#N/A,FALSE,"매출";#N/A,#N/A,FALSE,"원가";#N/A,#N/A,FALSE,"경영"}</definedName>
    <definedName name="WPL" localSheetId="9" hidden="1">{#N/A,#N/A,FALSE,"BS";#N/A,#N/A,FALSE,"PL";#N/A,#N/A,FALSE,"처분";#N/A,#N/A,FALSE,"현금";#N/A,#N/A,FALSE,"매출";#N/A,#N/A,FALSE,"원가";#N/A,#N/A,FALSE,"경영"}</definedName>
    <definedName name="WPL" hidden="1">{#N/A,#N/A,FALSE,"BS";#N/A,#N/A,FALSE,"PL";#N/A,#N/A,FALSE,"처분";#N/A,#N/A,FALSE,"현금";#N/A,#N/A,FALSE,"매출";#N/A,#N/A,FALSE,"원가";#N/A,#N/A,FALSE,"경영"}</definedName>
    <definedName name="wq" localSheetId="10" hidden="1">{#N/A,#N/A,FALSE,"UNIT";#N/A,#N/A,FALSE,"UNIT";#N/A,#N/A,FALSE,"계정"}</definedName>
    <definedName name="wq" localSheetId="9" hidden="1">{#N/A,#N/A,FALSE,"UNIT";#N/A,#N/A,FALSE,"UNIT";#N/A,#N/A,FALSE,"계정"}</definedName>
    <definedName name="wq" hidden="1">{#N/A,#N/A,FALSE,"UNIT";#N/A,#N/A,FALSE,"UNIT";#N/A,#N/A,FALSE,"계정"}</definedName>
    <definedName name="wq_1" localSheetId="10" hidden="1">{#N/A,#N/A,FALSE,"UNIT";#N/A,#N/A,FALSE,"UNIT";#N/A,#N/A,FALSE,"계정"}</definedName>
    <definedName name="wq_1" localSheetId="9" hidden="1">{#N/A,#N/A,FALSE,"UNIT";#N/A,#N/A,FALSE,"UNIT";#N/A,#N/A,FALSE,"계정"}</definedName>
    <definedName name="wq_1" hidden="1">{#N/A,#N/A,FALSE,"UNIT";#N/A,#N/A,FALSE,"UNIT";#N/A,#N/A,FALSE,"계정"}</definedName>
    <definedName name="wr" localSheetId="10" hidden="1">{#N/A,#N/A,FALSE,"100 ADMIN";#N/A,#N/A,FALSE,"150 BROADCAST SERV";#N/A,#N/A,FALSE,"200 LOGISTICS";#N/A,#N/A,FALSE,"210 Race Op";#N/A,#N/A,FALSE,"220 T&amp;S";#N/A,#N/A,FALSE,"225 SAFETY";#N/A,#N/A,FALSE,"230 Pace Car";#N/A,#N/A,FALSE,"240 ELEC";#N/A,#N/A,FALSE,"250 COMP";#N/A,#N/A,FALSE,"300 SALES";#N/A,#N/A,FALSE,"350 MARKET RESEARCH";#N/A,#N/A,FALSE,"375 M &amp; A";#N/A,#N/A,FALSE,"400 CLIENT SERVICE";#N/A,#N/A,FALSE,"425 WCC";#N/A,#N/A,FALSE,"450 PR";#N/A,#N/A,FALSE,"475 MARKETING SERVICES";#N/A,#N/A,FALSE,"500 REGISTRATION";#N/A,#N/A,FALSE,"550 PROMOTIONS";#N/A,#N/A,FALSE,"575 Client Relations";#N/A,#N/A,FALSE,"2000 Budget All";#N/A,#N/A,FALSE,"Notes 2000";#N/A,#N/A,FALSE,"CART Q-LY";#N/A,#N/A,FALSE,"ARS";#N/A,#N/A,FALSE,"Promotion";#N/A,#N/A,FALSE,"CLP";#N/A,#N/A,FALSE,"2000 Share calc-actual";#N/A,#N/A,FALSE,"Comb 2000";#N/A,#N/A,FALSE,"Comb 2001";#N/A,#N/A,FALSE,"Comb 2002";#N/A,#N/A,FALSE,"Comb 2003";#N/A,#N/A,FALSE,"Comb 2004";#N/A,#N/A,FALSE,"Comb 2005";#N/A,#N/A,FALSE,"Summary";#N/A,#N/A,FALSE,"CHAMP Q-LY"}</definedName>
    <definedName name="wr" localSheetId="9" hidden="1">{#N/A,#N/A,FALSE,"100 ADMIN";#N/A,#N/A,FALSE,"150 BROADCAST SERV";#N/A,#N/A,FALSE,"200 LOGISTICS";#N/A,#N/A,FALSE,"210 Race Op";#N/A,#N/A,FALSE,"220 T&amp;S";#N/A,#N/A,FALSE,"225 SAFETY";#N/A,#N/A,FALSE,"230 Pace Car";#N/A,#N/A,FALSE,"240 ELEC";#N/A,#N/A,FALSE,"250 COMP";#N/A,#N/A,FALSE,"300 SALES";#N/A,#N/A,FALSE,"350 MARKET RESEARCH";#N/A,#N/A,FALSE,"375 M &amp; A";#N/A,#N/A,FALSE,"400 CLIENT SERVICE";#N/A,#N/A,FALSE,"425 WCC";#N/A,#N/A,FALSE,"450 PR";#N/A,#N/A,FALSE,"475 MARKETING SERVICES";#N/A,#N/A,FALSE,"500 REGISTRATION";#N/A,#N/A,FALSE,"550 PROMOTIONS";#N/A,#N/A,FALSE,"575 Client Relations";#N/A,#N/A,FALSE,"2000 Budget All";#N/A,#N/A,FALSE,"Notes 2000";#N/A,#N/A,FALSE,"CART Q-LY";#N/A,#N/A,FALSE,"ARS";#N/A,#N/A,FALSE,"Promotion";#N/A,#N/A,FALSE,"CLP";#N/A,#N/A,FALSE,"2000 Share calc-actual";#N/A,#N/A,FALSE,"Comb 2000";#N/A,#N/A,FALSE,"Comb 2001";#N/A,#N/A,FALSE,"Comb 2002";#N/A,#N/A,FALSE,"Comb 2003";#N/A,#N/A,FALSE,"Comb 2004";#N/A,#N/A,FALSE,"Comb 2005";#N/A,#N/A,FALSE,"Summary";#N/A,#N/A,FALSE,"CHAMP Q-LY"}</definedName>
    <definedName name="wr" hidden="1">{#N/A,#N/A,FALSE,"100 ADMIN";#N/A,#N/A,FALSE,"150 BROADCAST SERV";#N/A,#N/A,FALSE,"200 LOGISTICS";#N/A,#N/A,FALSE,"210 Race Op";#N/A,#N/A,FALSE,"220 T&amp;S";#N/A,#N/A,FALSE,"225 SAFETY";#N/A,#N/A,FALSE,"230 Pace Car";#N/A,#N/A,FALSE,"240 ELEC";#N/A,#N/A,FALSE,"250 COMP";#N/A,#N/A,FALSE,"300 SALES";#N/A,#N/A,FALSE,"350 MARKET RESEARCH";#N/A,#N/A,FALSE,"375 M &amp; A";#N/A,#N/A,FALSE,"400 CLIENT SERVICE";#N/A,#N/A,FALSE,"425 WCC";#N/A,#N/A,FALSE,"450 PR";#N/A,#N/A,FALSE,"475 MARKETING SERVICES";#N/A,#N/A,FALSE,"500 REGISTRATION";#N/A,#N/A,FALSE,"550 PROMOTIONS";#N/A,#N/A,FALSE,"575 Client Relations";#N/A,#N/A,FALSE,"2000 Budget All";#N/A,#N/A,FALSE,"Notes 2000";#N/A,#N/A,FALSE,"CART Q-LY";#N/A,#N/A,FALSE,"ARS";#N/A,#N/A,FALSE,"Promotion";#N/A,#N/A,FALSE,"CLP";#N/A,#N/A,FALSE,"2000 Share calc-actual";#N/A,#N/A,FALSE,"Comb 2000";#N/A,#N/A,FALSE,"Comb 2001";#N/A,#N/A,FALSE,"Comb 2002";#N/A,#N/A,FALSE,"Comb 2003";#N/A,#N/A,FALSE,"Comb 2004";#N/A,#N/A,FALSE,"Comb 2005";#N/A,#N/A,FALSE,"Summary";#N/A,#N/A,FALSE,"CHAMP Q-LY"}</definedName>
    <definedName name="wretwert" localSheetId="10" hidden="1">{#N/A,#N/A,FALSE,"UNIT";#N/A,#N/A,FALSE,"UNIT";#N/A,#N/A,FALSE,"계정"}</definedName>
    <definedName name="wretwert" localSheetId="9" hidden="1">{#N/A,#N/A,FALSE,"UNIT";#N/A,#N/A,FALSE,"UNIT";#N/A,#N/A,FALSE,"계정"}</definedName>
    <definedName name="wretwert" hidden="1">{#N/A,#N/A,FALSE,"UNIT";#N/A,#N/A,FALSE,"UNIT";#N/A,#N/A,FALSE,"계정"}</definedName>
    <definedName name="wretwert_1" localSheetId="10" hidden="1">{#N/A,#N/A,FALSE,"UNIT";#N/A,#N/A,FALSE,"UNIT";#N/A,#N/A,FALSE,"계정"}</definedName>
    <definedName name="wretwert_1" localSheetId="9" hidden="1">{#N/A,#N/A,FALSE,"UNIT";#N/A,#N/A,FALSE,"UNIT";#N/A,#N/A,FALSE,"계정"}</definedName>
    <definedName name="wretwert_1" hidden="1">{#N/A,#N/A,FALSE,"UNIT";#N/A,#N/A,FALSE,"UNIT";#N/A,#N/A,FALSE,"계정"}</definedName>
    <definedName name="WRITE" localSheetId="10" hidden="1">{#N/A,#N/A,FALSE,"CCTV"}</definedName>
    <definedName name="WRITE" localSheetId="9" hidden="1">{#N/A,#N/A,FALSE,"CCTV"}</definedName>
    <definedName name="WRITE" hidden="1">{#N/A,#N/A,FALSE,"CCTV"}</definedName>
    <definedName name="wrn" localSheetId="10" hidden="1">{"cap_structure",#N/A,FALSE,"Graph-Mkt Cap";"price",#N/A,FALSE,"Graph-Price";"ebit",#N/A,FALSE,"Graph-EBITDA";"ebitda",#N/A,FALSE,"Graph-EBITDA"}</definedName>
    <definedName name="wrn" localSheetId="9" hidden="1">{"cap_structure",#N/A,FALSE,"Graph-Mkt Cap";"price",#N/A,FALSE,"Graph-Price";"ebit",#N/A,FALSE,"Graph-EBITDA";"ebitda",#N/A,FALSE,"Graph-EBITDA"}</definedName>
    <definedName name="wrn" hidden="1">{"cap_structure",#N/A,FALSE,"Graph-Mkt Cap";"price",#N/A,FALSE,"Graph-Price";"ebit",#N/A,FALSE,"Graph-EBITDA";"ebitda",#N/A,FALSE,"Graph-EBITDA"}</definedName>
    <definedName name="wrn.00maint." localSheetId="10" hidden="1">{#N/A,#N/A,FALSE,"total";#N/A,#N/A,FALSE,"kilvin";#N/A,#N/A,FALSE,"kilvina";#N/A,#N/A,FALSE,"surface crushing";#N/A,#N/A,FALSE,"grinding";#N/A,#N/A,FALSE,"calcination";#N/A,#N/A,FALSE,"autoclave";#N/A,#N/A,FALSE,"mixing &amp; bagging";#N/A,#N/A,FALSE,"loading";#N/A,#N/A,FALSE,"fabric"}</definedName>
    <definedName name="wrn.00maint." localSheetId="9" hidden="1">{#N/A,#N/A,FALSE,"total";#N/A,#N/A,FALSE,"kilvin";#N/A,#N/A,FALSE,"kilvina";#N/A,#N/A,FALSE,"surface crushing";#N/A,#N/A,FALSE,"grinding";#N/A,#N/A,FALSE,"calcination";#N/A,#N/A,FALSE,"autoclave";#N/A,#N/A,FALSE,"mixing &amp; bagging";#N/A,#N/A,FALSE,"loading";#N/A,#N/A,FALSE,"fabric"}</definedName>
    <definedName name="wrn.00maint." hidden="1">{#N/A,#N/A,FALSE,"total";#N/A,#N/A,FALSE,"kilvin";#N/A,#N/A,FALSE,"kilvina";#N/A,#N/A,FALSE,"surface crushing";#N/A,#N/A,FALSE,"grinding";#N/A,#N/A,FALSE,"calcination";#N/A,#N/A,FALSE,"autoclave";#N/A,#N/A,FALSE,"mixing &amp; bagging";#N/A,#N/A,FALSE,"loading";#N/A,#N/A,FALSE,"fabric"}</definedName>
    <definedName name="wrn.00maint._1" localSheetId="10" hidden="1">{#N/A,#N/A,FALSE,"total";#N/A,#N/A,FALSE,"kilvin";#N/A,#N/A,FALSE,"kilvina";#N/A,#N/A,FALSE,"surface crushing";#N/A,#N/A,FALSE,"grinding";#N/A,#N/A,FALSE,"calcination";#N/A,#N/A,FALSE,"autoclave";#N/A,#N/A,FALSE,"mixing &amp; bagging";#N/A,#N/A,FALSE,"loading";#N/A,#N/A,FALSE,"fabric"}</definedName>
    <definedName name="wrn.00maint._1" localSheetId="9" hidden="1">{#N/A,#N/A,FALSE,"total";#N/A,#N/A,FALSE,"kilvin";#N/A,#N/A,FALSE,"kilvina";#N/A,#N/A,FALSE,"surface crushing";#N/A,#N/A,FALSE,"grinding";#N/A,#N/A,FALSE,"calcination";#N/A,#N/A,FALSE,"autoclave";#N/A,#N/A,FALSE,"mixing &amp; bagging";#N/A,#N/A,FALSE,"loading";#N/A,#N/A,FALSE,"fabric"}</definedName>
    <definedName name="wrn.00maint._1" hidden="1">{#N/A,#N/A,FALSE,"total";#N/A,#N/A,FALSE,"kilvin";#N/A,#N/A,FALSE,"kilvina";#N/A,#N/A,FALSE,"surface crushing";#N/A,#N/A,FALSE,"grinding";#N/A,#N/A,FALSE,"calcination";#N/A,#N/A,FALSE,"autoclave";#N/A,#N/A,FALSE,"mixing &amp; bagging";#N/A,#N/A,FALSE,"loading";#N/A,#N/A,FALSE,"fabric"}</definedName>
    <definedName name="wrn.101." localSheetId="10" hidden="1">{"101",#N/A,FALSE,"101"}</definedName>
    <definedName name="wrn.101." localSheetId="9" hidden="1">{"101",#N/A,FALSE,"101"}</definedName>
    <definedName name="wrn.101." hidden="1">{"101",#N/A,FALSE,"101"}</definedName>
    <definedName name="wrn.101._1" localSheetId="10" hidden="1">{"101",#N/A,FALSE,"101"}</definedName>
    <definedName name="wrn.101._1" localSheetId="9" hidden="1">{"101",#N/A,FALSE,"101"}</definedName>
    <definedName name="wrn.101._1" hidden="1">{"101",#N/A,FALSE,"101"}</definedName>
    <definedName name="wrn.111111" localSheetId="10" hidden="1">{#N/A,#N/A,FALSE,"Pharm";#N/A,#N/A,FALSE,"WWCM"}</definedName>
    <definedName name="wrn.111111" localSheetId="9" hidden="1">{#N/A,#N/A,FALSE,"Pharm";#N/A,#N/A,FALSE,"WWCM"}</definedName>
    <definedName name="wrn.111111" hidden="1">{#N/A,#N/A,FALSE,"Pharm";#N/A,#N/A,FALSE,"WWCM"}</definedName>
    <definedName name="wrn.2._.pagers." localSheetId="10" hidden="1">{"Cover",#N/A,FALSE,"Cover";"Summary",#N/A,FALSE,"Summarpage"}</definedName>
    <definedName name="wrn.2._.pagers." localSheetId="9" hidden="1">{"Cover",#N/A,FALSE,"Cover";"Summary",#N/A,FALSE,"Summarpage"}</definedName>
    <definedName name="wrn.2._.pagers." hidden="1">{"Cover",#N/A,FALSE,"Cover";"Summary",#N/A,FALSE,"Summarpage"}</definedName>
    <definedName name="wrn.2번." localSheetId="10" hidden="1">{#N/A,#N/A,FALSE,"2~8번"}</definedName>
    <definedName name="wrn.2번." localSheetId="9" hidden="1">{#N/A,#N/A,FALSE,"2~8번"}</definedName>
    <definedName name="wrn.2번." hidden="1">{#N/A,#N/A,FALSE,"2~8번"}</definedName>
    <definedName name="wrn.345." localSheetId="10" hidden="1">{#N/A,#N/A,FALSE,"96 3월물량표";#N/A,#N/A,FALSE,"96 4월물량표";#N/A,#N/A,FALSE,"96 5월물량표"}</definedName>
    <definedName name="wrn.345." localSheetId="9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3cases." localSheetId="10" hidden="1">{#N/A,"Base",FALSE,"Dividend";#N/A,"Conservative",FALSE,"Dividend";#N/A,"Downside",FALSE,"Dividend"}</definedName>
    <definedName name="wrn.3cases." localSheetId="9" hidden="1">{#N/A,"Base",FALSE,"Dividend";#N/A,"Conservative",FALSE,"Dividend";#N/A,"Downside",FALSE,"Dividend"}</definedName>
    <definedName name="wrn.3cases." hidden="1">{#N/A,"Base",FALSE,"Dividend";#N/A,"Conservative",FALSE,"Dividend";#N/A,"Downside",FALSE,"Dividend"}</definedName>
    <definedName name="wrn.730." localSheetId="10" hidden="1">{#N/A,#N/A,FALSE,"REPORT"}</definedName>
    <definedName name="wrn.730." localSheetId="9" hidden="1">{#N/A,#N/A,FALSE,"REPORT"}</definedName>
    <definedName name="wrn.730." hidden="1">{#N/A,#N/A,FALSE,"REPORT"}</definedName>
    <definedName name="wrn.731" localSheetId="10" hidden="1">{#N/A,#N/A,FALSE,"REPORT"}</definedName>
    <definedName name="wrn.731" localSheetId="9" hidden="1">{#N/A,#N/A,FALSE,"REPORT"}</definedName>
    <definedName name="wrn.731" hidden="1">{#N/A,#N/A,FALSE,"REPORT"}</definedName>
    <definedName name="wrn.750." localSheetId="10" hidden="1">{#N/A,#N/A,FALSE,"REPORT"}</definedName>
    <definedName name="wrn.750." localSheetId="9" hidden="1">{#N/A,#N/A,FALSE,"REPORT"}</definedName>
    <definedName name="wrn.750." hidden="1">{#N/A,#N/A,FALSE,"REPORT"}</definedName>
    <definedName name="wrn.7501" localSheetId="10" hidden="1">{#N/A,#N/A,FALSE,"REPORT"}</definedName>
    <definedName name="wrn.7501" localSheetId="9" hidden="1">{#N/A,#N/A,FALSE,"REPORT"}</definedName>
    <definedName name="wrn.7501" hidden="1">{#N/A,#N/A,FALSE,"REPORT"}</definedName>
    <definedName name="wrn.760.16." localSheetId="10" hidden="1">{#N/A,#N/A,FALSE,"REPORT"}</definedName>
    <definedName name="wrn.760.16." localSheetId="9" hidden="1">{#N/A,#N/A,FALSE,"REPORT"}</definedName>
    <definedName name="wrn.760.16." hidden="1">{#N/A,#N/A,FALSE,"REPORT"}</definedName>
    <definedName name="wrn.7900" localSheetId="10" hidden="1">{#N/A,#N/A,FALSE,"REPORT"}</definedName>
    <definedName name="wrn.7900" localSheetId="9" hidden="1">{#N/A,#N/A,FALSE,"REPORT"}</definedName>
    <definedName name="wrn.7900" hidden="1">{#N/A,#N/A,FALSE,"REPORT"}</definedName>
    <definedName name="wrn.905" localSheetId="10" hidden="1">{#N/A,#N/A,FALSE,"REPORT"}</definedName>
    <definedName name="wrn.905" localSheetId="9" hidden="1">{#N/A,#N/A,FALSE,"REPORT"}</definedName>
    <definedName name="wrn.905" hidden="1">{#N/A,#N/A,FALSE,"REPORT"}</definedName>
    <definedName name="wrn.95년도결산보고서." localSheetId="10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wrn.95년도결산보고서." localSheetId="9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wrn.95년도결산보고서.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wrn.95년도결산보고서._1" localSheetId="10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wrn.95년도결산보고서._1" localSheetId="9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wrn.95년도결산보고서._1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wrn.99999" localSheetId="10" hidden="1">{#N/A,#N/A,FALSE,"REPORT"}</definedName>
    <definedName name="wrn.99999" localSheetId="9" hidden="1">{#N/A,#N/A,FALSE,"REPORT"}</definedName>
    <definedName name="wrn.99999" hidden="1">{#N/A,#N/A,FALSE,"REPORT"}</definedName>
    <definedName name="wrn.aa." localSheetId="10" hidden="1">{#N/A,#N/A,FALSE,"UNIT";#N/A,#N/A,FALSE,"UNIT";#N/A,#N/A,FALSE,"계정"}</definedName>
    <definedName name="wrn.aa." localSheetId="9" hidden="1">{#N/A,#N/A,FALSE,"UNIT";#N/A,#N/A,FALSE,"UNIT";#N/A,#N/A,FALSE,"계정"}</definedName>
    <definedName name="wrn.aa." hidden="1">{#N/A,#N/A,FALSE,"UNIT";#N/A,#N/A,FALSE,"UNIT";#N/A,#N/A,FALSE,"계정"}</definedName>
    <definedName name="wrn.aa._1" localSheetId="10" hidden="1">{#N/A,#N/A,FALSE,"UNIT";#N/A,#N/A,FALSE,"UNIT";#N/A,#N/A,FALSE,"계정"}</definedName>
    <definedName name="wrn.aa._1" localSheetId="9" hidden="1">{#N/A,#N/A,FALSE,"UNIT";#N/A,#N/A,FALSE,"UNIT";#N/A,#N/A,FALSE,"계정"}</definedName>
    <definedName name="wrn.aa._1" hidden="1">{#N/A,#N/A,FALSE,"UNIT";#N/A,#N/A,FALSE,"UNIT";#N/A,#N/A,FALSE,"계정"}</definedName>
    <definedName name="wrn.aaa" localSheetId="10" hidden="1">{#N/A,#N/A,FALSE,"Pharm";#N/A,#N/A,FALSE,"WWCM"}</definedName>
    <definedName name="wrn.aaa" localSheetId="9" hidden="1">{#N/A,#N/A,FALSE,"Pharm";#N/A,#N/A,FALSE,"WWCM"}</definedName>
    <definedName name="wrn.aaa" hidden="1">{#N/A,#N/A,FALSE,"Pharm";#N/A,#N/A,FALSE,"WWCM"}</definedName>
    <definedName name="wrn.aaaaaaa" localSheetId="10" hidden="1">{#N/A,#N/A,FALSE,"Pharm";#N/A,#N/A,FALSE,"WWCM"}</definedName>
    <definedName name="wrn.aaaaaaa" localSheetId="9" hidden="1">{#N/A,#N/A,FALSE,"Pharm";#N/A,#N/A,FALSE,"WWCM"}</definedName>
    <definedName name="wrn.aaaaaaa" hidden="1">{#N/A,#N/A,FALSE,"Pharm";#N/A,#N/A,FALSE,"WWCM"}</definedName>
    <definedName name="wrn.abc." localSheetId="10" hidden="1">{#N/A,#N/A,FALSE,"Bezirk SW";#N/A,#N/A,FALSE,"Dir S (GK)";#N/A,#N/A,FALSE,"Dir FR (PK)"}</definedName>
    <definedName name="wrn.abc." localSheetId="9" hidden="1">{#N/A,#N/A,FALSE,"Bezirk SW";#N/A,#N/A,FALSE,"Dir S (GK)";#N/A,#N/A,FALSE,"Dir FR (PK)"}</definedName>
    <definedName name="wrn.abc." hidden="1">{#N/A,#N/A,FALSE,"Bezirk SW";#N/A,#N/A,FALSE,"Dir S (GK)";#N/A,#N/A,FALSE,"Dir FR (PK)"}</definedName>
    <definedName name="wrn.abt." localSheetId="10" hidden="1">{"ww",#N/A,FALSE,"Hospital Products";"us",#N/A,FALSE,"Hospital Products";"in",#N/A,FALSE,"Hospital Products"}</definedName>
    <definedName name="wrn.abt." localSheetId="9" hidden="1">{"ww",#N/A,FALSE,"Hospital Products";"us",#N/A,FALSE,"Hospital Products";"in",#N/A,FALSE,"Hospital Products"}</definedName>
    <definedName name="wrn.abt." hidden="1">{"ww",#N/A,FALSE,"Hospital Products";"us",#N/A,FALSE,"Hospital Products";"in",#N/A,FALSE,"Hospital Products"}</definedName>
    <definedName name="wrn.Accounts." localSheetId="10" hidden="1">{"turnover",#N/A,FALSE;"profits",#N/A,FALSE;"cash",#N/A,FALSE}</definedName>
    <definedName name="wrn.Accounts." localSheetId="9" hidden="1">{"turnover",#N/A,FALSE;"profits",#N/A,FALSE;"cash",#N/A,FALSE}</definedName>
    <definedName name="wrn.Accounts." hidden="1">{"turnover",#N/A,FALSE;"profits",#N/A,FALSE;"cash",#N/A,FALSE}</definedName>
    <definedName name="wrn.Additonal." localSheetId="10" hidden="1">{"Revolver",#N/A,FALSE,"Revolver";"Incentives",#N/A,FALSE,"Model"}</definedName>
    <definedName name="wrn.Additonal." localSheetId="9" hidden="1">{"Revolver",#N/A,FALSE,"Revolver";"Incentives",#N/A,FALSE,"Model"}</definedName>
    <definedName name="wrn.Additonal." hidden="1">{"Revolver",#N/A,FALSE,"Revolver";"Incentives",#N/A,FALSE,"Model"}</definedName>
    <definedName name="wrn.Additonal._1" localSheetId="10" hidden="1">{"Revolver",#N/A,FALSE,"Revolver";"Incentives",#N/A,FALSE,"Model"}</definedName>
    <definedName name="wrn.Additonal._1" localSheetId="9" hidden="1">{"Revolver",#N/A,FALSE,"Revolver";"Incentives",#N/A,FALSE,"Model"}</definedName>
    <definedName name="wrn.Additonal._1" hidden="1">{"Revolver",#N/A,FALSE,"Revolver";"Incentives",#N/A,FALSE,"Model"}</definedName>
    <definedName name="wrn.adj95." localSheetId="10" hidden="1">{"adj95mult",#N/A,FALSE,"COMPCO";"adj95est",#N/A,FALSE,"COMPCO"}</definedName>
    <definedName name="wrn.adj95." localSheetId="9" hidden="1">{"adj95mult",#N/A,FALSE,"COMPCO";"adj95est",#N/A,FALSE,"COMPCO"}</definedName>
    <definedName name="wrn.adj95." hidden="1">{"adj95mult",#N/A,FALSE,"COMPCO";"adj95est",#N/A,FALSE,"COMPCO"}</definedName>
    <definedName name="wrn.Affiliate._.Financials." localSheetId="10" hidden="1">{"Income Statement",#N/A,TRUE,"Financials";"Balance Sheet and Cash Flow",#N/A,TRUE,"Financials";"Capital Schedule",#N/A,TRUE,"Financials"}</definedName>
    <definedName name="wrn.Affiliate._.Financials." localSheetId="9" hidden="1">{"Income Statement",#N/A,TRUE,"Financials";"Balance Sheet and Cash Flow",#N/A,TRUE,"Financials";"Capital Schedule",#N/A,TRUE,"Financials"}</definedName>
    <definedName name="wrn.Affiliate._.Financials." hidden="1">{"Income Statement",#N/A,TRUE,"Financials";"Balance Sheet and Cash Flow",#N/A,TRUE,"Financials";"Capital Schedule",#N/A,TRUE,"Financials"}</definedName>
    <definedName name="wrn.Affiliate._.Financials._1" localSheetId="10" hidden="1">{"Income Statement",#N/A,TRUE,"Financials";"Balance Sheet and Cash Flow",#N/A,TRUE,"Financials";"Capital Schedule",#N/A,TRUE,"Financials"}</definedName>
    <definedName name="wrn.Affiliate._.Financials._1" localSheetId="9" hidden="1">{"Income Statement",#N/A,TRUE,"Financials";"Balance Sheet and Cash Flow",#N/A,TRUE,"Financials";"Capital Schedule",#N/A,TRUE,"Financials"}</definedName>
    <definedName name="wrn.Affiliate._.Financials._1" hidden="1">{"Income Statement",#N/A,TRUE,"Financials";"Balance Sheet and Cash Flow",#N/A,TRUE,"Financials";"Capital Schedule",#N/A,TRUE,"Financials"}</definedName>
    <definedName name="wrn.Aging._.and._.Trend._.Analysis." localSheetId="10" hidden="1">{#N/A,#N/A,FALSE,"Aging Summary";#N/A,#N/A,FALSE,"Ratio Analysis";#N/A,#N/A,FALSE,"Test 120 Day Accts";#N/A,#N/A,FALSE,"Tickmarks"}</definedName>
    <definedName name="wrn.Aging._.and._.Trend._.Analysis." localSheetId="9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10" hidden="1">{#N/A,#N/A,FALSE,"Aging Summary";#N/A,#N/A,FALSE,"Ratio Analysis";#N/A,#N/A,FALSE,"Test 120 Day Accts";#N/A,#N/A,FALSE,"Tickmarks"}</definedName>
    <definedName name="wrn.Aging._.and._.Trend._.Analysis._1" localSheetId="9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2" localSheetId="10" hidden="1">{#N/A,#N/A,FALSE,"Aging Summary";#N/A,#N/A,FALSE,"Ratio Analysis";#N/A,#N/A,FALSE,"Test 120 Day Accts";#N/A,#N/A,FALSE,"Tickmarks"}</definedName>
    <definedName name="wrn.Aging._.and._.Trend._.Analysis._2" localSheetId="9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N._.MODELS." localSheetId="10" hidden="1">{"QTRINC1",#N/A,FALSE,"QTRINC";"QTRINC2",#N/A,FALSE,"QTRINC";"QTRSALES",#N/A,FALSE,"QTRSALES";"ANNSALES",#N/A,FALSE,"ANNSALES";"CASHFLOW",#N/A,FALSE,"CASHFLOW"}</definedName>
    <definedName name="wrn.AGN._.MODELS." localSheetId="9" hidden="1">{"QTRINC1",#N/A,FALSE,"QTRINC";"QTRINC2",#N/A,FALSE,"QTRINC";"QTRSALES",#N/A,FALSE,"QTRSALES";"ANNSALES",#N/A,FALSE,"ANNSALES";"CASHFLOW",#N/A,FALSE,"CASHFLOW"}</definedName>
    <definedName name="wrn.AGN._.MODELS." hidden="1">{"QTRINC1",#N/A,FALSE,"QTRINC";"QTRINC2",#N/A,FALSE,"QTRINC";"QTRSALES",#N/A,FALSE,"QTRSALES";"ANNSALES",#N/A,FALSE,"ANNSALES";"CASHFLOW",#N/A,FALSE,"CASHFLOW"}</definedName>
    <definedName name="wrn.AHP._.MODELS." localSheetId="10" hidden="1">{"QTRINC",#N/A,FALSE,"QTRINC";"MARGIN",#N/A,FALSE,"MARGIN";"CASHFLOW",#N/A,FALSE,"CASHFLOW"}</definedName>
    <definedName name="wrn.AHP._.MODELS." localSheetId="9" hidden="1">{"QTRINC",#N/A,FALSE,"QTRINC";"MARGIN",#N/A,FALSE,"MARGIN";"CASHFLOW",#N/A,FALSE,"CASHFLOW"}</definedName>
    <definedName name="wrn.AHP._.MODELS." hidden="1">{"QTRINC",#N/A,FALSE,"QTRINC";"MARGIN",#N/A,FALSE,"MARGIN";"CASHFLOW",#N/A,FALSE,"CASHFLOW"}</definedName>
    <definedName name="wrn.Alex." localSheetId="10" hidden="1">{#N/A,#N/A,FALSE,"TradeSumm";#N/A,#N/A,FALSE,"StatsSumm"}</definedName>
    <definedName name="wrn.Alex." localSheetId="9" hidden="1">{#N/A,#N/A,FALSE,"TradeSumm";#N/A,#N/A,FALSE,"StatsSumm"}</definedName>
    <definedName name="wrn.Alex." hidden="1">{#N/A,#N/A,FALSE,"TradeSumm";#N/A,#N/A,FALSE,"StatsSumm"}</definedName>
    <definedName name="wrn.all." localSheetId="10" hidden="1">{#N/A,#N/A,FALSE,"W-Cons";#N/A,#N/A,FALSE,"MTAs";#N/A,#N/A,FALSE,"BTAs";#N/A,#N/A,FALSE,"D.C.";#N/A,#N/A,FALSE,"L.A."}</definedName>
    <definedName name="wrn.all." localSheetId="9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wrn.all." hidden="1">{#N/A,#N/A,FALSE,"W-Cons";#N/A,#N/A,FALSE,"MTAs";#N/A,#N/A,FALSE,"BTAs";#N/A,#N/A,FALSE,"D.C.";#N/A,#N/A,FALSE,"L.A."}</definedName>
    <definedName name="wrn.All._.M._.Schedules." localSheetId="1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" localSheetId="9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localSheetId="1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localSheetId="9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Pages." localSheetId="1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localSheetId="9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tock_10_12_14." localSheetId="10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Stock_10_12_14." localSheetId="9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Stock_10_12_14._1" localSheetId="10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Stock_10_12_14._1" localSheetId="9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Stock_10_12_14._1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1" localSheetId="10" hidden="1">{#N/A,#N/A,FALSE,"W-Cons";#N/A,#N/A,FALSE,"MTAs";#N/A,#N/A,FALSE,"BTAs";#N/A,#N/A,FALSE,"D.C.";#N/A,#N/A,FALSE,"L.A."}</definedName>
    <definedName name="wrn.all._1" localSheetId="9" hidden="1">{#N/A,#N/A,FALSE,"W-Cons";#N/A,#N/A,FALSE,"MTAs";#N/A,#N/A,FALSE,"BTAs";#N/A,#N/A,FALSE,"D.C.";#N/A,#N/A,FALSE,"L.A."}</definedName>
    <definedName name="wrn.all._1" hidden="1">{#N/A,#N/A,FALSE,"W-Cons";#N/A,#N/A,FALSE,"MTAs";#N/A,#N/A,FALSE,"BTAs";#N/A,#N/A,FALSE,"D.C.";#N/A,#N/A,FALSE,"L.A."}</definedName>
    <definedName name="wrn.all._1_1" localSheetId="1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1_1" localSheetId="9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1_1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1_2" localSheetId="1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1_2" localSheetId="9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1_2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1_3" localSheetId="1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1_3" localSheetId="9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1_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1_4" localSheetId="1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1_4" localSheetId="9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1_4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2" localSheetId="1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2" localSheetId="9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2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2_1" localSheetId="1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2_1" localSheetId="9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2_1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2_2" localSheetId="1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2_2" localSheetId="9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2_2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2_3" localSheetId="1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2_3" localSheetId="9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2_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2_4" localSheetId="1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2_4" localSheetId="9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2_4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3" localSheetId="1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3" localSheetId="9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3_1" localSheetId="1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3_1" localSheetId="9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3_1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3_2" localSheetId="1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3_2" localSheetId="9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3_2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3_3" localSheetId="1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3_3" localSheetId="9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3_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3_4" localSheetId="1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3_4" localSheetId="9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3_4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4" localSheetId="1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4" localSheetId="9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4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4_1" localSheetId="1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4_1" localSheetId="9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4_1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4_2" localSheetId="1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4_2" localSheetId="9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4_2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4_3" localSheetId="1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4_3" localSheetId="9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4_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4_4" localSheetId="1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4_4" localSheetId="9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4_4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5" localSheetId="1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5" localSheetId="9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5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5_1" localSheetId="1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5_1" localSheetId="9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5_1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5_2" localSheetId="1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5_2" localSheetId="9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5_2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5_3" localSheetId="1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5_3" localSheetId="9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5_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5_4" localSheetId="1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5_4" localSheetId="9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5_4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" localSheetId="1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" localSheetId="9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1" localSheetId="1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1" localSheetId="9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1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1_1" localSheetId="1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1_1" localSheetId="9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1_1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1_2" localSheetId="1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1_2" localSheetId="9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1_2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1_3" localSheetId="1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1_3" localSheetId="9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1_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1_4" localSheetId="1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1_4" localSheetId="9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1_4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2" localSheetId="1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2" localSheetId="9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2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2_1" localSheetId="1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2_1" localSheetId="9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2_1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2_2" localSheetId="1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2_2" localSheetId="9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2_2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2_3" localSheetId="1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2_3" localSheetId="9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2_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2_4" localSheetId="1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2_4" localSheetId="9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2_4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3" localSheetId="1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3" localSheetId="9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3_1" localSheetId="1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3_1" localSheetId="9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3_1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3_2" localSheetId="1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3_2" localSheetId="9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3_2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3_3" localSheetId="1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3_3" localSheetId="9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3_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3_4" localSheetId="1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3_4" localSheetId="9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3_4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4" localSheetId="1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4" localSheetId="9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4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4_1" localSheetId="1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4_1" localSheetId="9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4_1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4_2" localSheetId="1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4_2" localSheetId="9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4_2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4_3" localSheetId="1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4_3" localSheetId="9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4_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4_4" localSheetId="1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4_4" localSheetId="9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4_4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5" localSheetId="1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5" localSheetId="9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5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5_1" localSheetId="1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5_1" localSheetId="9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5_1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5_2" localSheetId="1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5_2" localSheetId="9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5_2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5_3" localSheetId="1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5_3" localSheetId="9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5_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5_4" localSheetId="10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5_4" localSheetId="9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5_4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pages." localSheetId="10" hidden="1">{#N/A,#N/A,TRUE,"Historicals";#N/A,#N/A,TRUE,"Charts";#N/A,#N/A,TRUE,"Forecasts"}</definedName>
    <definedName name="wrn.allpages." localSheetId="9" hidden="1">{#N/A,#N/A,TRUE,"Historicals";#N/A,#N/A,TRUE,"Charts";#N/A,#N/A,TRUE,"Forecasts"}</definedName>
    <definedName name="wrn.allpages." hidden="1">{#N/A,#N/A,TRUE,"Historicals";#N/A,#N/A,TRUE,"Charts";#N/A,#N/A,TRUE,"Forecasts"}</definedName>
    <definedName name="wrn.America._.Online." localSheetId="10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merica._.Online." localSheetId="9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merica._.Online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merica._.Online._1" localSheetId="10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merica._.Online._1" localSheetId="9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merica._.Online._1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nnual._.Operating._.Earnings." localSheetId="10" hidden="1">{"Annual 1996",#N/A,FALSE,"Ann-Op (Mng)";"Annual 1996",#N/A,FALSE,"Ann-Op (Rep)";"Operating Vs. Reported Earnings",#N/A,FALSE,"Rpt-Op Inc"}</definedName>
    <definedName name="wrn.Annual._.Operating._.Earnings." localSheetId="9" hidden="1">{"Annual 1996",#N/A,FALSE,"Ann-Op (Mng)";"Annual 1996",#N/A,FALSE,"Ann-Op (Rep)";"Operating Vs. Reported Earnings",#N/A,FALSE,"Rpt-Op Inc"}</definedName>
    <definedName name="wrn.Annual._.Operating._.Earnings." hidden="1">{"Annual 1996",#N/A,FALSE,"Ann-Op (Mng)";"Annual 1996",#N/A,FALSE,"Ann-Op (Rep)";"Operating Vs. Reported Earnings",#N/A,FALSE,"Rpt-Op Inc"}</definedName>
    <definedName name="wrn.Annual._.Operating._.Earnings1." localSheetId="10" hidden="1">{"Annual 1996",#N/A,FALSE,"Ann-Op (Mng)";"Annual 1996",#N/A,FALSE,"Ann-Op (Rep)";"Operating Vs. Reported Earnings",#N/A,FALSE,"Rpt-Op Inc"}</definedName>
    <definedName name="wrn.Annual._.Operating._.Earnings1." localSheetId="9" hidden="1">{"Annual 1996",#N/A,FALSE,"Ann-Op (Mng)";"Annual 1996",#N/A,FALSE,"Ann-Op (Rep)";"Operating Vs. Reported Earnings",#N/A,FALSE,"Rpt-Op Inc"}</definedName>
    <definedName name="wrn.Annual._.Operating._.Earnings1." hidden="1">{"Annual 1996",#N/A,FALSE,"Ann-Op (Mng)";"Annual 1996",#N/A,FALSE,"Ann-Op (Rep)";"Operating Vs. Reported Earnings",#N/A,FALSE,"Rpt-Op Inc"}</definedName>
    <definedName name="wrn.APAC." localSheetId="10" hidden="1">{"Linkages",#N/A,TRUE,"Linkages";"Finassum",#N/A,TRUE,"Linkages";"insto_returns",#N/A,TRUE,"Insto Returns";"BAA",#N/A,TRUE,"BAA Returns";"impact_fin",#N/A,TRUE,"Impact on BAA";"ratios",#N/A,TRUE,"Key Ratios";"annual_data",#N/A,TRUE,"Annual Data"}</definedName>
    <definedName name="wrn.APAC." localSheetId="9" hidden="1">{"Linkages",#N/A,TRUE,"Linkages";"Finassum",#N/A,TRUE,"Linkages";"insto_returns",#N/A,TRUE,"Insto Returns";"BAA",#N/A,TRUE,"BAA Returns";"impact_fin",#N/A,TRUE,"Impact on BAA";"ratios",#N/A,TRUE,"Key Ratios";"annual_data",#N/A,TRUE,"Annual Data"}</definedName>
    <definedName name="wrn.APAC." hidden="1">{"Linkages",#N/A,TRUE,"Linkages";"Finassum",#N/A,TRUE,"Linkages";"insto_returns",#N/A,TRUE,"Insto Returns";"BAA",#N/A,TRUE,"BAA Returns";"impact_fin",#N/A,TRUE,"Impact on BAA";"ratios",#N/A,TRUE,"Key Ratios";"annual_data",#N/A,TRUE,"Annual Data"}</definedName>
    <definedName name="wrn.Appendix." localSheetId="10" hidden="1">{#N/A,#N/A,TRUE,"Lines";#N/A,#N/A,TRUE,"Stations";#N/A,#N/A,TRUE,"Cap. Expenses";#N/A,#N/A,TRUE,"Land";#N/A,#N/A,TRUE,"Cen Proces Sys";#N/A,#N/A,TRUE,"telecom";#N/A,#N/A,TRUE,"Other"}</definedName>
    <definedName name="wrn.Appendix." localSheetId="9" hidden="1">{#N/A,#N/A,TRUE,"Lines";#N/A,#N/A,TRUE,"Stations";#N/A,#N/A,TRUE,"Cap. Expenses";#N/A,#N/A,TRUE,"Land";#N/A,#N/A,TRUE,"Cen Proces Sys";#N/A,#N/A,TRUE,"telecom";#N/A,#N/A,TRUE,"Other"}</definedName>
    <definedName name="wrn.Appendix." hidden="1">{#N/A,#N/A,TRUE,"Lines";#N/A,#N/A,TRUE,"Stations";#N/A,#N/A,TRUE,"Cap. Expenses";#N/A,#N/A,TRUE,"Land";#N/A,#N/A,TRUE,"Cen Proces Sys";#N/A,#N/A,TRUE,"telecom";#N/A,#N/A,TRUE,"Other"}</definedName>
    <definedName name="wrn.appendix.1" localSheetId="10" hidden="1">{#N/A,#N/A,TRUE,"Lines";#N/A,#N/A,TRUE,"Stations";#N/A,#N/A,TRUE,"Cap. Expenses";#N/A,#N/A,TRUE,"Land";#N/A,#N/A,TRUE,"Cen Proces Sys";#N/A,#N/A,TRUE,"telecom";#N/A,#N/A,TRUE,"Other"}</definedName>
    <definedName name="wrn.appendix.1" localSheetId="9" hidden="1">{#N/A,#N/A,TRUE,"Lines";#N/A,#N/A,TRUE,"Stations";#N/A,#N/A,TRUE,"Cap. Expenses";#N/A,#N/A,TRUE,"Land";#N/A,#N/A,TRUE,"Cen Proces Sys";#N/A,#N/A,TRUE,"telecom";#N/A,#N/A,TRUE,"Other"}</definedName>
    <definedName name="wrn.appendix.1" hidden="1">{#N/A,#N/A,TRUE,"Lines";#N/A,#N/A,TRUE,"Stations";#N/A,#N/A,TRUE,"Cap. Expenses";#N/A,#N/A,TRUE,"Land";#N/A,#N/A,TRUE,"Cen Proces Sys";#N/A,#N/A,TRUE,"telecom";#N/A,#N/A,TRUE,"Other"}</definedName>
    <definedName name="wrn.Ares_Serono." localSheetId="10" hidden="1">{"revenue",#N/A,FALSE,"Revenue";"Qearn1",#N/A,FALSE,"Qearn";"Qearn2",#N/A,FALSE,"Qearn";"Qmargin",#N/A,FALSE,"Qmargin";"Cashflow",#N/A,FALSE,"Cashflow"}</definedName>
    <definedName name="wrn.Ares_Serono." localSheetId="9" hidden="1">{"revenue",#N/A,FALSE,"Revenue";"Qearn1",#N/A,FALSE,"Qearn";"Qearn2",#N/A,FALSE,"Qearn";"Qmargin",#N/A,FALSE,"Qmargin";"Cashflow",#N/A,FALSE,"Cashflow"}</definedName>
    <definedName name="wrn.Ares_Serono." hidden="1">{"revenue",#N/A,FALSE,"Revenue";"Qearn1",#N/A,FALSE,"Qearn";"Qearn2",#N/A,FALSE,"Qearn";"Qmargin",#N/A,FALSE,"Qmargin";"Cashflow",#N/A,FALSE,"Cashflow"}</definedName>
    <definedName name="wrn.Asia." localSheetId="1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9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uto._.Comp." localSheetId="10" hidden="1">{#N/A,#N/A,FALSE,"Sheet1"}</definedName>
    <definedName name="wrn.Auto._.Comp." localSheetId="9" hidden="1">{#N/A,#N/A,FALSE,"Sheet1"}</definedName>
    <definedName name="wrn.Auto._.Comp." hidden="1">{#N/A,#N/A,FALSE,"Sheet1"}</definedName>
    <definedName name="wrn.Auto._.Comp2." localSheetId="10" hidden="1">{#N/A,#N/A,FALSE,"Sheet1"}</definedName>
    <definedName name="wrn.Auto._.Comp2." localSheetId="9" hidden="1">{#N/A,#N/A,FALSE,"Sheet1"}</definedName>
    <definedName name="wrn.Auto._.Comp2." hidden="1">{#N/A,#N/A,FALSE,"Sheet1"}</definedName>
    <definedName name="wrn.Back._.Page." localSheetId="10" hidden="1">{"Back Page",#N/A,FALSE,"Front and Back"}</definedName>
    <definedName name="wrn.Back._.Page." localSheetId="9" hidden="1">{"Back Page",#N/A,FALSE,"Front and Back"}</definedName>
    <definedName name="wrn.Back._.Page." hidden="1">{"Back Page",#N/A,FALSE,"Front and Back"}</definedName>
    <definedName name="wrn.backup." localSheetId="10" hidden="1">{"financials",#N/A,FALSE,"BASIC";"interest",#N/A,FALSE,"BASIC";"leasing and financing",#N/A,FALSE,"BASIC";"returns back up",#N/A,FALSE,"BASIC"}</definedName>
    <definedName name="wrn.backup." localSheetId="9" hidden="1">{"financials",#N/A,FALSE,"BASIC";"interest",#N/A,FALSE,"BASIC";"leasing and financing",#N/A,FALSE,"BASIC";"returns back up",#N/A,FALSE,"BASIC"}</definedName>
    <definedName name="wrn.backup." hidden="1">{"financials",#N/A,FALSE,"BASIC";"interest",#N/A,FALSE,"BASIC";"leasing and financing",#N/A,FALSE,"BASIC";"returns back up",#N/A,FALSE,"BASIC"}</definedName>
    <definedName name="wrn.bank._.model." localSheetId="10" hidden="1">{"banks",#N/A,FALSE,"BASIC"}</definedName>
    <definedName name="wrn.bank._.model." localSheetId="9" hidden="1">{"banks",#N/A,FALSE,"BASIC"}</definedName>
    <definedName name="wrn.bank._.model." hidden="1">{"banks",#N/A,FALSE,"BASIC"}</definedName>
    <definedName name="wrn.Basic." localSheetId="10" hidden="1">{"Returns",#N/A,FALSE,"Model";"Enterprise Value/Credit Stats",#N/A,FALSE,"Model";"Assumptions",#N/A,FALSE,"Model";"Income Statement",#N/A,FALSE,"Model";"Cash Flow Statement",#N/A,FALSE,"Model";"Balance Sheet",#N/A,FALSE,"Model";"Tax Schedule",#N/A,FALSE,"Model";"W/C Revolver",#N/A,FALSE,"Model"}</definedName>
    <definedName name="wrn.Basic." localSheetId="9" hidden="1">{"Returns",#N/A,FALSE,"Model";"Enterprise Value/Credit Stats",#N/A,FALSE,"Model";"Assumptions",#N/A,FALSE,"Model";"Income Statement",#N/A,FALSE,"Model";"Cash Flow Statement",#N/A,FALSE,"Model";"Balance Sheet",#N/A,FALSE,"Model";"Tax Schedule",#N/A,FALSE,"Model";"W/C Revolver",#N/A,FALSE,"Model"}</definedName>
    <definedName name="wrn.Basic." hidden="1">{"Returns",#N/A,FALSE,"Model";"Enterprise Value/Credit Stats",#N/A,FALSE,"Model";"Assumptions",#N/A,FALSE,"Model";"Income Statement",#N/A,FALSE,"Model";"Cash Flow Statement",#N/A,FALSE,"Model";"Balance Sheet",#N/A,FALSE,"Model";"Tax Schedule",#N/A,FALSE,"Model";"W/C Revolver",#N/A,FALSE,"Model"}</definedName>
    <definedName name="wrn.Basic._1" localSheetId="10" hidden="1">{"Returns",#N/A,FALSE,"Model";"Enterprise Value/Credit Stats",#N/A,FALSE,"Model";"Assumptions",#N/A,FALSE,"Model";"Income Statement",#N/A,FALSE,"Model";"Cash Flow Statement",#N/A,FALSE,"Model";"Balance Sheet",#N/A,FALSE,"Model";"Tax Schedule",#N/A,FALSE,"Model";"W/C Revolver",#N/A,FALSE,"Model"}</definedName>
    <definedName name="wrn.Basic._1" localSheetId="9" hidden="1">{"Returns",#N/A,FALSE,"Model";"Enterprise Value/Credit Stats",#N/A,FALSE,"Model";"Assumptions",#N/A,FALSE,"Model";"Income Statement",#N/A,FALSE,"Model";"Cash Flow Statement",#N/A,FALSE,"Model";"Balance Sheet",#N/A,FALSE,"Model";"Tax Schedule",#N/A,FALSE,"Model";"W/C Revolver",#N/A,FALSE,"Model"}</definedName>
    <definedName name="wrn.Basic._1" hidden="1">{"Returns",#N/A,FALSE,"Model";"Enterprise Value/Credit Stats",#N/A,FALSE,"Model";"Assumptions",#N/A,FALSE,"Model";"Income Statement",#N/A,FALSE,"Model";"Cash Flow Statement",#N/A,FALSE,"Model";"Balance Sheet",#N/A,FALSE,"Model";"Tax Schedule",#N/A,FALSE,"Model";"W/C Revolver",#N/A,FALSE,"Model"}</definedName>
    <definedName name="wrn.BasicModel." localSheetId="10" hidden="1">{"MacroCo",#N/A,FALSE,"masmode";"IncomeS",#N/A,FALSE,"masmode";"BalanceS",#N/A,FALSE,"masmode";"CashF",#N/A,FALSE,"masmode";"Ratios",#N/A,FALSE,"masmode";"DebtFC",#N/A,FALSE,"masmode"}</definedName>
    <definedName name="wrn.BasicModel." localSheetId="9" hidden="1">{"MacroCo",#N/A,FALSE,"masmode";"IncomeS",#N/A,FALSE,"masmode";"BalanceS",#N/A,FALSE,"masmode";"CashF",#N/A,FALSE,"masmode";"Ratios",#N/A,FALSE,"masmode";"DebtFC",#N/A,FALSE,"masmode"}</definedName>
    <definedName name="wrn.BasicModel." hidden="1">{"MacroCo",#N/A,FALSE,"masmode";"IncomeS",#N/A,FALSE,"masmode";"BalanceS",#N/A,FALSE,"masmode";"CashF",#N/A,FALSE,"masmode";"Ratios",#N/A,FALSE,"masmode";"DebtFC",#N/A,FALSE,"masmode"}</definedName>
    <definedName name="wrn.BIS." localSheetId="10" hidden="1">{#N/A,#N/A,FALSE,"Tobacco Rolls, Fine Cut Dom.";#N/A,#N/A,FALSE,"Eco-Cigarillos Dom.";#N/A,#N/A,FALSE,"Other Cigars Cigarillos";#N/A,#N/A,FALSE,"Filter Tubes";#N/A,#N/A,FALSE,"Other Business";#N/A,#N/A,FALSE,"Total Industrial Business"}</definedName>
    <definedName name="wrn.BIS." localSheetId="9" hidden="1">{#N/A,#N/A,FALSE,"Tobacco Rolls, Fine Cut Dom.";#N/A,#N/A,FALSE,"Eco-Cigarillos Dom.";#N/A,#N/A,FALSE,"Other Cigars Cigarillos";#N/A,#N/A,FALSE,"Filter Tubes";#N/A,#N/A,FALSE,"Other Business";#N/A,#N/A,FALSE,"Total Industrial Business"}</definedName>
    <definedName name="wrn.BIS." hidden="1">{#N/A,#N/A,FALSE,"Tobacco Rolls, Fine Cut Dom.";#N/A,#N/A,FALSE,"Eco-Cigarillos Dom.";#N/A,#N/A,FALSE,"Other Cigars Cigarillos";#N/A,#N/A,FALSE,"Filter Tubes";#N/A,#N/A,FALSE,"Other Business";#N/A,#N/A,FALSE,"Total Industrial Business"}</definedName>
    <definedName name="wrn.BIS._1" localSheetId="10" hidden="1">{#N/A,#N/A,FALSE,"Tobacco Rolls, Fine Cut Dom.";#N/A,#N/A,FALSE,"Eco-Cigarillos Dom.";#N/A,#N/A,FALSE,"Other Cigars Cigarillos";#N/A,#N/A,FALSE,"Filter Tubes";#N/A,#N/A,FALSE,"Other Business";#N/A,#N/A,FALSE,"Total Industrial Business"}</definedName>
    <definedName name="wrn.BIS._1" localSheetId="9" hidden="1">{#N/A,#N/A,FALSE,"Tobacco Rolls, Fine Cut Dom.";#N/A,#N/A,FALSE,"Eco-Cigarillos Dom.";#N/A,#N/A,FALSE,"Other Cigars Cigarillos";#N/A,#N/A,FALSE,"Filter Tubes";#N/A,#N/A,FALSE,"Other Business";#N/A,#N/A,FALSE,"Total Industrial Business"}</definedName>
    <definedName name="wrn.BIS._1" hidden="1">{#N/A,#N/A,FALSE,"Tobacco Rolls, Fine Cut Dom.";#N/A,#N/A,FALSE,"Eco-Cigarillos Dom.";#N/A,#N/A,FALSE,"Other Cigars Cigarillos";#N/A,#N/A,FALSE,"Filter Tubes";#N/A,#N/A,FALSE,"Other Business";#N/A,#N/A,FALSE,"Total Industrial Business"}</definedName>
    <definedName name="wrn.bm" localSheetId="10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" localSheetId="9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." localSheetId="10" hidden="1">{#N/A,#N/A,FALSE,"CCTV"}</definedName>
    <definedName name="wrn.BM." localSheetId="9" hidden="1">{#N/A,#N/A,FALSE,"CCTV"}</definedName>
    <definedName name="wrn.BM." hidden="1">{#N/A,#N/A,FALSE,"CCTV"}</definedName>
    <definedName name="wrn.Board._.Reports." localSheetId="10" hidden="1">{#N/A,#N/A,FALSE,"M1s Board";#N/A,#N/A,FALSE,"M3 Board";#N/A,#N/A,FALSE,"M6 Board";#N/A,#N/A,FALSE,"M7";#N/A,#N/A,FALSE,"M7B";#N/A,#N/A,FALSE,"M8";#N/A,#N/A,FALSE,"M8A Board";#N/A,#N/A,FALSE,"AF1 Board"}</definedName>
    <definedName name="wrn.Board._.Reports." localSheetId="9" hidden="1">{#N/A,#N/A,FALSE,"M1s Board";#N/A,#N/A,FALSE,"M3 Board";#N/A,#N/A,FALSE,"M6 Board";#N/A,#N/A,FALSE,"M7";#N/A,#N/A,FALSE,"M7B";#N/A,#N/A,FALSE,"M8";#N/A,#N/A,FALSE,"M8A Board";#N/A,#N/A,FALSE,"AF1 Board"}</definedName>
    <definedName name="wrn.Board._.Reports." hidden="1">{#N/A,#N/A,FALSE,"M1s Board";#N/A,#N/A,FALSE,"M3 Board";#N/A,#N/A,FALSE,"M6 Board";#N/A,#N/A,FALSE,"M7";#N/A,#N/A,FALSE,"M7B";#N/A,#N/A,FALSE,"M8";#N/A,#N/A,FALSE,"M8A Board";#N/A,#N/A,FALSE,"AF1 Board"}</definedName>
    <definedName name="wrn.BPLAN." localSheetId="10" hidden="1">{"contents",#N/A,FALSE,"Contents";"Linkages",#N/A,FALSE,"Linkages";"report",#N/A,FALSE,"Report";"Tables",#N/A,FALSE,"Landscape";"returns",#N/A,FALSE,"Annual Data";"annual_data",#N/A,FALSE,"Annual Data";"ratios",#N/A,FALSE,"Key Ratios";"balancesheet",#N/A,FALSE,"Balance Sheet";"insto_returns",#N/A,FALSE,"Insto Returns";"project_returns",#N/A,FALSE,"Project Returns";"title",#N/A,FALSE,"Contents"}</definedName>
    <definedName name="wrn.BPLAN." localSheetId="9" hidden="1">{"contents",#N/A,FALSE,"Contents";"Linkages",#N/A,FALSE,"Linkages";"report",#N/A,FALSE,"Report";"Tables",#N/A,FALSE,"Landscape";"returns",#N/A,FALSE,"Annual Data";"annual_data",#N/A,FALSE,"Annual Data";"ratios",#N/A,FALSE,"Key Ratios";"balancesheet",#N/A,FALSE,"Balance Sheet";"insto_returns",#N/A,FALSE,"Insto Returns";"project_returns",#N/A,FALSE,"Project Returns";"title",#N/A,FALSE,"Contents"}</definedName>
    <definedName name="wrn.BPLAN." hidden="1">{"contents",#N/A,FALSE,"Contents";"Linkages",#N/A,FALSE,"Linkages";"report",#N/A,FALSE,"Report";"Tables",#N/A,FALSE,"Landscape";"returns",#N/A,FALSE,"Annual Data";"annual_data",#N/A,FALSE,"Annual Data";"ratios",#N/A,FALSE,"Key Ratios";"balancesheet",#N/A,FALSE,"Balance Sheet";"insto_returns",#N/A,FALSE,"Insto Returns";"project_returns",#N/A,FALSE,"Project Returns";"title",#N/A,FALSE,"Contents"}</definedName>
    <definedName name="wrn.BS_ALL." localSheetId="10" hidden="1">{"BS","id_9000",FALSE,"BS";"BS","id_7007",FALSE,"BS"}</definedName>
    <definedName name="wrn.BS_ALL." localSheetId="9" hidden="1">{"BS","id_9000",FALSE,"BS";"BS","id_7007",FALSE,"BS"}</definedName>
    <definedName name="wrn.BS_ALL." hidden="1">{"BS","id_9000",FALSE,"BS";"BS","id_7007",FALSE,"BS"}</definedName>
    <definedName name="wrn.BS_ALL._1" localSheetId="10" hidden="1">{"BS","id_9000",FALSE,"BS";"BS","id_7007",FALSE,"BS"}</definedName>
    <definedName name="wrn.BS_ALL._1" localSheetId="9" hidden="1">{"BS","id_9000",FALSE,"BS";"BS","id_7007",FALSE,"BS"}</definedName>
    <definedName name="wrn.BS_ALL._1" hidden="1">{"BS","id_9000",FALSE,"BS";"BS","id_7007",FALSE,"BS"}</definedName>
    <definedName name="wrn.BUDGET." localSheetId="10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Services";#N/A,#N/A,FALSE,"Administration";#N/A,#N/A,FALSE,"Legal";#N/A,#N/A,FALSE,"Corporate";#N/A,#N/A,FALSE,"Rensselaer";#N/A,#N/A,FALSE,"Plug-Tarrytown"}</definedName>
    <definedName name="wrn.BUDGET." localSheetId="9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Services";#N/A,#N/A,FALSE,"Administration";#N/A,#N/A,FALSE,"Legal";#N/A,#N/A,FALSE,"Corporate";#N/A,#N/A,FALSE,"Rensselaer";#N/A,#N/A,FALSE,"Plug-Tarrytown"}</definedName>
    <definedName name="wrn.BUDGET.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Services";#N/A,#N/A,FALSE,"Administration";#N/A,#N/A,FALSE,"Legal";#N/A,#N/A,FALSE,"Corporate";#N/A,#N/A,FALSE,"Rensselaer";#N/A,#N/A,FALSE,"Plug-Tarrytown"}</definedName>
    <definedName name="wrn.budgetb." localSheetId="10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Services";#N/A,#N/A,FALSE,"Administration";#N/A,#N/A,FALSE,"Legal";#N/A,#N/A,FALSE,"Rensselaer";#N/A,#N/A,FALSE,"Corporate";#N/A,#N/A,FALSE,"Plug-Tarrytown";#N/A,#N/A,FALSE,"Plug-Rensselaer"}</definedName>
    <definedName name="wrn.budgetb." localSheetId="9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Services";#N/A,#N/A,FALSE,"Administration";#N/A,#N/A,FALSE,"Legal";#N/A,#N/A,FALSE,"Rensselaer";#N/A,#N/A,FALSE,"Corporate";#N/A,#N/A,FALSE,"Plug-Tarrytown";#N/A,#N/A,FALSE,"Plug-Rensselaer"}</definedName>
    <definedName name="wrn.budgetb.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Services";#N/A,#N/A,FALSE,"Administration";#N/A,#N/A,FALSE,"Legal";#N/A,#N/A,FALSE,"Rensselaer";#N/A,#N/A,FALSE,"Corporate";#N/A,#N/A,FALSE,"Plug-Tarrytown";#N/A,#N/A,FALSE,"Plug-Rensselaer"}</definedName>
    <definedName name="wrn.BV._.Matrix." localSheetId="10" hidden="1">{"BV Multple Matrix","Aquarius 0 Change IBES",FALSE,"A";"BV Multple Matrix","Aquarius 5 Discount",FALSE,"A";"BV Multple Matrix","Aquarius 10 Discount",FALSE,"A";"BV Multple Matrix","Aquarius 5 Increase",FALSE,"A";"BV Multple Matrix","Aquarius 10 Increase",FALSE,"A";"BV Multple Matrix","Aries No IBES Change",FALSE,"A";"BV Multple Matrix","Aries 5 Discount",FALSE,"A";"BV Multple Matrix","Aries 10 Discount",FALSE,"A";"BV Multple Matrix","Aries 5 Premium",FALSE,"A";"BV Multple Matrix","Aries 10 Premium",FALSE,"A"}</definedName>
    <definedName name="wrn.BV._.Matrix." localSheetId="9" hidden="1">{"BV Multple Matrix","Aquarius 0 Change IBES",FALSE,"A";"BV Multple Matrix","Aquarius 5 Discount",FALSE,"A";"BV Multple Matrix","Aquarius 10 Discount",FALSE,"A";"BV Multple Matrix","Aquarius 5 Increase",FALSE,"A";"BV Multple Matrix","Aquarius 10 Increase",FALSE,"A";"BV Multple Matrix","Aries No IBES Change",FALSE,"A";"BV Multple Matrix","Aries 5 Discount",FALSE,"A";"BV Multple Matrix","Aries 10 Discount",FALSE,"A";"BV Multple Matrix","Aries 5 Premium",FALSE,"A";"BV Multple Matrix","Aries 10 Premium",FALSE,"A"}</definedName>
    <definedName name="wrn.BV._.Matrix." hidden="1">{"BV Multple Matrix","Aquarius 0 Change IBES",FALSE,"A";"BV Multple Matrix","Aquarius 5 Discount",FALSE,"A";"BV Multple Matrix","Aquarius 10 Discount",FALSE,"A";"BV Multple Matrix","Aquarius 5 Increase",FALSE,"A";"BV Multple Matrix","Aquarius 10 Increase",FALSE,"A";"BV Multple Matrix","Aries No IBES Change",FALSE,"A";"BV Multple Matrix","Aries 5 Discount",FALSE,"A";"BV Multple Matrix","Aries 10 Discount",FALSE,"A";"BV Multple Matrix","Aries 5 Premium",FALSE,"A";"BV Multple Matrix","Aries 10 Premium",FALSE,"A"}</definedName>
    <definedName name="wrn.BV._.Matrix._1" localSheetId="10" hidden="1">{"BV Multple Matrix","Aquarius 0 Change IBES",FALSE,"A";"BV Multple Matrix","Aquarius 5 Discount",FALSE,"A";"BV Multple Matrix","Aquarius 10 Discount",FALSE,"A";"BV Multple Matrix","Aquarius 5 Increase",FALSE,"A";"BV Multple Matrix","Aquarius 10 Increase",FALSE,"A";"BV Multple Matrix","Aries No IBES Change",FALSE,"A";"BV Multple Matrix","Aries 5 Discount",FALSE,"A";"BV Multple Matrix","Aries 10 Discount",FALSE,"A";"BV Multple Matrix","Aries 5 Premium",FALSE,"A";"BV Multple Matrix","Aries 10 Premium",FALSE,"A"}</definedName>
    <definedName name="wrn.BV._.Matrix._1" localSheetId="9" hidden="1">{"BV Multple Matrix","Aquarius 0 Change IBES",FALSE,"A";"BV Multple Matrix","Aquarius 5 Discount",FALSE,"A";"BV Multple Matrix","Aquarius 10 Discount",FALSE,"A";"BV Multple Matrix","Aquarius 5 Increase",FALSE,"A";"BV Multple Matrix","Aquarius 10 Increase",FALSE,"A";"BV Multple Matrix","Aries No IBES Change",FALSE,"A";"BV Multple Matrix","Aries 5 Discount",FALSE,"A";"BV Multple Matrix","Aries 10 Discount",FALSE,"A";"BV Multple Matrix","Aries 5 Premium",FALSE,"A";"BV Multple Matrix","Aries 10 Premium",FALSE,"A"}</definedName>
    <definedName name="wrn.BV._.Matrix._1" hidden="1">{"BV Multple Matrix","Aquarius 0 Change IBES",FALSE,"A";"BV Multple Matrix","Aquarius 5 Discount",FALSE,"A";"BV Multple Matrix","Aquarius 10 Discount",FALSE,"A";"BV Multple Matrix","Aquarius 5 Increase",FALSE,"A";"BV Multple Matrix","Aquarius 10 Increase",FALSE,"A";"BV Multple Matrix","Aries No IBES Change",FALSE,"A";"BV Multple Matrix","Aries 5 Discount",FALSE,"A";"BV Multple Matrix","Aries 10 Discount",FALSE,"A";"BV Multple Matrix","Aries 5 Premium",FALSE,"A";"BV Multple Matrix","Aries 10 Premium",FALSE,"A"}</definedName>
    <definedName name="wrn.Cardiovasculars." localSheetId="10" hidden="1">{#N/A,#N/A,FALSE,"Card";#N/A,#N/A,FALSE,"Prav";#N/A,#N/A,FALSE,"Irbe";#N/A,#N/A,FALSE,"Plavix";#N/A,#N/A,FALSE,"Capt";#N/A,#N/A,FALSE,"Fosi"}</definedName>
    <definedName name="wrn.Cardiovasculars." localSheetId="9" hidden="1">{#N/A,#N/A,FALSE,"Card";#N/A,#N/A,FALSE,"Prav";#N/A,#N/A,FALSE,"Irbe";#N/A,#N/A,FALSE,"Plavix";#N/A,#N/A,FALSE,"Capt";#N/A,#N/A,FALSE,"Fosi"}</definedName>
    <definedName name="wrn.Cardiovasculars." hidden="1">{#N/A,#N/A,FALSE,"Card";#N/A,#N/A,FALSE,"Prav";#N/A,#N/A,FALSE,"Irbe";#N/A,#N/A,FALSE,"Plavix";#N/A,#N/A,FALSE,"Capt";#N/A,#N/A,FALSE,"Fosi"}</definedName>
    <definedName name="wrn.Cash._.Flow." localSheetId="10" hidden="1">{"Cash Flow",#N/A,FALSE,"Cash Flow"}</definedName>
    <definedName name="wrn.Cash._.Flow." localSheetId="9" hidden="1">{"Cash Flow",#N/A,FALSE,"Cash Flow"}</definedName>
    <definedName name="wrn.Cash._.Flow." hidden="1">{"Cash Flow",#N/A,FALSE,"Cash Flow"}</definedName>
    <definedName name="wrn.Cashflow." localSheetId="10" hidden="1">{"cashflow",#N/A,FALSE,"cash flow"}</definedName>
    <definedName name="wrn.Cashflow." localSheetId="9" hidden="1">{"cashflow",#N/A,FALSE,"cash flow"}</definedName>
    <definedName name="wrn.Cashflow." hidden="1">{"cashflow",#N/A,FALSE,"cash flow"}</definedName>
    <definedName name="wrn.Central._.Nervous._.System." localSheetId="10" hidden="1">{#N/A,#N/A,FALSE,"CNS";#N/A,#N/A,FALSE,"Serz";#N/A,#N/A,FALSE,"Ace"}</definedName>
    <definedName name="wrn.Central._.Nervous._.System." localSheetId="9" hidden="1">{#N/A,#N/A,FALSE,"CNS";#N/A,#N/A,FALSE,"Serz";#N/A,#N/A,FALSE,"Ace"}</definedName>
    <definedName name="wrn.Central._.Nervous._.System." hidden="1">{#N/A,#N/A,FALSE,"CNS";#N/A,#N/A,FALSE,"Serz";#N/A,#N/A,FALSE,"Ace"}</definedName>
    <definedName name="wrn.Chris._.Beard." localSheetId="10" hidden="1">{#N/A,#N/A,TRUE,"Chris Beard";#N/A,#N/A,TRUE,"P&amp;L - Regent Street";#N/A,#N/A,TRUE,"P&amp;L - Covent Garden";#N/A,#N/A,TRUE,"P&amp;L - Seven Dials"}</definedName>
    <definedName name="wrn.Chris._.Beard." localSheetId="9" hidden="1">{#N/A,#N/A,TRUE,"Chris Beard";#N/A,#N/A,TRUE,"P&amp;L - Regent Street";#N/A,#N/A,TRUE,"P&amp;L - Covent Garden";#N/A,#N/A,TRUE,"P&amp;L - Seven Dials"}</definedName>
    <definedName name="wrn.Chris._.Beard." hidden="1">{#N/A,#N/A,TRUE,"Chris Beard";#N/A,#N/A,TRUE,"P&amp;L - Regent Street";#N/A,#N/A,TRUE,"P&amp;L - Covent Garden";#N/A,#N/A,TRUE,"P&amp;L - Seven Dials"}</definedName>
    <definedName name="wrn.chx." localSheetId="10" hidden="1">{#N/A,#N/A,FALSE,"commercial appraisal";#N/A,#N/A,FALSE,"P&amp;L";#N/A,#N/A,FALSE,"Advert";#N/A,#N/A,FALSE,"Geography";#N/A,#N/A,FALSE,"East Cont statement";#N/A,#N/A,FALSE,"South Cont Statement";#N/A,#N/A,FALSE,"Consolidated Cont Statement"}</definedName>
    <definedName name="wrn.chx." localSheetId="9" hidden="1">{#N/A,#N/A,FALSE,"commercial appraisal";#N/A,#N/A,FALSE,"P&amp;L";#N/A,#N/A,FALSE,"Advert";#N/A,#N/A,FALSE,"Geography";#N/A,#N/A,FALSE,"East Cont statement";#N/A,#N/A,FALSE,"South Cont Statement";#N/A,#N/A,FALSE,"Consolidated Cont Statement"}</definedName>
    <definedName name="wrn.chx." hidden="1">{#N/A,#N/A,FALSE,"commercial appraisal";#N/A,#N/A,FALSE,"P&amp;L";#N/A,#N/A,FALSE,"Advert";#N/A,#N/A,FALSE,"Geography";#N/A,#N/A,FALSE,"East Cont statement";#N/A,#N/A,FALSE,"South Cont Statement";#N/A,#N/A,FALSE,"Consolidated Cont Statement"}</definedName>
    <definedName name="wrn.chx._1" localSheetId="10" hidden="1">{#N/A,#N/A,FALSE,"commercial appraisal";#N/A,#N/A,FALSE,"P&amp;L";#N/A,#N/A,FALSE,"Advert";#N/A,#N/A,FALSE,"Geography";#N/A,#N/A,FALSE,"East Cont statement";#N/A,#N/A,FALSE,"South Cont Statement";#N/A,#N/A,FALSE,"Consolidated Cont Statement"}</definedName>
    <definedName name="wrn.chx._1" localSheetId="9" hidden="1">{#N/A,#N/A,FALSE,"commercial appraisal";#N/A,#N/A,FALSE,"P&amp;L";#N/A,#N/A,FALSE,"Advert";#N/A,#N/A,FALSE,"Geography";#N/A,#N/A,FALSE,"East Cont statement";#N/A,#N/A,FALSE,"South Cont Statement";#N/A,#N/A,FALSE,"Consolidated Cont Statement"}</definedName>
    <definedName name="wrn.chx._1" hidden="1">{#N/A,#N/A,FALSE,"commercial appraisal";#N/A,#N/A,FALSE,"P&amp;L";#N/A,#N/A,FALSE,"Advert";#N/A,#N/A,FALSE,"Geography";#N/A,#N/A,FALSE,"East Cont statement";#N/A,#N/A,FALSE,"South Cont Statement";#N/A,#N/A,FALSE,"Consolidated Cont Statement"}</definedName>
    <definedName name="wrn.Clairwyn._.Richardson." localSheetId="10" hidden="1">{#N/A,#N/A,TRUE,"Clairwyn Richardson";#N/A,#N/A,TRUE,"P&amp;L - Harrogate";#N/A,#N/A,TRUE,"P&amp;L - York";#N/A,#N/A,TRUE,"P&amp;L - Leeds";#N/A,#N/A,TRUE,"P&amp;L - Manchester";#N/A,#N/A,TRUE,"P&amp;L - Deansgate";#N/A,#N/A,TRUE,"P&amp;L - Durham";#N/A,#N/A,TRUE,"P&amp;L - Nottingham";#N/A,#N/A,TRUE,"P&amp;L - The Triangle"}</definedName>
    <definedName name="wrn.Clairwyn._.Richardson." localSheetId="9" hidden="1">{#N/A,#N/A,TRUE,"Clairwyn Richardson";#N/A,#N/A,TRUE,"P&amp;L - Harrogate";#N/A,#N/A,TRUE,"P&amp;L - York";#N/A,#N/A,TRUE,"P&amp;L - Leeds";#N/A,#N/A,TRUE,"P&amp;L - Manchester";#N/A,#N/A,TRUE,"P&amp;L - Deansgate";#N/A,#N/A,TRUE,"P&amp;L - Durham";#N/A,#N/A,TRUE,"P&amp;L - Nottingham";#N/A,#N/A,TRUE,"P&amp;L - The Triangle"}</definedName>
    <definedName name="wrn.Clairwyn._.Richardson." hidden="1">{#N/A,#N/A,TRUE,"Clairwyn Richardson";#N/A,#N/A,TRUE,"P&amp;L - Harrogate";#N/A,#N/A,TRUE,"P&amp;L - York";#N/A,#N/A,TRUE,"P&amp;L - Leeds";#N/A,#N/A,TRUE,"P&amp;L - Manchester";#N/A,#N/A,TRUE,"P&amp;L - Deansgate";#N/A,#N/A,TRUE,"P&amp;L - Durham";#N/A,#N/A,TRUE,"P&amp;L - Nottingham";#N/A,#N/A,TRUE,"P&amp;L - The Triangle"}</definedName>
    <definedName name="wrn.Client._.cfbs." localSheetId="10" hidden="1">{"client cfbs",#N/A,FALSE,"Client"}</definedName>
    <definedName name="wrn.Client._.cfbs." localSheetId="9" hidden="1">{"client cfbs",#N/A,FALSE,"Client"}</definedName>
    <definedName name="wrn.Client._.cfbs." hidden="1">{"client cfbs",#N/A,FALSE,"Client"}</definedName>
    <definedName name="wrn.Client._.is." localSheetId="10" hidden="1">{"Client is",#N/A,FALSE,"Client"}</definedName>
    <definedName name="wrn.Client._.is." localSheetId="9" hidden="1">{"Client is",#N/A,FALSE,"Client"}</definedName>
    <definedName name="wrn.Client._.is." hidden="1">{"Client is",#N/A,FALSE,"Client"}</definedName>
    <definedName name="wrn.Client._.stats." localSheetId="10" hidden="1">{"Client stats",#N/A,FALSE,"Client"}</definedName>
    <definedName name="wrn.Client._.stats." localSheetId="9" hidden="1">{"Client stats",#N/A,FALSE,"Client"}</definedName>
    <definedName name="wrn.Client._.stats." hidden="1">{"Client stats",#N/A,FALSE,"Client"}</definedName>
    <definedName name="wrn.CMI._.Actuals." localSheetId="10" hidden="1">{"CMI ACT Cover Page",#N/A,FALSE,"Cover Page";"CMI Leadsheet",#N/A,FALSE,"Cover Page";"CMI ACT G&amp;A",#N/A,FALSE,"Cover Page"}</definedName>
    <definedName name="wrn.CMI._.Actuals." localSheetId="9" hidden="1">{"CMI ACT Cover Page",#N/A,FALSE,"Cover Page";"CMI Leadsheet",#N/A,FALSE,"Cover Page";"CMI ACT G&amp;A",#N/A,FALSE,"Cover Page"}</definedName>
    <definedName name="wrn.CMI._.Actuals." hidden="1">{"CMI ACT Cover Page",#N/A,FALSE,"Cover Page";"CMI Leadsheet",#N/A,FALSE,"Cover Page";"CMI ACT G&amp;A",#N/A,FALSE,"Cover Page"}</definedName>
    <definedName name="wrn.CMI._.FCST." localSheetId="10" hidden="1">{"CMI FCST Cover Page",#N/A,FALSE,"Cover Page";"CMI FCST rev by month",#N/A,FALSE,"Cover Page";"CMI Budget rev by month",#N/A,FALSE,"Cover Page";"CMI FCST vs Budget rev by month",#N/A,FALSE,"Cover Page";"CMI FCST G&amp;A",#N/A,FALSE,"Cover Page"}</definedName>
    <definedName name="wrn.CMI._.FCST." localSheetId="9" hidden="1">{"CMI FCST Cover Page",#N/A,FALSE,"Cover Page";"CMI FCST rev by month",#N/A,FALSE,"Cover Page";"CMI Budget rev by month",#N/A,FALSE,"Cover Page";"CMI FCST vs Budget rev by month",#N/A,FALSE,"Cover Page";"CMI FCST G&amp;A",#N/A,FALSE,"Cover Page"}</definedName>
    <definedName name="wrn.CMI._.FCST." hidden="1">{"CMI FCST Cover Page",#N/A,FALSE,"Cover Page";"CMI FCST rev by month",#N/A,FALSE,"Cover Page";"CMI Budget rev by month",#N/A,FALSE,"Cover Page";"CMI FCST vs Budget rev by month",#N/A,FALSE,"Cover Page";"CMI FCST G&amp;A",#N/A,FALSE,"Cover Page"}</definedName>
    <definedName name="wrn.COMBINED." localSheetId="10" hidden="1">{#N/A,#N/A,FALSE,"INPUTS";#N/A,#N/A,FALSE,"PROFORMA BSHEET";#N/A,#N/A,FALSE,"COMBINED";#N/A,#N/A,FALSE,"HIGH YIELD";#N/A,#N/A,FALSE,"COMB_GRAPHS"}</definedName>
    <definedName name="wrn.COMBINED." localSheetId="9" hidden="1">{#N/A,#N/A,FALSE,"INPUTS";#N/A,#N/A,FALSE,"PROFORMA BSHEET";#N/A,#N/A,FALSE,"COMBINED";#N/A,#N/A,FALSE,"HIGH YIELD";#N/A,#N/A,FALSE,"COMB_GRAPHS"}</definedName>
    <definedName name="wrn.COMBINED." hidden="1">{#N/A,#N/A,FALSE,"INPUTS";#N/A,#N/A,FALSE,"PROFORMA BSHEET";#N/A,#N/A,FALSE,"COMBINED";#N/A,#N/A,FALSE,"HIGH YIELD";#N/A,#N/A,FALSE,"COMB_GRAPHS"}</definedName>
    <definedName name="wrn.compco." localSheetId="10" hidden="1">{"mult96",#N/A,FALSE,"PETCOMP";"est96",#N/A,FALSE,"PETCOMP";"mult95",#N/A,FALSE,"PETCOMP";"est95",#N/A,FALSE,"PETCOMP";"multltm",#N/A,FALSE,"PETCOMP";"resultltm",#N/A,FALSE,"PETCOMP"}</definedName>
    <definedName name="wrn.compco." localSheetId="9" hidden="1">{"mult96",#N/A,FALSE,"PETCOMP";"est96",#N/A,FALSE,"PETCOMP";"mult95",#N/A,FALSE,"PETCOMP";"est95",#N/A,FALSE,"PETCOMP";"multltm",#N/A,FALSE,"PETCOMP";"resultltm",#N/A,FALSE,"PETCOMP"}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lete." localSheetId="10" hidden="1">{"sales",#N/A,FALSE,"MYL96Q3";"growth",#N/A,FALSE,"MYL96Q3";"income statement",#N/A,FALSE,"MYL96Q3";"cash flow",#N/A,FALSE,"MYL96Q3";"balance sheet",#N/A,FALSE,"MYL96Q3"}</definedName>
    <definedName name="wrn.complete." localSheetId="9" hidden="1">{"sales",#N/A,FALSE,"MYL96Q3";"growth",#N/A,FALSE,"MYL96Q3";"income statement",#N/A,FALSE,"MYL96Q3";"cash flow",#N/A,FALSE,"MYL96Q3";"balance sheet",#N/A,FALSE,"MYL96Q3"}</definedName>
    <definedName name="wrn.complete." hidden="1">{"sales",#N/A,FALSE,"MYL96Q3";"growth",#N/A,FALSE,"MYL96Q3";"income statement",#N/A,FALSE,"MYL96Q3";"cash flow",#N/A,FALSE,"MYL96Q3";"balance sheet",#N/A,FALSE,"MYL96Q3"}</definedName>
    <definedName name="wrn.Complete._.Report." localSheetId="1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" localSheetId="9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localSheetId="1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localSheetId="9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Tor" localSheetId="10" hidden="1">{#N/A,#N/A,TRUE,"DCF Summary";#N/A,#N/A,TRUE,"Casema";#N/A,#N/A,TRUE,"UK";#N/A,#N/A,TRUE,"RCF";#N/A,#N/A,TRUE,"Intercable CZ";#N/A,#N/A,TRUE,"Interkabel P";#N/A,#N/A,TRUE,"LBO-Total";#N/A,#N/A,TRUE,"LBO-Casema"}</definedName>
    <definedName name="wrn.CompleteTor" localSheetId="9" hidden="1">{#N/A,#N/A,TRUE,"DCF Summary";#N/A,#N/A,TRUE,"Casema";#N/A,#N/A,TRUE,"UK";#N/A,#N/A,TRUE,"RCF";#N/A,#N/A,TRUE,"Intercable CZ";#N/A,#N/A,TRUE,"Interkabel P";#N/A,#N/A,TRUE,"LBO-Total";#N/A,#N/A,TRUE,"LBO-Casema"}</definedName>
    <definedName name="wrn.CompleteTor" hidden="1">{#N/A,#N/A,TRUE,"DCF Summary";#N/A,#N/A,TRUE,"Casema";#N/A,#N/A,TRUE,"UK";#N/A,#N/A,TRUE,"RCF";#N/A,#N/A,TRUE,"Intercable CZ";#N/A,#N/A,TRUE,"Interkabel P";#N/A,#N/A,TRUE,"LBO-Total";#N/A,#N/A,TRUE,"LBO-Casema"}</definedName>
    <definedName name="wrn.conso." localSheetId="10" hidden="1">{"conso",#N/A,FALSE,"cash flow"}</definedName>
    <definedName name="wrn.conso." localSheetId="9" hidden="1">{"conso",#N/A,FALSE,"cash flow"}</definedName>
    <definedName name="wrn.conso." hidden="1">{"conso",#N/A,FALSE,"cash flow"}</definedName>
    <definedName name="wrn.Consolidated._.Only." localSheetId="10" hidden="1">{#N/A,#N/A,TRUE,"summary";#N/A,#N/A,TRUE,"model"}</definedName>
    <definedName name="wrn.Consolidated._.Only." localSheetId="9" hidden="1">{#N/A,#N/A,TRUE,"summary";#N/A,#N/A,TRUE,"model"}</definedName>
    <definedName name="wrn.Consolidated._.Only." hidden="1">{#N/A,#N/A,TRUE,"summary";#N/A,#N/A,TRUE,"model"}</definedName>
    <definedName name="wrn.Consolidated._.Statements." localSheetId="10" hidden="1">{"view1",#N/A,FALSE,"EARN (US$)";"view1",#N/A,FALSE,"DASTBS (US$)";"view1",#N/A,FALSE,"DASTCF (US$)"}</definedName>
    <definedName name="wrn.Consolidated._.Statements." localSheetId="9" hidden="1">{"view1",#N/A,FALSE,"EARN (US$)";"view1",#N/A,FALSE,"DASTBS (US$)";"view1",#N/A,FALSE,"DASTCF (US$)"}</definedName>
    <definedName name="wrn.Consolidated._.Statements." hidden="1">{"view1",#N/A,FALSE,"EARN (US$)";"view1",#N/A,FALSE,"DASTBS (US$)";"view1",#N/A,FALSE,"DASTCF (US$)"}</definedName>
    <definedName name="wrn.CONSOLIDATION" localSheetId="10" hidden="1">{"SUMMARY",#N/A,FALSE,"SUMMARY";"CONSOLIDATION",#N/A,FALSE,"CONSOLIDATION"}</definedName>
    <definedName name="wrn.CONSOLIDATION" localSheetId="9" hidden="1">{"SUMMARY",#N/A,FALSE,"SUMMARY";"CONSOLIDATION",#N/A,FALSE,"CONSOLIDATION"}</definedName>
    <definedName name="wrn.CONSOLIDATION" hidden="1">{"SUMMARY",#N/A,FALSE,"SUMMARY";"CONSOLIDATION",#N/A,FALSE,"CONSOLIDATION"}</definedName>
    <definedName name="wrn.CONSOLIDATION." localSheetId="10" hidden="1">{"SUMMARY",#N/A,FALSE,"SUMMARY";"CONSOLIDATION",#N/A,FALSE,"CONSOLIDATION"}</definedName>
    <definedName name="wrn.CONSOLIDATION." localSheetId="9" hidden="1">{"SUMMARY",#N/A,FALSE,"SUMMARY";"CONSOLIDATION",#N/A,FALSE,"CONSOLIDATION"}</definedName>
    <definedName name="wrn.CONSOLIDATION." hidden="1">{"SUMMARY",#N/A,FALSE,"SUMMARY";"CONSOLIDATION",#N/A,FALSE,"CONSOLIDATION"}</definedName>
    <definedName name="wrn.CONSOLIDATION._1" localSheetId="10" hidden="1">{"SUMMARY",#N/A,FALSE,"SUMMARY";"CONSOLIDATION",#N/A,FALSE,"CONSOLIDATION"}</definedName>
    <definedName name="wrn.CONSOLIDATION._1" localSheetId="9" hidden="1">{"SUMMARY",#N/A,FALSE,"SUMMARY";"CONSOLIDATION",#N/A,FALSE,"CONSOLIDATION"}</definedName>
    <definedName name="wrn.CONSOLIDATION._1" hidden="1">{"SUMMARY",#N/A,FALSE,"SUMMARY";"CONSOLIDATION",#N/A,FALSE,"CONSOLIDATION"}</definedName>
    <definedName name="wrn.CONSOLIDATION_1" localSheetId="10" hidden="1">{"SUMMARY",#N/A,FALSE,"SUMMARY";"CONSOLIDATION",#N/A,FALSE,"CONSOLIDATION"}</definedName>
    <definedName name="wrn.CONSOLIDATION_1" localSheetId="9" hidden="1">{"SUMMARY",#N/A,FALSE,"SUMMARY";"CONSOLIDATION",#N/A,FALSE,"CONSOLIDATION"}</definedName>
    <definedName name="wrn.CONSOLIDATION_1" hidden="1">{"SUMMARY",#N/A,FALSE,"SUMMARY";"CONSOLIDATION",#N/A,FALSE,"CONSOLIDATION"}</definedName>
    <definedName name="wrn.Consumer._.Medicines." localSheetId="10" hidden="1">{#N/A,#N/A,FALSE,"OTC";#N/A,#N/A,FALSE,"Ther";#N/A,#N/A,FALSE,"Temp";#N/A,#N/A,FALSE,"Exce";#N/A,#N/A,FALSE,"Buff";#N/A,#N/A,FALSE,"Picot";#N/A,#N/A,FALSE,"Luftal";#N/A,#N/A,FALSE,"Comt"}</definedName>
    <definedName name="wrn.Consumer._.Medicines." localSheetId="9" hidden="1">{#N/A,#N/A,FALSE,"OTC";#N/A,#N/A,FALSE,"Ther";#N/A,#N/A,FALSE,"Temp";#N/A,#N/A,FALSE,"Exce";#N/A,#N/A,FALSE,"Buff";#N/A,#N/A,FALSE,"Picot";#N/A,#N/A,FALSE,"Luftal";#N/A,#N/A,FALSE,"Comt"}</definedName>
    <definedName name="wrn.Consumer._.Medicines." hidden="1">{#N/A,#N/A,FALSE,"OTC";#N/A,#N/A,FALSE,"Ther";#N/A,#N/A,FALSE,"Temp";#N/A,#N/A,FALSE,"Exce";#N/A,#N/A,FALSE,"Buff";#N/A,#N/A,FALSE,"Picot";#N/A,#N/A,FALSE,"Luftal";#N/A,#N/A,FALSE,"Comt"}</definedName>
    <definedName name="wrn.contribution." localSheetId="10" hidden="1">{#N/A,#N/A,FALSE,"Contribution Analysis"}</definedName>
    <definedName name="wrn.contribution." localSheetId="9" hidden="1">{#N/A,#N/A,FALSE,"Contribution Analysis"}</definedName>
    <definedName name="wrn.contribution." hidden="1">{#N/A,#N/A,FALSE,"Contribution Analysis"}</definedName>
    <definedName name="wrn.Controllers._.Daily." localSheetId="10" hidden="1">{#N/A,#N/A,TRUE,"Check Sheet";#N/A,#N/A,TRUE,"IBD";#N/A,#N/A,TRUE,"ADJ";#N/A,#N/A,TRUE,"current intrafid";#N/A,#N/A,TRUE,"current daily"}</definedName>
    <definedName name="wrn.Controllers._.Daily." localSheetId="9" hidden="1">{#N/A,#N/A,TRUE,"Check Sheet";#N/A,#N/A,TRUE,"IBD";#N/A,#N/A,TRUE,"ADJ";#N/A,#N/A,TRUE,"current intrafid";#N/A,#N/A,TRUE,"current daily"}</definedName>
    <definedName name="wrn.Controllers._.Daily." hidden="1">{#N/A,#N/A,TRUE,"Check Sheet";#N/A,#N/A,TRUE,"IBD";#N/A,#N/A,TRUE,"ADJ";#N/A,#N/A,TRUE,"current intrafid";#N/A,#N/A,TRUE,"current daily"}</definedName>
    <definedName name="wrn.Controllers._.Monthly." localSheetId="10" hidden="1">{#N/A,#N/A,FALSE,"Check Sheet";#N/A,#N/A,FALSE,"Irddaily";#N/A,#N/A,FALSE,"IBD";#N/A,#N/A,FALSE,"Sctdaily";#N/A,#N/A,FALSE,"Distribution Alloc";#N/A,#N/A,FALSE,"Distribution P&amp;L";#N/A,#N/A,FALSE,"SCT FID ALLOC";#N/A,#N/A,FALSE,"SCT P&amp;L";#N/A,#N/A,FALSE,"LTD";#N/A,#N/A,FALSE,"CPG";#N/A,#N/A,FALSE,"current daily";#N/A,#N/A,FALSE,"ADJ";#N/A,#N/A,FALSE,"current intrafid";#N/A,#N/A,FALSE,"GHY-CBO Alloc";#N/A,#N/A,FALSE,"WEEK";#N/A,#N/A,FALSE,"MONTH";#N/A,#N/A,FALSE,"YEAR"}</definedName>
    <definedName name="wrn.Controllers._.Monthly." localSheetId="9" hidden="1">{#N/A,#N/A,FALSE,"Check Sheet";#N/A,#N/A,FALSE,"Irddaily";#N/A,#N/A,FALSE,"IBD";#N/A,#N/A,FALSE,"Sctdaily";#N/A,#N/A,FALSE,"Distribution Alloc";#N/A,#N/A,FALSE,"Distribution P&amp;L";#N/A,#N/A,FALSE,"SCT FID ALLOC";#N/A,#N/A,FALSE,"SCT P&amp;L";#N/A,#N/A,FALSE,"LTD";#N/A,#N/A,FALSE,"CPG";#N/A,#N/A,FALSE,"current daily";#N/A,#N/A,FALSE,"ADJ";#N/A,#N/A,FALSE,"current intrafid";#N/A,#N/A,FALSE,"GHY-CBO Alloc";#N/A,#N/A,FALSE,"WEEK";#N/A,#N/A,FALSE,"MONTH";#N/A,#N/A,FALSE,"YEAR"}</definedName>
    <definedName name="wrn.Controllers._.Monthly." hidden="1">{#N/A,#N/A,FALSE,"Check Sheet";#N/A,#N/A,FALSE,"Irddaily";#N/A,#N/A,FALSE,"IBD";#N/A,#N/A,FALSE,"Sctdaily";#N/A,#N/A,FALSE,"Distribution Alloc";#N/A,#N/A,FALSE,"Distribution P&amp;L";#N/A,#N/A,FALSE,"SCT FID ALLOC";#N/A,#N/A,FALSE,"SCT P&amp;L";#N/A,#N/A,FALSE,"LTD";#N/A,#N/A,FALSE,"CPG";#N/A,#N/A,FALSE,"current daily";#N/A,#N/A,FALSE,"ADJ";#N/A,#N/A,FALSE,"current intrafid";#N/A,#N/A,FALSE,"GHY-CBO Alloc";#N/A,#N/A,FALSE,"WEEK";#N/A,#N/A,FALSE,"MONTH";#N/A,#N/A,FALSE,"YEAR"}</definedName>
    <definedName name="wrn.CORE._.KINETICS." localSheetId="10" hidden="1">{"COREKINETICS",#N/A,FALSE,"CORE KINETICS"}</definedName>
    <definedName name="wrn.CORE._.KINETICS." localSheetId="9" hidden="1">{"COREKINETICS",#N/A,FALSE,"CORE KINETICS"}</definedName>
    <definedName name="wrn.CORE._.KINETICS." hidden="1">{"COREKINETICS",#N/A,FALSE,"CORE KINETICS"}</definedName>
    <definedName name="wrn.CORE._.KINETICS._1" localSheetId="10" hidden="1">{"COREKINETICS",#N/A,FALSE,"CORE KINETICS"}</definedName>
    <definedName name="wrn.CORE._.KINETICS._1" localSheetId="9" hidden="1">{"COREKINETICS",#N/A,FALSE,"CORE KINETICS"}</definedName>
    <definedName name="wrn.CORE._.KINETICS._1" hidden="1">{"COREKINETICS",#N/A,FALSE,"CORE KINETICS"}</definedName>
    <definedName name="wrn.CORR." localSheetId="10" hidden="1">{"INCSTMT1",#N/A,FALSE,"COR";"INCSTMT2",#N/A,FALSE,"COR"}</definedName>
    <definedName name="wrn.CORR." localSheetId="9" hidden="1">{"INCSTMT1",#N/A,FALSE,"COR";"INCSTMT2",#N/A,FALSE,"COR"}</definedName>
    <definedName name="wrn.CORR." hidden="1">{"INCSTMT1",#N/A,FALSE,"COR";"INCSTMT2",#N/A,FALSE,"COR"}</definedName>
    <definedName name="wrn.COSA._.FS._.국문." localSheetId="10" hidden="1">{#N/A,#N/A,FALSE,"BS";#N/A,#N/A,FALSE,"PL";#N/A,#N/A,FALSE,"처분";#N/A,#N/A,FALSE,"현금";#N/A,#N/A,FALSE,"매출";#N/A,#N/A,FALSE,"원가";#N/A,#N/A,FALSE,"경영"}</definedName>
    <definedName name="wrn.COSA._.FS._.국문." localSheetId="9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OSA._.FS._.국문._1" localSheetId="10" hidden="1">{#N/A,#N/A,FALSE,"BS";#N/A,#N/A,FALSE,"PL";#N/A,#N/A,FALSE,"처분";#N/A,#N/A,FALSE,"현금";#N/A,#N/A,FALSE,"매출";#N/A,#N/A,FALSE,"원가";#N/A,#N/A,FALSE,"경영"}</definedName>
    <definedName name="wrn.COSA._.FS._.국문._1" localSheetId="9" hidden="1">{#N/A,#N/A,FALSE,"BS";#N/A,#N/A,FALSE,"PL";#N/A,#N/A,FALSE,"처분";#N/A,#N/A,FALSE,"현금";#N/A,#N/A,FALSE,"매출";#N/A,#N/A,FALSE,"원가";#N/A,#N/A,FALSE,"경영"}</definedName>
    <definedName name="wrn.COSA._.FS._.국문._1" hidden="1">{#N/A,#N/A,FALSE,"BS";#N/A,#N/A,FALSE,"PL";#N/A,#N/A,FALSE,"처분";#N/A,#N/A,FALSE,"현금";#N/A,#N/A,FALSE,"매출";#N/A,#N/A,FALSE,"원가";#N/A,#N/A,FALSE,"경영"}</definedName>
    <definedName name="wrn.COSA94TAXRETURN." localSheetId="10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localSheetId="9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_1" localSheetId="10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_1" localSheetId="9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t._.Reduction." localSheetId="10" hidden="1">{"Cost Reduction",#N/A,FALSE,"Cost Reduction"}</definedName>
    <definedName name="wrn.Cost._.Reduction." localSheetId="9" hidden="1">{"Cost Reduction",#N/A,FALSE,"Cost Reduction"}</definedName>
    <definedName name="wrn.Cost._.Reduction." hidden="1">{"Cost Reduction",#N/A,FALSE,"Cost Reduction"}</definedName>
    <definedName name="wrn.Cover." localSheetId="1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localSheetId="9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redit._.Check._.for._.Year._.1997." localSheetId="10" hidden="1">{#N/A,#N/A,FALSE,"Sheet1"}</definedName>
    <definedName name="wrn.Credit._.Check._.for._.Year._.1997." localSheetId="9" hidden="1">{#N/A,#N/A,FALSE,"Sheet1"}</definedName>
    <definedName name="wrn.Credit._.Check._.for._.Year._.1997." hidden="1">{#N/A,#N/A,FALSE,"Sheet1"}</definedName>
    <definedName name="wrn.Credit._.Check._.for._.Year._.1997._1" localSheetId="10" hidden="1">{#N/A,#N/A,FALSE,"Sheet1"}</definedName>
    <definedName name="wrn.Credit._.Check._.for._.Year._.1997._1" localSheetId="9" hidden="1">{#N/A,#N/A,FALSE,"Sheet1"}</definedName>
    <definedName name="wrn.Credit._.Check._.for._.Year._.1997._1" hidden="1">{#N/A,#N/A,FALSE,"Sheet1"}</definedName>
    <definedName name="wrn.CS._.Flash._.Test." localSheetId="10" hidden="1">{#N/A,#N/A,FALSE,"Performance Flash Report"}</definedName>
    <definedName name="wrn.CS._.Flash._.Test." localSheetId="9" hidden="1">{#N/A,#N/A,FALSE,"Performance Flash Report"}</definedName>
    <definedName name="wrn.CS._.Flash._.Test." hidden="1">{#N/A,#N/A,FALSE,"Performance Flash Report"}</definedName>
    <definedName name="wrn.CS._.Flash._.Test._1" localSheetId="10" hidden="1">{#N/A,#N/A,FALSE,"Performance Flash Report"}</definedName>
    <definedName name="wrn.CS._.Flash._.Test._1" localSheetId="9" hidden="1">{#N/A,#N/A,FALSE,"Performance Flash Report"}</definedName>
    <definedName name="wrn.CS._.Flash._.Test._1" hidden="1">{#N/A,#N/A,FALSE,"Performance Flash Report"}</definedName>
    <definedName name="wrn.CS._.Flash._.Test._1_1" localSheetId="10" hidden="1">{#N/A,#N/A,FALSE,"Performance Flash Report"}</definedName>
    <definedName name="wrn.CS._.Flash._.Test._1_1" localSheetId="9" hidden="1">{#N/A,#N/A,FALSE,"Performance Flash Report"}</definedName>
    <definedName name="wrn.CS._.Flash._.Test._1_1" hidden="1">{#N/A,#N/A,FALSE,"Performance Flash Report"}</definedName>
    <definedName name="wrn.CS._.Flash._.Test._1_2" localSheetId="10" hidden="1">{#N/A,#N/A,FALSE,"Performance Flash Report"}</definedName>
    <definedName name="wrn.CS._.Flash._.Test._1_2" localSheetId="9" hidden="1">{#N/A,#N/A,FALSE,"Performance Flash Report"}</definedName>
    <definedName name="wrn.CS._.Flash._.Test._1_2" hidden="1">{#N/A,#N/A,FALSE,"Performance Flash Report"}</definedName>
    <definedName name="wrn.CS._.Flash._.Test._1_3" localSheetId="10" hidden="1">{#N/A,#N/A,FALSE,"Performance Flash Report"}</definedName>
    <definedName name="wrn.CS._.Flash._.Test._1_3" localSheetId="9" hidden="1">{#N/A,#N/A,FALSE,"Performance Flash Report"}</definedName>
    <definedName name="wrn.CS._.Flash._.Test._1_3" hidden="1">{#N/A,#N/A,FALSE,"Performance Flash Report"}</definedName>
    <definedName name="wrn.CS._.Flash._.Test._1_4" localSheetId="10" hidden="1">{#N/A,#N/A,FALSE,"Performance Flash Report"}</definedName>
    <definedName name="wrn.CS._.Flash._.Test._1_4" localSheetId="9" hidden="1">{#N/A,#N/A,FALSE,"Performance Flash Report"}</definedName>
    <definedName name="wrn.CS._.Flash._.Test._1_4" hidden="1">{#N/A,#N/A,FALSE,"Performance Flash Report"}</definedName>
    <definedName name="wrn.CS._.Flash._.Test._2" localSheetId="10" hidden="1">{#N/A,#N/A,FALSE,"Performance Flash Report"}</definedName>
    <definedName name="wrn.CS._.Flash._.Test._2" localSheetId="9" hidden="1">{#N/A,#N/A,FALSE,"Performance Flash Report"}</definedName>
    <definedName name="wrn.CS._.Flash._.Test._2" hidden="1">{#N/A,#N/A,FALSE,"Performance Flash Report"}</definedName>
    <definedName name="wrn.CS._.Flash._.Test._2_1" localSheetId="10" hidden="1">{#N/A,#N/A,FALSE,"Performance Flash Report"}</definedName>
    <definedName name="wrn.CS._.Flash._.Test._2_1" localSheetId="9" hidden="1">{#N/A,#N/A,FALSE,"Performance Flash Report"}</definedName>
    <definedName name="wrn.CS._.Flash._.Test._2_1" hidden="1">{#N/A,#N/A,FALSE,"Performance Flash Report"}</definedName>
    <definedName name="wrn.CS._.Flash._.Test._2_2" localSheetId="10" hidden="1">{#N/A,#N/A,FALSE,"Performance Flash Report"}</definedName>
    <definedName name="wrn.CS._.Flash._.Test._2_2" localSheetId="9" hidden="1">{#N/A,#N/A,FALSE,"Performance Flash Report"}</definedName>
    <definedName name="wrn.CS._.Flash._.Test._2_2" hidden="1">{#N/A,#N/A,FALSE,"Performance Flash Report"}</definedName>
    <definedName name="wrn.CS._.Flash._.Test._2_3" localSheetId="10" hidden="1">{#N/A,#N/A,FALSE,"Performance Flash Report"}</definedName>
    <definedName name="wrn.CS._.Flash._.Test._2_3" localSheetId="9" hidden="1">{#N/A,#N/A,FALSE,"Performance Flash Report"}</definedName>
    <definedName name="wrn.CS._.Flash._.Test._2_3" hidden="1">{#N/A,#N/A,FALSE,"Performance Flash Report"}</definedName>
    <definedName name="wrn.CS._.Flash._.Test._2_4" localSheetId="10" hidden="1">{#N/A,#N/A,FALSE,"Performance Flash Report"}</definedName>
    <definedName name="wrn.CS._.Flash._.Test._2_4" localSheetId="9" hidden="1">{#N/A,#N/A,FALSE,"Performance Flash Report"}</definedName>
    <definedName name="wrn.CS._.Flash._.Test._2_4" hidden="1">{#N/A,#N/A,FALSE,"Performance Flash Report"}</definedName>
    <definedName name="wrn.CS._.Flash._.Test._3" localSheetId="10" hidden="1">{#N/A,#N/A,FALSE,"Performance Flash Report"}</definedName>
    <definedName name="wrn.CS._.Flash._.Test._3" localSheetId="9" hidden="1">{#N/A,#N/A,FALSE,"Performance Flash Report"}</definedName>
    <definedName name="wrn.CS._.Flash._.Test._3" hidden="1">{#N/A,#N/A,FALSE,"Performance Flash Report"}</definedName>
    <definedName name="wrn.CS._.Flash._.Test._3_1" localSheetId="10" hidden="1">{#N/A,#N/A,FALSE,"Performance Flash Report"}</definedName>
    <definedName name="wrn.CS._.Flash._.Test._3_1" localSheetId="9" hidden="1">{#N/A,#N/A,FALSE,"Performance Flash Report"}</definedName>
    <definedName name="wrn.CS._.Flash._.Test._3_1" hidden="1">{#N/A,#N/A,FALSE,"Performance Flash Report"}</definedName>
    <definedName name="wrn.CS._.Flash._.Test._3_2" localSheetId="10" hidden="1">{#N/A,#N/A,FALSE,"Performance Flash Report"}</definedName>
    <definedName name="wrn.CS._.Flash._.Test._3_2" localSheetId="9" hidden="1">{#N/A,#N/A,FALSE,"Performance Flash Report"}</definedName>
    <definedName name="wrn.CS._.Flash._.Test._3_2" hidden="1">{#N/A,#N/A,FALSE,"Performance Flash Report"}</definedName>
    <definedName name="wrn.CS._.Flash._.Test._3_3" localSheetId="10" hidden="1">{#N/A,#N/A,FALSE,"Performance Flash Report"}</definedName>
    <definedName name="wrn.CS._.Flash._.Test._3_3" localSheetId="9" hidden="1">{#N/A,#N/A,FALSE,"Performance Flash Report"}</definedName>
    <definedName name="wrn.CS._.Flash._.Test._3_3" hidden="1">{#N/A,#N/A,FALSE,"Performance Flash Report"}</definedName>
    <definedName name="wrn.CS._.Flash._.Test._3_4" localSheetId="10" hidden="1">{#N/A,#N/A,FALSE,"Performance Flash Report"}</definedName>
    <definedName name="wrn.CS._.Flash._.Test._3_4" localSheetId="9" hidden="1">{#N/A,#N/A,FALSE,"Performance Flash Report"}</definedName>
    <definedName name="wrn.CS._.Flash._.Test._3_4" hidden="1">{#N/A,#N/A,FALSE,"Performance Flash Report"}</definedName>
    <definedName name="wrn.CS._.Flash._.Test._4" localSheetId="10" hidden="1">{#N/A,#N/A,FALSE,"Performance Flash Report"}</definedName>
    <definedName name="wrn.CS._.Flash._.Test._4" localSheetId="9" hidden="1">{#N/A,#N/A,FALSE,"Performance Flash Report"}</definedName>
    <definedName name="wrn.CS._.Flash._.Test._4" hidden="1">{#N/A,#N/A,FALSE,"Performance Flash Report"}</definedName>
    <definedName name="wrn.CS._.Flash._.Test._4_1" localSheetId="10" hidden="1">{#N/A,#N/A,FALSE,"Performance Flash Report"}</definedName>
    <definedName name="wrn.CS._.Flash._.Test._4_1" localSheetId="9" hidden="1">{#N/A,#N/A,FALSE,"Performance Flash Report"}</definedName>
    <definedName name="wrn.CS._.Flash._.Test._4_1" hidden="1">{#N/A,#N/A,FALSE,"Performance Flash Report"}</definedName>
    <definedName name="wrn.CS._.Flash._.Test._4_2" localSheetId="10" hidden="1">{#N/A,#N/A,FALSE,"Performance Flash Report"}</definedName>
    <definedName name="wrn.CS._.Flash._.Test._4_2" localSheetId="9" hidden="1">{#N/A,#N/A,FALSE,"Performance Flash Report"}</definedName>
    <definedName name="wrn.CS._.Flash._.Test._4_2" hidden="1">{#N/A,#N/A,FALSE,"Performance Flash Report"}</definedName>
    <definedName name="wrn.CS._.Flash._.Test._4_3" localSheetId="10" hidden="1">{#N/A,#N/A,FALSE,"Performance Flash Report"}</definedName>
    <definedName name="wrn.CS._.Flash._.Test._4_3" localSheetId="9" hidden="1">{#N/A,#N/A,FALSE,"Performance Flash Report"}</definedName>
    <definedName name="wrn.CS._.Flash._.Test._4_3" hidden="1">{#N/A,#N/A,FALSE,"Performance Flash Report"}</definedName>
    <definedName name="wrn.CS._.Flash._.Test._4_4" localSheetId="10" hidden="1">{#N/A,#N/A,FALSE,"Performance Flash Report"}</definedName>
    <definedName name="wrn.CS._.Flash._.Test._4_4" localSheetId="9" hidden="1">{#N/A,#N/A,FALSE,"Performance Flash Report"}</definedName>
    <definedName name="wrn.CS._.Flash._.Test._4_4" hidden="1">{#N/A,#N/A,FALSE,"Performance Flash Report"}</definedName>
    <definedName name="wrn.CS._.Flash._.Test._5" localSheetId="10" hidden="1">{#N/A,#N/A,FALSE,"Performance Flash Report"}</definedName>
    <definedName name="wrn.CS._.Flash._.Test._5" localSheetId="9" hidden="1">{#N/A,#N/A,FALSE,"Performance Flash Report"}</definedName>
    <definedName name="wrn.CS._.Flash._.Test._5" hidden="1">{#N/A,#N/A,FALSE,"Performance Flash Report"}</definedName>
    <definedName name="wrn.CS._.Flash._.Test._5_1" localSheetId="10" hidden="1">{#N/A,#N/A,FALSE,"Performance Flash Report"}</definedName>
    <definedName name="wrn.CS._.Flash._.Test._5_1" localSheetId="9" hidden="1">{#N/A,#N/A,FALSE,"Performance Flash Report"}</definedName>
    <definedName name="wrn.CS._.Flash._.Test._5_1" hidden="1">{#N/A,#N/A,FALSE,"Performance Flash Report"}</definedName>
    <definedName name="wrn.CS._.Flash._.Test._5_2" localSheetId="10" hidden="1">{#N/A,#N/A,FALSE,"Performance Flash Report"}</definedName>
    <definedName name="wrn.CS._.Flash._.Test._5_2" localSheetId="9" hidden="1">{#N/A,#N/A,FALSE,"Performance Flash Report"}</definedName>
    <definedName name="wrn.CS._.Flash._.Test._5_2" hidden="1">{#N/A,#N/A,FALSE,"Performance Flash Report"}</definedName>
    <definedName name="wrn.CS._.Flash._.Test._5_3" localSheetId="10" hidden="1">{#N/A,#N/A,FALSE,"Performance Flash Report"}</definedName>
    <definedName name="wrn.CS._.Flash._.Test._5_3" localSheetId="9" hidden="1">{#N/A,#N/A,FALSE,"Performance Flash Report"}</definedName>
    <definedName name="wrn.CS._.Flash._.Test._5_3" hidden="1">{#N/A,#N/A,FALSE,"Performance Flash Report"}</definedName>
    <definedName name="wrn.CS._.Flash._.Test._5_4" localSheetId="10" hidden="1">{#N/A,#N/A,FALSE,"Performance Flash Report"}</definedName>
    <definedName name="wrn.CS._.Flash._.Test._5_4" localSheetId="9" hidden="1">{#N/A,#N/A,FALSE,"Performance Flash Report"}</definedName>
    <definedName name="wrn.CS._.Flash._.Test._5_4" hidden="1">{#N/A,#N/A,FALSE,"Performance Flash Report"}</definedName>
    <definedName name="wrn.csc." localSheetId="10" hidden="1">{"orixcsc",#N/A,FALSE,"ORIX CSC";"orixcsc2",#N/A,FALSE,"ORIX CSC"}</definedName>
    <definedName name="wrn.csc." localSheetId="9" hidden="1">{"orixcsc",#N/A,FALSE,"ORIX CSC";"orixcsc2",#N/A,FALSE,"ORIX CSC"}</definedName>
    <definedName name="wrn.csc." hidden="1">{"orixcsc",#N/A,FALSE,"ORIX CSC";"orixcsc2",#N/A,FALSE,"ORIX CSC"}</definedName>
    <definedName name="wrn.csc2." localSheetId="10" hidden="1">{#N/A,#N/A,FALSE,"ORIX CSC"}</definedName>
    <definedName name="wrn.csc2." localSheetId="9" hidden="1">{#N/A,#N/A,FALSE,"ORIX CSC"}</definedName>
    <definedName name="wrn.csc2." hidden="1">{#N/A,#N/A,FALSE,"ORIX CSC"}</definedName>
    <definedName name="wrn.daily." localSheetId="10" hidden="1">{#N/A,#N/A,FALSE,"Major v. River";#N/A,#N/A,FALSE,"Large Operators";#N/A,#N/A,FALSE,"Smaller Operators";#N/A,#N/A,FALSE,"Equip. Supply";#N/A,#N/A,FALSE,"EBITDA"}</definedName>
    <definedName name="wrn.daily." localSheetId="9" hidden="1">{#N/A,#N/A,FALSE,"Major v. River";#N/A,#N/A,FALSE,"Large Operators";#N/A,#N/A,FALSE,"Smaller Operators";#N/A,#N/A,FALSE,"Equip. Supply";#N/A,#N/A,FALSE,"EBITDA"}</definedName>
    <definedName name="wrn.daily." hidden="1">{#N/A,#N/A,FALSE,"Major v. River";#N/A,#N/A,FALSE,"Large Operators";#N/A,#N/A,FALSE,"Smaller Operators";#N/A,#N/A,FALSE,"Equip. Supply";#N/A,#N/A,FALSE,"EBITDA"}</definedName>
    <definedName name="wrn.Dashboard._.Update._.version." localSheetId="10" hidden="1">{#N/A,#N/A,FALSE,"Cover";#N/A,#N/A,FALSE,"Market Share";#N/A,#N/A,FALSE,"Gross Sales graph";#N/A,#N/A,FALSE,"GSV graph-Current Month ";#N/A,#N/A,FALSE,"GSV - YTD update";#N/A,#N/A,FALSE,"GSV - YTD (vs. Plan)";#N/A,#N/A,FALSE,"Discounts";#N/A,#N/A,FALSE,"Dist Margin";#N/A,#N/A,FALSE,"Expenses";#N/A,#N/A,FALSE,"Pretax Inc";#N/A,#N/A,FALSE,"PTIV - Current Month";#N/A,#N/A,FALSE,"PTIV - YTD";#N/A,#N/A,FALSE,"PTIV - YTD (vs. Plan)";#N/A,#N/A,FALSE,"Cash Flow Metrics";#N/A,#N/A,FALSE,"GS YTD - LBE";#N/A,#N/A,FALSE,"Pretax YTD vs Update"}</definedName>
    <definedName name="wrn.Dashboard._.Update._.version." localSheetId="9" hidden="1">{#N/A,#N/A,FALSE,"Cover";#N/A,#N/A,FALSE,"Market Share";#N/A,#N/A,FALSE,"Gross Sales graph";#N/A,#N/A,FALSE,"GSV graph-Current Month ";#N/A,#N/A,FALSE,"GSV - YTD update";#N/A,#N/A,FALSE,"GSV - YTD (vs. Plan)";#N/A,#N/A,FALSE,"Discounts";#N/A,#N/A,FALSE,"Dist Margin";#N/A,#N/A,FALSE,"Expenses";#N/A,#N/A,FALSE,"Pretax Inc";#N/A,#N/A,FALSE,"PTIV - Current Month";#N/A,#N/A,FALSE,"PTIV - YTD";#N/A,#N/A,FALSE,"PTIV - YTD (vs. Plan)";#N/A,#N/A,FALSE,"Cash Flow Metrics";#N/A,#N/A,FALSE,"GS YTD - LBE";#N/A,#N/A,FALSE,"Pretax YTD vs Update"}</definedName>
    <definedName name="wrn.Dashboard._.Update._.version." hidden="1">{#N/A,#N/A,FALSE,"Cover";#N/A,#N/A,FALSE,"Market Share";#N/A,#N/A,FALSE,"Gross Sales graph";#N/A,#N/A,FALSE,"GSV graph-Current Month ";#N/A,#N/A,FALSE,"GSV - YTD update";#N/A,#N/A,FALSE,"GSV - YTD (vs. Plan)";#N/A,#N/A,FALSE,"Discounts";#N/A,#N/A,FALSE,"Dist Margin";#N/A,#N/A,FALSE,"Expenses";#N/A,#N/A,FALSE,"Pretax Inc";#N/A,#N/A,FALSE,"PTIV - Current Month";#N/A,#N/A,FALSE,"PTIV - YTD";#N/A,#N/A,FALSE,"PTIV - YTD (vs. Plan)";#N/A,#N/A,FALSE,"Cash Flow Metrics";#N/A,#N/A,FALSE,"GS YTD - LBE";#N/A,#N/A,FALSE,"Pretax YTD vs Update"}</definedName>
    <definedName name="wrn.database." localSheetId="10" hidden="1">{"subs",#N/A,FALSE,"database ";"proportional",#N/A,FALSE,"database "}</definedName>
    <definedName name="wrn.database." localSheetId="9" hidden="1">{"subs",#N/A,FALSE,"database ";"proportional",#N/A,FALSE,"database "}</definedName>
    <definedName name="wrn.database." hidden="1">{"subs",#N/A,FALSE,"database ";"proportional",#N/A,FALSE,"database "}</definedName>
    <definedName name="wrn.dcf." localSheetId="10" hidden="1">{"mgmt forecast",#N/A,FALSE,"Mgmt Forecast";"dcf table",#N/A,FALSE,"Mgmt Forecast";"sensitivity",#N/A,FALSE,"Mgmt Forecast";"table inputs",#N/A,FALSE,"Mgmt Forecast";"calculations",#N/A,FALSE,"Mgmt Forecast"}</definedName>
    <definedName name="wrn.dcf." localSheetId="9" hidden="1">{"mgmt forecast",#N/A,FALSE,"Mgmt Forecast";"dcf table",#N/A,FALSE,"Mgmt Forecast";"sensitivity",#N/A,FALSE,"Mgmt Forecast";"table inputs",#N/A,FALSE,"Mgmt Forecast";"calculations",#N/A,FALSE,"Mgmt Forecast"}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III._.Report." localSheetId="10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III._.Report." localSheetId="9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III._.Report.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Only." localSheetId="10" hidden="1">{#N/A,#N/A,FALSE,"DCF Summary";#N/A,#N/A,FALSE,"Casema";#N/A,#N/A,FALSE,"Casema NoTel";#N/A,#N/A,FALSE,"UK";#N/A,#N/A,FALSE,"RCF";#N/A,#N/A,FALSE,"Intercable CZ";#N/A,#N/A,FALSE,"Interkabel P"}</definedName>
    <definedName name="wrn.DCF._.Only." localSheetId="9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Tor" localSheetId="10" hidden="1">{#N/A,#N/A,FALSE,"DCF Summary";#N/A,#N/A,FALSE,"Casema";#N/A,#N/A,FALSE,"Casema NoTel";#N/A,#N/A,FALSE,"UK";#N/A,#N/A,FALSE,"RCF";#N/A,#N/A,FALSE,"Intercable CZ";#N/A,#N/A,FALSE,"Interkabel P"}</definedName>
    <definedName name="wrn.DCFTor" localSheetId="9" hidden="1">{#N/A,#N/A,FALSE,"DCF Summary";#N/A,#N/A,FALSE,"Casema";#N/A,#N/A,FALSE,"Casema NoTel";#N/A,#N/A,FALSE,"UK";#N/A,#N/A,FALSE,"RCF";#N/A,#N/A,FALSE,"Intercable CZ";#N/A,#N/A,FALSE,"Interkabel P"}</definedName>
    <definedName name="wrn.DCFTor" hidden="1">{#N/A,#N/A,FALSE,"DCF Summary";#N/A,#N/A,FALSE,"Casema";#N/A,#N/A,FALSE,"Casema NoTel";#N/A,#N/A,FALSE,"UK";#N/A,#N/A,FALSE,"RCF";#N/A,#N/A,FALSE,"Intercable CZ";#N/A,#N/A,FALSE,"Interkabel P"}</definedName>
    <definedName name="wrn.DDD." localSheetId="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pr." localSheetId="10" hidden="1">{"tax_schedule",#N/A,TRUE,"Tax Schedule";"profit_loss",#N/A,TRUE,"ProfitLoss";"impact_fin",#N/A,TRUE,"Impact on BAA";"annual_data",#N/A,TRUE,"Annual Data"}</definedName>
    <definedName name="wrn.Depr." localSheetId="9" hidden="1">{"tax_schedule",#N/A,TRUE,"Tax Schedule";"profit_loss",#N/A,TRUE,"ProfitLoss";"impact_fin",#N/A,TRUE,"Impact on BAA";"annual_data",#N/A,TRUE,"Annual Data"}</definedName>
    <definedName name="wrn.Depr." hidden="1">{"tax_schedule",#N/A,TRUE,"Tax Schedule";"profit_loss",#N/A,TRUE,"ProfitLoss";"impact_fin",#N/A,TRUE,"Impact on BAA";"annual_data",#N/A,TRUE,"Annual Data"}</definedName>
    <definedName name="wrn.Detail._.Balance._.Sheet." localSheetId="10" hidden="1">{#N/A,#N/A,FALSE,"Detail"}</definedName>
    <definedName name="wrn.Detail._.Balance._.Sheet." localSheetId="9" hidden="1">{#N/A,#N/A,FALSE,"Detail"}</definedName>
    <definedName name="wrn.Detail._.Balance._.Sheet." hidden="1">{#N/A,#N/A,FALSE,"Detail"}</definedName>
    <definedName name="wrn.Detail_Projection." localSheetId="10" hidden="1">{#N/A,#N/A,FALSE,"Detail YTD"}</definedName>
    <definedName name="wrn.Detail_Projection." localSheetId="9" hidden="1">{#N/A,#N/A,FALSE,"Detail YTD"}</definedName>
    <definedName name="wrn.Detail_Projection." hidden="1">{#N/A,#N/A,FALSE,"Detail YTD"}</definedName>
    <definedName name="wrn.Detailed._.P._.and._.L." localSheetId="10" hidden="1">{"P and L Detail Page 1",#N/A,FALSE,"Data";"P and L Detail Page 2",#N/A,FALSE,"Data"}</definedName>
    <definedName name="wrn.Detailed._.P._.and._.L." localSheetId="9" hidden="1">{"P and L Detail Page 1",#N/A,FALSE,"Data";"P and L Detail Page 2",#N/A,FALSE,"Data"}</definedName>
    <definedName name="wrn.Detailed._.P._.and._.L." hidden="1">{"P and L Detail Page 1",#N/A,FALSE,"Data";"P and L Detail Page 2",#N/A,FALSE,"Data"}</definedName>
    <definedName name="wrn.Directors._.Cover._.Sheets." localSheetId="10" hidden="1">{#N/A,#N/A,TRUE,"P&amp;L - Main Summary";#N/A,#N/A,TRUE,"P&amp;L-Main Detail";#N/A,#N/A,TRUE,"Overhead Analysis";#N/A,#N/A,TRUE,"BalanceSheet"}</definedName>
    <definedName name="wrn.Directors._.Cover._.Sheets." localSheetId="9" hidden="1">{#N/A,#N/A,TRUE,"P&amp;L - Main Summary";#N/A,#N/A,TRUE,"P&amp;L-Main Detail";#N/A,#N/A,TRUE,"Overhead Analysis";#N/A,#N/A,TRUE,"BalanceSheet"}</definedName>
    <definedName name="wrn.Directors._.Cover._.Sheets." hidden="1">{#N/A,#N/A,TRUE,"P&amp;L - Main Summary";#N/A,#N/A,TRUE,"P&amp;L-Main Detail";#N/A,#N/A,TRUE,"Overhead Analysis";#N/A,#N/A,TRUE,"BalanceSheet"}</definedName>
    <definedName name="wrn.Earnings._.Model." localSheetId="1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localSheetId="9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 localSheetId="1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 localSheetId="9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_1" localSheetId="1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_1" localSheetId="9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_2" localSheetId="1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_2" localSheetId="9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" localSheetId="1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" localSheetId="9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_1" localSheetId="1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_1" localSheetId="9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_2" localSheetId="1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_2" localSheetId="9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3" localSheetId="1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3" localSheetId="9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4" localSheetId="1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4" localSheetId="9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localSheetId="10" hidden="1">{"EVA",#N/A,FALSE,"EVA";"WACC",#N/A,FALSE,"WACC"}</definedName>
    <definedName name="wrn.Economic._.Value._.Added._.Analysis." localSheetId="9" hidden="1">{"EVA",#N/A,FALSE,"EVA";"WACC",#N/A,FALSE,"WACC"}</definedName>
    <definedName name="wrn.Economic._.Value._.Added._.Analysis." hidden="1">{"EVA",#N/A,FALSE,"EVA";"WACC",#N/A,FALSE,"WACC"}</definedName>
    <definedName name="wrn.Eilbericht_UBA." localSheetId="10" hidden="1">{"Eilbericht_UBA",#N/A,FALSE,"EB"}</definedName>
    <definedName name="wrn.Eilbericht_UBA." localSheetId="9" hidden="1">{"Eilbericht_UBA",#N/A,FALSE,"EB"}</definedName>
    <definedName name="wrn.Eilbericht_UBA." hidden="1">{"Eilbericht_UBA",#N/A,FALSE,"EB"}</definedName>
    <definedName name="wrn.Eilbericht_UBA._1" localSheetId="10" hidden="1">{"Eilbericht_UBA",#N/A,FALSE,"EB"}</definedName>
    <definedName name="wrn.Eilbericht_UBA._1" localSheetId="9" hidden="1">{"Eilbericht_UBA",#N/A,FALSE,"EB"}</definedName>
    <definedName name="wrn.Eilbericht_UBA._1" hidden="1">{"Eilbericht_UBA",#N/A,FALSE,"EB"}</definedName>
    <definedName name="wrn.Eilbericht2_UBA" localSheetId="10" hidden="1">{"Eilbericht_UBA",#N/A,FALSE,"EB"}</definedName>
    <definedName name="wrn.Eilbericht2_UBA" localSheetId="9" hidden="1">{"Eilbericht_UBA",#N/A,FALSE,"EB"}</definedName>
    <definedName name="wrn.Eilbericht2_UBA" hidden="1">{"Eilbericht_UBA",#N/A,FALSE,"EB"}</definedName>
    <definedName name="wrn.Eilbericht2_UBA_1" localSheetId="10" hidden="1">{"Eilbericht_UBA",#N/A,FALSE,"EB"}</definedName>
    <definedName name="wrn.Eilbericht2_UBA_1" localSheetId="9" hidden="1">{"Eilbericht_UBA",#N/A,FALSE,"EB"}</definedName>
    <definedName name="wrn.Eilbericht2_UBA_1" hidden="1">{"Eilbericht_UBA",#N/A,FALSE,"EB"}</definedName>
    <definedName name="wrn.EM." localSheetId="10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." localSheetId="9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ngineering._.I._.and._.II." localSheetId="10" hidden="1">{"Engineering Est. Part I",#N/A,FALSE,"Engr. Est. Part 1";"Engr. Est. Part 2 Short",#N/A,FALSE,"Engr. Est. Part 2 - Short";"Engineering Est. Part II Detailed",#N/A,FALSE,"Engr. Est. Part 2 - Detailed"}</definedName>
    <definedName name="wrn.Engineering._.I._.and._.II." localSheetId="9" hidden="1">{"Engineering Est. Part I",#N/A,FALSE,"Engr. Est. Part 1";"Engr. Est. Part 2 Short",#N/A,FALSE,"Engr. Est. Part 2 - Short";"Engineering Est. Part II Detailed",#N/A,FALSE,"Engr. Est. Part 2 - Detailed"}</definedName>
    <definedName name="wrn.Engineering._.I._.and._.II." hidden="1">{"Engineering Est. Part I",#N/A,FALSE,"Engr. Est. Part 1";"Engr. Est. Part 2 Short",#N/A,FALSE,"Engr. Est. Part 2 - Short";"Engineering Est. Part II Detailed",#N/A,FALSE,"Engr. Est. Part 2 - Detailed"}</definedName>
    <definedName name="wrn.Engineering._.Part._.I." localSheetId="10" hidden="1">{"Engineering Est. Part I",#N/A,FALSE,"Engr. Est. Part 1"}</definedName>
    <definedName name="wrn.Engineering._.Part._.I." localSheetId="9" hidden="1">{"Engineering Est. Part I",#N/A,FALSE,"Engr. Est. Part 1"}</definedName>
    <definedName name="wrn.Engineering._.Part._.I." hidden="1">{"Engineering Est. Part I",#N/A,FALSE,"Engr. Est. Part 1"}</definedName>
    <definedName name="wrn.Engineering._.Part._.II._.Detailed." localSheetId="10" hidden="1">{#N/A,#N/A,FALSE,"Engr. Est. Part 2 - Detailed"}</definedName>
    <definedName name="wrn.Engineering._.Part._.II._.Detailed." localSheetId="9" hidden="1">{#N/A,#N/A,FALSE,"Engr. Est. Part 2 - Detailed"}</definedName>
    <definedName name="wrn.Engineering._.Part._.II._.Detailed." hidden="1">{#N/A,#N/A,FALSE,"Engr. Est. Part 2 - Detailed"}</definedName>
    <definedName name="wrn.Engineering._.Part._.II._.Short." localSheetId="10" hidden="1">{"Engr. Est. Part 2 Short",#N/A,FALSE,"Engr. Est. Part 2 - Short"}</definedName>
    <definedName name="wrn.Engineering._.Part._.II._.Short." localSheetId="9" hidden="1">{"Engr. Est. Part 2 Short",#N/A,FALSE,"Engr. Est. Part 2 - Short"}</definedName>
    <definedName name="wrn.Engineering._.Part._.II._.Short." hidden="1">{"Engr. Est. Part 2 Short",#N/A,FALSE,"Engr. Est. Part 2 - Short"}</definedName>
    <definedName name="wrn.Entire._.Model." localSheetId="10" hidden="1">{#N/A,#N/A,TRUE,"summary";#N/A,#N/A,TRUE,"model";#N/A,#N/A,TRUE,"Consolidated P&amp;L Summary";#N/A,#N/A,TRUE,"Schwinn";#N/A,#N/A,TRUE,"G.T.";#N/A,#N/A,TRUE,"Hebb"}</definedName>
    <definedName name="wrn.Entire._.Model." localSheetId="9" hidden="1">{#N/A,#N/A,TRUE,"summary";#N/A,#N/A,TRUE,"model";#N/A,#N/A,TRUE,"Consolidated P&amp;L Summary";#N/A,#N/A,TRUE,"Schwinn";#N/A,#N/A,TRUE,"G.T.";#N/A,#N/A,TRUE,"Hebb"}</definedName>
    <definedName name="wrn.Entire._.Model." hidden="1">{#N/A,#N/A,TRUE,"summary";#N/A,#N/A,TRUE,"model";#N/A,#N/A,TRUE,"Consolidated P&amp;L Summary";#N/A,#N/A,TRUE,"Schwinn";#N/A,#N/A,TRUE,"G.T.";#N/A,#N/A,TRUE,"Hebb"}</definedName>
    <definedName name="wrn.Environmental." localSheetId="10" hidden="1">{"Environmental",#N/A,FALSE,"Environmental"}</definedName>
    <definedName name="wrn.Environmental." localSheetId="9" hidden="1">{"Environmental",#N/A,FALSE,"Environmental"}</definedName>
    <definedName name="wrn.Environmental." hidden="1">{"Environmental",#N/A,FALSE,"Environmental"}</definedName>
    <definedName name="wrn.Ergebnis." localSheetId="10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wrn.Ergebnis." localSheetId="9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wrn.Ergebnis.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wrn.Ergebnisbericht_UBA." localSheetId="10" hidden="1">{"Ergebnisbericht_UBA",#N/A,FALSE,"MB"}</definedName>
    <definedName name="wrn.Ergebnisbericht_UBA." localSheetId="9" hidden="1">{"Ergebnisbericht_UBA",#N/A,FALSE,"MB"}</definedName>
    <definedName name="wrn.Ergebnisbericht_UBA." hidden="1">{"Ergebnisbericht_UBA",#N/A,FALSE,"MB"}</definedName>
    <definedName name="wrn.Ergebnisbericht_UBA._1" localSheetId="10" hidden="1">{"Ergebnisbericht_UBA",#N/A,FALSE,"MB"}</definedName>
    <definedName name="wrn.Ergebnisbericht_UBA._1" localSheetId="9" hidden="1">{"Ergebnisbericht_UBA",#N/A,FALSE,"MB"}</definedName>
    <definedName name="wrn.Ergebnisbericht_UBA._1" hidden="1">{"Ergebnisbericht_UBA",#N/A,FALSE,"MB"}</definedName>
    <definedName name="wrn.Ergebnisbericht2_UBA" localSheetId="10" hidden="1">{"Ergebnisbericht_UBA",#N/A,FALSE,"MB"}</definedName>
    <definedName name="wrn.Ergebnisbericht2_UBA" localSheetId="9" hidden="1">{"Ergebnisbericht_UBA",#N/A,FALSE,"MB"}</definedName>
    <definedName name="wrn.Ergebnisbericht2_UBA" hidden="1">{"Ergebnisbericht_UBA",#N/A,FALSE,"MB"}</definedName>
    <definedName name="wrn.Ergebnisbericht2_UBA_1" localSheetId="10" hidden="1">{"Ergebnisbericht_UBA",#N/A,FALSE,"MB"}</definedName>
    <definedName name="wrn.Ergebnisbericht2_UBA_1" localSheetId="9" hidden="1">{"Ergebnisbericht_UBA",#N/A,FALSE,"MB"}</definedName>
    <definedName name="wrn.Ergebnisbericht2_UBA_1" hidden="1">{"Ergebnisbericht_UBA",#N/A,FALSE,"MB"}</definedName>
    <definedName name="wrn.esl." localSheetId="10" hidden="1">{"Monthly6Q",#N/A,FALSE,"0614ESL"}</definedName>
    <definedName name="wrn.esl." localSheetId="9" hidden="1">{"Monthly6Q",#N/A,FALSE,"0614ESL"}</definedName>
    <definedName name="wrn.esl." hidden="1">{"Monthly6Q",#N/A,FALSE,"0614ESL"}</definedName>
    <definedName name="wrn.esl._1" localSheetId="10" hidden="1">{"Monthly6Q",#N/A,FALSE,"0614ESL"}</definedName>
    <definedName name="wrn.esl._1" localSheetId="9" hidden="1">{"Monthly6Q",#N/A,FALSE,"0614ESL"}</definedName>
    <definedName name="wrn.esl._1" hidden="1">{"Monthly6Q",#N/A,FALSE,"0614ESL"}</definedName>
    <definedName name="wrn.Europe." localSheetId="1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localSheetId="9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verything." localSheetId="10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" localSheetId="9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Fax." localSheetId="10" hidden="1">{"fax (BS)",#N/A,FALSE,"BS";"fax (CF)",#N/A,FALSE,"CF";"fax (seg)",#N/A,FALSE,"Seg";"fax (telecomm)",#N/A,FALSE,"telecomm";"fax (infodisplay)",#N/A,FALSE,"infodisplay";"fax (am)",#N/A,FALSE,"AM";"fax (is)",#N/A,FALSE,"IS"}</definedName>
    <definedName name="wrn.Fax." localSheetId="9" hidden="1">{"fax (BS)",#N/A,FALSE,"BS";"fax (CF)",#N/A,FALSE,"CF";"fax (seg)",#N/A,FALSE,"Seg";"fax (telecomm)",#N/A,FALSE,"telecomm";"fax (infodisplay)",#N/A,FALSE,"infodisplay";"fax (am)",#N/A,FALSE,"AM";"fax (is)",#N/A,FALSE,"IS"}</definedName>
    <definedName name="wrn.Fax." hidden="1">{"fax (BS)",#N/A,FALSE,"BS";"fax (CF)",#N/A,FALSE,"CF";"fax (seg)",#N/A,FALSE,"Seg";"fax (telecomm)",#N/A,FALSE,"telecomm";"fax (infodisplay)",#N/A,FALSE,"infodisplay";"fax (am)",#N/A,FALSE,"AM";"fax (is)",#N/A,FALSE,"IS"}</definedName>
    <definedName name="wrn.FCB." localSheetId="10" hidden="1">{"FCB_ALL",#N/A,FALSE,"FCB"}</definedName>
    <definedName name="wrn.FCB." localSheetId="9" hidden="1">{"FCB_ALL",#N/A,FALSE,"FCB"}</definedName>
    <definedName name="wrn.FCB." hidden="1">{"FCB_ALL",#N/A,FALSE,"FCB"}</definedName>
    <definedName name="wrn.FCB._1" localSheetId="10" hidden="1">{"FCB_ALL",#N/A,FALSE,"FCB"}</definedName>
    <definedName name="wrn.FCB._1" localSheetId="9" hidden="1">{"FCB_ALL",#N/A,FALSE,"FCB"}</definedName>
    <definedName name="wrn.FCB._1" hidden="1">{"FCB_ALL",#N/A,FALSE,"FCB"}</definedName>
    <definedName name="wrn.FCB._1_1" localSheetId="10" hidden="1">{"FCB_ALL",#N/A,FALSE,"FCB"}</definedName>
    <definedName name="wrn.FCB._1_1" localSheetId="9" hidden="1">{"FCB_ALL",#N/A,FALSE,"FCB"}</definedName>
    <definedName name="wrn.FCB._1_1" hidden="1">{"FCB_ALL",#N/A,FALSE,"FCB"}</definedName>
    <definedName name="wrn.FCB._1_2" localSheetId="10" hidden="1">{"FCB_ALL",#N/A,FALSE,"FCB"}</definedName>
    <definedName name="wrn.FCB._1_2" localSheetId="9" hidden="1">{"FCB_ALL",#N/A,FALSE,"FCB"}</definedName>
    <definedName name="wrn.FCB._1_2" hidden="1">{"FCB_ALL",#N/A,FALSE,"FCB"}</definedName>
    <definedName name="wrn.FCB._1_3" localSheetId="10" hidden="1">{"FCB_ALL",#N/A,FALSE,"FCB"}</definedName>
    <definedName name="wrn.FCB._1_3" localSheetId="9" hidden="1">{"FCB_ALL",#N/A,FALSE,"FCB"}</definedName>
    <definedName name="wrn.FCB._1_3" hidden="1">{"FCB_ALL",#N/A,FALSE,"FCB"}</definedName>
    <definedName name="wrn.FCB._1_4" localSheetId="10" hidden="1">{"FCB_ALL",#N/A,FALSE,"FCB"}</definedName>
    <definedName name="wrn.FCB._1_4" localSheetId="9" hidden="1">{"FCB_ALL",#N/A,FALSE,"FCB"}</definedName>
    <definedName name="wrn.FCB._1_4" hidden="1">{"FCB_ALL",#N/A,FALSE,"FCB"}</definedName>
    <definedName name="wrn.FCB._2" localSheetId="10" hidden="1">{"FCB_ALL",#N/A,FALSE,"FCB"}</definedName>
    <definedName name="wrn.FCB._2" localSheetId="9" hidden="1">{"FCB_ALL",#N/A,FALSE,"FCB"}</definedName>
    <definedName name="wrn.FCB._2" hidden="1">{"FCB_ALL",#N/A,FALSE,"FCB"}</definedName>
    <definedName name="wrn.FCB._2_1" localSheetId="10" hidden="1">{"FCB_ALL",#N/A,FALSE,"FCB"}</definedName>
    <definedName name="wrn.FCB._2_1" localSheetId="9" hidden="1">{"FCB_ALL",#N/A,FALSE,"FCB"}</definedName>
    <definedName name="wrn.FCB._2_1" hidden="1">{"FCB_ALL",#N/A,FALSE,"FCB"}</definedName>
    <definedName name="wrn.FCB._2_2" localSheetId="10" hidden="1">{"FCB_ALL",#N/A,FALSE,"FCB"}</definedName>
    <definedName name="wrn.FCB._2_2" localSheetId="9" hidden="1">{"FCB_ALL",#N/A,FALSE,"FCB"}</definedName>
    <definedName name="wrn.FCB._2_2" hidden="1">{"FCB_ALL",#N/A,FALSE,"FCB"}</definedName>
    <definedName name="wrn.FCB._2_3" localSheetId="10" hidden="1">{"FCB_ALL",#N/A,FALSE,"FCB"}</definedName>
    <definedName name="wrn.FCB._2_3" localSheetId="9" hidden="1">{"FCB_ALL",#N/A,FALSE,"FCB"}</definedName>
    <definedName name="wrn.FCB._2_3" hidden="1">{"FCB_ALL",#N/A,FALSE,"FCB"}</definedName>
    <definedName name="wrn.FCB._2_4" localSheetId="10" hidden="1">{"FCB_ALL",#N/A,FALSE,"FCB"}</definedName>
    <definedName name="wrn.FCB._2_4" localSheetId="9" hidden="1">{"FCB_ALL",#N/A,FALSE,"FCB"}</definedName>
    <definedName name="wrn.FCB._2_4" hidden="1">{"FCB_ALL",#N/A,FALSE,"FCB"}</definedName>
    <definedName name="wrn.FCB._3" localSheetId="10" hidden="1">{"FCB_ALL",#N/A,FALSE,"FCB"}</definedName>
    <definedName name="wrn.FCB._3" localSheetId="9" hidden="1">{"FCB_ALL",#N/A,FALSE,"FCB"}</definedName>
    <definedName name="wrn.FCB._3" hidden="1">{"FCB_ALL",#N/A,FALSE,"FCB"}</definedName>
    <definedName name="wrn.FCB._3_1" localSheetId="10" hidden="1">{"FCB_ALL",#N/A,FALSE,"FCB"}</definedName>
    <definedName name="wrn.FCB._3_1" localSheetId="9" hidden="1">{"FCB_ALL",#N/A,FALSE,"FCB"}</definedName>
    <definedName name="wrn.FCB._3_1" hidden="1">{"FCB_ALL",#N/A,FALSE,"FCB"}</definedName>
    <definedName name="wrn.FCB._3_2" localSheetId="10" hidden="1">{"FCB_ALL",#N/A,FALSE,"FCB"}</definedName>
    <definedName name="wrn.FCB._3_2" localSheetId="9" hidden="1">{"FCB_ALL",#N/A,FALSE,"FCB"}</definedName>
    <definedName name="wrn.FCB._3_2" hidden="1">{"FCB_ALL",#N/A,FALSE,"FCB"}</definedName>
    <definedName name="wrn.FCB._3_3" localSheetId="10" hidden="1">{"FCB_ALL",#N/A,FALSE,"FCB"}</definedName>
    <definedName name="wrn.FCB._3_3" localSheetId="9" hidden="1">{"FCB_ALL",#N/A,FALSE,"FCB"}</definedName>
    <definedName name="wrn.FCB._3_3" hidden="1">{"FCB_ALL",#N/A,FALSE,"FCB"}</definedName>
    <definedName name="wrn.FCB._3_4" localSheetId="10" hidden="1">{"FCB_ALL",#N/A,FALSE,"FCB"}</definedName>
    <definedName name="wrn.FCB._3_4" localSheetId="9" hidden="1">{"FCB_ALL",#N/A,FALSE,"FCB"}</definedName>
    <definedName name="wrn.FCB._3_4" hidden="1">{"FCB_ALL",#N/A,FALSE,"FCB"}</definedName>
    <definedName name="wrn.FCB._4" localSheetId="10" hidden="1">{"FCB_ALL",#N/A,FALSE,"FCB"}</definedName>
    <definedName name="wrn.FCB._4" localSheetId="9" hidden="1">{"FCB_ALL",#N/A,FALSE,"FCB"}</definedName>
    <definedName name="wrn.FCB._4" hidden="1">{"FCB_ALL",#N/A,FALSE,"FCB"}</definedName>
    <definedName name="wrn.FCB._4_1" localSheetId="10" hidden="1">{"FCB_ALL",#N/A,FALSE,"FCB"}</definedName>
    <definedName name="wrn.FCB._4_1" localSheetId="9" hidden="1">{"FCB_ALL",#N/A,FALSE,"FCB"}</definedName>
    <definedName name="wrn.FCB._4_1" hidden="1">{"FCB_ALL",#N/A,FALSE,"FCB"}</definedName>
    <definedName name="wrn.FCB._4_2" localSheetId="10" hidden="1">{"FCB_ALL",#N/A,FALSE,"FCB"}</definedName>
    <definedName name="wrn.FCB._4_2" localSheetId="9" hidden="1">{"FCB_ALL",#N/A,FALSE,"FCB"}</definedName>
    <definedName name="wrn.FCB._4_2" hidden="1">{"FCB_ALL",#N/A,FALSE,"FCB"}</definedName>
    <definedName name="wrn.FCB._4_3" localSheetId="10" hidden="1">{"FCB_ALL",#N/A,FALSE,"FCB"}</definedName>
    <definedName name="wrn.FCB._4_3" localSheetId="9" hidden="1">{"FCB_ALL",#N/A,FALSE,"FCB"}</definedName>
    <definedName name="wrn.FCB._4_3" hidden="1">{"FCB_ALL",#N/A,FALSE,"FCB"}</definedName>
    <definedName name="wrn.FCB._4_4" localSheetId="10" hidden="1">{"FCB_ALL",#N/A,FALSE,"FCB"}</definedName>
    <definedName name="wrn.FCB._4_4" localSheetId="9" hidden="1">{"FCB_ALL",#N/A,FALSE,"FCB"}</definedName>
    <definedName name="wrn.FCB._4_4" hidden="1">{"FCB_ALL",#N/A,FALSE,"FCB"}</definedName>
    <definedName name="wrn.FCB._5" localSheetId="10" hidden="1">{"FCB_ALL",#N/A,FALSE,"FCB"}</definedName>
    <definedName name="wrn.FCB._5" localSheetId="9" hidden="1">{"FCB_ALL",#N/A,FALSE,"FCB"}</definedName>
    <definedName name="wrn.FCB._5" hidden="1">{"FCB_ALL",#N/A,FALSE,"FCB"}</definedName>
    <definedName name="wrn.FCB._5_1" localSheetId="10" hidden="1">{"FCB_ALL",#N/A,FALSE,"FCB"}</definedName>
    <definedName name="wrn.FCB._5_1" localSheetId="9" hidden="1">{"FCB_ALL",#N/A,FALSE,"FCB"}</definedName>
    <definedName name="wrn.FCB._5_1" hidden="1">{"FCB_ALL",#N/A,FALSE,"FCB"}</definedName>
    <definedName name="wrn.FCB._5_2" localSheetId="10" hidden="1">{"FCB_ALL",#N/A,FALSE,"FCB"}</definedName>
    <definedName name="wrn.FCB._5_2" localSheetId="9" hidden="1">{"FCB_ALL",#N/A,FALSE,"FCB"}</definedName>
    <definedName name="wrn.FCB._5_2" hidden="1">{"FCB_ALL",#N/A,FALSE,"FCB"}</definedName>
    <definedName name="wrn.FCB._5_3" localSheetId="10" hidden="1">{"FCB_ALL",#N/A,FALSE,"FCB"}</definedName>
    <definedName name="wrn.FCB._5_3" localSheetId="9" hidden="1">{"FCB_ALL",#N/A,FALSE,"FCB"}</definedName>
    <definedName name="wrn.FCB._5_3" hidden="1">{"FCB_ALL",#N/A,FALSE,"FCB"}</definedName>
    <definedName name="wrn.FCB._5_4" localSheetId="10" hidden="1">{"FCB_ALL",#N/A,FALSE,"FCB"}</definedName>
    <definedName name="wrn.FCB._5_4" localSheetId="9" hidden="1">{"FCB_ALL",#N/A,FALSE,"FCB"}</definedName>
    <definedName name="wrn.FCB._5_4" hidden="1">{"FCB_ALL",#N/A,FALSE,"FCB"}</definedName>
    <definedName name="wrn.fcb2" localSheetId="10" hidden="1">{"FCB_ALL",#N/A,FALSE,"FCB"}</definedName>
    <definedName name="wrn.fcb2" localSheetId="9" hidden="1">{"FCB_ALL",#N/A,FALSE,"FCB"}</definedName>
    <definedName name="wrn.fcb2" hidden="1">{"FCB_ALL",#N/A,FALSE,"FCB"}</definedName>
    <definedName name="wrn.fcb2_1" localSheetId="10" hidden="1">{"FCB_ALL",#N/A,FALSE,"FCB"}</definedName>
    <definedName name="wrn.fcb2_1" localSheetId="9" hidden="1">{"FCB_ALL",#N/A,FALSE,"FCB"}</definedName>
    <definedName name="wrn.fcb2_1" hidden="1">{"FCB_ALL",#N/A,FALSE,"FCB"}</definedName>
    <definedName name="wrn.fcb2_1_1" localSheetId="10" hidden="1">{"FCB_ALL",#N/A,FALSE,"FCB"}</definedName>
    <definedName name="wrn.fcb2_1_1" localSheetId="9" hidden="1">{"FCB_ALL",#N/A,FALSE,"FCB"}</definedName>
    <definedName name="wrn.fcb2_1_1" hidden="1">{"FCB_ALL",#N/A,FALSE,"FCB"}</definedName>
    <definedName name="wrn.fcb2_1_2" localSheetId="10" hidden="1">{"FCB_ALL",#N/A,FALSE,"FCB"}</definedName>
    <definedName name="wrn.fcb2_1_2" localSheetId="9" hidden="1">{"FCB_ALL",#N/A,FALSE,"FCB"}</definedName>
    <definedName name="wrn.fcb2_1_2" hidden="1">{"FCB_ALL",#N/A,FALSE,"FCB"}</definedName>
    <definedName name="wrn.fcb2_1_3" localSheetId="10" hidden="1">{"FCB_ALL",#N/A,FALSE,"FCB"}</definedName>
    <definedName name="wrn.fcb2_1_3" localSheetId="9" hidden="1">{"FCB_ALL",#N/A,FALSE,"FCB"}</definedName>
    <definedName name="wrn.fcb2_1_3" hidden="1">{"FCB_ALL",#N/A,FALSE,"FCB"}</definedName>
    <definedName name="wrn.fcb2_1_4" localSheetId="10" hidden="1">{"FCB_ALL",#N/A,FALSE,"FCB"}</definedName>
    <definedName name="wrn.fcb2_1_4" localSheetId="9" hidden="1">{"FCB_ALL",#N/A,FALSE,"FCB"}</definedName>
    <definedName name="wrn.fcb2_1_4" hidden="1">{"FCB_ALL",#N/A,FALSE,"FCB"}</definedName>
    <definedName name="wrn.fcb2_2" localSheetId="10" hidden="1">{"FCB_ALL",#N/A,FALSE,"FCB"}</definedName>
    <definedName name="wrn.fcb2_2" localSheetId="9" hidden="1">{"FCB_ALL",#N/A,FALSE,"FCB"}</definedName>
    <definedName name="wrn.fcb2_2" hidden="1">{"FCB_ALL",#N/A,FALSE,"FCB"}</definedName>
    <definedName name="wrn.fcb2_2_1" localSheetId="10" hidden="1">{"FCB_ALL",#N/A,FALSE,"FCB"}</definedName>
    <definedName name="wrn.fcb2_2_1" localSheetId="9" hidden="1">{"FCB_ALL",#N/A,FALSE,"FCB"}</definedName>
    <definedName name="wrn.fcb2_2_1" hidden="1">{"FCB_ALL",#N/A,FALSE,"FCB"}</definedName>
    <definedName name="wrn.fcb2_2_2" localSheetId="10" hidden="1">{"FCB_ALL",#N/A,FALSE,"FCB"}</definedName>
    <definedName name="wrn.fcb2_2_2" localSheetId="9" hidden="1">{"FCB_ALL",#N/A,FALSE,"FCB"}</definedName>
    <definedName name="wrn.fcb2_2_2" hidden="1">{"FCB_ALL",#N/A,FALSE,"FCB"}</definedName>
    <definedName name="wrn.fcb2_2_3" localSheetId="10" hidden="1">{"FCB_ALL",#N/A,FALSE,"FCB"}</definedName>
    <definedName name="wrn.fcb2_2_3" localSheetId="9" hidden="1">{"FCB_ALL",#N/A,FALSE,"FCB"}</definedName>
    <definedName name="wrn.fcb2_2_3" hidden="1">{"FCB_ALL",#N/A,FALSE,"FCB"}</definedName>
    <definedName name="wrn.fcb2_2_4" localSheetId="10" hidden="1">{"FCB_ALL",#N/A,FALSE,"FCB"}</definedName>
    <definedName name="wrn.fcb2_2_4" localSheetId="9" hidden="1">{"FCB_ALL",#N/A,FALSE,"FCB"}</definedName>
    <definedName name="wrn.fcb2_2_4" hidden="1">{"FCB_ALL",#N/A,FALSE,"FCB"}</definedName>
    <definedName name="wrn.fcb2_3" localSheetId="10" hidden="1">{"FCB_ALL",#N/A,FALSE,"FCB"}</definedName>
    <definedName name="wrn.fcb2_3" localSheetId="9" hidden="1">{"FCB_ALL",#N/A,FALSE,"FCB"}</definedName>
    <definedName name="wrn.fcb2_3" hidden="1">{"FCB_ALL",#N/A,FALSE,"FCB"}</definedName>
    <definedName name="wrn.fcb2_3_1" localSheetId="10" hidden="1">{"FCB_ALL",#N/A,FALSE,"FCB"}</definedName>
    <definedName name="wrn.fcb2_3_1" localSheetId="9" hidden="1">{"FCB_ALL",#N/A,FALSE,"FCB"}</definedName>
    <definedName name="wrn.fcb2_3_1" hidden="1">{"FCB_ALL",#N/A,FALSE,"FCB"}</definedName>
    <definedName name="wrn.fcb2_3_2" localSheetId="10" hidden="1">{"FCB_ALL",#N/A,FALSE,"FCB"}</definedName>
    <definedName name="wrn.fcb2_3_2" localSheetId="9" hidden="1">{"FCB_ALL",#N/A,FALSE,"FCB"}</definedName>
    <definedName name="wrn.fcb2_3_2" hidden="1">{"FCB_ALL",#N/A,FALSE,"FCB"}</definedName>
    <definedName name="wrn.fcb2_3_3" localSheetId="10" hidden="1">{"FCB_ALL",#N/A,FALSE,"FCB"}</definedName>
    <definedName name="wrn.fcb2_3_3" localSheetId="9" hidden="1">{"FCB_ALL",#N/A,FALSE,"FCB"}</definedName>
    <definedName name="wrn.fcb2_3_3" hidden="1">{"FCB_ALL",#N/A,FALSE,"FCB"}</definedName>
    <definedName name="wrn.fcb2_3_4" localSheetId="10" hidden="1">{"FCB_ALL",#N/A,FALSE,"FCB"}</definedName>
    <definedName name="wrn.fcb2_3_4" localSheetId="9" hidden="1">{"FCB_ALL",#N/A,FALSE,"FCB"}</definedName>
    <definedName name="wrn.fcb2_3_4" hidden="1">{"FCB_ALL",#N/A,FALSE,"FCB"}</definedName>
    <definedName name="wrn.fcb2_4" localSheetId="10" hidden="1">{"FCB_ALL",#N/A,FALSE,"FCB"}</definedName>
    <definedName name="wrn.fcb2_4" localSheetId="9" hidden="1">{"FCB_ALL",#N/A,FALSE,"FCB"}</definedName>
    <definedName name="wrn.fcb2_4" hidden="1">{"FCB_ALL",#N/A,FALSE,"FCB"}</definedName>
    <definedName name="wrn.fcb2_4_1" localSheetId="10" hidden="1">{"FCB_ALL",#N/A,FALSE,"FCB"}</definedName>
    <definedName name="wrn.fcb2_4_1" localSheetId="9" hidden="1">{"FCB_ALL",#N/A,FALSE,"FCB"}</definedName>
    <definedName name="wrn.fcb2_4_1" hidden="1">{"FCB_ALL",#N/A,FALSE,"FCB"}</definedName>
    <definedName name="wrn.fcb2_4_2" localSheetId="10" hidden="1">{"FCB_ALL",#N/A,FALSE,"FCB"}</definedName>
    <definedName name="wrn.fcb2_4_2" localSheetId="9" hidden="1">{"FCB_ALL",#N/A,FALSE,"FCB"}</definedName>
    <definedName name="wrn.fcb2_4_2" hidden="1">{"FCB_ALL",#N/A,FALSE,"FCB"}</definedName>
    <definedName name="wrn.fcb2_4_3" localSheetId="10" hidden="1">{"FCB_ALL",#N/A,FALSE,"FCB"}</definedName>
    <definedName name="wrn.fcb2_4_3" localSheetId="9" hidden="1">{"FCB_ALL",#N/A,FALSE,"FCB"}</definedName>
    <definedName name="wrn.fcb2_4_3" hidden="1">{"FCB_ALL",#N/A,FALSE,"FCB"}</definedName>
    <definedName name="wrn.fcb2_4_4" localSheetId="10" hidden="1">{"FCB_ALL",#N/A,FALSE,"FCB"}</definedName>
    <definedName name="wrn.fcb2_4_4" localSheetId="9" hidden="1">{"FCB_ALL",#N/A,FALSE,"FCB"}</definedName>
    <definedName name="wrn.fcb2_4_4" hidden="1">{"FCB_ALL",#N/A,FALSE,"FCB"}</definedName>
    <definedName name="wrn.fcb2_5" localSheetId="10" hidden="1">{"FCB_ALL",#N/A,FALSE,"FCB"}</definedName>
    <definedName name="wrn.fcb2_5" localSheetId="9" hidden="1">{"FCB_ALL",#N/A,FALSE,"FCB"}</definedName>
    <definedName name="wrn.fcb2_5" hidden="1">{"FCB_ALL",#N/A,FALSE,"FCB"}</definedName>
    <definedName name="wrn.fcb2_5_1" localSheetId="10" hidden="1">{"FCB_ALL",#N/A,FALSE,"FCB"}</definedName>
    <definedName name="wrn.fcb2_5_1" localSheetId="9" hidden="1">{"FCB_ALL",#N/A,FALSE,"FCB"}</definedName>
    <definedName name="wrn.fcb2_5_1" hidden="1">{"FCB_ALL",#N/A,FALSE,"FCB"}</definedName>
    <definedName name="wrn.fcb2_5_2" localSheetId="10" hidden="1">{"FCB_ALL",#N/A,FALSE,"FCB"}</definedName>
    <definedName name="wrn.fcb2_5_2" localSheetId="9" hidden="1">{"FCB_ALL",#N/A,FALSE,"FCB"}</definedName>
    <definedName name="wrn.fcb2_5_2" hidden="1">{"FCB_ALL",#N/A,FALSE,"FCB"}</definedName>
    <definedName name="wrn.fcb2_5_3" localSheetId="10" hidden="1">{"FCB_ALL",#N/A,FALSE,"FCB"}</definedName>
    <definedName name="wrn.fcb2_5_3" localSheetId="9" hidden="1">{"FCB_ALL",#N/A,FALSE,"FCB"}</definedName>
    <definedName name="wrn.fcb2_5_3" hidden="1">{"FCB_ALL",#N/A,FALSE,"FCB"}</definedName>
    <definedName name="wrn.fcb2_5_4" localSheetId="10" hidden="1">{"FCB_ALL",#N/A,FALSE,"FCB"}</definedName>
    <definedName name="wrn.fcb2_5_4" localSheetId="9" hidden="1">{"FCB_ALL",#N/A,FALSE,"FCB"}</definedName>
    <definedName name="wrn.fcb2_5_4" hidden="1">{"FCB_ALL",#N/A,FALSE,"FCB"}</definedName>
    <definedName name="wrn.Ferro." localSheetId="10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erro." localSheetId="9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erro.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erro._1" localSheetId="10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erro._1" localSheetId="9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erro._1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FM." localSheetId="10" hidden="1">{#N/A,#N/A,FALSE,"FFM"}</definedName>
    <definedName name="wrn.FFM." localSheetId="9" hidden="1">{#N/A,#N/A,FALSE,"FFM"}</definedName>
    <definedName name="wrn.FFM." hidden="1">{#N/A,#N/A,FALSE,"FFM"}</definedName>
    <definedName name="wrn.Final._.Payable._.By._.Country." localSheetId="10" hidden="1">{"Final Payable By Country",#N/A,FALSE,"Final Payable"}</definedName>
    <definedName name="wrn.Final._.Payable._.By._.Country." localSheetId="9" hidden="1">{"Final Payable By Country",#N/A,FALSE,"Final Payable"}</definedName>
    <definedName name="wrn.Final._.Payable._.By._.Country." hidden="1">{"Final Payable By Country",#N/A,FALSE,"Final Payable"}</definedName>
    <definedName name="wrn.Financial._.Output." localSheetId="10" hidden="1">{"P and L",#N/A,FALSE,"Financial Output";"Cashflow",#N/A,FALSE,"Financial Output";"Balance Sheet",#N/A,FALSE,"Financial Output"}</definedName>
    <definedName name="wrn.Financial._.Output." localSheetId="9" hidden="1">{"P and L",#N/A,FALSE,"Financial Output";"Cashflow",#N/A,FALSE,"Financial Output";"Balance Sheet",#N/A,FALSE,"Financial Output"}</definedName>
    <definedName name="wrn.Financial._.Output." hidden="1">{"P and L",#N/A,FALSE,"Financial Output";"Cashflow",#N/A,FALSE,"Financial Output";"Balance Sheet",#N/A,FALSE,"Financial Output"}</definedName>
    <definedName name="wrn.Financial._.Reports." localSheetId="10" hidden="1">{#N/A,#N/A,TRUE,"Title";#N/A,#N/A,TRUE,"Index";#N/A,#N/A,TRUE,"Consolidated P&amp;L";#N/A,#N/A,TRUE,"EPH P&amp;L";#N/A,#N/A,TRUE,"Delemar P&amp;L";#N/A,#N/A,TRUE,"Uttterson P&amp;L";#N/A,#N/A,TRUE,"Balance Sheet";#N/A,#N/A,TRUE,"Cash Flow";#N/A,#N/A,TRUE,"KPI";#N/A,#N/A,TRUE,"2. Working Capital";#N/A,#N/A,TRUE,"3. Investments";#N/A,#N/A,TRUE,"4. PPE";#N/A,#N/A,TRUE,"5. Tax";#N/A,#N/A,TRUE,"6. Intangibles";#N/A,#N/A,TRUE,"7. Other NCA";#N/A,#N/A,TRUE,"8. Borrowings";#N/A,#N/A,TRUE,"9. Equity";#N/A,#N/A,TRUE,"GST"}</definedName>
    <definedName name="wrn.Financial._.Reports." localSheetId="9" hidden="1">{#N/A,#N/A,TRUE,"Title";#N/A,#N/A,TRUE,"Index";#N/A,#N/A,TRUE,"Consolidated P&amp;L";#N/A,#N/A,TRUE,"EPH P&amp;L";#N/A,#N/A,TRUE,"Delemar P&amp;L";#N/A,#N/A,TRUE,"Uttterson P&amp;L";#N/A,#N/A,TRUE,"Balance Sheet";#N/A,#N/A,TRUE,"Cash Flow";#N/A,#N/A,TRUE,"KPI";#N/A,#N/A,TRUE,"2. Working Capital";#N/A,#N/A,TRUE,"3. Investments";#N/A,#N/A,TRUE,"4. PPE";#N/A,#N/A,TRUE,"5. Tax";#N/A,#N/A,TRUE,"6. Intangibles";#N/A,#N/A,TRUE,"7. Other NCA";#N/A,#N/A,TRUE,"8. Borrowings";#N/A,#N/A,TRUE,"9. Equity";#N/A,#N/A,TRUE,"GST"}</definedName>
    <definedName name="wrn.Financial._.Reports." hidden="1">{#N/A,#N/A,TRUE,"Title";#N/A,#N/A,TRUE,"Index";#N/A,#N/A,TRUE,"Consolidated P&amp;L";#N/A,#N/A,TRUE,"EPH P&amp;L";#N/A,#N/A,TRUE,"Delemar P&amp;L";#N/A,#N/A,TRUE,"Uttterson P&amp;L";#N/A,#N/A,TRUE,"Balance Sheet";#N/A,#N/A,TRUE,"Cash Flow";#N/A,#N/A,TRUE,"KPI";#N/A,#N/A,TRUE,"2. Working Capital";#N/A,#N/A,TRUE,"3. Investments";#N/A,#N/A,TRUE,"4. PPE";#N/A,#N/A,TRUE,"5. Tax";#N/A,#N/A,TRUE,"6. Intangibles";#N/A,#N/A,TRUE,"7. Other NCA";#N/A,#N/A,TRUE,"8. Borrowings";#N/A,#N/A,TRUE,"9. Equity";#N/A,#N/A,TRUE,"GST"}</definedName>
    <definedName name="wrn.FINANCIALS." localSheetId="10" hidden="1">{#N/A,#N/A,TRUE,"SUMMARY";#N/A,#N/A,TRUE,"CASH CON";#N/A,#N/A,TRUE,"CASH OP";#N/A,#N/A,TRUE,"INCOME";#N/A,#N/A,TRUE,"BAL SHEET"}</definedName>
    <definedName name="wrn.FINANCIALS." localSheetId="9" hidden="1">{#N/A,#N/A,TRUE,"SUMMARY";#N/A,#N/A,TRUE,"CASH CON";#N/A,#N/A,TRUE,"CASH OP";#N/A,#N/A,TRUE,"INCOME";#N/A,#N/A,TRUE,"BAL SHEET"}</definedName>
    <definedName name="wrn.FINANCIALS." hidden="1">{#N/A,#N/A,TRUE,"SUMMARY";#N/A,#N/A,TRUE,"CASH CON";#N/A,#N/A,TRUE,"CASH OP";#N/A,#N/A,TRUE,"INCOME";#N/A,#N/A,TRUE,"BAL SHEET"}</definedName>
    <definedName name="wrn.finstat." localSheetId="10" hidden="1">{"ass",#N/A,FALSE,"finstat";"inc",#N/A,FALSE,"finstat";"bs",#N/A,FALSE,"finstat";"cf",#N/A,FALSE,"finstat";"ratios",#N/A,FALSE,"finstat"}</definedName>
    <definedName name="wrn.finstat." localSheetId="9" hidden="1">{"ass",#N/A,FALSE,"finstat";"inc",#N/A,FALSE,"finstat";"bs",#N/A,FALSE,"finstat";"cf",#N/A,FALSE,"finstat";"ratios",#N/A,FALSE,"finstat"}</definedName>
    <definedName name="wrn.finstat." hidden="1">{"ass",#N/A,FALSE,"finstat";"inc",#N/A,FALSE,"finstat";"bs",#N/A,FALSE,"finstat";"cf",#N/A,FALSE,"finstat";"ratios",#N/A,FALSE,"finstat"}</definedName>
    <definedName name="wrn.Five._.Year._.Record." localSheetId="10" hidden="1">{"Five Year Record",#N/A,FALSE,"Front and Back"}</definedName>
    <definedName name="wrn.Five._.Year._.Record." localSheetId="9" hidden="1">{"Five Year Record",#N/A,FALSE,"Front and Back"}</definedName>
    <definedName name="wrn.Five._.Year._.Record." hidden="1">{"Five Year Record",#N/A,FALSE,"Front and Back"}</definedName>
    <definedName name="wrn.for._.TenneT." localSheetId="10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9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1" localSheetId="10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1" localSheetId="9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1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ecast._.Q1." localSheetId="10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" localSheetId="9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" localSheetId="10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" localSheetId="9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" localSheetId="10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" localSheetId="9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" localSheetId="10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" localSheetId="9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" localSheetId="10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" localSheetId="9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localSheetId="10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localSheetId="9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m." localSheetId="10" hidden="1">{#N/A,#N/A,FALSE,"OffAdvance";#N/A,#N/A,FALSE,"OffExpRprt";#N/A,#N/A,FALSE,"Entertmnt";#N/A,#N/A,FALSE,"Promotion";#N/A,#N/A,FALSE,"Travelling"}</definedName>
    <definedName name="wrn.form." localSheetId="9" hidden="1">{#N/A,#N/A,FALSE,"OffAdvance";#N/A,#N/A,FALSE,"OffExpRprt";#N/A,#N/A,FALSE,"Entertmnt";#N/A,#N/A,FALSE,"Promotion";#N/A,#N/A,FALSE,"Travelling"}</definedName>
    <definedName name="wrn.form." hidden="1">{#N/A,#N/A,FALSE,"OffAdvance";#N/A,#N/A,FALSE,"OffExpRprt";#N/A,#N/A,FALSE,"Entertmnt";#N/A,#N/A,FALSE,"Promotion";#N/A,#N/A,FALSE,"Travelling"}</definedName>
    <definedName name="wrn.form._1" localSheetId="10" hidden="1">{#N/A,#N/A,FALSE,"OffAdvance";#N/A,#N/A,FALSE,"OffExpRprt";#N/A,#N/A,FALSE,"Entertmnt";#N/A,#N/A,FALSE,"Promotion";#N/A,#N/A,FALSE,"Travelling"}</definedName>
    <definedName name="wrn.form._1" localSheetId="9" hidden="1">{#N/A,#N/A,FALSE,"OffAdvance";#N/A,#N/A,FALSE,"OffExpRprt";#N/A,#N/A,FALSE,"Entertmnt";#N/A,#N/A,FALSE,"Promotion";#N/A,#N/A,FALSE,"Travelling"}</definedName>
    <definedName name="wrn.form._1" hidden="1">{#N/A,#N/A,FALSE,"OffAdvance";#N/A,#N/A,FALSE,"OffExpRprt";#N/A,#N/A,FALSE,"Entertmnt";#N/A,#N/A,FALSE,"Promotion";#N/A,#N/A,FALSE,"Travelling"}</definedName>
    <definedName name="wrn.FOUR._.CASES." localSheetId="10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CASES." localSheetId="9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CASES.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CASES._1" localSheetId="10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CASES._1" localSheetId="9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CASES._1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riendly." localSheetId="10" hidden="1">{#N/A,#N/A,TRUE,"Julio";#N/A,#N/A,TRUE,"Agosto";#N/A,#N/A,TRUE,"BHCo";#N/A,#N/A,TRUE,"Abril";#N/A,#N/A,TRUE,"Pro Forma"}</definedName>
    <definedName name="wrn.Friendly." localSheetId="9" hidden="1">{#N/A,#N/A,TRUE,"Julio";#N/A,#N/A,TRUE,"Agosto";#N/A,#N/A,TRUE,"BHCo";#N/A,#N/A,TRUE,"Abril";#N/A,#N/A,TRUE,"Pro Forma"}</definedName>
    <definedName name="wrn.Friendly." hidden="1">{#N/A,#N/A,TRUE,"Julio";#N/A,#N/A,TRUE,"Agosto";#N/A,#N/A,TRUE,"BHCo";#N/A,#N/A,TRUE,"Abril";#N/A,#N/A,TRUE,"Pro Forma"}</definedName>
    <definedName name="wrn.Front._.Page." localSheetId="10" hidden="1">{"Front Page",#N/A,FALSE,"Front and Back"}</definedName>
    <definedName name="wrn.Front._.Page." localSheetId="9" hidden="1">{"Front Page",#N/A,FALSE,"Front and Back"}</definedName>
    <definedName name="wrn.Front._.Page." hidden="1">{"Front Page",#N/A,FALSE,"Front and Back"}</definedName>
    <definedName name="wrn.Full." localSheetId="10" hidden="1">{#N/A,#N/A,FALSE,"Cover";"outputs total",#N/A,FALSE,"Outputs"}</definedName>
    <definedName name="wrn.Full." localSheetId="9" hidden="1">{#N/A,#N/A,FALSE,"Cover";"outputs total",#N/A,FALSE,"Outputs"}</definedName>
    <definedName name="wrn.Full." hidden="1">{#N/A,#N/A,FALSE,"Cover";"outputs total",#N/A,FALSE,"Outputs"}</definedName>
    <definedName name="wrn.Full._.Model." localSheetId="10" hidden="1">{#N/A,#N/A,TRUE,"Cover Sheet ";#N/A,#N/A,TRUE,"INPUTS";#N/A,#N/A,TRUE,"OUTPUTS"}</definedName>
    <definedName name="wrn.Full._.Model." localSheetId="9" hidden="1">{#N/A,#N/A,TRUE,"Cover Sheet ";#N/A,#N/A,TRUE,"INPUTS";#N/A,#N/A,TRUE,"OUTPUTS"}</definedName>
    <definedName name="wrn.Full._.Model." hidden="1">{#N/A,#N/A,TRUE,"Cover Sheet ";#N/A,#N/A,TRUE,"INPUTS";#N/A,#N/A,TRUE,"OUTPUTS"}</definedName>
    <definedName name="wrn.Full._.Report." localSheetId="10" hidden="1">{#N/A,#N/A,FALSE,"PRESS ADVERTISEMENT (SEBI)";#N/A,#N/A,FALSE,"US GAAP (not printed)"}</definedName>
    <definedName name="wrn.Full._.Report." localSheetId="9" hidden="1">{#N/A,#N/A,FALSE,"PRESS ADVERTISEMENT (SEBI)";#N/A,#N/A,FALSE,"US GAAP (not printed)"}</definedName>
    <definedName name="wrn.Full._.Report." hidden="1">{#N/A,#N/A,FALSE,"PRESS ADVERTISEMENT (SEBI)";#N/A,#N/A,FALSE,"US GAAP (not printed)"}</definedName>
    <definedName name="wrn.Full._.Report._1" localSheetId="10" hidden="1">{#N/A,#N/A,FALSE,"PRESS ADVERTISEMENT (SEBI)";#N/A,#N/A,FALSE,"US GAAP (not printed)"}</definedName>
    <definedName name="wrn.Full._.Report._1" localSheetId="9" hidden="1">{#N/A,#N/A,FALSE,"PRESS ADVERTISEMENT (SEBI)";#N/A,#N/A,FALSE,"US GAAP (not printed)"}</definedName>
    <definedName name="wrn.Full._.Report._1" hidden="1">{#N/A,#N/A,FALSE,"PRESS ADVERTISEMENT (SEBI)";#N/A,#N/A,FALSE,"US GAAP (not printed)"}</definedName>
    <definedName name="wrn.Full._.Year._.By._.Month." localSheetId="10" hidden="1">{"JanToDec",#N/A,FALSE,"Forecast"}</definedName>
    <definedName name="wrn.Full._.Year._.By._.Month." localSheetId="9" hidden="1">{"JanToDec",#N/A,FALSE,"Forecast"}</definedName>
    <definedName name="wrn.Full._.Year._.By._.Month." hidden="1">{"JanToDec",#N/A,FALSE,"Forecast"}</definedName>
    <definedName name="wrn.Full._.Year._.By._.Month._1" localSheetId="10" hidden="1">{"JanToDec",#N/A,FALSE,"Forecast"}</definedName>
    <definedName name="wrn.Full._.Year._.By._.Month._1" localSheetId="9" hidden="1">{"JanToDec",#N/A,FALSE,"Forecast"}</definedName>
    <definedName name="wrn.Full._.Year._.By._.Month._1" hidden="1">{"JanToDec",#N/A,FALSE,"Forecast"}</definedName>
    <definedName name="wrn.Fullprint." localSheetId="10" hidden="1">{#N/A,#N/A,FALSE,"P&amp;L 1Q02";#N/A,#N/A,FALSE,"P&amp;L 2Q02";#N/A,#N/A,FALSE,"P&amp;L 3Q02";#N/A,#N/A,FALSE,"P&amp;L 4Q02";#N/A,#N/A,FALSE,"P&amp;L 2002";#N/A,#N/A,FALSE,"P&amp;L 1Q03";#N/A,#N/A,FALSE,"P&amp;L 1Q03";#N/A,#N/A,FALSE,"P&amp;L 2Q03";#N/A,#N/A,FALSE,"P&amp;L 3Q03";#N/A,#N/A,FALSE,"P&amp;L 4Q03";#N/A,#N/A,FALSE,"P&amp;L 2003";#N/A,#N/A,FALSE,"P&amp;L 2004";#N/A,#N/A,FALSE,"P&amp;L 2005"}</definedName>
    <definedName name="wrn.Fullprint." localSheetId="9" hidden="1">{#N/A,#N/A,FALSE,"P&amp;L 1Q02";#N/A,#N/A,FALSE,"P&amp;L 2Q02";#N/A,#N/A,FALSE,"P&amp;L 3Q02";#N/A,#N/A,FALSE,"P&amp;L 4Q02";#N/A,#N/A,FALSE,"P&amp;L 2002";#N/A,#N/A,FALSE,"P&amp;L 1Q03";#N/A,#N/A,FALSE,"P&amp;L 1Q03";#N/A,#N/A,FALSE,"P&amp;L 2Q03";#N/A,#N/A,FALSE,"P&amp;L 3Q03";#N/A,#N/A,FALSE,"P&amp;L 4Q03";#N/A,#N/A,FALSE,"P&amp;L 2003";#N/A,#N/A,FALSE,"P&amp;L 2004";#N/A,#N/A,FALSE,"P&amp;L 2005"}</definedName>
    <definedName name="wrn.Fullprint." hidden="1">{#N/A,#N/A,FALSE,"P&amp;L 1Q02";#N/A,#N/A,FALSE,"P&amp;L 2Q02";#N/A,#N/A,FALSE,"P&amp;L 3Q02";#N/A,#N/A,FALSE,"P&amp;L 4Q02";#N/A,#N/A,FALSE,"P&amp;L 2002";#N/A,#N/A,FALSE,"P&amp;L 1Q03";#N/A,#N/A,FALSE,"P&amp;L 1Q03";#N/A,#N/A,FALSE,"P&amp;L 2Q03";#N/A,#N/A,FALSE,"P&amp;L 3Q03";#N/A,#N/A,FALSE,"P&amp;L 4Q03";#N/A,#N/A,FALSE,"P&amp;L 2003";#N/A,#N/A,FALSE,"P&amp;L 2004";#N/A,#N/A,FALSE,"P&amp;L 2005"}</definedName>
    <definedName name="wrn.Fullprint._1" localSheetId="10" hidden="1">{#N/A,#N/A,FALSE,"P&amp;L 1Q02";#N/A,#N/A,FALSE,"P&amp;L 2Q02";#N/A,#N/A,FALSE,"P&amp;L 3Q02";#N/A,#N/A,FALSE,"P&amp;L 4Q02";#N/A,#N/A,FALSE,"P&amp;L 2002";#N/A,#N/A,FALSE,"P&amp;L 1Q03";#N/A,#N/A,FALSE,"P&amp;L 1Q03";#N/A,#N/A,FALSE,"P&amp;L 2Q03";#N/A,#N/A,FALSE,"P&amp;L 3Q03";#N/A,#N/A,FALSE,"P&amp;L 4Q03";#N/A,#N/A,FALSE,"P&amp;L 2003";#N/A,#N/A,FALSE,"P&amp;L 2004";#N/A,#N/A,FALSE,"P&amp;L 2005"}</definedName>
    <definedName name="wrn.Fullprint._1" localSheetId="9" hidden="1">{#N/A,#N/A,FALSE,"P&amp;L 1Q02";#N/A,#N/A,FALSE,"P&amp;L 2Q02";#N/A,#N/A,FALSE,"P&amp;L 3Q02";#N/A,#N/A,FALSE,"P&amp;L 4Q02";#N/A,#N/A,FALSE,"P&amp;L 2002";#N/A,#N/A,FALSE,"P&amp;L 1Q03";#N/A,#N/A,FALSE,"P&amp;L 1Q03";#N/A,#N/A,FALSE,"P&amp;L 2Q03";#N/A,#N/A,FALSE,"P&amp;L 3Q03";#N/A,#N/A,FALSE,"P&amp;L 4Q03";#N/A,#N/A,FALSE,"P&amp;L 2003";#N/A,#N/A,FALSE,"P&amp;L 2004";#N/A,#N/A,FALSE,"P&amp;L 2005"}</definedName>
    <definedName name="wrn.Fullprint._1" hidden="1">{#N/A,#N/A,FALSE,"P&amp;L 1Q02";#N/A,#N/A,FALSE,"P&amp;L 2Q02";#N/A,#N/A,FALSE,"P&amp;L 3Q02";#N/A,#N/A,FALSE,"P&amp;L 4Q02";#N/A,#N/A,FALSE,"P&amp;L 2002";#N/A,#N/A,FALSE,"P&amp;L 1Q03";#N/A,#N/A,FALSE,"P&amp;L 1Q03";#N/A,#N/A,FALSE,"P&amp;L 2Q03";#N/A,#N/A,FALSE,"P&amp;L 3Q03";#N/A,#N/A,FALSE,"P&amp;L 4Q03";#N/A,#N/A,FALSE,"P&amp;L 2003";#N/A,#N/A,FALSE,"P&amp;L 2004";#N/A,#N/A,FALSE,"P&amp;L 2005"}</definedName>
    <definedName name="wrn.FW._.Summary." localSheetId="10" hidden="1">{#N/A,#N/A,FALSE,"Summary";#N/A,#N/A,FALSE,"Instructions";#N/A,#N/A,FALSE,"Aero97 (Malaysia)";#N/A,#N/A,FALSE,"Caledonian";#N/A,#N/A,FALSE,"Celma";#N/A,#N/A,FALSE,"Dallas";#N/A,#N/A,FALSE,"Ontario";#N/A,#N/A,FALSE,"Strother";#N/A,#N/A,FALSE,"Varig";#N/A,#N/A,FALSE,"Wales";#N/A,#N/A,FALSE,"Xiamen";#N/A,#N/A,FALSE,"Delivery and Quality";#N/A,#N/A,FALSE,"Issue Resolution Process"}</definedName>
    <definedName name="wrn.FW._.Summary." localSheetId="9" hidden="1">{#N/A,#N/A,FALSE,"Summary";#N/A,#N/A,FALSE,"Instructions";#N/A,#N/A,FALSE,"Aero97 (Malaysia)";#N/A,#N/A,FALSE,"Caledonian";#N/A,#N/A,FALSE,"Celma";#N/A,#N/A,FALSE,"Dallas";#N/A,#N/A,FALSE,"Ontario";#N/A,#N/A,FALSE,"Strother";#N/A,#N/A,FALSE,"Varig";#N/A,#N/A,FALSE,"Wales";#N/A,#N/A,FALSE,"Xiamen";#N/A,#N/A,FALSE,"Delivery and Quality";#N/A,#N/A,FALSE,"Issue Resolution Process"}</definedName>
    <definedName name="wrn.FW._.Summary." hidden="1">{#N/A,#N/A,FALSE,"Summary";#N/A,#N/A,FALSE,"Instructions";#N/A,#N/A,FALSE,"Aero97 (Malaysia)";#N/A,#N/A,FALSE,"Caledonian";#N/A,#N/A,FALSE,"Celma";#N/A,#N/A,FALSE,"Dallas";#N/A,#N/A,FALSE,"Ontario";#N/A,#N/A,FALSE,"Strother";#N/A,#N/A,FALSE,"Varig";#N/A,#N/A,FALSE,"Wales";#N/A,#N/A,FALSE,"Xiamen";#N/A,#N/A,FALSE,"Delivery and Quality";#N/A,#N/A,FALSE,"Issue Resolution Process"}</definedName>
    <definedName name="wrn.FW._.Summary._1" localSheetId="10" hidden="1">{#N/A,#N/A,FALSE,"Summary";#N/A,#N/A,FALSE,"Instructions";#N/A,#N/A,FALSE,"Aero97 (Malaysia)";#N/A,#N/A,FALSE,"Caledonian";#N/A,#N/A,FALSE,"Celma";#N/A,#N/A,FALSE,"Dallas";#N/A,#N/A,FALSE,"Ontario";#N/A,#N/A,FALSE,"Strother";#N/A,#N/A,FALSE,"Varig";#N/A,#N/A,FALSE,"Wales";#N/A,#N/A,FALSE,"Xiamen";#N/A,#N/A,FALSE,"Delivery and Quality";#N/A,#N/A,FALSE,"Issue Resolution Process"}</definedName>
    <definedName name="wrn.FW._.Summary._1" localSheetId="9" hidden="1">{#N/A,#N/A,FALSE,"Summary";#N/A,#N/A,FALSE,"Instructions";#N/A,#N/A,FALSE,"Aero97 (Malaysia)";#N/A,#N/A,FALSE,"Caledonian";#N/A,#N/A,FALSE,"Celma";#N/A,#N/A,FALSE,"Dallas";#N/A,#N/A,FALSE,"Ontario";#N/A,#N/A,FALSE,"Strother";#N/A,#N/A,FALSE,"Varig";#N/A,#N/A,FALSE,"Wales";#N/A,#N/A,FALSE,"Xiamen";#N/A,#N/A,FALSE,"Delivery and Quality";#N/A,#N/A,FALSE,"Issue Resolution Process"}</definedName>
    <definedName name="wrn.FW._.Summary._1" hidden="1">{#N/A,#N/A,FALSE,"Summary";#N/A,#N/A,FALSE,"Instructions";#N/A,#N/A,FALSE,"Aero97 (Malaysia)";#N/A,#N/A,FALSE,"Caledonian";#N/A,#N/A,FALSE,"Celma";#N/A,#N/A,FALSE,"Dallas";#N/A,#N/A,FALSE,"Ontario";#N/A,#N/A,FALSE,"Strother";#N/A,#N/A,FALSE,"Varig";#N/A,#N/A,FALSE,"Wales";#N/A,#N/A,FALSE,"Xiamen";#N/A,#N/A,FALSE,"Delivery and Quality";#N/A,#N/A,FALSE,"Issue Resolution Process"}</definedName>
    <definedName name="wrn.FY97SBP." localSheetId="10" hidden="1">{#N/A,#N/A,FALSE,"FY97";#N/A,#N/A,FALSE,"FY98";#N/A,#N/A,FALSE,"FY99";#N/A,#N/A,FALSE,"FY00";#N/A,#N/A,FALSE,"FY01"}</definedName>
    <definedName name="wrn.FY97SBP." localSheetId="9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FY97SBP._1" localSheetId="10" hidden="1">{#N/A,#N/A,FALSE,"FY97";#N/A,#N/A,FALSE,"FY98";#N/A,#N/A,FALSE,"FY99";#N/A,#N/A,FALSE,"FY00";#N/A,#N/A,FALSE,"FY01"}</definedName>
    <definedName name="wrn.FY97SBP._1" localSheetId="9" hidden="1">{#N/A,#N/A,FALSE,"FY97";#N/A,#N/A,FALSE,"FY98";#N/A,#N/A,FALSE,"FY99";#N/A,#N/A,FALSE,"FY00";#N/A,#N/A,FALSE,"FY01"}</definedName>
    <definedName name="wrn.FY97SBP._1" hidden="1">{#N/A,#N/A,FALSE,"FY97";#N/A,#N/A,FALSE,"FY98";#N/A,#N/A,FALSE,"FY99";#N/A,#N/A,FALSE,"FY00";#N/A,#N/A,FALSE,"FY01"}</definedName>
    <definedName name="wrn.FY97SBP._1_1" localSheetId="10" hidden="1">{#N/A,#N/A,FALSE,"FY97";#N/A,#N/A,FALSE,"FY98";#N/A,#N/A,FALSE,"FY99";#N/A,#N/A,FALSE,"FY00";#N/A,#N/A,FALSE,"FY01"}</definedName>
    <definedName name="wrn.FY97SBP._1_1" localSheetId="9" hidden="1">{#N/A,#N/A,FALSE,"FY97";#N/A,#N/A,FALSE,"FY98";#N/A,#N/A,FALSE,"FY99";#N/A,#N/A,FALSE,"FY00";#N/A,#N/A,FALSE,"FY01"}</definedName>
    <definedName name="wrn.FY97SBP._1_1" hidden="1">{#N/A,#N/A,FALSE,"FY97";#N/A,#N/A,FALSE,"FY98";#N/A,#N/A,FALSE,"FY99";#N/A,#N/A,FALSE,"FY00";#N/A,#N/A,FALSE,"FY01"}</definedName>
    <definedName name="wrn.FY97SBP._1_2" localSheetId="10" hidden="1">{#N/A,#N/A,FALSE,"FY97";#N/A,#N/A,FALSE,"FY98";#N/A,#N/A,FALSE,"FY99";#N/A,#N/A,FALSE,"FY00";#N/A,#N/A,FALSE,"FY01"}</definedName>
    <definedName name="wrn.FY97SBP._1_2" localSheetId="9" hidden="1">{#N/A,#N/A,FALSE,"FY97";#N/A,#N/A,FALSE,"FY98";#N/A,#N/A,FALSE,"FY99";#N/A,#N/A,FALSE,"FY00";#N/A,#N/A,FALSE,"FY01"}</definedName>
    <definedName name="wrn.FY97SBP._1_2" hidden="1">{#N/A,#N/A,FALSE,"FY97";#N/A,#N/A,FALSE,"FY98";#N/A,#N/A,FALSE,"FY99";#N/A,#N/A,FALSE,"FY00";#N/A,#N/A,FALSE,"FY01"}</definedName>
    <definedName name="wrn.FY97SBP._1_3" localSheetId="10" hidden="1">{#N/A,#N/A,FALSE,"FY97";#N/A,#N/A,FALSE,"FY98";#N/A,#N/A,FALSE,"FY99";#N/A,#N/A,FALSE,"FY00";#N/A,#N/A,FALSE,"FY01"}</definedName>
    <definedName name="wrn.FY97SBP._1_3" localSheetId="9" hidden="1">{#N/A,#N/A,FALSE,"FY97";#N/A,#N/A,FALSE,"FY98";#N/A,#N/A,FALSE,"FY99";#N/A,#N/A,FALSE,"FY00";#N/A,#N/A,FALSE,"FY01"}</definedName>
    <definedName name="wrn.FY97SBP._1_3" hidden="1">{#N/A,#N/A,FALSE,"FY97";#N/A,#N/A,FALSE,"FY98";#N/A,#N/A,FALSE,"FY99";#N/A,#N/A,FALSE,"FY00";#N/A,#N/A,FALSE,"FY01"}</definedName>
    <definedName name="wrn.FY97SBP._1_4" localSheetId="10" hidden="1">{#N/A,#N/A,FALSE,"FY97";#N/A,#N/A,FALSE,"FY98";#N/A,#N/A,FALSE,"FY99";#N/A,#N/A,FALSE,"FY00";#N/A,#N/A,FALSE,"FY01"}</definedName>
    <definedName name="wrn.FY97SBP._1_4" localSheetId="9" hidden="1">{#N/A,#N/A,FALSE,"FY97";#N/A,#N/A,FALSE,"FY98";#N/A,#N/A,FALSE,"FY99";#N/A,#N/A,FALSE,"FY00";#N/A,#N/A,FALSE,"FY01"}</definedName>
    <definedName name="wrn.FY97SBP._1_4" hidden="1">{#N/A,#N/A,FALSE,"FY97";#N/A,#N/A,FALSE,"FY98";#N/A,#N/A,FALSE,"FY99";#N/A,#N/A,FALSE,"FY00";#N/A,#N/A,FALSE,"FY01"}</definedName>
    <definedName name="wrn.FY97SBP._2" localSheetId="10" hidden="1">{#N/A,#N/A,FALSE,"FY97";#N/A,#N/A,FALSE,"FY98";#N/A,#N/A,FALSE,"FY99";#N/A,#N/A,FALSE,"FY00";#N/A,#N/A,FALSE,"FY01"}</definedName>
    <definedName name="wrn.FY97SBP._2" localSheetId="9" hidden="1">{#N/A,#N/A,FALSE,"FY97";#N/A,#N/A,FALSE,"FY98";#N/A,#N/A,FALSE,"FY99";#N/A,#N/A,FALSE,"FY00";#N/A,#N/A,FALSE,"FY01"}</definedName>
    <definedName name="wrn.FY97SBP._2" hidden="1">{#N/A,#N/A,FALSE,"FY97";#N/A,#N/A,FALSE,"FY98";#N/A,#N/A,FALSE,"FY99";#N/A,#N/A,FALSE,"FY00";#N/A,#N/A,FALSE,"FY01"}</definedName>
    <definedName name="wrn.FY97SBP._2_1" localSheetId="10" hidden="1">{#N/A,#N/A,FALSE,"FY97";#N/A,#N/A,FALSE,"FY98";#N/A,#N/A,FALSE,"FY99";#N/A,#N/A,FALSE,"FY00";#N/A,#N/A,FALSE,"FY01"}</definedName>
    <definedName name="wrn.FY97SBP._2_1" localSheetId="9" hidden="1">{#N/A,#N/A,FALSE,"FY97";#N/A,#N/A,FALSE,"FY98";#N/A,#N/A,FALSE,"FY99";#N/A,#N/A,FALSE,"FY00";#N/A,#N/A,FALSE,"FY01"}</definedName>
    <definedName name="wrn.FY97SBP._2_1" hidden="1">{#N/A,#N/A,FALSE,"FY97";#N/A,#N/A,FALSE,"FY98";#N/A,#N/A,FALSE,"FY99";#N/A,#N/A,FALSE,"FY00";#N/A,#N/A,FALSE,"FY01"}</definedName>
    <definedName name="wrn.FY97SBP._2_2" localSheetId="10" hidden="1">{#N/A,#N/A,FALSE,"FY97";#N/A,#N/A,FALSE,"FY98";#N/A,#N/A,FALSE,"FY99";#N/A,#N/A,FALSE,"FY00";#N/A,#N/A,FALSE,"FY01"}</definedName>
    <definedName name="wrn.FY97SBP._2_2" localSheetId="9" hidden="1">{#N/A,#N/A,FALSE,"FY97";#N/A,#N/A,FALSE,"FY98";#N/A,#N/A,FALSE,"FY99";#N/A,#N/A,FALSE,"FY00";#N/A,#N/A,FALSE,"FY01"}</definedName>
    <definedName name="wrn.FY97SBP._2_2" hidden="1">{#N/A,#N/A,FALSE,"FY97";#N/A,#N/A,FALSE,"FY98";#N/A,#N/A,FALSE,"FY99";#N/A,#N/A,FALSE,"FY00";#N/A,#N/A,FALSE,"FY01"}</definedName>
    <definedName name="wrn.FY97SBP._2_3" localSheetId="10" hidden="1">{#N/A,#N/A,FALSE,"FY97";#N/A,#N/A,FALSE,"FY98";#N/A,#N/A,FALSE,"FY99";#N/A,#N/A,FALSE,"FY00";#N/A,#N/A,FALSE,"FY01"}</definedName>
    <definedName name="wrn.FY97SBP._2_3" localSheetId="9" hidden="1">{#N/A,#N/A,FALSE,"FY97";#N/A,#N/A,FALSE,"FY98";#N/A,#N/A,FALSE,"FY99";#N/A,#N/A,FALSE,"FY00";#N/A,#N/A,FALSE,"FY01"}</definedName>
    <definedName name="wrn.FY97SBP._2_3" hidden="1">{#N/A,#N/A,FALSE,"FY97";#N/A,#N/A,FALSE,"FY98";#N/A,#N/A,FALSE,"FY99";#N/A,#N/A,FALSE,"FY00";#N/A,#N/A,FALSE,"FY01"}</definedName>
    <definedName name="wrn.FY97SBP._2_4" localSheetId="10" hidden="1">{#N/A,#N/A,FALSE,"FY97";#N/A,#N/A,FALSE,"FY98";#N/A,#N/A,FALSE,"FY99";#N/A,#N/A,FALSE,"FY00";#N/A,#N/A,FALSE,"FY01"}</definedName>
    <definedName name="wrn.FY97SBP._2_4" localSheetId="9" hidden="1">{#N/A,#N/A,FALSE,"FY97";#N/A,#N/A,FALSE,"FY98";#N/A,#N/A,FALSE,"FY99";#N/A,#N/A,FALSE,"FY00";#N/A,#N/A,FALSE,"FY01"}</definedName>
    <definedName name="wrn.FY97SBP._2_4" hidden="1">{#N/A,#N/A,FALSE,"FY97";#N/A,#N/A,FALSE,"FY98";#N/A,#N/A,FALSE,"FY99";#N/A,#N/A,FALSE,"FY00";#N/A,#N/A,FALSE,"FY01"}</definedName>
    <definedName name="wrn.FY97SBP._3" localSheetId="10" hidden="1">{#N/A,#N/A,FALSE,"FY97";#N/A,#N/A,FALSE,"FY98";#N/A,#N/A,FALSE,"FY99";#N/A,#N/A,FALSE,"FY00";#N/A,#N/A,FALSE,"FY01"}</definedName>
    <definedName name="wrn.FY97SBP._3" localSheetId="9" hidden="1">{#N/A,#N/A,FALSE,"FY97";#N/A,#N/A,FALSE,"FY98";#N/A,#N/A,FALSE,"FY99";#N/A,#N/A,FALSE,"FY00";#N/A,#N/A,FALSE,"FY01"}</definedName>
    <definedName name="wrn.FY97SBP._3" hidden="1">{#N/A,#N/A,FALSE,"FY97";#N/A,#N/A,FALSE,"FY98";#N/A,#N/A,FALSE,"FY99";#N/A,#N/A,FALSE,"FY00";#N/A,#N/A,FALSE,"FY01"}</definedName>
    <definedName name="wrn.FY97SBP._3_1" localSheetId="10" hidden="1">{#N/A,#N/A,FALSE,"FY97";#N/A,#N/A,FALSE,"FY98";#N/A,#N/A,FALSE,"FY99";#N/A,#N/A,FALSE,"FY00";#N/A,#N/A,FALSE,"FY01"}</definedName>
    <definedName name="wrn.FY97SBP._3_1" localSheetId="9" hidden="1">{#N/A,#N/A,FALSE,"FY97";#N/A,#N/A,FALSE,"FY98";#N/A,#N/A,FALSE,"FY99";#N/A,#N/A,FALSE,"FY00";#N/A,#N/A,FALSE,"FY01"}</definedName>
    <definedName name="wrn.FY97SBP._3_1" hidden="1">{#N/A,#N/A,FALSE,"FY97";#N/A,#N/A,FALSE,"FY98";#N/A,#N/A,FALSE,"FY99";#N/A,#N/A,FALSE,"FY00";#N/A,#N/A,FALSE,"FY01"}</definedName>
    <definedName name="wrn.FY97SBP._3_2" localSheetId="10" hidden="1">{#N/A,#N/A,FALSE,"FY97";#N/A,#N/A,FALSE,"FY98";#N/A,#N/A,FALSE,"FY99";#N/A,#N/A,FALSE,"FY00";#N/A,#N/A,FALSE,"FY01"}</definedName>
    <definedName name="wrn.FY97SBP._3_2" localSheetId="9" hidden="1">{#N/A,#N/A,FALSE,"FY97";#N/A,#N/A,FALSE,"FY98";#N/A,#N/A,FALSE,"FY99";#N/A,#N/A,FALSE,"FY00";#N/A,#N/A,FALSE,"FY01"}</definedName>
    <definedName name="wrn.FY97SBP._3_2" hidden="1">{#N/A,#N/A,FALSE,"FY97";#N/A,#N/A,FALSE,"FY98";#N/A,#N/A,FALSE,"FY99";#N/A,#N/A,FALSE,"FY00";#N/A,#N/A,FALSE,"FY01"}</definedName>
    <definedName name="wrn.FY97SBP._3_3" localSheetId="10" hidden="1">{#N/A,#N/A,FALSE,"FY97";#N/A,#N/A,FALSE,"FY98";#N/A,#N/A,FALSE,"FY99";#N/A,#N/A,FALSE,"FY00";#N/A,#N/A,FALSE,"FY01"}</definedName>
    <definedName name="wrn.FY97SBP._3_3" localSheetId="9" hidden="1">{#N/A,#N/A,FALSE,"FY97";#N/A,#N/A,FALSE,"FY98";#N/A,#N/A,FALSE,"FY99";#N/A,#N/A,FALSE,"FY00";#N/A,#N/A,FALSE,"FY01"}</definedName>
    <definedName name="wrn.FY97SBP._3_3" hidden="1">{#N/A,#N/A,FALSE,"FY97";#N/A,#N/A,FALSE,"FY98";#N/A,#N/A,FALSE,"FY99";#N/A,#N/A,FALSE,"FY00";#N/A,#N/A,FALSE,"FY01"}</definedName>
    <definedName name="wrn.FY97SBP._3_4" localSheetId="10" hidden="1">{#N/A,#N/A,FALSE,"FY97";#N/A,#N/A,FALSE,"FY98";#N/A,#N/A,FALSE,"FY99";#N/A,#N/A,FALSE,"FY00";#N/A,#N/A,FALSE,"FY01"}</definedName>
    <definedName name="wrn.FY97SBP._3_4" localSheetId="9" hidden="1">{#N/A,#N/A,FALSE,"FY97";#N/A,#N/A,FALSE,"FY98";#N/A,#N/A,FALSE,"FY99";#N/A,#N/A,FALSE,"FY00";#N/A,#N/A,FALSE,"FY01"}</definedName>
    <definedName name="wrn.FY97SBP._3_4" hidden="1">{#N/A,#N/A,FALSE,"FY97";#N/A,#N/A,FALSE,"FY98";#N/A,#N/A,FALSE,"FY99";#N/A,#N/A,FALSE,"FY00";#N/A,#N/A,FALSE,"FY01"}</definedName>
    <definedName name="wrn.FY97SBP._4" localSheetId="10" hidden="1">{#N/A,#N/A,FALSE,"FY97";#N/A,#N/A,FALSE,"FY98";#N/A,#N/A,FALSE,"FY99";#N/A,#N/A,FALSE,"FY00";#N/A,#N/A,FALSE,"FY01"}</definedName>
    <definedName name="wrn.FY97SBP._4" localSheetId="9" hidden="1">{#N/A,#N/A,FALSE,"FY97";#N/A,#N/A,FALSE,"FY98";#N/A,#N/A,FALSE,"FY99";#N/A,#N/A,FALSE,"FY00";#N/A,#N/A,FALSE,"FY01"}</definedName>
    <definedName name="wrn.FY97SBP._4" hidden="1">{#N/A,#N/A,FALSE,"FY97";#N/A,#N/A,FALSE,"FY98";#N/A,#N/A,FALSE,"FY99";#N/A,#N/A,FALSE,"FY00";#N/A,#N/A,FALSE,"FY01"}</definedName>
    <definedName name="wrn.FY97SBP._4_1" localSheetId="10" hidden="1">{#N/A,#N/A,FALSE,"FY97";#N/A,#N/A,FALSE,"FY98";#N/A,#N/A,FALSE,"FY99";#N/A,#N/A,FALSE,"FY00";#N/A,#N/A,FALSE,"FY01"}</definedName>
    <definedName name="wrn.FY97SBP._4_1" localSheetId="9" hidden="1">{#N/A,#N/A,FALSE,"FY97";#N/A,#N/A,FALSE,"FY98";#N/A,#N/A,FALSE,"FY99";#N/A,#N/A,FALSE,"FY00";#N/A,#N/A,FALSE,"FY01"}</definedName>
    <definedName name="wrn.FY97SBP._4_1" hidden="1">{#N/A,#N/A,FALSE,"FY97";#N/A,#N/A,FALSE,"FY98";#N/A,#N/A,FALSE,"FY99";#N/A,#N/A,FALSE,"FY00";#N/A,#N/A,FALSE,"FY01"}</definedName>
    <definedName name="wrn.FY97SBP._4_2" localSheetId="10" hidden="1">{#N/A,#N/A,FALSE,"FY97";#N/A,#N/A,FALSE,"FY98";#N/A,#N/A,FALSE,"FY99";#N/A,#N/A,FALSE,"FY00";#N/A,#N/A,FALSE,"FY01"}</definedName>
    <definedName name="wrn.FY97SBP._4_2" localSheetId="9" hidden="1">{#N/A,#N/A,FALSE,"FY97";#N/A,#N/A,FALSE,"FY98";#N/A,#N/A,FALSE,"FY99";#N/A,#N/A,FALSE,"FY00";#N/A,#N/A,FALSE,"FY01"}</definedName>
    <definedName name="wrn.FY97SBP._4_2" hidden="1">{#N/A,#N/A,FALSE,"FY97";#N/A,#N/A,FALSE,"FY98";#N/A,#N/A,FALSE,"FY99";#N/A,#N/A,FALSE,"FY00";#N/A,#N/A,FALSE,"FY01"}</definedName>
    <definedName name="wrn.FY97SBP._4_3" localSheetId="10" hidden="1">{#N/A,#N/A,FALSE,"FY97";#N/A,#N/A,FALSE,"FY98";#N/A,#N/A,FALSE,"FY99";#N/A,#N/A,FALSE,"FY00";#N/A,#N/A,FALSE,"FY01"}</definedName>
    <definedName name="wrn.FY97SBP._4_3" localSheetId="9" hidden="1">{#N/A,#N/A,FALSE,"FY97";#N/A,#N/A,FALSE,"FY98";#N/A,#N/A,FALSE,"FY99";#N/A,#N/A,FALSE,"FY00";#N/A,#N/A,FALSE,"FY01"}</definedName>
    <definedName name="wrn.FY97SBP._4_3" hidden="1">{#N/A,#N/A,FALSE,"FY97";#N/A,#N/A,FALSE,"FY98";#N/A,#N/A,FALSE,"FY99";#N/A,#N/A,FALSE,"FY00";#N/A,#N/A,FALSE,"FY01"}</definedName>
    <definedName name="wrn.FY97SBP._4_4" localSheetId="10" hidden="1">{#N/A,#N/A,FALSE,"FY97";#N/A,#N/A,FALSE,"FY98";#N/A,#N/A,FALSE,"FY99";#N/A,#N/A,FALSE,"FY00";#N/A,#N/A,FALSE,"FY01"}</definedName>
    <definedName name="wrn.FY97SBP._4_4" localSheetId="9" hidden="1">{#N/A,#N/A,FALSE,"FY97";#N/A,#N/A,FALSE,"FY98";#N/A,#N/A,FALSE,"FY99";#N/A,#N/A,FALSE,"FY00";#N/A,#N/A,FALSE,"FY01"}</definedName>
    <definedName name="wrn.FY97SBP._4_4" hidden="1">{#N/A,#N/A,FALSE,"FY97";#N/A,#N/A,FALSE,"FY98";#N/A,#N/A,FALSE,"FY99";#N/A,#N/A,FALSE,"FY00";#N/A,#N/A,FALSE,"FY01"}</definedName>
    <definedName name="wrn.FY97SBP._5" localSheetId="10" hidden="1">{#N/A,#N/A,FALSE,"FY97";#N/A,#N/A,FALSE,"FY98";#N/A,#N/A,FALSE,"FY99";#N/A,#N/A,FALSE,"FY00";#N/A,#N/A,FALSE,"FY01"}</definedName>
    <definedName name="wrn.FY97SBP._5" localSheetId="9" hidden="1">{#N/A,#N/A,FALSE,"FY97";#N/A,#N/A,FALSE,"FY98";#N/A,#N/A,FALSE,"FY99";#N/A,#N/A,FALSE,"FY00";#N/A,#N/A,FALSE,"FY01"}</definedName>
    <definedName name="wrn.FY97SBP._5" hidden="1">{#N/A,#N/A,FALSE,"FY97";#N/A,#N/A,FALSE,"FY98";#N/A,#N/A,FALSE,"FY99";#N/A,#N/A,FALSE,"FY00";#N/A,#N/A,FALSE,"FY01"}</definedName>
    <definedName name="wrn.FY97SBP._5_1" localSheetId="10" hidden="1">{#N/A,#N/A,FALSE,"FY97";#N/A,#N/A,FALSE,"FY98";#N/A,#N/A,FALSE,"FY99";#N/A,#N/A,FALSE,"FY00";#N/A,#N/A,FALSE,"FY01"}</definedName>
    <definedName name="wrn.FY97SBP._5_1" localSheetId="9" hidden="1">{#N/A,#N/A,FALSE,"FY97";#N/A,#N/A,FALSE,"FY98";#N/A,#N/A,FALSE,"FY99";#N/A,#N/A,FALSE,"FY00";#N/A,#N/A,FALSE,"FY01"}</definedName>
    <definedName name="wrn.FY97SBP._5_1" hidden="1">{#N/A,#N/A,FALSE,"FY97";#N/A,#N/A,FALSE,"FY98";#N/A,#N/A,FALSE,"FY99";#N/A,#N/A,FALSE,"FY00";#N/A,#N/A,FALSE,"FY01"}</definedName>
    <definedName name="wrn.FY97SBP._5_2" localSheetId="10" hidden="1">{#N/A,#N/A,FALSE,"FY97";#N/A,#N/A,FALSE,"FY98";#N/A,#N/A,FALSE,"FY99";#N/A,#N/A,FALSE,"FY00";#N/A,#N/A,FALSE,"FY01"}</definedName>
    <definedName name="wrn.FY97SBP._5_2" localSheetId="9" hidden="1">{#N/A,#N/A,FALSE,"FY97";#N/A,#N/A,FALSE,"FY98";#N/A,#N/A,FALSE,"FY99";#N/A,#N/A,FALSE,"FY00";#N/A,#N/A,FALSE,"FY01"}</definedName>
    <definedName name="wrn.FY97SBP._5_2" hidden="1">{#N/A,#N/A,FALSE,"FY97";#N/A,#N/A,FALSE,"FY98";#N/A,#N/A,FALSE,"FY99";#N/A,#N/A,FALSE,"FY00";#N/A,#N/A,FALSE,"FY01"}</definedName>
    <definedName name="wrn.FY97SBP._5_3" localSheetId="10" hidden="1">{#N/A,#N/A,FALSE,"FY97";#N/A,#N/A,FALSE,"FY98";#N/A,#N/A,FALSE,"FY99";#N/A,#N/A,FALSE,"FY00";#N/A,#N/A,FALSE,"FY01"}</definedName>
    <definedName name="wrn.FY97SBP._5_3" localSheetId="9" hidden="1">{#N/A,#N/A,FALSE,"FY97";#N/A,#N/A,FALSE,"FY98";#N/A,#N/A,FALSE,"FY99";#N/A,#N/A,FALSE,"FY00";#N/A,#N/A,FALSE,"FY01"}</definedName>
    <definedName name="wrn.FY97SBP._5_3" hidden="1">{#N/A,#N/A,FALSE,"FY97";#N/A,#N/A,FALSE,"FY98";#N/A,#N/A,FALSE,"FY99";#N/A,#N/A,FALSE,"FY00";#N/A,#N/A,FALSE,"FY01"}</definedName>
    <definedName name="wrn.FY97SBP._5_4" localSheetId="10" hidden="1">{#N/A,#N/A,FALSE,"FY97";#N/A,#N/A,FALSE,"FY98";#N/A,#N/A,FALSE,"FY99";#N/A,#N/A,FALSE,"FY00";#N/A,#N/A,FALSE,"FY01"}</definedName>
    <definedName name="wrn.FY97SBP._5_4" localSheetId="9" hidden="1">{#N/A,#N/A,FALSE,"FY97";#N/A,#N/A,FALSE,"FY98";#N/A,#N/A,FALSE,"FY99";#N/A,#N/A,FALSE,"FY00";#N/A,#N/A,FALSE,"FY01"}</definedName>
    <definedName name="wrn.FY97SBP._5_4" hidden="1">{#N/A,#N/A,FALSE,"FY97";#N/A,#N/A,FALSE,"FY98";#N/A,#N/A,FALSE,"FY99";#N/A,#N/A,FALSE,"FY00";#N/A,#N/A,FALSE,"FY01"}</definedName>
    <definedName name="wrn.General._.OTC." localSheetId="10" hidden="1">{#N/A,#N/A,FALSE,"Title Page (3)";#N/A,#N/A,FALSE,"YTD - OTC";#N/A,#N/A,FALSE,"MTH - OTC"}</definedName>
    <definedName name="wrn.General._.OTC." localSheetId="9" hidden="1">{#N/A,#N/A,FALSE,"Title Page (3)";#N/A,#N/A,FALSE,"YTD - OTC";#N/A,#N/A,FALSE,"MTH - OTC"}</definedName>
    <definedName name="wrn.General._.OTC." hidden="1">{#N/A,#N/A,FALSE,"Title Page (3)";#N/A,#N/A,FALSE,"YTD - OTC";#N/A,#N/A,FALSE,"MTH - OTC"}</definedName>
    <definedName name="wrn.General._.Pharm." localSheetId="10" hidden="1">{#N/A,#N/A,FALSE,"Title Page (2)";#N/A,#N/A,FALSE,"YTD - Pharm";#N/A,#N/A,FALSE,"MTH - Pharm"}</definedName>
    <definedName name="wrn.General._.Pharm." localSheetId="9" hidden="1">{#N/A,#N/A,FALSE,"Title Page (2)";#N/A,#N/A,FALSE,"YTD - Pharm";#N/A,#N/A,FALSE,"MTH - Pharm"}</definedName>
    <definedName name="wrn.General._.Pharm." hidden="1">{#N/A,#N/A,FALSE,"Title Page (2)";#N/A,#N/A,FALSE,"YTD - Pharm";#N/A,#N/A,FALSE,"MTH - Pharm"}</definedName>
    <definedName name="wrn.General._.Total." localSheetId="10" hidden="1">{#N/A,#N/A,FALSE,"Title Page (4)";#N/A,#N/A,FALSE,"YTD - Total";#N/A,#N/A,FALSE,"MTH - Total"}</definedName>
    <definedName name="wrn.General._.Total." localSheetId="9" hidden="1">{#N/A,#N/A,FALSE,"Title Page (4)";#N/A,#N/A,FALSE,"YTD - Total";#N/A,#N/A,FALSE,"MTH - Total"}</definedName>
    <definedName name="wrn.General._.Total." hidden="1">{#N/A,#N/A,FALSE,"Title Page (4)";#N/A,#N/A,FALSE,"YTD - Total";#N/A,#N/A,FALSE,"MTH - Total"}</definedName>
    <definedName name="wrn.Geographic._.Trends." localSheetId="10" hidden="1">{"Geographic P1",#N/A,FALSE,"Division &amp; Geog"}</definedName>
    <definedName name="wrn.Geographic._.Trends." localSheetId="9" hidden="1">{"Geographic P1",#N/A,FALSE,"Division &amp; Geog"}</definedName>
    <definedName name="wrn.Geographic._.Trends." hidden="1">{"Geographic P1",#N/A,FALSE,"Division &amp; Geog"}</definedName>
    <definedName name="wrn.Gesamtausdruck." localSheetId="10" hidden="1">{#N/A,#N/A,FALSE,"Cont.";#N/A,#N/A,FALSE,"Blatt 1.3 ";#N/A,#N/A,FALSE,"Blatt 2 ";#N/A,#N/A,FALSE,"Blatt 3.1";#N/A,#N/A,FALSE,"Blatt 3.2";#N/A,#N/A,FALSE,"Blatt 3.3";#N/A,#N/A,FALSE,"Blatt 4.1";#N/A,#N/A,FALSE,"Blatt 4.2";#N/A,#N/A,FALSE,"Blatt 4.3";#N/A,#N/A,FALSE,"Blatt 4.6";#N/A,#N/A,FALSE,"Blatt 4.7";#N/A,#N/A,FALSE,"Blatt 4.8";#N/A,#N/A,FALSE,"Blatt 5";#N/A,#N/A,FALSE,"Blatt 6";#N/A,#N/A,FALSE,"Blatt 7";#N/A,#N/A,FALSE,"Blatt 8";#N/A,#N/A,FALSE,"Blatt 9";#N/A,#N/A,FALSE,"Blatt 10 ";#N/A,#N/A,FALSE,"Blatt 11";#N/A,#N/A,FALSE,"Blatt 12";#N/A,#N/A,FALSE,"Blatt 13"}</definedName>
    <definedName name="wrn.Gesamtausdruck." localSheetId="9" hidden="1">{#N/A,#N/A,FALSE,"Cont.";#N/A,#N/A,FALSE,"Blatt 1.3 ";#N/A,#N/A,FALSE,"Blatt 2 ";#N/A,#N/A,FALSE,"Blatt 3.1";#N/A,#N/A,FALSE,"Blatt 3.2";#N/A,#N/A,FALSE,"Blatt 3.3";#N/A,#N/A,FALSE,"Blatt 4.1";#N/A,#N/A,FALSE,"Blatt 4.2";#N/A,#N/A,FALSE,"Blatt 4.3";#N/A,#N/A,FALSE,"Blatt 4.6";#N/A,#N/A,FALSE,"Blatt 4.7";#N/A,#N/A,FALSE,"Blatt 4.8";#N/A,#N/A,FALSE,"Blatt 5";#N/A,#N/A,FALSE,"Blatt 6";#N/A,#N/A,FALSE,"Blatt 7";#N/A,#N/A,FALSE,"Blatt 8";#N/A,#N/A,FALSE,"Blatt 9";#N/A,#N/A,FALSE,"Blatt 10 ";#N/A,#N/A,FALSE,"Blatt 11";#N/A,#N/A,FALSE,"Blatt 12";#N/A,#N/A,FALSE,"Blatt 13"}</definedName>
    <definedName name="wrn.Gesamtausdruck." hidden="1">{#N/A,#N/A,FALSE,"Cont.";#N/A,#N/A,FALSE,"Blatt 1.3 ";#N/A,#N/A,FALSE,"Blatt 2 ";#N/A,#N/A,FALSE,"Blatt 3.1";#N/A,#N/A,FALSE,"Blatt 3.2";#N/A,#N/A,FALSE,"Blatt 3.3";#N/A,#N/A,FALSE,"Blatt 4.1";#N/A,#N/A,FALSE,"Blatt 4.2";#N/A,#N/A,FALSE,"Blatt 4.3";#N/A,#N/A,FALSE,"Blatt 4.6";#N/A,#N/A,FALSE,"Blatt 4.7";#N/A,#N/A,FALSE,"Blatt 4.8";#N/A,#N/A,FALSE,"Blatt 5";#N/A,#N/A,FALSE,"Blatt 6";#N/A,#N/A,FALSE,"Blatt 7";#N/A,#N/A,FALSE,"Blatt 8";#N/A,#N/A,FALSE,"Blatt 9";#N/A,#N/A,FALSE,"Blatt 10 ";#N/A,#N/A,FALSE,"Blatt 11";#N/A,#N/A,FALSE,"Blatt 12";#N/A,#N/A,FALSE,"Blatt 13"}</definedName>
    <definedName name="wrn.Gesamtausdruck._1" localSheetId="10" hidden="1">{#N/A,#N/A,FALSE,"Cont.";#N/A,#N/A,FALSE,"Blatt 1.3 ";#N/A,#N/A,FALSE,"Blatt 2 ";#N/A,#N/A,FALSE,"Blatt 3.1";#N/A,#N/A,FALSE,"Blatt 3.2";#N/A,#N/A,FALSE,"Blatt 3.3";#N/A,#N/A,FALSE,"Blatt 4.1";#N/A,#N/A,FALSE,"Blatt 4.2";#N/A,#N/A,FALSE,"Blatt 4.3";#N/A,#N/A,FALSE,"Blatt 4.6";#N/A,#N/A,FALSE,"Blatt 4.7";#N/A,#N/A,FALSE,"Blatt 4.8";#N/A,#N/A,FALSE,"Blatt 5";#N/A,#N/A,FALSE,"Blatt 6";#N/A,#N/A,FALSE,"Blatt 7";#N/A,#N/A,FALSE,"Blatt 8";#N/A,#N/A,FALSE,"Blatt 9";#N/A,#N/A,FALSE,"Blatt 10 ";#N/A,#N/A,FALSE,"Blatt 11";#N/A,#N/A,FALSE,"Blatt 12";#N/A,#N/A,FALSE,"Blatt 13"}</definedName>
    <definedName name="wrn.Gesamtausdruck._1" localSheetId="9" hidden="1">{#N/A,#N/A,FALSE,"Cont.";#N/A,#N/A,FALSE,"Blatt 1.3 ";#N/A,#N/A,FALSE,"Blatt 2 ";#N/A,#N/A,FALSE,"Blatt 3.1";#N/A,#N/A,FALSE,"Blatt 3.2";#N/A,#N/A,FALSE,"Blatt 3.3";#N/A,#N/A,FALSE,"Blatt 4.1";#N/A,#N/A,FALSE,"Blatt 4.2";#N/A,#N/A,FALSE,"Blatt 4.3";#N/A,#N/A,FALSE,"Blatt 4.6";#N/A,#N/A,FALSE,"Blatt 4.7";#N/A,#N/A,FALSE,"Blatt 4.8";#N/A,#N/A,FALSE,"Blatt 5";#N/A,#N/A,FALSE,"Blatt 6";#N/A,#N/A,FALSE,"Blatt 7";#N/A,#N/A,FALSE,"Blatt 8";#N/A,#N/A,FALSE,"Blatt 9";#N/A,#N/A,FALSE,"Blatt 10 ";#N/A,#N/A,FALSE,"Blatt 11";#N/A,#N/A,FALSE,"Blatt 12";#N/A,#N/A,FALSE,"Blatt 13"}</definedName>
    <definedName name="wrn.Gesamtausdruck._1" hidden="1">{#N/A,#N/A,FALSE,"Cont.";#N/A,#N/A,FALSE,"Blatt 1.3 ";#N/A,#N/A,FALSE,"Blatt 2 ";#N/A,#N/A,FALSE,"Blatt 3.1";#N/A,#N/A,FALSE,"Blatt 3.2";#N/A,#N/A,FALSE,"Blatt 3.3";#N/A,#N/A,FALSE,"Blatt 4.1";#N/A,#N/A,FALSE,"Blatt 4.2";#N/A,#N/A,FALSE,"Blatt 4.3";#N/A,#N/A,FALSE,"Blatt 4.6";#N/A,#N/A,FALSE,"Blatt 4.7";#N/A,#N/A,FALSE,"Blatt 4.8";#N/A,#N/A,FALSE,"Blatt 5";#N/A,#N/A,FALSE,"Blatt 6";#N/A,#N/A,FALSE,"Blatt 7";#N/A,#N/A,FALSE,"Blatt 8";#N/A,#N/A,FALSE,"Blatt 9";#N/A,#N/A,FALSE,"Blatt 10 ";#N/A,#N/A,FALSE,"Blatt 11";#N/A,#N/A,FALSE,"Blatt 12";#N/A,#N/A,FALSE,"Blatt 13"}</definedName>
    <definedName name="wrn.Giampiero._.Martignoni." localSheetId="10" hidden="1">{#N/A,#N/A,FALSE,"Giampiero Martignoni";#N/A,#N/A,FALSE,"P&amp;L - South Kensington";#N/A,#N/A,FALSE,"P&amp;L - Hammersmith";#N/A,#N/A,FALSE,"P&amp;L - Notting Hill";#N/A,#N/A,FALSE,"P&amp;L - Camden";#N/A,#N/A,FALSE,"P&amp;L - Hampstead";#N/A,#N/A,FALSE,"P&amp;L - Chiswick";#N/A,#N/A,FALSE,"P&amp;L - Westbourne Grove";#N/A,#N/A,FALSE,"P&amp;L - Portobello Road"}</definedName>
    <definedName name="wrn.Giampiero._.Martignoni." localSheetId="9" hidden="1">{#N/A,#N/A,FALSE,"Giampiero Martignoni";#N/A,#N/A,FALSE,"P&amp;L - South Kensington";#N/A,#N/A,FALSE,"P&amp;L - Hammersmith";#N/A,#N/A,FALSE,"P&amp;L - Notting Hill";#N/A,#N/A,FALSE,"P&amp;L - Camden";#N/A,#N/A,FALSE,"P&amp;L - Hampstead";#N/A,#N/A,FALSE,"P&amp;L - Chiswick";#N/A,#N/A,FALSE,"P&amp;L - Westbourne Grove";#N/A,#N/A,FALSE,"P&amp;L - Portobello Road"}</definedName>
    <definedName name="wrn.Giampiero._.Martignoni." hidden="1">{#N/A,#N/A,FALSE,"Giampiero Martignoni";#N/A,#N/A,FALSE,"P&amp;L - South Kensington";#N/A,#N/A,FALSE,"P&amp;L - Hammersmith";#N/A,#N/A,FALSE,"P&amp;L - Notting Hill";#N/A,#N/A,FALSE,"P&amp;L - Camden";#N/A,#N/A,FALSE,"P&amp;L - Hampstead";#N/A,#N/A,FALSE,"P&amp;L - Chiswick";#N/A,#N/A,FALSE,"P&amp;L - Westbourne Grove";#N/A,#N/A,FALSE,"P&amp;L - Portobello Road"}</definedName>
    <definedName name="wrn.Giles._.Potter." localSheetId="10" hidden="1">{#N/A,#N/A,FALSE,"Giles Potter";#N/A,#N/A,FALSE,"P&amp;L - Heathrow";#N/A,#N/A,FALSE,"P&amp;L - Tottenham Court Road";#N/A,#N/A,FALSE,"P&amp;L - Brewer Street";#N/A,#N/A,FALSE,"P&amp;L - Strand";#N/A,#N/A,FALSE,"P&amp;L - Lancaster Place";#N/A,#N/A,FALSE,"P&amp;L - Soho"}</definedName>
    <definedName name="wrn.Giles._.Potter." localSheetId="9" hidden="1">{#N/A,#N/A,FALSE,"Giles Potter";#N/A,#N/A,FALSE,"P&amp;L - Heathrow";#N/A,#N/A,FALSE,"P&amp;L - Tottenham Court Road";#N/A,#N/A,FALSE,"P&amp;L - Brewer Street";#N/A,#N/A,FALSE,"P&amp;L - Strand";#N/A,#N/A,FALSE,"P&amp;L - Lancaster Place";#N/A,#N/A,FALSE,"P&amp;L - Soho"}</definedName>
    <definedName name="wrn.Giles._.Potter." hidden="1">{#N/A,#N/A,FALSE,"Giles Potter";#N/A,#N/A,FALSE,"P&amp;L - Heathrow";#N/A,#N/A,FALSE,"P&amp;L - Tottenham Court Road";#N/A,#N/A,FALSE,"P&amp;L - Brewer Street";#N/A,#N/A,FALSE,"P&amp;L - Strand";#N/A,#N/A,FALSE,"P&amp;L - Lancaster Place";#N/A,#N/A,FALSE,"P&amp;L - Soho"}</definedName>
    <definedName name="wrn.Global._.CompCo." localSheetId="10" hidden="1">{"Outputs",#N/A,TRUE,"North America";"Outputs",#N/A,TRUE,"Europe";"Outputs",#N/A,TRUE,"Asia Pacific";"Outputs",#N/A,TRUE,"Latin America";"Outputs",#N/A,TRUE,"Wireless"}</definedName>
    <definedName name="wrn.Global._.CompCo." localSheetId="9" hidden="1">{"Outputs",#N/A,TRUE,"North America";"Outputs",#N/A,TRUE,"Europe";"Outputs",#N/A,TRUE,"Asia Pacific";"Outputs",#N/A,TRUE,"Latin America";"Outputs",#N/A,TRUE,"Wireless"}</definedName>
    <definedName name="wrn.Global._.CompCo." hidden="1">{"Outputs",#N/A,TRUE,"North America";"Outputs",#N/A,TRUE,"Europe";"Outputs",#N/A,TRUE,"Asia Pacific";"Outputs",#N/A,TRUE,"Latin America";"Outputs",#N/A,TRUE,"Wireless"}</definedName>
    <definedName name="wrn.GM." localSheetId="10" hidden="1">{"capacity",#N/A,FALSE,"Guangzhou";"Volume",#N/A,FALSE,"Guangmei"}</definedName>
    <definedName name="wrn.GM." localSheetId="9" hidden="1">{"capacity",#N/A,FALSE,"Guangzhou";"Volume",#N/A,FALSE,"Guangmei"}</definedName>
    <definedName name="wrn.GM." hidden="1">{"capacity",#N/A,FALSE,"Guangzhou";"Volume",#N/A,FALSE,"Guangmei"}</definedName>
    <definedName name="wrn.GM._1" localSheetId="10" hidden="1">{"capacity",#N/A,FALSE,"Guangzhou";"Volume",#N/A,FALSE,"Guangmei"}</definedName>
    <definedName name="wrn.GM._1" localSheetId="9" hidden="1">{"capacity",#N/A,FALSE,"Guangzhou";"Volume",#N/A,FALSE,"Guangmei"}</definedName>
    <definedName name="wrn.GM._1" hidden="1">{"capacity",#N/A,FALSE,"Guangzhou";"Volume",#N/A,FALSE,"Guangmei"}</definedName>
    <definedName name="wrn.GRAPHS." localSheetId="10" hidden="1">{#N/A,#N/A,FALSE,"ACQ_GRAPHS";#N/A,#N/A,FALSE,"T_1 GRAPHS";#N/A,#N/A,FALSE,"T_2 GRAPHS";#N/A,#N/A,FALSE,"COMB_GRAPHS"}</definedName>
    <definedName name="wrn.GRAPHS." localSheetId="9" hidden="1">{#N/A,#N/A,FALSE,"ACQ_GRAPHS";#N/A,#N/A,FALSE,"T_1 GRAPHS";#N/A,#N/A,FALSE,"T_2 GRAPHS";#N/A,#N/A,FALSE,"COMB_GRAPHS"}</definedName>
    <definedName name="wrn.GRAPHS." hidden="1">{#N/A,#N/A,FALSE,"ACQ_GRAPHS";#N/A,#N/A,FALSE,"T_1 GRAPHS";#N/A,#N/A,FALSE,"T_2 GRAPHS";#N/A,#N/A,FALSE,"COMB_GRAPHS"}</definedName>
    <definedName name="wrn.Group._.Endorsements." localSheetId="10" hidden="1">{"Group Endorsements",#N/A,FALSE,"Group Endorsements"}</definedName>
    <definedName name="wrn.Group._.Endorsements." localSheetId="9" hidden="1">{"Group Endorsements",#N/A,FALSE,"Group Endorsements"}</definedName>
    <definedName name="wrn.Group._.Endorsements." hidden="1">{"Group Endorsements",#N/A,FALSE,"Group Endorsements"}</definedName>
    <definedName name="wrn.GZ." localSheetId="10" hidden="1">{"Volume",#N/A,FALSE,"Guangzhou";"capacity",#N/A,FALSE,"Guangzhou"}</definedName>
    <definedName name="wrn.GZ." localSheetId="9" hidden="1">{"Volume",#N/A,FALSE,"Guangzhou";"capacity",#N/A,FALSE,"Guangzhou"}</definedName>
    <definedName name="wrn.GZ." hidden="1">{"Volume",#N/A,FALSE,"Guangzhou";"capacity",#N/A,FALSE,"Guangzhou"}</definedName>
    <definedName name="wrn.GZ._1" localSheetId="10" hidden="1">{"Volume",#N/A,FALSE,"Guangzhou";"capacity",#N/A,FALSE,"Guangzhou"}</definedName>
    <definedName name="wrn.GZ._1" localSheetId="9" hidden="1">{"Volume",#N/A,FALSE,"Guangzhou";"capacity",#N/A,FALSE,"Guangzhou"}</definedName>
    <definedName name="wrn.GZ._1" hidden="1">{"Volume",#N/A,FALSE,"Guangzhou";"capacity",#N/A,FALSE,"Guangzhou"}</definedName>
    <definedName name="wrn.HF." localSheetId="10" hidden="1">{"capacity",#N/A,FALSE,"Hefei";"Volume",#N/A,FALSE,"Hefei"}</definedName>
    <definedName name="wrn.HF." localSheetId="9" hidden="1">{"capacity",#N/A,FALSE,"Hefei";"Volume",#N/A,FALSE,"Hefei"}</definedName>
    <definedName name="wrn.HF." hidden="1">{"capacity",#N/A,FALSE,"Hefei";"Volume",#N/A,FALSE,"Hefei"}</definedName>
    <definedName name="wrn.HF._1" localSheetId="10" hidden="1">{"capacity",#N/A,FALSE,"Hefei";"Volume",#N/A,FALSE,"Hefei"}</definedName>
    <definedName name="wrn.HF._1" localSheetId="9" hidden="1">{"capacity",#N/A,FALSE,"Hefei";"Volume",#N/A,FALSE,"Hefei"}</definedName>
    <definedName name="wrn.HF._1" hidden="1">{"capacity",#N/A,FALSE,"Hefei";"Volume",#N/A,FALSE,"Hefei"}</definedName>
    <definedName name="wrn.Historical._.Cost._.PWC." localSheetId="10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9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1" localSheetId="10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1" localSheetId="9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1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TenneT." localSheetId="10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9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1" localSheetId="10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1" localSheetId="9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1" hidden="1">{#N/A,#N/A,TRUE,"Cover His T";#N/A,#N/A,TRUE,"P&amp;L";#N/A,#N/A,TRUE,"BS";#N/A,#N/A,TRUE,"Depreciation";#N/A,#N/A,TRUE,"GRAPHS";#N/A,#N/A,TRUE,"DCF EBITDA Multiple";#N/A,#N/A,TRUE,"DCF Perpetual Growth"}</definedName>
    <definedName name="wrn.HWITEM." localSheetId="10" hidden="1">{#N/A,#N/A,FALSE,"삼진정공";#N/A,#N/A,FALSE,"영신금속";#N/A,#N/A,FALSE,"태양금속";#N/A,#N/A,FALSE,"진합정공";#N/A,#N/A,FALSE,"코리아";#N/A,#N/A,FALSE,"풍강금속";#N/A,#N/A,FALSE,"선일기계"}</definedName>
    <definedName name="wrn.HWITEM." localSheetId="9" hidden="1">{#N/A,#N/A,FALSE,"삼진정공";#N/A,#N/A,FALSE,"영신금속";#N/A,#N/A,FALSE,"태양금속";#N/A,#N/A,FALSE,"진합정공";#N/A,#N/A,FALSE,"코리아";#N/A,#N/A,FALSE,"풍강금속";#N/A,#N/A,FALSE,"선일기계"}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Hyg._.Acq." localSheetId="10" hidden="1">{#N/A,#N/A,FALSE,"main";#N/A,#N/A,FALSE,"100% Cash";#N/A,#N/A,FALSE,"100% Stock"}</definedName>
    <definedName name="wrn.Hyg._.Acq." localSheetId="9" hidden="1">{#N/A,#N/A,FALSE,"main";#N/A,#N/A,FALSE,"100% Cash";#N/A,#N/A,FALSE,"100% Stock"}</definedName>
    <definedName name="wrn.Hyg._.Acq." hidden="1">{#N/A,#N/A,FALSE,"main";#N/A,#N/A,FALSE,"100% Cash";#N/A,#N/A,FALSE,"100% Stock"}</definedName>
    <definedName name="wrn.HZ." localSheetId="10" hidden="1">{"capacity",#N/A,FALSE,"Hangzhou";"volume",#N/A,FALSE,"Hangzhou"}</definedName>
    <definedName name="wrn.HZ." localSheetId="9" hidden="1">{"capacity",#N/A,FALSE,"Hangzhou";"volume",#N/A,FALSE,"Hangzhou"}</definedName>
    <definedName name="wrn.HZ." hidden="1">{"capacity",#N/A,FALSE,"Hangzhou";"volume",#N/A,FALSE,"Hangzhou"}</definedName>
    <definedName name="wrn.HZ._1" localSheetId="10" hidden="1">{"capacity",#N/A,FALSE,"Hangzhou";"volume",#N/A,FALSE,"Hangzhou"}</definedName>
    <definedName name="wrn.HZ._1" localSheetId="9" hidden="1">{"capacity",#N/A,FALSE,"Hangzhou";"volume",#N/A,FALSE,"Hangzhou"}</definedName>
    <definedName name="wrn.HZ._1" hidden="1">{"capacity",#N/A,FALSE,"Hangzhou";"volume",#N/A,FALSE,"Hangzhou"}</definedName>
    <definedName name="wrn.IGT._.Model." localSheetId="10" hidden="1">{#N/A,#N/A,TRUE,"IGT";#N/A,#N/A,TRUE,"IGTSLOT"}</definedName>
    <definedName name="wrn.IGT._.Model." localSheetId="9" hidden="1">{#N/A,#N/A,TRUE,"IGT";#N/A,#N/A,TRUE,"IGTSLOT"}</definedName>
    <definedName name="wrn.IGT._.Model." hidden="1">{#N/A,#N/A,TRUE,"IGT";#N/A,#N/A,TRUE,"IGTSLOT"}</definedName>
    <definedName name="wrn.Import._.Plan" localSheetId="10" hidden="1">{"china1",#N/A,FALSE,"輸format_Asia";"China2",#N/A,FALSE,"輸format_Asia";"Hongkong1",#N/A,FALSE,"輸format_Asia";"indonesia",#N/A,FALSE,"輸format_Asia";"indonesia2",#N/A,FALSE,"輸format_Asia";"Philippines2",#N/A,FALSE,"輸format_Asia";"philippines3",#N/A,FALSE,"輸format_Asia";"Phillipppines",#N/A,FALSE,"輸format_Asia";"taiwan",#N/A,FALSE,"輸format_Asia";"taiwan2",#N/A,FALSE,"輸format_Asia";"thailand",#N/A,FALSE,"輸format_Asia";"thailand2",#N/A,FALSE,"輸format_Asia"}</definedName>
    <definedName name="wrn.Import._.Plan" localSheetId="9" hidden="1">{"china1",#N/A,FALSE,"輸format_Asia";"China2",#N/A,FALSE,"輸format_Asia";"Hongkong1",#N/A,FALSE,"輸format_Asia";"indonesia",#N/A,FALSE,"輸format_Asia";"indonesia2",#N/A,FALSE,"輸format_Asia";"Philippines2",#N/A,FALSE,"輸format_Asia";"philippines3",#N/A,FALSE,"輸format_Asia";"Phillipppines",#N/A,FALSE,"輸format_Asia";"taiwan",#N/A,FALSE,"輸format_Asia";"taiwan2",#N/A,FALSE,"輸format_Asia";"thailand",#N/A,FALSE,"輸format_Asia";"thailand2",#N/A,FALSE,"輸format_Asia"}</definedName>
    <definedName name="wrn.Import._.Plan" hidden="1">{"china1",#N/A,FALSE,"輸format_Asia";"China2",#N/A,FALSE,"輸format_Asia";"Hongkong1",#N/A,FALSE,"輸format_Asia";"indonesia",#N/A,FALSE,"輸format_Asia";"indonesia2",#N/A,FALSE,"輸format_Asia";"Philippines2",#N/A,FALSE,"輸format_Asia";"philippines3",#N/A,FALSE,"輸format_Asia";"Phillipppines",#N/A,FALSE,"輸format_Asia";"taiwan",#N/A,FALSE,"輸format_Asia";"taiwan2",#N/A,FALSE,"輸format_Asia";"thailand",#N/A,FALSE,"輸format_Asia";"thailand2",#N/A,FALSE,"輸format_Asia"}</definedName>
    <definedName name="wrn.Import._.Plan." localSheetId="10" hidden="1">{"china1",#N/A,FALSE,"輸format_Asia";"China2",#N/A,FALSE,"輸format_Asia";"Hongkong1",#N/A,FALSE,"輸format_Asia";"indonesia",#N/A,FALSE,"輸format_Asia";"indonesia2",#N/A,FALSE,"輸format_Asia";"Philippines2",#N/A,FALSE,"輸format_Asia";"philippines3",#N/A,FALSE,"輸format_Asia";"Phillipppines",#N/A,FALSE,"輸format_Asia";"taiwan",#N/A,FALSE,"輸format_Asia";"taiwan2",#N/A,FALSE,"輸format_Asia";"thailand",#N/A,FALSE,"輸format_Asia";"thailand2",#N/A,FALSE,"輸format_Asia"}</definedName>
    <definedName name="wrn.Import._.Plan." localSheetId="9" hidden="1">{"china1",#N/A,FALSE,"輸format_Asia";"China2",#N/A,FALSE,"輸format_Asia";"Hongkong1",#N/A,FALSE,"輸format_Asia";"indonesia",#N/A,FALSE,"輸format_Asia";"indonesia2",#N/A,FALSE,"輸format_Asia";"Philippines2",#N/A,FALSE,"輸format_Asia";"philippines3",#N/A,FALSE,"輸format_Asia";"Phillipppines",#N/A,FALSE,"輸format_Asia";"taiwan",#N/A,FALSE,"輸format_Asia";"taiwan2",#N/A,FALSE,"輸format_Asia";"thailand",#N/A,FALSE,"輸format_Asia";"thailand2",#N/A,FALSE,"輸format_Asia"}</definedName>
    <definedName name="wrn.Import._.Plan." hidden="1">{"china1",#N/A,FALSE,"輸format_Asia";"China2",#N/A,FALSE,"輸format_Asia";"Hongkong1",#N/A,FALSE,"輸format_Asia";"indonesia",#N/A,FALSE,"輸format_Asia";"indonesia2",#N/A,FALSE,"輸format_Asia";"Philippines2",#N/A,FALSE,"輸format_Asia";"philippines3",#N/A,FALSE,"輸format_Asia";"Phillipppines",#N/A,FALSE,"輸format_Asia";"taiwan",#N/A,FALSE,"輸format_Asia";"taiwan2",#N/A,FALSE,"輸format_Asia";"thailand",#N/A,FALSE,"輸format_Asia";"thailand2",#N/A,FALSE,"輸format_Asia"}</definedName>
    <definedName name="wrn.Import_plan2" localSheetId="10" hidden="1">{"china1",#N/A,FALSE,"輸format_Asia";"China2",#N/A,FALSE,"輸format_Asia";"Hongkong1",#N/A,FALSE,"輸format_Asia";"indonesia",#N/A,FALSE,"輸format_Asia";"indonesia2",#N/A,FALSE,"輸format_Asia";"Philippines2",#N/A,FALSE,"輸format_Asia";"philippines3",#N/A,FALSE,"輸format_Asia";"Phillipppines",#N/A,FALSE,"輸format_Asia";"taiwan",#N/A,FALSE,"輸format_Asia";"taiwan2",#N/A,FALSE,"輸format_Asia";"thailand",#N/A,FALSE,"輸format_Asia";"thailand2",#N/A,FALSE,"輸format_Asia"}</definedName>
    <definedName name="wrn.Import_plan2" localSheetId="9" hidden="1">{"china1",#N/A,FALSE,"輸format_Asia";"China2",#N/A,FALSE,"輸format_Asia";"Hongkong1",#N/A,FALSE,"輸format_Asia";"indonesia",#N/A,FALSE,"輸format_Asia";"indonesia2",#N/A,FALSE,"輸format_Asia";"Philippines2",#N/A,FALSE,"輸format_Asia";"philippines3",#N/A,FALSE,"輸format_Asia";"Phillipppines",#N/A,FALSE,"輸format_Asia";"taiwan",#N/A,FALSE,"輸format_Asia";"taiwan2",#N/A,FALSE,"輸format_Asia";"thailand",#N/A,FALSE,"輸format_Asia";"thailand2",#N/A,FALSE,"輸format_Asia"}</definedName>
    <definedName name="wrn.Import_plan2" hidden="1">{"china1",#N/A,FALSE,"輸format_Asia";"China2",#N/A,FALSE,"輸format_Asia";"Hongkong1",#N/A,FALSE,"輸format_Asia";"indonesia",#N/A,FALSE,"輸format_Asia";"indonesia2",#N/A,FALSE,"輸format_Asia";"Philippines2",#N/A,FALSE,"輸format_Asia";"philippines3",#N/A,FALSE,"輸format_Asia";"Phillipppines",#N/A,FALSE,"輸format_Asia";"taiwan",#N/A,FALSE,"輸format_Asia";"taiwan2",#N/A,FALSE,"輸format_Asia";"thailand",#N/A,FALSE,"輸format_Asia";"thailand2",#N/A,FALSE,"輸format_Asia"}</definedName>
    <definedName name="wrn.Import_plan2_C" localSheetId="10" hidden="1">{"china1",#N/A,FALSE,"輸format_Asia";"China2",#N/A,FALSE,"輸format_Asia";"Hongkong1",#N/A,FALSE,"輸format_Asia";"indonesia",#N/A,FALSE,"輸format_Asia";"indonesia2",#N/A,FALSE,"輸format_Asia";"Philippines2",#N/A,FALSE,"輸format_Asia";"philippines3",#N/A,FALSE,"輸format_Asia";"Phillipppines",#N/A,FALSE,"輸format_Asia";"taiwan",#N/A,FALSE,"輸format_Asia";"taiwan2",#N/A,FALSE,"輸format_Asia";"thailand",#N/A,FALSE,"輸format_Asia";"thailand2",#N/A,FALSE,"輸format_Asia"}</definedName>
    <definedName name="wrn.Import_plan2_C" localSheetId="9" hidden="1">{"china1",#N/A,FALSE,"輸format_Asia";"China2",#N/A,FALSE,"輸format_Asia";"Hongkong1",#N/A,FALSE,"輸format_Asia";"indonesia",#N/A,FALSE,"輸format_Asia";"indonesia2",#N/A,FALSE,"輸format_Asia";"Philippines2",#N/A,FALSE,"輸format_Asia";"philippines3",#N/A,FALSE,"輸format_Asia";"Phillipppines",#N/A,FALSE,"輸format_Asia";"taiwan",#N/A,FALSE,"輸format_Asia";"taiwan2",#N/A,FALSE,"輸format_Asia";"thailand",#N/A,FALSE,"輸format_Asia";"thailand2",#N/A,FALSE,"輸format_Asia"}</definedName>
    <definedName name="wrn.Import_plan2_C" hidden="1">{"china1",#N/A,FALSE,"輸format_Asia";"China2",#N/A,FALSE,"輸format_Asia";"Hongkong1",#N/A,FALSE,"輸format_Asia";"indonesia",#N/A,FALSE,"輸format_Asia";"indonesia2",#N/A,FALSE,"輸format_Asia";"Philippines2",#N/A,FALSE,"輸format_Asia";"philippines3",#N/A,FALSE,"輸format_Asia";"Phillipppines",#N/A,FALSE,"輸format_Asia";"taiwan",#N/A,FALSE,"輸format_Asia";"taiwan2",#N/A,FALSE,"輸format_Asia";"thailand",#N/A,FALSE,"輸format_Asia";"thailand2",#N/A,FALSE,"輸format_Asia"}</definedName>
    <definedName name="wrn.inc." localSheetId="10" hidden="1">{"inc",#N/A,FALSE,"finstat"}</definedName>
    <definedName name="wrn.inc." localSheetId="9" hidden="1">{"inc",#N/A,FALSE,"finstat"}</definedName>
    <definedName name="wrn.inc." hidden="1">{"inc",#N/A,FALSE,"finstat"}</definedName>
    <definedName name="wrn.Income._.Statement." localSheetId="10" hidden="1">{#N/A,#N/A,FALSE,"Report Print"}</definedName>
    <definedName name="wrn.Income._.Statement." localSheetId="9" hidden="1">{#N/A,#N/A,FALSE,"Report Print"}</definedName>
    <definedName name="wrn.Income._.Statement." hidden="1">{#N/A,#N/A,FALSE,"Report Print"}</definedName>
    <definedName name="wrn.Income._.Stmt." localSheetId="10" hidden="1">{"Income Stmt",#N/A,FALSE,"Model"}</definedName>
    <definedName name="wrn.Income._.Stmt." localSheetId="9" hidden="1">{"Income Stmt",#N/A,FALSE,"Model"}</definedName>
    <definedName name="wrn.Income._.Stmt." hidden="1">{"Income Stmt",#N/A,FALSE,"Model"}</definedName>
    <definedName name="wrn.Industry.xls." localSheetId="10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" localSheetId="9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fectious._.Diseases." localSheetId="10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" localSheetId="9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puts." localSheetId="10" hidden="1">{"Inputs",#N/A,TRUE,"North America";"Inputs",#N/A,TRUE,"Europe";"Inputs",#N/A,TRUE,"Asia Pacific";"Inputs",#N/A,TRUE,"Latin America";"Inputs",#N/A,TRUE,"Wireless"}</definedName>
    <definedName name="wrn.Inputs." localSheetId="9" hidden="1">{"Inputs",#N/A,TRUE,"North America";"Inputs",#N/A,TRUE,"Europe";"Inputs",#N/A,TRUE,"Asia Pacific";"Inputs",#N/A,TRUE,"Latin America";"Inputs",#N/A,TRUE,"Wireless"}</definedName>
    <definedName name="wrn.Inputs." hidden="1">{"Inputs",#N/A,TRUE,"North America";"Inputs",#N/A,TRUE,"Europe";"Inputs",#N/A,TRUE,"Asia Pacific";"Inputs",#N/A,TRUE,"Latin America";"Inputs",#N/A,TRUE,"Wireless"}</definedName>
    <definedName name="wrn.Internal._.is." localSheetId="10" hidden="1">{"Internal is",#N/A,FALSE,"Model"}</definedName>
    <definedName name="wrn.Internal._.is." localSheetId="9" hidden="1">{"Internal is",#N/A,FALSE,"Model"}</definedName>
    <definedName name="wrn.Internal._.is." hidden="1">{"Internal is",#N/A,FALSE,"Model"}</definedName>
    <definedName name="wrn.international." localSheetId="10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localSheetId="9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L._.GROUP." localSheetId="10" hidden="1">{"INTLGROUP",#N/A,FALSE,"INTL GROUP"}</definedName>
    <definedName name="wrn.INTL._.GROUP." localSheetId="9" hidden="1">{"INTLGROUP",#N/A,FALSE,"INTL GROUP"}</definedName>
    <definedName name="wrn.INTL._.GROUP." hidden="1">{"INTLGROUP",#N/A,FALSE,"INTL GROUP"}</definedName>
    <definedName name="wrn.INTL._.GROUP._1" localSheetId="10" hidden="1">{"INTLGROUP",#N/A,FALSE,"INTL GROUP"}</definedName>
    <definedName name="wrn.INTL._.GROUP._1" localSheetId="9" hidden="1">{"INTLGROUP",#N/A,FALSE,"INTL GROUP"}</definedName>
    <definedName name="wrn.INTL._.GROUP._1" hidden="1">{"INTLGROUP",#N/A,FALSE,"INTL GROUP"}</definedName>
    <definedName name="wrn.Introduction." localSheetId="10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9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1" localSheetId="10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1" localSheetId="9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1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ventory._.aging." localSheetId="10" hidden="1">{#N/A,#N/A,FALSE,"PLEDGE";#N/A,#N/A,FALSE,"GLADE";#N/A,#N/A,FALSE,"GREEN BIRD";#N/A,#N/A,FALSE,"MR. MUSCLE";#N/A,#N/A,FALSE,"TOILET DUCK";#N/A,#N/A,FALSE,"Other Home Care";#N/A,#N/A,FALSE,"RED BIRD";#N/A,#N/A,FALSE,"SHANGHAI";#N/A,#N/A,FALSE,"RAID";#N/A,#N/A,FALSE,"OFF";#N/A,#N/A,FALSE,"SEAGULL";#N/A,#N/A,FALSE,"HALSA";#N/A,#N/A,FALSE,"SOFT SENSE";#N/A,#N/A,FALSE,"TOTAL"}</definedName>
    <definedName name="wrn.inventory._.aging." localSheetId="9" hidden="1">{#N/A,#N/A,FALSE,"PLEDGE";#N/A,#N/A,FALSE,"GLADE";#N/A,#N/A,FALSE,"GREEN BIRD";#N/A,#N/A,FALSE,"MR. MUSCLE";#N/A,#N/A,FALSE,"TOILET DUCK";#N/A,#N/A,FALSE,"Other Home Care";#N/A,#N/A,FALSE,"RED BIRD";#N/A,#N/A,FALSE,"SHANGHAI";#N/A,#N/A,FALSE,"RAID";#N/A,#N/A,FALSE,"OFF";#N/A,#N/A,FALSE,"SEAGULL";#N/A,#N/A,FALSE,"HALSA";#N/A,#N/A,FALSE,"SOFT SENSE";#N/A,#N/A,FALSE,"TOTAL"}</definedName>
    <definedName name="wrn.inventory._.aging." hidden="1">{#N/A,#N/A,FALSE,"PLEDGE";#N/A,#N/A,FALSE,"GLADE";#N/A,#N/A,FALSE,"GREEN BIRD";#N/A,#N/A,FALSE,"MR. MUSCLE";#N/A,#N/A,FALSE,"TOILET DUCK";#N/A,#N/A,FALSE,"Other Home Care";#N/A,#N/A,FALSE,"RED BIRD";#N/A,#N/A,FALSE,"SHANGHAI";#N/A,#N/A,FALSE,"RAID";#N/A,#N/A,FALSE,"OFF";#N/A,#N/A,FALSE,"SEAGULL";#N/A,#N/A,FALSE,"HALSA";#N/A,#N/A,FALSE,"SOFT SENSE";#N/A,#N/A,FALSE,"TOTAL"}</definedName>
    <definedName name="wrn.inventory._.aging._1" localSheetId="10" hidden="1">{#N/A,#N/A,FALSE,"PLEDGE";#N/A,#N/A,FALSE,"GLADE";#N/A,#N/A,FALSE,"GREEN BIRD";#N/A,#N/A,FALSE,"MR. MUSCLE";#N/A,#N/A,FALSE,"TOILET DUCK";#N/A,#N/A,FALSE,"Other Home Care";#N/A,#N/A,FALSE,"RED BIRD";#N/A,#N/A,FALSE,"SHANGHAI";#N/A,#N/A,FALSE,"RAID";#N/A,#N/A,FALSE,"OFF";#N/A,#N/A,FALSE,"SEAGULL";#N/A,#N/A,FALSE,"HALSA";#N/A,#N/A,FALSE,"SOFT SENSE";#N/A,#N/A,FALSE,"TOTAL"}</definedName>
    <definedName name="wrn.inventory._.aging._1" localSheetId="9" hidden="1">{#N/A,#N/A,FALSE,"PLEDGE";#N/A,#N/A,FALSE,"GLADE";#N/A,#N/A,FALSE,"GREEN BIRD";#N/A,#N/A,FALSE,"MR. MUSCLE";#N/A,#N/A,FALSE,"TOILET DUCK";#N/A,#N/A,FALSE,"Other Home Care";#N/A,#N/A,FALSE,"RED BIRD";#N/A,#N/A,FALSE,"SHANGHAI";#N/A,#N/A,FALSE,"RAID";#N/A,#N/A,FALSE,"OFF";#N/A,#N/A,FALSE,"SEAGULL";#N/A,#N/A,FALSE,"HALSA";#N/A,#N/A,FALSE,"SOFT SENSE";#N/A,#N/A,FALSE,"TOTAL"}</definedName>
    <definedName name="wrn.inventory._.aging._1" hidden="1">{#N/A,#N/A,FALSE,"PLEDGE";#N/A,#N/A,FALSE,"GLADE";#N/A,#N/A,FALSE,"GREEN BIRD";#N/A,#N/A,FALSE,"MR. MUSCLE";#N/A,#N/A,FALSE,"TOILET DUCK";#N/A,#N/A,FALSE,"Other Home Care";#N/A,#N/A,FALSE,"RED BIRD";#N/A,#N/A,FALSE,"SHANGHAI";#N/A,#N/A,FALSE,"RAID";#N/A,#N/A,FALSE,"OFF";#N/A,#N/A,FALSE,"SEAGULL";#N/A,#N/A,FALSE,"HALSA";#N/A,#N/A,FALSE,"SOFT SENSE";#N/A,#N/A,FALSE,"TOTAL"}</definedName>
    <definedName name="wrn.jan95.xls." localSheetId="10" hidden="1">{#N/A,#N/A,FALSE,"JAN195"}</definedName>
    <definedName name="wrn.jan95.xls." localSheetId="9" hidden="1">{#N/A,#N/A,FALSE,"JAN195"}</definedName>
    <definedName name="wrn.jan95.xls." hidden="1">{#N/A,#N/A,FALSE,"JAN195"}</definedName>
    <definedName name="wrn.jan95.xls._1" localSheetId="10" hidden="1">{#N/A,#N/A,FALSE,"JAN195"}</definedName>
    <definedName name="wrn.jan95.xls._1" localSheetId="9" hidden="1">{#N/A,#N/A,FALSE,"JAN195"}</definedName>
    <definedName name="wrn.jan95.xls._1" hidden="1">{#N/A,#N/A,FALSE,"JAN195"}</definedName>
    <definedName name="wrn.jck94TAXRETURN." localSheetId="1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localSheetId="9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_1" localSheetId="1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_1" localSheetId="9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_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ohn._.Taffe." localSheetId="10" hidden="1">{#N/A,#N/A,FALSE,"John Taffe";#N/A,#N/A,FALSE,"P&amp;L - Ashford";#N/A,#N/A,FALSE,"P&amp;L - Bristol";#N/A,#N/A,FALSE,"P&amp;L - Clapham Junction";#N/A,#N/A,FALSE,"P&amp;L - Clapham High Street"}</definedName>
    <definedName name="wrn.John._.Taffe." localSheetId="9" hidden="1">{#N/A,#N/A,FALSE,"John Taffe";#N/A,#N/A,FALSE,"P&amp;L - Ashford";#N/A,#N/A,FALSE,"P&amp;L - Bristol";#N/A,#N/A,FALSE,"P&amp;L - Clapham Junction";#N/A,#N/A,FALSE,"P&amp;L - Clapham High Street"}</definedName>
    <definedName name="wrn.John._.Taffe." hidden="1">{#N/A,#N/A,FALSE,"John Taffe";#N/A,#N/A,FALSE,"P&amp;L - Ashford";#N/A,#N/A,FALSE,"P&amp;L - Bristol";#N/A,#N/A,FALSE,"P&amp;L - Clapham Junction";#N/A,#N/A,FALSE,"P&amp;L - Clapham High Street"}</definedName>
    <definedName name="wrn.KESPCal." localSheetId="10" hidden="1">{#N/A,#N/A,FALSE,"Cipta-All";#N/A,#N/A,FALSE,"Individual"}</definedName>
    <definedName name="wrn.KESPCal." localSheetId="9" hidden="1">{#N/A,#N/A,FALSE,"Cipta-All";#N/A,#N/A,FALSE,"Individual"}</definedName>
    <definedName name="wrn.KESPCal." hidden="1">{#N/A,#N/A,FALSE,"Cipta-All";#N/A,#N/A,FALSE,"Individual"}</definedName>
    <definedName name="wrn.Key_Financial_Graphs." localSheetId="10" hidden="1">{"OCT_graph",#N/A,FALSE,"2. Op. Capital Turnover";"Profitability_graph",#N/A,FALSE,"1. Profitability";"Operating_Capital_Graph",#N/A,FALSE,"2. &amp; 3. Operating Capital";"ROC_graph",#N/A,FALSE,"3. Return on Operating Capital";"Operating_Cashflow_graph",#N/A,FALSE,"4. Operating Cashflow";"Days_Sales_Graph",#N/A,FALSE,"5. Days Sales Outstanding"}</definedName>
    <definedName name="wrn.Key_Financial_Graphs." localSheetId="9" hidden="1">{"OCT_graph",#N/A,FALSE,"2. Op. Capital Turnover";"Profitability_graph",#N/A,FALSE,"1. Profitability";"Operating_Capital_Graph",#N/A,FALSE,"2. &amp; 3. Operating Capital";"ROC_graph",#N/A,FALSE,"3. Return on Operating Capital";"Operating_Cashflow_graph",#N/A,FALSE,"4. Operating Cashflow";"Days_Sales_Graph",#N/A,FALSE,"5. Days Sales Outstanding"}</definedName>
    <definedName name="wrn.Key_Financial_Graphs." hidden="1">{"OCT_graph",#N/A,FALSE,"2. Op. Capital Turnover";"Profitability_graph",#N/A,FALSE,"1. Profitability";"Operating_Capital_Graph",#N/A,FALSE,"2. &amp; 3. Operating Capital";"ROC_graph",#N/A,FALSE,"3. Return on Operating Capital";"Operating_Cashflow_graph",#N/A,FALSE,"4. Operating Cashflow";"Days_Sales_Graph",#N/A,FALSE,"5. Days Sales Outstanding"}</definedName>
    <definedName name="wrn.Key_Financial_Graphs._1" localSheetId="10" hidden="1">{"OCT_graph",#N/A,FALSE,"2. Op. Capital Turnover";"Profitability_graph",#N/A,FALSE,"1. Profitability";"Operating_Capital_Graph",#N/A,FALSE,"2. &amp; 3. Operating Capital";"ROC_graph",#N/A,FALSE,"3. Return on Operating Capital";"Operating_Cashflow_graph",#N/A,FALSE,"4. Operating Cashflow";"Days_Sales_Graph",#N/A,FALSE,"5. Days Sales Outstanding"}</definedName>
    <definedName name="wrn.Key_Financial_Graphs._1" localSheetId="9" hidden="1">{"OCT_graph",#N/A,FALSE,"2. Op. Capital Turnover";"Profitability_graph",#N/A,FALSE,"1. Profitability";"Operating_Capital_Graph",#N/A,FALSE,"2. &amp; 3. Operating Capital";"ROC_graph",#N/A,FALSE,"3. Return on Operating Capital";"Operating_Cashflow_graph",#N/A,FALSE,"4. Operating Cashflow";"Days_Sales_Graph",#N/A,FALSE,"5. Days Sales Outstanding"}</definedName>
    <definedName name="wrn.Key_Financial_Graphs._1" hidden="1">{"OCT_graph",#N/A,FALSE,"2. Op. Capital Turnover";"Profitability_graph",#N/A,FALSE,"1. Profitability";"Operating_Capital_Graph",#N/A,FALSE,"2. &amp; 3. Operating Capital";"ROC_graph",#N/A,FALSE,"3. Return on Operating Capital";"Operating_Cashflow_graph",#N/A,FALSE,"4. Operating Cashflow";"Days_Sales_Graph",#N/A,FALSE,"5. Days Sales Outstanding"}</definedName>
    <definedName name="wrn.Lead._.Schedule." localSheetId="1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localSheetId="9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_1" localSheetId="1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_1" localSheetId="9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_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se._.vs.._.Purchase." localSheetId="10" hidden="1">{"Lease vs. Purchase",#N/A,FALSE,"Lease vs. Purchase"}</definedName>
    <definedName name="wrn.Lease._.vs.._.Purchase." localSheetId="9" hidden="1">{"Lease vs. Purchase",#N/A,FALSE,"Lease vs. Purchase"}</definedName>
    <definedName name="wrn.Lease._.vs.._.Purchase." hidden="1">{"Lease vs. Purchase",#N/A,FALSE,"Lease vs. Purchase"}</definedName>
    <definedName name="wrn.Leases.xls." localSheetId="10" hidden="1">{#N/A,#N/A,FALSE,"Initial Year";#N/A,#N/A,FALSE,"Historical";#N/A,#N/A,FALSE,"balsheet";#N/A,#N/A,FALSE,"incstate";#N/A,#N/A,FALSE,"Fleet"}</definedName>
    <definedName name="wrn.Leases.xls." localSheetId="9" hidden="1">{#N/A,#N/A,FALSE,"Initial Year";#N/A,#N/A,FALSE,"Historical";#N/A,#N/A,FALSE,"balsheet";#N/A,#N/A,FALSE,"incstate";#N/A,#N/A,FALSE,"Fleet"}</definedName>
    <definedName name="wrn.Leases.xls." hidden="1">{#N/A,#N/A,FALSE,"Initial Year";#N/A,#N/A,FALSE,"Historical";#N/A,#N/A,FALSE,"balsheet";#N/A,#N/A,FALSE,"incstate";#N/A,#N/A,FALSE,"Fleet"}</definedName>
    <definedName name="wrn.Level._.4." localSheetId="10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Level._.4." localSheetId="9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Level._.4.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Liesel._.Panchaud." localSheetId="10" hidden="1">{#N/A,#N/A,FALSE,"Liesel Panchaud";#N/A,#N/A,FALSE,"P&amp;L - Winchester House";#N/A,#N/A,FALSE,"P&amp;L - Wormwood";#N/A,#N/A,FALSE,"P&amp;L - Leadenhall";#N/A,#N/A,FALSE,"P&amp;L - Cranbourn Street";#N/A,#N/A,FALSE,"P&amp;L - Edgeware Road";#N/A,#N/A,FALSE,"P&amp;L - Piccadilly"}</definedName>
    <definedName name="wrn.Liesel._.Panchaud." localSheetId="9" hidden="1">{#N/A,#N/A,FALSE,"Liesel Panchaud";#N/A,#N/A,FALSE,"P&amp;L - Winchester House";#N/A,#N/A,FALSE,"P&amp;L - Wormwood";#N/A,#N/A,FALSE,"P&amp;L - Leadenhall";#N/A,#N/A,FALSE,"P&amp;L - Cranbourn Street";#N/A,#N/A,FALSE,"P&amp;L - Edgeware Road";#N/A,#N/A,FALSE,"P&amp;L - Piccadilly"}</definedName>
    <definedName name="wrn.Liesel._.Panchaud." hidden="1">{#N/A,#N/A,FALSE,"Liesel Panchaud";#N/A,#N/A,FALSE,"P&amp;L - Winchester House";#N/A,#N/A,FALSE,"P&amp;L - Wormwood";#N/A,#N/A,FALSE,"P&amp;L - Leadenhall";#N/A,#N/A,FALSE,"P&amp;L - Cranbourn Street";#N/A,#N/A,FALSE,"P&amp;L - Edgeware Road";#N/A,#N/A,FALSE,"P&amp;L - Piccadilly"}</definedName>
    <definedName name="wrn.Lodging." localSheetId="10" hidden="1">{#N/A,#N/A,FALSE,"EPS";#N/A,#N/A,FALSE,"EBITDA"}</definedName>
    <definedName name="wrn.Lodging." localSheetId="9" hidden="1">{#N/A,#N/A,FALSE,"EPS";#N/A,#N/A,FALSE,"EBITDA"}</definedName>
    <definedName name="wrn.Lodging." hidden="1">{#N/A,#N/A,FALSE,"EPS";#N/A,#N/A,FALSE,"EBITDA"}</definedName>
    <definedName name="wrn.M1._.Operating._.Statement." localSheetId="10" hidden="1">{"M1Print",#N/A,FALSE,"M1"}</definedName>
    <definedName name="wrn.M1._.Operating._.Statement." localSheetId="9" hidden="1">{"M1Print",#N/A,FALSE,"M1"}</definedName>
    <definedName name="wrn.M1._.Operating._.Statement." hidden="1">{"M1Print",#N/A,FALSE,"M1"}</definedName>
    <definedName name="wrn.M1s._.Statistics." localSheetId="10" hidden="1">{"M1sPrint",#N/A,FALSE,"M1s"}</definedName>
    <definedName name="wrn.M1s._.Statistics." localSheetId="9" hidden="1">{"M1sPrint",#N/A,FALSE,"M1s"}</definedName>
    <definedName name="wrn.M1s._.Statistics." hidden="1">{"M1sPrint",#N/A,FALSE,"M1s"}</definedName>
    <definedName name="wrn.M2._.Balance._.Sheet." localSheetId="10" hidden="1">{"M2Print",#N/A,FALSE,"M2"}</definedName>
    <definedName name="wrn.M2._.Balance._.Sheet." localSheetId="9" hidden="1">{"M2Print",#N/A,FALSE,"M2"}</definedName>
    <definedName name="wrn.M2._.Balance._.Sheet." hidden="1">{"M2Print",#N/A,FALSE,"M2"}</definedName>
    <definedName name="wrn.M2a._.Cashflow." localSheetId="10" hidden="1">{"M2aPrint",#N/A,FALSE,"M2a"}</definedName>
    <definedName name="wrn.M2a._.Cashflow." localSheetId="9" hidden="1">{"M2aPrint",#N/A,FALSE,"M2a"}</definedName>
    <definedName name="wrn.M2a._.Cashflow." hidden="1">{"M2aPrint",#N/A,FALSE,"M2a"}</definedName>
    <definedName name="wrn.M4._.Inventories." localSheetId="10" hidden="1">{"M4Print",#N/A,FALSE,"M4"}</definedName>
    <definedName name="wrn.M4._.Inventories." localSheetId="9" hidden="1">{"M4Print",#N/A,FALSE,"M4"}</definedName>
    <definedName name="wrn.M4._.Inventories." hidden="1">{"M4Print",#N/A,FALSE,"M4"}</definedName>
    <definedName name="wrn.M5._.Flash._.and._.Forecast." localSheetId="10" hidden="1">{"M5Print",#N/A,FALSE,"M5"}</definedName>
    <definedName name="wrn.M5._.Flash._.and._.Forecast." localSheetId="9" hidden="1">{"M5Print",#N/A,FALSE,"M5"}</definedName>
    <definedName name="wrn.M5._.Flash._.and._.Forecast." hidden="1">{"M5Print",#N/A,FALSE,"M5"}</definedName>
    <definedName name="wrn.M6._.Management._.Summary." localSheetId="10" hidden="1">{"M6Print",#N/A,FALSE,"M6";"M6_1Print",#N/A,FALSE,"M6_1";"M6_2Print",#N/A,FALSE,"M6_2"}</definedName>
    <definedName name="wrn.M6._.Management._.Summary." localSheetId="9" hidden="1">{"M6Print",#N/A,FALSE,"M6";"M6_1Print",#N/A,FALSE,"M6_1";"M6_2Print",#N/A,FALSE,"M6_2"}</definedName>
    <definedName name="wrn.M6._.Management._.Summary." hidden="1">{"M6Print",#N/A,FALSE,"M6";"M6_1Print",#N/A,FALSE,"M6_1";"M6_2Print",#N/A,FALSE,"M6_2"}</definedName>
    <definedName name="wrn.M7._.Financial._.Controllers._.report." localSheetId="10" hidden="1">{"M7_1Print",#N/A,TRUE,"M7_1";"M7_2Print",#N/A,TRUE,"M7_2"}</definedName>
    <definedName name="wrn.M7._.Financial._.Controllers._.report." localSheetId="9" hidden="1">{"M7_1Print",#N/A,TRUE,"M7_1";"M7_2Print",#N/A,TRUE,"M7_2"}</definedName>
    <definedName name="wrn.M7._.Financial._.Controllers._.report." hidden="1">{"M7_1Print",#N/A,TRUE,"M7_1";"M7_2Print",#N/A,TRUE,"M7_2"}</definedName>
    <definedName name="wrn.Main._.Report._.All._.Sections." localSheetId="10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" localSheetId="9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y._.21." localSheetId="10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9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1" localSheetId="10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1" localSheetId="9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1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irBellagio." localSheetId="10" hidden="1">{#N/A,#N/A,FALSE,"MIR";#N/A,#N/A,FALSE,"NYNY"}</definedName>
    <definedName name="wrn.mirBellagio." localSheetId="9" hidden="1">{#N/A,#N/A,FALSE,"MIR";#N/A,#N/A,FALSE,"NYNY"}</definedName>
    <definedName name="wrn.mirBellagio." hidden="1">{#N/A,#N/A,FALSE,"MIR";#N/A,#N/A,FALSE,"NYNY"}</definedName>
    <definedName name="wrn.MIS._.Report._.for._.Sept01." localSheetId="10" hidden="1">{"YTD Profitability",#N/A,FALSE,"Dash Board";"Manpower-Sept",#N/A,FALSE,"Dash Board";"Consolidated-Q2",#N/A,FALSE,"Dash Board"}</definedName>
    <definedName name="wrn.MIS._.Report._.for._.Sept01." localSheetId="9" hidden="1">{"YTD Profitability",#N/A,FALSE,"Dash Board";"Manpower-Sept",#N/A,FALSE,"Dash Board";"Consolidated-Q2",#N/A,FALSE,"Dash Board"}</definedName>
    <definedName name="wrn.MIS._.Report._.for._.Sept01." hidden="1">{"YTD Profitability",#N/A,FALSE,"Dash Board";"Manpower-Sept",#N/A,FALSE,"Dash Board";"Consolidated-Q2",#N/A,FALSE,"Dash Board"}</definedName>
    <definedName name="wrn.MIS._.Report._.for._.Sept01._1" localSheetId="10" hidden="1">{"YTD Profitability",#N/A,FALSE,"Dash Board";"Manpower-Sept",#N/A,FALSE,"Dash Board";"Consolidated-Q2",#N/A,FALSE,"Dash Board"}</definedName>
    <definedName name="wrn.MIS._.Report._.for._.Sept01._1" localSheetId="9" hidden="1">{"YTD Profitability",#N/A,FALSE,"Dash Board";"Manpower-Sept",#N/A,FALSE,"Dash Board";"Consolidated-Q2",#N/A,FALSE,"Dash Board"}</definedName>
    <definedName name="wrn.MIS._.Report._.for._.Sept01._1" hidden="1">{"YTD Profitability",#N/A,FALSE,"Dash Board";"Manpower-Sept",#N/A,FALSE,"Dash Board";"Consolidated-Q2",#N/A,FALSE,"Dash Board"}</definedName>
    <definedName name="wrn.MOBIL." localSheetId="10" hidden="1">{"quarter",#N/A,FALSE,"MOB"}</definedName>
    <definedName name="wrn.MOBIL." localSheetId="9" hidden="1">{"quarter",#N/A,FALSE,"MOB"}</definedName>
    <definedName name="wrn.MOBIL." hidden="1">{"quarter",#N/A,FALSE,"MOB"}</definedName>
    <definedName name="wrn.model." localSheetId="10" hidden="1">{#N/A,#N/A,FALSE,"AMS Prod Sales"}</definedName>
    <definedName name="wrn.model." localSheetId="9" hidden="1">{#N/A,#N/A,FALSE,"AMS Prod Sales"}</definedName>
    <definedName name="wrn.model." hidden="1">{#N/A,#N/A,FALSE,"AMS Prod Sales"}</definedName>
    <definedName name="wrn.Model._.Level._.3." localSheetId="10" hidden="1">{"Income (All hidden)",#N/A,FALSE,"Income";"EPS (All Hidden)",#N/A,FALSE,"EPS";"EPS (All Hidden)",#N/A,FALSE,"CashFlow";"Quarterly (Last, Current and Next)",#N/A,FALSE,"Quarterly"}</definedName>
    <definedName name="wrn.Model._.Level._.3." localSheetId="9" hidden="1">{"Income (All hidden)",#N/A,FALSE,"Income";"EPS (All Hidden)",#N/A,FALSE,"EPS";"EPS (All Hidden)",#N/A,FALSE,"CashFlow";"Quarterly (Last, Current and Next)",#N/A,FALSE,"Quarterly"}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del._1" localSheetId="10" hidden="1">{#N/A,#N/A,FALSE,"AMS Prod Sales"}</definedName>
    <definedName name="wrn.model._1" localSheetId="9" hidden="1">{#N/A,#N/A,FALSE,"AMS Prod Sales"}</definedName>
    <definedName name="wrn.model._1" hidden="1">{#N/A,#N/A,FALSE,"AMS Prod Sales"}</definedName>
    <definedName name="wrn.model._1_1" localSheetId="10" hidden="1">{#N/A,#N/A,FALSE,"AMS Prod Sales"}</definedName>
    <definedName name="wrn.model._1_1" localSheetId="9" hidden="1">{#N/A,#N/A,FALSE,"AMS Prod Sales"}</definedName>
    <definedName name="wrn.model._1_1" hidden="1">{#N/A,#N/A,FALSE,"AMS Prod Sales"}</definedName>
    <definedName name="wrn.model._1_2" localSheetId="10" hidden="1">{#N/A,#N/A,FALSE,"AMS Prod Sales"}</definedName>
    <definedName name="wrn.model._1_2" localSheetId="9" hidden="1">{#N/A,#N/A,FALSE,"AMS Prod Sales"}</definedName>
    <definedName name="wrn.model._1_2" hidden="1">{#N/A,#N/A,FALSE,"AMS Prod Sales"}</definedName>
    <definedName name="wrn.model._2" localSheetId="10" hidden="1">{#N/A,#N/A,FALSE,"AMS Prod Sales"}</definedName>
    <definedName name="wrn.model._2" localSheetId="9" hidden="1">{#N/A,#N/A,FALSE,"AMS Prod Sales"}</definedName>
    <definedName name="wrn.model._2" hidden="1">{#N/A,#N/A,FALSE,"AMS Prod Sales"}</definedName>
    <definedName name="wrn.model._3" localSheetId="10" hidden="1">{#N/A,#N/A,FALSE,"AMS Prod Sales"}</definedName>
    <definedName name="wrn.model._3" localSheetId="9" hidden="1">{#N/A,#N/A,FALSE,"AMS Prod Sales"}</definedName>
    <definedName name="wrn.model._3" hidden="1">{#N/A,#N/A,FALSE,"AMS Prod Sales"}</definedName>
    <definedName name="wrn.MODELS." localSheetId="10" hidden="1">{"QTR1",#N/A,FALSE,"WLA";"QTR2",#N/A,FALSE,"WLA";"QTRSALES1",#N/A,FALSE,"QTRSALES";"QTRSALES2",#N/A,FALSE,"QTRSALES";"QTRSALES3",#N/A,FALSE,"QTRSALES";"ANNSALES1",#N/A,FALSE,"ANNSALES";"ANNSALES2",#N/A,FALSE,"ANNSALES";"ANNSALES3",#N/A,FALSE,"ANNSALES";"SEGSMARGIN",#N/A,FALSE,"SEGS-MARGIN";"CASHFLOW",#N/A,FALSE,"CASHFLOW";"NEWPRODS",#N/A,FALSE,"NEWPRODS"}</definedName>
    <definedName name="wrn.MODELS." localSheetId="9" hidden="1">{"QTR1",#N/A,FALSE,"WLA";"QTR2",#N/A,FALSE,"WLA";"QTRSALES1",#N/A,FALSE,"QTRSALES";"QTRSALES2",#N/A,FALSE,"QTRSALES";"QTRSALES3",#N/A,FALSE,"QTRSALES";"ANNSALES1",#N/A,FALSE,"ANNSALES";"ANNSALES2",#N/A,FALSE,"ANNSALES";"ANNSALES3",#N/A,FALSE,"ANNSALES";"SEGSMARGIN",#N/A,FALSE,"SEGS-MARGIN";"CASHFLOW",#N/A,FALSE,"CASHFLOW";"NEWPRODS",#N/A,FALSE,"NEWPRODS"}</definedName>
    <definedName name="wrn.MODELS." hidden="1">{"QTR1",#N/A,FALSE,"WLA";"QTR2",#N/A,FALSE,"WLA";"QTRSALES1",#N/A,FALSE,"QTRSALES";"QTRSALES2",#N/A,FALSE,"QTRSALES";"QTRSALES3",#N/A,FALSE,"QTRSALES";"ANNSALES1",#N/A,FALSE,"ANNSALES";"ANNSALES2",#N/A,FALSE,"ANNSALES";"ANNSALES3",#N/A,FALSE,"ANNSALES";"SEGSMARGIN",#N/A,FALSE,"SEGS-MARGIN";"CASHFLOW",#N/A,FALSE,"CASHFLOW";"NEWPRODS",#N/A,FALSE,"NEWPRODS"}</definedName>
    <definedName name="wrn.Monthly." localSheetId="10" hidden="1">{"Month End Performance",#N/A,FALSE,"Report";"Site Talk Times",#N/A,FALSE,"Report"}</definedName>
    <definedName name="wrn.Monthly." localSheetId="9" hidden="1">{"Month End Performance",#N/A,FALSE,"Report";"Site Talk Times",#N/A,FALSE,"Report"}</definedName>
    <definedName name="wrn.Monthly." hidden="1">{"Month End Performance",#N/A,FALSE,"Report";"Site Talk Times",#N/A,FALSE,"Report"}</definedName>
    <definedName name="wrn.Monthly._.Financials." localSheetId="10" hidden="1">{#N/A,#N/A,FALSE,"mfg - consol";#N/A,#N/A,FALSE,"mfg - flo";#N/A,#N/A,FALSE,"mfg - lindsay"}</definedName>
    <definedName name="wrn.Monthly._.Financials." localSheetId="9" hidden="1">{#N/A,#N/A,FALSE,"mfg - consol";#N/A,#N/A,FALSE,"mfg - flo";#N/A,#N/A,FALSE,"mfg - lindsay"}</definedName>
    <definedName name="wrn.Monthly._.Financials." hidden="1">{#N/A,#N/A,FALSE,"mfg - consol";#N/A,#N/A,FALSE,"mfg - flo";#N/A,#N/A,FALSE,"mfg - lindsay"}</definedName>
    <definedName name="wrn.Monthly._.report." localSheetId="10" hidden="1">{#N/A,#N/A,FALSE,"9901"}</definedName>
    <definedName name="wrn.Monthly._.report." localSheetId="9" hidden="1">{#N/A,#N/A,FALSE,"9901"}</definedName>
    <definedName name="wrn.Monthly._.report." hidden="1">{#N/A,#N/A,FALSE,"9901"}</definedName>
    <definedName name="wrn.Monthly._.report._1" localSheetId="10" hidden="1">{#N/A,#N/A,FALSE,"9901"}</definedName>
    <definedName name="wrn.Monthly._.report._1" localSheetId="9" hidden="1">{#N/A,#N/A,FALSE,"9901"}</definedName>
    <definedName name="wrn.Monthly._.report._1" hidden="1">{#N/A,#N/A,FALSE,"9901"}</definedName>
    <definedName name="wrn.monthlyunits." localSheetId="10" hidden="1">{"monthlyunits",#N/A,FALSE,"openings"}</definedName>
    <definedName name="wrn.monthlyunits." localSheetId="9" hidden="1">{"monthlyunits",#N/A,FALSE,"openings"}</definedName>
    <definedName name="wrn.monthlyunits." hidden="1">{"monthlyunits",#N/A,FALSE,"openings"}</definedName>
    <definedName name="wrn.newoutput" localSheetId="10" hidden="1">{"DCF","UPSIDE CASE",FALSE,"Sheet1";"DCF","BASE CASE",FALSE,"Sheet1";"DCF","DOWNSIDE CASE",FALSE,"Sheet1"}</definedName>
    <definedName name="wrn.newoutput" localSheetId="9" hidden="1">{"DCF","UPSIDE CASE",FALSE,"Sheet1";"DCF","BASE CASE",FALSE,"Sheet1";"DCF","DOWNSIDE CASE",FALSE,"Sheet1"}</definedName>
    <definedName name="wrn.newoutput" hidden="1">{"DCF","UPSIDE CASE",FALSE,"Sheet1";"DCF","BASE CASE",FALSE,"Sheet1";"DCF","DOWNSIDE CASE",FALSE,"Sheet1"}</definedName>
    <definedName name="wrn.newoutput_1" localSheetId="10" hidden="1">{"DCF","UPSIDE CASE",FALSE,"Sheet1";"DCF","BASE CASE",FALSE,"Sheet1";"DCF","DOWNSIDE CASE",FALSE,"Sheet1"}</definedName>
    <definedName name="wrn.newoutput_1" localSheetId="9" hidden="1">{"DCF","UPSIDE CASE",FALSE,"Sheet1";"DCF","BASE CASE",FALSE,"Sheet1";"DCF","DOWNSIDE CASE",FALSE,"Sheet1"}</definedName>
    <definedName name="wrn.newoutput_1" hidden="1">{"DCF","UPSIDE CASE",FALSE,"Sheet1";"DCF","BASE CASE",FALSE,"Sheet1";"DCF","DOWNSIDE CASE",FALSE,"Sheet1"}</definedName>
    <definedName name="wrn.NJ." localSheetId="10" hidden="1">{"Volume",#N/A,FALSE,"Nanjing";"capacity",#N/A,FALSE,"Nanjing"}</definedName>
    <definedName name="wrn.NJ." localSheetId="9" hidden="1">{"Volume",#N/A,FALSE,"Nanjing";"capacity",#N/A,FALSE,"Nanjing"}</definedName>
    <definedName name="wrn.NJ." hidden="1">{"Volume",#N/A,FALSE,"Nanjing";"capacity",#N/A,FALSE,"Nanjing"}</definedName>
    <definedName name="wrn.NJ._1" localSheetId="10" hidden="1">{"Volume",#N/A,FALSE,"Nanjing";"capacity",#N/A,FALSE,"Nanjing"}</definedName>
    <definedName name="wrn.NJ._1" localSheetId="9" hidden="1">{"Volume",#N/A,FALSE,"Nanjing";"capacity",#N/A,FALSE,"Nanjing"}</definedName>
    <definedName name="wrn.NJ._1" hidden="1">{"Volume",#N/A,FALSE,"Nanjing";"capacity",#N/A,FALSE,"Nanjing"}</definedName>
    <definedName name="wrn.NOVARTIS._.MODELS." localSheetId="10" hidden="1">{"QTRINC",#N/A,FALSE,"US FORMAT - P&amp;L";"MARGIN",#N/A,FALSE,"US FORMAT-MARGIN";"SALES1",#N/A,FALSE,"US FORMAT - SALES";"SALES2",#N/A,FALSE,"US FORMAT - SALES";"SALES3",#N/A,FALSE,"US FORMAT - SALES";"SALES4",#N/A,FALSE,"US FORMAT - SALES";"SALES5",#N/A,FALSE,"US FORMAT - SALES"}</definedName>
    <definedName name="wrn.NOVARTIS._.MODELS." localSheetId="9" hidden="1">{"QTRINC",#N/A,FALSE,"US FORMAT - P&amp;L";"MARGIN",#N/A,FALSE,"US FORMAT-MARGIN";"SALES1",#N/A,FALSE,"US FORMAT - SALES";"SALES2",#N/A,FALSE,"US FORMAT - SALES";"SALES3",#N/A,FALSE,"US FORMAT - SALES";"SALES4",#N/A,FALSE,"US FORMAT - SALES";"SALES5",#N/A,FALSE,"US FORMAT - SALES"}</definedName>
    <definedName name="wrn.NOVARTIS._.MODELS." hidden="1">{"QTRINC",#N/A,FALSE,"US FORMAT - P&amp;L";"MARGIN",#N/A,FALSE,"US FORMAT-MARGIN";"SALES1",#N/A,FALSE,"US FORMAT - SALES";"SALES2",#N/A,FALSE,"US FORMAT - SALES";"SALES3",#N/A,FALSE,"US FORMAT - SALES";"SALES4",#N/A,FALSE,"US FORMAT - SALES";"SALES5",#N/A,FALSE,"US FORMAT - SALES"}</definedName>
    <definedName name="wrn.NPV._.Matrix." localSheetId="10" hidden="1">{"NPV Matrix","Aquarius 0 Change IBES",FALSE,"A";"NPV Matrix","Aquarius 5 Discount",FALSE,"A";"NPV Matrix","Aquarius 10 Discount",FALSE,"A";"NPV Matrix","Aquarius 5 Increase",FALSE,"A";"NPV Matrix","Aquarius 10 Increase",FALSE,"A";"NPV Matrix","Aries No IBES Change",FALSE,"A";"NPV Matrix","Aries 5 Discount",FALSE,"A";"NPV Matrix","Aries 10 Discount",FALSE,"A";"NPV Matrix","Aries 5 Premium",FALSE,"A";"NPV Matrix","Aries 10 Premium",FALSE,"A"}</definedName>
    <definedName name="wrn.NPV._.Matrix." localSheetId="9" hidden="1">{"NPV Matrix","Aquarius 0 Change IBES",FALSE,"A";"NPV Matrix","Aquarius 5 Discount",FALSE,"A";"NPV Matrix","Aquarius 10 Discount",FALSE,"A";"NPV Matrix","Aquarius 5 Increase",FALSE,"A";"NPV Matrix","Aquarius 10 Increase",FALSE,"A";"NPV Matrix","Aries No IBES Change",FALSE,"A";"NPV Matrix","Aries 5 Discount",FALSE,"A";"NPV Matrix","Aries 10 Discount",FALSE,"A";"NPV Matrix","Aries 5 Premium",FALSE,"A";"NPV Matrix","Aries 10 Premium",FALSE,"A"}</definedName>
    <definedName name="wrn.NPV._.Matrix." hidden="1">{"NPV Matrix","Aquarius 0 Change IBES",FALSE,"A";"NPV Matrix","Aquarius 5 Discount",FALSE,"A";"NPV Matrix","Aquarius 10 Discount",FALSE,"A";"NPV Matrix","Aquarius 5 Increase",FALSE,"A";"NPV Matrix","Aquarius 10 Increase",FALSE,"A";"NPV Matrix","Aries No IBES Change",FALSE,"A";"NPV Matrix","Aries 5 Discount",FALSE,"A";"NPV Matrix","Aries 10 Discount",FALSE,"A";"NPV Matrix","Aries 5 Premium",FALSE,"A";"NPV Matrix","Aries 10 Premium",FALSE,"A"}</definedName>
    <definedName name="wrn.NPV._.Matrix._1" localSheetId="10" hidden="1">{"NPV Matrix","Aquarius 0 Change IBES",FALSE,"A";"NPV Matrix","Aquarius 5 Discount",FALSE,"A";"NPV Matrix","Aquarius 10 Discount",FALSE,"A";"NPV Matrix","Aquarius 5 Increase",FALSE,"A";"NPV Matrix","Aquarius 10 Increase",FALSE,"A";"NPV Matrix","Aries No IBES Change",FALSE,"A";"NPV Matrix","Aries 5 Discount",FALSE,"A";"NPV Matrix","Aries 10 Discount",FALSE,"A";"NPV Matrix","Aries 5 Premium",FALSE,"A";"NPV Matrix","Aries 10 Premium",FALSE,"A"}</definedName>
    <definedName name="wrn.NPV._.Matrix._1" localSheetId="9" hidden="1">{"NPV Matrix","Aquarius 0 Change IBES",FALSE,"A";"NPV Matrix","Aquarius 5 Discount",FALSE,"A";"NPV Matrix","Aquarius 10 Discount",FALSE,"A";"NPV Matrix","Aquarius 5 Increase",FALSE,"A";"NPV Matrix","Aquarius 10 Increase",FALSE,"A";"NPV Matrix","Aries No IBES Change",FALSE,"A";"NPV Matrix","Aries 5 Discount",FALSE,"A";"NPV Matrix","Aries 10 Discount",FALSE,"A";"NPV Matrix","Aries 5 Premium",FALSE,"A";"NPV Matrix","Aries 10 Premium",FALSE,"A"}</definedName>
    <definedName name="wrn.NPV._.Matrix._1" hidden="1">{"NPV Matrix","Aquarius 0 Change IBES",FALSE,"A";"NPV Matrix","Aquarius 5 Discount",FALSE,"A";"NPV Matrix","Aquarius 10 Discount",FALSE,"A";"NPV Matrix","Aquarius 5 Increase",FALSE,"A";"NPV Matrix","Aquarius 10 Increase",FALSE,"A";"NPV Matrix","Aries No IBES Change",FALSE,"A";"NPV Matrix","Aries 5 Discount",FALSE,"A";"NPV Matrix","Aries 10 Discount",FALSE,"A";"NPV Matrix","Aries 5 Premium",FALSE,"A";"NPV Matrix","Aries 10 Premium",FALSE,"A"}</definedName>
    <definedName name="wrn.offering." localSheetId="10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ering." localSheetId="9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ering.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ice." localSheetId="10" hidden="1">{#N/A,#N/A,FALSE,"OffAdvance";#N/A,#N/A,FALSE,"OffExpRprt";#N/A,#N/A,FALSE,"Travelling";#N/A,#N/A,FALSE,"Entertmnt";#N/A,#N/A,FALSE,"Promotion"}</definedName>
    <definedName name="wrn.Office." localSheetId="9" hidden="1">{#N/A,#N/A,FALSE,"OffAdvance";#N/A,#N/A,FALSE,"OffExpRprt";#N/A,#N/A,FALSE,"Travelling";#N/A,#N/A,FALSE,"Entertmnt";#N/A,#N/A,FALSE,"Promotion"}</definedName>
    <definedName name="wrn.Office." hidden="1">{#N/A,#N/A,FALSE,"OffAdvance";#N/A,#N/A,FALSE,"OffExpRprt";#N/A,#N/A,FALSE,"Travelling";#N/A,#N/A,FALSE,"Entertmnt";#N/A,#N/A,FALSE,"Promotion"}</definedName>
    <definedName name="wrn.Office._1" localSheetId="10" hidden="1">{#N/A,#N/A,FALSE,"OffAdvance";#N/A,#N/A,FALSE,"OffExpRprt";#N/A,#N/A,FALSE,"Travelling";#N/A,#N/A,FALSE,"Entertmnt";#N/A,#N/A,FALSE,"Promotion"}</definedName>
    <definedName name="wrn.Office._1" localSheetId="9" hidden="1">{#N/A,#N/A,FALSE,"OffAdvance";#N/A,#N/A,FALSE,"OffExpRprt";#N/A,#N/A,FALSE,"Travelling";#N/A,#N/A,FALSE,"Entertmnt";#N/A,#N/A,FALSE,"Promotion"}</definedName>
    <definedName name="wrn.Office._1" hidden="1">{#N/A,#N/A,FALSE,"OffAdvance";#N/A,#N/A,FALSE,"OffExpRprt";#N/A,#N/A,FALSE,"Travelling";#N/A,#N/A,FALSE,"Entertmnt";#N/A,#N/A,FALSE,"Promotion"}</definedName>
    <definedName name="wrn.Oncology." localSheetId="10" hidden="1">{#N/A,#N/A,FALSE,"Onco";#N/A,#N/A,FALSE,"Taxol";#N/A,#N/A,FALSE,"UFT";#N/A,#N/A,FALSE,"Carb"}</definedName>
    <definedName name="wrn.Oncology." localSheetId="9" hidden="1">{#N/A,#N/A,FALSE,"Onco";#N/A,#N/A,FALSE,"Taxol";#N/A,#N/A,FALSE,"UFT";#N/A,#N/A,FALSE,"Carb"}</definedName>
    <definedName name="wrn.Oncology." hidden="1">{#N/A,#N/A,FALSE,"Onco";#N/A,#N/A,FALSE,"Taxol";#N/A,#N/A,FALSE,"UFT";#N/A,#N/A,FALSE,"Carb"}</definedName>
    <definedName name="wrn.Ops._.Units._.Profit._.and._.Loss." localSheetId="10" hidden="1">{#N/A,#N/A,FALSE,"Chris Beard";#N/A,#N/A,FALSE,"P&amp;L - Regent Street";#N/A,#N/A,FALSE,"P&amp;L - Covent Garden";#N/A,#N/A,FALSE,"P&amp;L - Seven Dials";#N/A,#N/A,FALSE,"Clairwyn Richardson";#N/A,#N/A,FALSE,"P&amp;L - Harrogate";#N/A,#N/A,FALSE,"P&amp;L - York";#N/A,#N/A,FALSE,"P&amp;L - Leeds";#N/A,#N/A,FALSE,"P&amp;L - Manchester";#N/A,#N/A,FALSE,"P&amp;L - Deansgate";#N/A,#N/A,FALSE,"P&amp;L - Durham";#N/A,#N/A,FALSE,"P&amp;L - Nottingham";#N/A,#N/A,FALSE,"P&amp;L - The Triangle";#N/A,#N/A,FALSE,"Giampiero Martignoni";#N/A,#N/A,FALSE,"P&amp;L - South Kensington";#N/A,#N/A,FALSE,"P&amp;L - Hammersmith";#N/A,#N/A,FALSE,"P&amp;L - Notting Hill";#N/A,#N/A,FALSE,"P&amp;L - Camden";#N/A,#N/A,FALSE,"P&amp;L - Hampstead";#N/A,#N/A,FALSE,"P&amp;L - Chiswick";#N/A,#N/A,FALSE,"P&amp;L - Westbourne Grove";#N/A,#N/A,FALSE,"P&amp;L - Portobello Road";#N/A,#N/A,FALSE,"Giles Potter";#N/A,#N/A,FALSE,"P&amp;L - Heathrow";#N/A,#N/A,FALSE,"P&amp;L - Tottenham Court Road";#N/A,#N/A,FALSE,"P&amp;L - Brewer Street";#N/A,#N/A,FALSE,"P&amp;L - Strand";#N/A,#N/A,FALSE,"P&amp;L - Lancaster Place";#N/A,#N/A,FALSE,"P&amp;L - Soho";#N/A,#N/A,FALSE,"P&amp;L - Kingston";#N/A,#N/A,FALSE,"John Taffe";#N/A,#N/A,FALSE,"P&amp;L - Clapham Junction";#N/A,#N/A,FALSE,"P&amp;L - Clapham High Street";#N/A,#N/A,FALSE,"P&amp;L - Bristol";#N/A,#N/A,FALSE,"P&amp;L - Ashford";#N/A,#N/A,FALSE,"Liesel Panchaud";#N/A,#N/A,FALSE,"P&amp;L - Winchester House";#N/A,#N/A,FALSE,"P&amp;L - Wormwood";#N/A,#N/A,FALSE,"P&amp;L - Leadenhall";#N/A,#N/A,FALSE,"P&amp;L - Cranbourn Street";#N/A,#N/A,FALSE,"P&amp;L - Edgeware Road";#N/A,#N/A,FALSE,"P&amp;L - Piccadilly";#N/A,#N/A,FALSE,"Raff di Landro";#N/A,#N/A,FALSE,"P&amp;L - Brighton";#N/A,#N/A,FALSE,"P&amp;L - Guildford"}</definedName>
    <definedName name="wrn.Ops._.Units._.Profit._.and._.Loss." localSheetId="9" hidden="1">{#N/A,#N/A,FALSE,"Chris Beard";#N/A,#N/A,FALSE,"P&amp;L - Regent Street";#N/A,#N/A,FALSE,"P&amp;L - Covent Garden";#N/A,#N/A,FALSE,"P&amp;L - Seven Dials";#N/A,#N/A,FALSE,"Clairwyn Richardson";#N/A,#N/A,FALSE,"P&amp;L - Harrogate";#N/A,#N/A,FALSE,"P&amp;L - York";#N/A,#N/A,FALSE,"P&amp;L - Leeds";#N/A,#N/A,FALSE,"P&amp;L - Manchester";#N/A,#N/A,FALSE,"P&amp;L - Deansgate";#N/A,#N/A,FALSE,"P&amp;L - Durham";#N/A,#N/A,FALSE,"P&amp;L - Nottingham";#N/A,#N/A,FALSE,"P&amp;L - The Triangle";#N/A,#N/A,FALSE,"Giampiero Martignoni";#N/A,#N/A,FALSE,"P&amp;L - South Kensington";#N/A,#N/A,FALSE,"P&amp;L - Hammersmith";#N/A,#N/A,FALSE,"P&amp;L - Notting Hill";#N/A,#N/A,FALSE,"P&amp;L - Camden";#N/A,#N/A,FALSE,"P&amp;L - Hampstead";#N/A,#N/A,FALSE,"P&amp;L - Chiswick";#N/A,#N/A,FALSE,"P&amp;L - Westbourne Grove";#N/A,#N/A,FALSE,"P&amp;L - Portobello Road";#N/A,#N/A,FALSE,"Giles Potter";#N/A,#N/A,FALSE,"P&amp;L - Heathrow";#N/A,#N/A,FALSE,"P&amp;L - Tottenham Court Road";#N/A,#N/A,FALSE,"P&amp;L - Brewer Street";#N/A,#N/A,FALSE,"P&amp;L - Strand";#N/A,#N/A,FALSE,"P&amp;L - Lancaster Place";#N/A,#N/A,FALSE,"P&amp;L - Soho";#N/A,#N/A,FALSE,"P&amp;L - Kingston";#N/A,#N/A,FALSE,"John Taffe";#N/A,#N/A,FALSE,"P&amp;L - Clapham Junction";#N/A,#N/A,FALSE,"P&amp;L - Clapham High Street";#N/A,#N/A,FALSE,"P&amp;L - Bristol";#N/A,#N/A,FALSE,"P&amp;L - Ashford";#N/A,#N/A,FALSE,"Liesel Panchaud";#N/A,#N/A,FALSE,"P&amp;L - Winchester House";#N/A,#N/A,FALSE,"P&amp;L - Wormwood";#N/A,#N/A,FALSE,"P&amp;L - Leadenhall";#N/A,#N/A,FALSE,"P&amp;L - Cranbourn Street";#N/A,#N/A,FALSE,"P&amp;L - Edgeware Road";#N/A,#N/A,FALSE,"P&amp;L - Piccadilly";#N/A,#N/A,FALSE,"Raff di Landro";#N/A,#N/A,FALSE,"P&amp;L - Brighton";#N/A,#N/A,FALSE,"P&amp;L - Guildford"}</definedName>
    <definedName name="wrn.Ops._.Units._.Profit._.and._.Loss." hidden="1">{#N/A,#N/A,FALSE,"Chris Beard";#N/A,#N/A,FALSE,"P&amp;L - Regent Street";#N/A,#N/A,FALSE,"P&amp;L - Covent Garden";#N/A,#N/A,FALSE,"P&amp;L - Seven Dials";#N/A,#N/A,FALSE,"Clairwyn Richardson";#N/A,#N/A,FALSE,"P&amp;L - Harrogate";#N/A,#N/A,FALSE,"P&amp;L - York";#N/A,#N/A,FALSE,"P&amp;L - Leeds";#N/A,#N/A,FALSE,"P&amp;L - Manchester";#N/A,#N/A,FALSE,"P&amp;L - Deansgate";#N/A,#N/A,FALSE,"P&amp;L - Durham";#N/A,#N/A,FALSE,"P&amp;L - Nottingham";#N/A,#N/A,FALSE,"P&amp;L - The Triangle";#N/A,#N/A,FALSE,"Giampiero Martignoni";#N/A,#N/A,FALSE,"P&amp;L - South Kensington";#N/A,#N/A,FALSE,"P&amp;L - Hammersmith";#N/A,#N/A,FALSE,"P&amp;L - Notting Hill";#N/A,#N/A,FALSE,"P&amp;L - Camden";#N/A,#N/A,FALSE,"P&amp;L - Hampstead";#N/A,#N/A,FALSE,"P&amp;L - Chiswick";#N/A,#N/A,FALSE,"P&amp;L - Westbourne Grove";#N/A,#N/A,FALSE,"P&amp;L - Portobello Road";#N/A,#N/A,FALSE,"Giles Potter";#N/A,#N/A,FALSE,"P&amp;L - Heathrow";#N/A,#N/A,FALSE,"P&amp;L - Tottenham Court Road";#N/A,#N/A,FALSE,"P&amp;L - Brewer Street";#N/A,#N/A,FALSE,"P&amp;L - Strand";#N/A,#N/A,FALSE,"P&amp;L - Lancaster Place";#N/A,#N/A,FALSE,"P&amp;L - Soho";#N/A,#N/A,FALSE,"P&amp;L - Kingston";#N/A,#N/A,FALSE,"John Taffe";#N/A,#N/A,FALSE,"P&amp;L - Clapham Junction";#N/A,#N/A,FALSE,"P&amp;L - Clapham High Street";#N/A,#N/A,FALSE,"P&amp;L - Bristol";#N/A,#N/A,FALSE,"P&amp;L - Ashford";#N/A,#N/A,FALSE,"Liesel Panchaud";#N/A,#N/A,FALSE,"P&amp;L - Winchester House";#N/A,#N/A,FALSE,"P&amp;L - Wormwood";#N/A,#N/A,FALSE,"P&amp;L - Leadenhall";#N/A,#N/A,FALSE,"P&amp;L - Cranbourn Street";#N/A,#N/A,FALSE,"P&amp;L - Edgeware Road";#N/A,#N/A,FALSE,"P&amp;L - Piccadilly";#N/A,#N/A,FALSE,"Raff di Landro";#N/A,#N/A,FALSE,"P&amp;L - Brighton";#N/A,#N/A,FALSE,"P&amp;L - Guildford"}</definedName>
    <definedName name="wrn.OTC._.Market._.Report." localSheetId="10" hidden="1">{#N/A,#N/A,FALSE,"Sales Graph";#N/A,#N/A,FALSE,"BUC Graph";#N/A,#N/A,FALSE,"P&amp;L - YTD"}</definedName>
    <definedName name="wrn.OTC._.Market._.Report." localSheetId="9" hidden="1">{#N/A,#N/A,FALSE,"Sales Graph";#N/A,#N/A,FALSE,"BUC Graph";#N/A,#N/A,FALSE,"P&amp;L - YTD"}</definedName>
    <definedName name="wrn.OTC._.Market._.Report." hidden="1">{#N/A,#N/A,FALSE,"Sales Graph";#N/A,#N/A,FALSE,"BUC Graph";#N/A,#N/A,FALSE,"P&amp;L - YTD"}</definedName>
    <definedName name="wrn.Other._.Pharm." localSheetId="10" hidden="1">{#N/A,#N/A,FALSE,"Other";#N/A,#N/A,FALSE,"Ace";#N/A,#N/A,FALSE,"Derm"}</definedName>
    <definedName name="wrn.Other._.Pharm." localSheetId="9" hidden="1">{#N/A,#N/A,FALSE,"Other";#N/A,#N/A,FALSE,"Ace";#N/A,#N/A,FALSE,"Derm"}</definedName>
    <definedName name="wrn.Other._.Pharm." hidden="1">{#N/A,#N/A,FALSE,"Other";#N/A,#N/A,FALSE,"Ace";#N/A,#N/A,FALSE,"Derm"}</definedName>
    <definedName name="wrn.OUTPUT." localSheetId="10" hidden="1">{"DCF","UPSIDE CASE",FALSE,"Sheet1";"DCF","BASE CASE",FALSE,"Sheet1";"DCF","DOWNSIDE CASE",FALSE,"Sheet1"}</definedName>
    <definedName name="wrn.OUTPUT." localSheetId="9" hidden="1">{"DCF","UPSIDE CASE",FALSE,"Sheet1";"DCF","BASE CASE",FALSE,"Sheet1";"DCF","DOWNSIDE CASE",FALSE,"Sheet1"}</definedName>
    <definedName name="wrn.OUTPUT." hidden="1">{"DCF","UPSIDE CASE",FALSE,"Sheet1";"DCF","BASE CASE",FALSE,"Sheet1";"DCF","DOWNSIDE CASE",FALSE,"Sheet1"}</definedName>
    <definedName name="wrn.OUTPUT._1" localSheetId="10" hidden="1">{"DCF","UPSIDE CASE",FALSE,"Sheet1";"DCF","BASE CASE",FALSE,"Sheet1";"DCF","DOWNSIDE CASE",FALSE,"Sheet1"}</definedName>
    <definedName name="wrn.OUTPUT._1" localSheetId="9" hidden="1">{"DCF","UPSIDE CASE",FALSE,"Sheet1";"DCF","BASE CASE",FALSE,"Sheet1";"DCF","DOWNSIDE CASE",FALSE,"Sheet1"}</definedName>
    <definedName name="wrn.OUTPUT._1" hidden="1">{"DCF","UPSIDE CASE",FALSE,"Sheet1";"DCF","BASE CASE",FALSE,"Sheet1";"DCF","DOWNSIDE CASE",FALSE,"Sheet1"}</definedName>
    <definedName name="wrn.OUTPUT._from_AB" localSheetId="10" hidden="1">{"DCF","UPSIDE CASE",FALSE,"Sheet1";"DCF","BASE CASE",FALSE,"Sheet1";"DCF","DOWNSIDE CASE",FALSE,"Sheet1"}</definedName>
    <definedName name="wrn.OUTPUT._from_AB" localSheetId="9" hidden="1">{"DCF","UPSIDE CASE",FALSE,"Sheet1";"DCF","BASE CASE",FALSE,"Sheet1";"DCF","DOWNSIDE CASE",FALSE,"Sheet1"}</definedName>
    <definedName name="wrn.OUTPUT._from_AB" hidden="1">{"DCF","UPSIDE CASE",FALSE,"Sheet1";"DCF","BASE CASE",FALSE,"Sheet1";"DCF","DOWNSIDE CASE",FALSE,"Sheet1"}</definedName>
    <definedName name="wrn.OUTPUT._from_AB_1" localSheetId="10" hidden="1">{"DCF","UPSIDE CASE",FALSE,"Sheet1";"DCF","BASE CASE",FALSE,"Sheet1";"DCF","DOWNSIDE CASE",FALSE,"Sheet1"}</definedName>
    <definedName name="wrn.OUTPUT._from_AB_1" localSheetId="9" hidden="1">{"DCF","UPSIDE CASE",FALSE,"Sheet1";"DCF","BASE CASE",FALSE,"Sheet1";"DCF","DOWNSIDE CASE",FALSE,"Sheet1"}</definedName>
    <definedName name="wrn.OUTPUT._from_AB_1" hidden="1">{"DCF","UPSIDE CASE",FALSE,"Sheet1";"DCF","BASE CASE",FALSE,"Sheet1";"DCF","DOWNSIDE CASE",FALSE,"Sheet1"}</definedName>
    <definedName name="wrn.OUTPUT._from_DBAB" localSheetId="10" hidden="1">{"DCF","UPSIDE CASE",FALSE,"Sheet1";"DCF","BASE CASE",FALSE,"Sheet1";"DCF","DOWNSIDE CASE",FALSE,"Sheet1"}</definedName>
    <definedName name="wrn.OUTPUT._from_DBAB" localSheetId="9" hidden="1">{"DCF","UPSIDE CASE",FALSE,"Sheet1";"DCF","BASE CASE",FALSE,"Sheet1";"DCF","DOWNSIDE CASE",FALSE,"Sheet1"}</definedName>
    <definedName name="wrn.OUTPUT._from_DBAB" hidden="1">{"DCF","UPSIDE CASE",FALSE,"Sheet1";"DCF","BASE CASE",FALSE,"Sheet1";"DCF","DOWNSIDE CASE",FALSE,"Sheet1"}</definedName>
    <definedName name="wrn.OUTPUT._from_DBAB_1" localSheetId="10" hidden="1">{"DCF","UPSIDE CASE",FALSE,"Sheet1";"DCF","BASE CASE",FALSE,"Sheet1";"DCF","DOWNSIDE CASE",FALSE,"Sheet1"}</definedName>
    <definedName name="wrn.OUTPUT._from_DBAB_1" localSheetId="9" hidden="1">{"DCF","UPSIDE CASE",FALSE,"Sheet1";"DCF","BASE CASE",FALSE,"Sheet1";"DCF","DOWNSIDE CASE",FALSE,"Sheet1"}</definedName>
    <definedName name="wrn.OUTPUT._from_DBAB_1" hidden="1">{"DCF","UPSIDE CASE",FALSE,"Sheet1";"DCF","BASE CASE",FALSE,"Sheet1";"DCF","DOWNSIDE CASE",FALSE,"Sheet1"}</definedName>
    <definedName name="wrn.p" localSheetId="10" hidden="1">{#N/A,#N/A,FALSE,"1";#N/A,#N/A,FALSE,"2";#N/A,#N/A,FALSE,"16 - 17";#N/A,#N/A,FALSE,"18 - 19";#N/A,#N/A,FALSE,"26";#N/A,#N/A,FALSE,"27";#N/A,#N/A,FALSE,"28"}</definedName>
    <definedName name="wrn.p" localSheetId="9" hidden="1">{#N/A,#N/A,FALSE,"1";#N/A,#N/A,FALSE,"2";#N/A,#N/A,FALSE,"16 - 17";#N/A,#N/A,FALSE,"18 - 19";#N/A,#N/A,FALSE,"26";#N/A,#N/A,FALSE,"27";#N/A,#N/A,FALSE,"28"}</definedName>
    <definedName name="wrn.p" hidden="1">{#N/A,#N/A,FALSE,"1";#N/A,#N/A,FALSE,"2";#N/A,#N/A,FALSE,"16 - 17";#N/A,#N/A,FALSE,"18 - 19";#N/A,#N/A,FALSE,"26";#N/A,#N/A,FALSE,"27";#N/A,#N/A,FALSE,"28"}</definedName>
    <definedName name="wrn.PCB원가계산." localSheetId="10" hidden="1">{#N/A,#N/A,FALSE,"P.C.B"}</definedName>
    <definedName name="wrn.PCB원가계산." localSheetId="9" hidden="1">{#N/A,#N/A,FALSE,"P.C.B"}</definedName>
    <definedName name="wrn.PCB원가계산." hidden="1">{#N/A,#N/A,FALSE,"P.C.B"}</definedName>
    <definedName name="wrn.PEWC1." localSheetId="10" hidden="1">{"Graphic",#N/A,TRUE,"Graphic"}</definedName>
    <definedName name="wrn.PEWC1." localSheetId="9" hidden="1">{"Graphic",#N/A,TRUE,"Graphic"}</definedName>
    <definedName name="wrn.PEWC1." hidden="1">{"Graphic",#N/A,TRUE,"Graphic"}</definedName>
    <definedName name="wrn.Pharm._.Market._.Report." localSheetId="10" hidden="1">{#N/A,#N/A,FALSE,"Sales Graph";#N/A,#N/A,FALSE,"PSBM";#N/A,#N/A,FALSE,"BUC Graph";#N/A,#N/A,FALSE,"P&amp;L - YTD"}</definedName>
    <definedName name="wrn.Pharm._.Market._.Report." localSheetId="9" hidden="1">{#N/A,#N/A,FALSE,"Sales Graph";#N/A,#N/A,FALSE,"PSBM";#N/A,#N/A,FALSE,"BUC Graph";#N/A,#N/A,FALSE,"P&amp;L - YTD"}</definedName>
    <definedName name="wrn.Pharm._.Market._.Report." hidden="1">{#N/A,#N/A,FALSE,"Sales Graph";#N/A,#N/A,FALSE,"PSBM";#N/A,#N/A,FALSE,"BUC Graph";#N/A,#N/A,FALSE,"P&amp;L - YTD"}</definedName>
    <definedName name="wrn.Pharmaceuticals." localSheetId="10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" localSheetId="9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ysical._.Count._.Securities." localSheetId="10" hidden="1">{"Physical Count Securities",#N/A,FALSE,"BFIT B&amp;D Valuation"}</definedName>
    <definedName name="wrn.Physical._.Count._.Securities." localSheetId="9" hidden="1">{"Physical Count Securities",#N/A,FALSE,"BFIT B&amp;D Valuation"}</definedName>
    <definedName name="wrn.Physical._.Count._.Securities." hidden="1">{"Physical Count Securities",#N/A,FALSE,"BFIT B&amp;D Valuation"}</definedName>
    <definedName name="wrn.Portrait._.IS." localSheetId="10" hidden="1">{"Portrait letter is",#N/A,FALSE,"Model"}</definedName>
    <definedName name="wrn.Portrait._.IS." localSheetId="9" hidden="1">{"Portrait letter is",#N/A,FALSE,"Model"}</definedName>
    <definedName name="wrn.Portrait._.IS." hidden="1">{"Portrait letter is",#N/A,FALSE,"Model"}</definedName>
    <definedName name="wrn.Portrait._.letter._.is." localSheetId="10" hidden="1">{"Portrait letter is",#N/A,FALSE,"Model"}</definedName>
    <definedName name="wrn.Portrait._.letter._.is." localSheetId="9" hidden="1">{"Portrait letter is",#N/A,FALSE,"Model"}</definedName>
    <definedName name="wrn.Portrait._.letter._.is." hidden="1">{"Portrait letter is",#N/A,FALSE,"Model"}</definedName>
    <definedName name="wrn.Post._.Approval." localSheetId="10" hidden="1">{"Post Approval",#N/A,FALSE,"Post-Approval"}</definedName>
    <definedName name="wrn.Post._.Approval." localSheetId="9" hidden="1">{"Post Approval",#N/A,FALSE,"Post-Approval"}</definedName>
    <definedName name="wrn.Post._.Approval." hidden="1">{"Post Approval",#N/A,FALSE,"Post-Approval"}</definedName>
    <definedName name="wrn.ppp" localSheetId="10" hidden="1">{#N/A,#N/A,FALSE,"1";#N/A,#N/A,FALSE,"2";#N/A,#N/A,FALSE,"16 - 17";#N/A,#N/A,FALSE,"18 - 19";#N/A,#N/A,FALSE,"26";#N/A,#N/A,FALSE,"27";#N/A,#N/A,FALSE,"28"}</definedName>
    <definedName name="wrn.ppp" localSheetId="9" hidden="1">{#N/A,#N/A,FALSE,"1";#N/A,#N/A,FALSE,"2";#N/A,#N/A,FALSE,"16 - 17";#N/A,#N/A,FALSE,"18 - 19";#N/A,#N/A,FALSE,"26";#N/A,#N/A,FALSE,"27";#N/A,#N/A,FALSE,"28"}</definedName>
    <definedName name="wrn.ppp" hidden="1">{#N/A,#N/A,FALSE,"1";#N/A,#N/A,FALSE,"2";#N/A,#N/A,FALSE,"16 - 17";#N/A,#N/A,FALSE,"18 - 19";#N/A,#N/A,FALSE,"26";#N/A,#N/A,FALSE,"27";#N/A,#N/A,FALSE,"28"}</definedName>
    <definedName name="wrn.pres." localSheetId="10" hidden="1">{#N/A,#N/A,FALSE,"Major v. River";#N/A,#N/A,FALSE,"Industry";#N/A,#N/A,FALSE,"Large Operators";#N/A,#N/A,FALSE,"Smaller Operators";#N/A,#N/A,FALSE,"Equip. Supply";#N/A,#N/A,FALSE,"EBITDA";#N/A,#N/A,FALSE,"States";#N/A,#N/A,FALSE,"LV Detail"}</definedName>
    <definedName name="wrn.pres." localSheetId="9" hidden="1">{#N/A,#N/A,FALSE,"Major v. River";#N/A,#N/A,FALSE,"Industry";#N/A,#N/A,FALSE,"Large Operators";#N/A,#N/A,FALSE,"Smaller Operators";#N/A,#N/A,FALSE,"Equip. Supply";#N/A,#N/A,FALSE,"EBITDA";#N/A,#N/A,FALSE,"States";#N/A,#N/A,FALSE,"LV Detail"}</definedName>
    <definedName name="wrn.pres." hidden="1">{#N/A,#N/A,FALSE,"Major v. River";#N/A,#N/A,FALSE,"Industry";#N/A,#N/A,FALSE,"Large Operators";#N/A,#N/A,FALSE,"Smaller Operators";#N/A,#N/A,FALSE,"Equip. Supply";#N/A,#N/A,FALSE,"EBITDA";#N/A,#N/A,FALSE,"States";#N/A,#N/A,FALSE,"LV Detail"}</definedName>
    <definedName name="wrn.pres97." localSheetId="10" hidden="1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wrn.pres97." localSheetId="9" hidden="1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wrn.pres97." hidden="1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wrn.Primary._.Reports." localSheetId="10" hidden="1">{#N/A,#N/A,FALSE,"Plan Summary";#N/A,#N/A,FALSE,"Monthly Goals";#N/A,#N/A,FALSE,"Profit Detail";#N/A,#N/A,FALSE,"Output Comparison";#N/A,#N/A,FALSE,"Production Goals"}</definedName>
    <definedName name="wrn.Primary._.Reports." localSheetId="9" hidden="1">{#N/A,#N/A,FALSE,"Plan Summary";#N/A,#N/A,FALSE,"Monthly Goals";#N/A,#N/A,FALSE,"Profit Detail";#N/A,#N/A,FALSE,"Output Comparison";#N/A,#N/A,FALSE,"Production Goals"}</definedName>
    <definedName name="wrn.Primary._.Reports." hidden="1">{#N/A,#N/A,FALSE,"Plan Summary";#N/A,#N/A,FALSE,"Monthly Goals";#N/A,#N/A,FALSE,"Profit Detail";#N/A,#N/A,FALSE,"Output Comparison";#N/A,#N/A,FALSE,"Production Goals"}</definedName>
    <definedName name="wrn.PrimeCo." localSheetId="10" hidden="1">{"print 1",#N/A,FALSE,"PrimeCo PCS";"print 2",#N/A,FALSE,"PrimeCo PCS";"valuation",#N/A,FALSE,"PrimeCo PCS"}</definedName>
    <definedName name="wrn.PrimeCo." localSheetId="9" hidden="1">{"print 1",#N/A,FALSE,"PrimeCo PCS";"print 2",#N/A,FALSE,"PrimeCo PCS";"valuation",#N/A,FALSE,"PrimeCo PCS"}</definedName>
    <definedName name="wrn.PrimeCo." hidden="1">{"print 1",#N/A,FALSE,"PrimeCo PCS";"print 2",#N/A,FALSE,"PrimeCo PCS";"valuation",#N/A,FALSE,"PrimeCo PCS"}</definedName>
    <definedName name="wrn.prin2._.all." localSheetId="10" hidden="1">{#N/A,#N/A,FALSE,"Pharm";#N/A,#N/A,FALSE,"WWCM"}</definedName>
    <definedName name="wrn.prin2._.all." localSheetId="9" hidden="1">{#N/A,#N/A,FALSE,"Pharm";#N/A,#N/A,FALSE,"WWCM"}</definedName>
    <definedName name="wrn.prin2._.all." hidden="1">{#N/A,#N/A,FALSE,"Pharm";#N/A,#N/A,FALSE,"WWCM"}</definedName>
    <definedName name="wrn.prin3" localSheetId="10" hidden="1">{#N/A,#N/A,FALSE,"Pharm";#N/A,#N/A,FALSE,"WWCM"}</definedName>
    <definedName name="wrn.prin3" localSheetId="9" hidden="1">{#N/A,#N/A,FALSE,"Pharm";#N/A,#N/A,FALSE,"WWCM"}</definedName>
    <definedName name="wrn.prin3" hidden="1">{#N/A,#N/A,FALSE,"Pharm";#N/A,#N/A,FALSE,"WWCM"}</definedName>
    <definedName name="wrn.print" localSheetId="10" hidden="1">{#N/A,#N/A,FALSE,"Pharm";#N/A,#N/A,FALSE,"WWCM"}</definedName>
    <definedName name="wrn.print" localSheetId="9" hidden="1">{#N/A,#N/A,FALSE,"Pharm";#N/A,#N/A,FALSE,"WWCM"}</definedName>
    <definedName name="wrn.print" hidden="1">{#N/A,#N/A,FALSE,"Pharm";#N/A,#N/A,FALSE,"WWCM"}</definedName>
    <definedName name="wrn.Print." localSheetId="10" hidden="1">{#N/A,#N/A,FALSE,"Trading-Mult ";#N/A,#N/A,FALSE,"Trading-Cap";#N/A,#N/A,FALSE,"Trading-Inc";#N/A,#N/A,FALSE,"Cash Flow";#N/A,#N/A,FALSE,"M&amp;A info"}</definedName>
    <definedName name="wrn.Print." localSheetId="9" hidden="1">{#N/A,#N/A,FALSE,"Trading-Mult ";#N/A,#N/A,FALSE,"Trading-Cap";#N/A,#N/A,FALSE,"Trading-Inc";#N/A,#N/A,FALSE,"Cash Flow";#N/A,#N/A,FALSE,"M&amp;A info"}</definedName>
    <definedName name="wrn.Print." hidden="1">{#N/A,#N/A,FALSE,"Trading-Mult ";#N/A,#N/A,FALSE,"Trading-Cap";#N/A,#N/A,FALSE,"Trading-Inc";#N/A,#N/A,FALSE,"Cash Flow";#N/A,#N/A,FALSE,"M&amp;A info"}</definedName>
    <definedName name="wrn.Print._.5._.and._.12." localSheetId="10" hidden="1">{"EBIT 5",#N/A,FALSE,"EBIT";"NPAT 5",#N/A,FALSE,"EBIT";"EBITDA 5",#N/A,FALSE,"EBIT";"INTEREST 5",#N/A,FALSE,"EBIT";"TAX 5",#N/A,FALSE,"EBIT";"MI 5",#N/A,FALSE,"EBIT";"3G 5",#N/A,FALSE,"EBIT";"E-Com 5",#N/A,FALSE,"EBIT";"EBIT 12",#N/A,FALSE,"EBIT";"NPAT 12",#N/A,FALSE,"EBIT";"EBITDA 12",#N/A,FALSE,"EBIT";"INTEREST 12",#N/A,FALSE,"EBIT";"TAX 12",#N/A,FALSE,"EBIT";"MI 12",#N/A,FALSE,"EBIT"}</definedName>
    <definedName name="wrn.Print._.5._.and._.12." localSheetId="9" hidden="1">{"EBIT 5",#N/A,FALSE,"EBIT";"NPAT 5",#N/A,FALSE,"EBIT";"EBITDA 5",#N/A,FALSE,"EBIT";"INTEREST 5",#N/A,FALSE,"EBIT";"TAX 5",#N/A,FALSE,"EBIT";"MI 5",#N/A,FALSE,"EBIT";"3G 5",#N/A,FALSE,"EBIT";"E-Com 5",#N/A,FALSE,"EBIT";"EBIT 12",#N/A,FALSE,"EBIT";"NPAT 12",#N/A,FALSE,"EBIT";"EBITDA 12",#N/A,FALSE,"EBIT";"INTEREST 12",#N/A,FALSE,"EBIT";"TAX 12",#N/A,FALSE,"EBIT";"MI 12",#N/A,FALSE,"EBIT"}</definedName>
    <definedName name="wrn.Print._.5._.and._.12." hidden="1">{"EBIT 5",#N/A,FALSE,"EBIT";"NPAT 5",#N/A,FALSE,"EBIT";"EBITDA 5",#N/A,FALSE,"EBIT";"INTEREST 5",#N/A,FALSE,"EBIT";"TAX 5",#N/A,FALSE,"EBIT";"MI 5",#N/A,FALSE,"EBIT";"3G 5",#N/A,FALSE,"EBIT";"E-Com 5",#N/A,FALSE,"EBIT";"EBIT 12",#N/A,FALSE,"EBIT";"NPAT 12",#N/A,FALSE,"EBIT";"EBITDA 12",#N/A,FALSE,"EBIT";"INTEREST 12",#N/A,FALSE,"EBIT";"TAX 12",#N/A,FALSE,"EBIT";"MI 12",#N/A,FALSE,"EBIT"}</definedName>
    <definedName name="wrn.Print._.All." localSheetId="10" hidden="1">{#N/A,#N/A,FALSE,"P&amp;L Variance";#N/A,#N/A,FALSE,"Location P&amp;L (Actual)";#N/A,#N/A,FALSE,"Location P&amp;L (Budget)";#N/A,#N/A,FALSE,"Location P&amp;L (Variance)";#N/A,#N/A,FALSE,"By Month P&amp;L"}</definedName>
    <definedName name="wrn.Print._.All." localSheetId="9" hidden="1">{#N/A,#N/A,FALSE,"P&amp;L Variance";#N/A,#N/A,FALSE,"Location P&amp;L (Actual)";#N/A,#N/A,FALSE,"Location P&amp;L (Budget)";#N/A,#N/A,FALSE,"Location P&amp;L (Variance)";#N/A,#N/A,FALSE,"By Month P&amp;L"}</definedName>
    <definedName name="wrn.Print._.All." hidden="1">{#N/A,#N/A,FALSE,"P&amp;L Variance";#N/A,#N/A,FALSE,"Location P&amp;L (Actual)";#N/A,#N/A,FALSE,"Location P&amp;L (Budget)";#N/A,#N/A,FALSE,"Location P&amp;L (Variance)";#N/A,#N/A,FALSE,"By Month P&amp;L"}</definedName>
    <definedName name="wrn.Print._.All._1" localSheetId="10" hidden="1">{#N/A,#N/A,FALSE,"P&amp;L Variance";#N/A,#N/A,FALSE,"Location P&amp;L (Actual)";#N/A,#N/A,FALSE,"Location P&amp;L (Budget)";#N/A,#N/A,FALSE,"Location P&amp;L (Variance)";#N/A,#N/A,FALSE,"By Month P&amp;L"}</definedName>
    <definedName name="wrn.Print._.All._1" localSheetId="9" hidden="1">{#N/A,#N/A,FALSE,"P&amp;L Variance";#N/A,#N/A,FALSE,"Location P&amp;L (Actual)";#N/A,#N/A,FALSE,"Location P&amp;L (Budget)";#N/A,#N/A,FALSE,"Location P&amp;L (Variance)";#N/A,#N/A,FALSE,"By Month P&amp;L"}</definedName>
    <definedName name="wrn.Print._.All._1" hidden="1">{#N/A,#N/A,FALSE,"P&amp;L Variance";#N/A,#N/A,FALSE,"Location P&amp;L (Actual)";#N/A,#N/A,FALSE,"Location P&amp;L (Budget)";#N/A,#N/A,FALSE,"Location P&amp;L (Variance)";#N/A,#N/A,FALSE,"By Month P&amp;L"}</definedName>
    <definedName name="wrn.PRINT._.ALL.2" localSheetId="10" hidden="1">{#N/A,#N/A,FALSE,"Pharm";#N/A,#N/A,FALSE,"WWCM"}</definedName>
    <definedName name="wrn.PRINT._.ALL.2" localSheetId="9" hidden="1">{#N/A,#N/A,FALSE,"Pharm";#N/A,#N/A,FALSE,"WWCM"}</definedName>
    <definedName name="wrn.PRINT._.ALL.2" hidden="1">{#N/A,#N/A,FALSE,"Pharm";#N/A,#N/A,FALSE,"WWCM"}</definedName>
    <definedName name="wrn.print._.all2" localSheetId="10" hidden="1">{#N/A,#N/A,FALSE,"Pharm";#N/A,#N/A,FALSE,"WWCM"}</definedName>
    <definedName name="wrn.print._.all2" localSheetId="9" hidden="1">{#N/A,#N/A,FALSE,"Pharm";#N/A,#N/A,FALSE,"WWCM"}</definedName>
    <definedName name="wrn.print._.all2" hidden="1">{#N/A,#N/A,FALSE,"Pharm";#N/A,#N/A,FALSE,"WWCM"}</definedName>
    <definedName name="wrn.print._.area._.1." localSheetId="10" hidden="1">{#N/A,#N/A,FALSE,"100 ADMIN";#N/A,#N/A,FALSE,"150 BROADCAST SERV";#N/A,#N/A,FALSE,"200 LOGISTICS";#N/A,#N/A,FALSE,"210 Race Op";#N/A,#N/A,FALSE,"220 T&amp;S";#N/A,#N/A,FALSE,"225 SAFETY";#N/A,#N/A,FALSE,"230 Pace Car";#N/A,#N/A,FALSE,"240 ELEC";#N/A,#N/A,FALSE,"250 COMP";#N/A,#N/A,FALSE,"300 SALES";#N/A,#N/A,FALSE,"350 MARKET RESEARCH";#N/A,#N/A,FALSE,"375 M &amp; A";#N/A,#N/A,FALSE,"400 CLIENT SERVICE";#N/A,#N/A,FALSE,"425 WCC";#N/A,#N/A,FALSE,"450 PR";#N/A,#N/A,FALSE,"475 MARKETING SERVICES";#N/A,#N/A,FALSE,"500 REGISTRATION";#N/A,#N/A,FALSE,"550 PROMOTIONS";#N/A,#N/A,FALSE,"575 Client Relations";#N/A,#N/A,FALSE,"2000 Budget All";#N/A,#N/A,FALSE,"Notes 2000";#N/A,#N/A,FALSE,"CART Q-LY";#N/A,#N/A,FALSE,"ARS";#N/A,#N/A,FALSE,"Promotion";#N/A,#N/A,FALSE,"CLP";#N/A,#N/A,FALSE,"2000 Share calc-actual";#N/A,#N/A,FALSE,"Comb 2000";#N/A,#N/A,FALSE,"Comb 2001";#N/A,#N/A,FALSE,"Comb 2002";#N/A,#N/A,FALSE,"Comb 2003";#N/A,#N/A,FALSE,"Comb 2004";#N/A,#N/A,FALSE,"Comb 2005";#N/A,#N/A,FALSE,"Summary";#N/A,#N/A,FALSE,"CHAMP Q-LY"}</definedName>
    <definedName name="wrn.print._.area._.1." localSheetId="9" hidden="1">{#N/A,#N/A,FALSE,"100 ADMIN";#N/A,#N/A,FALSE,"150 BROADCAST SERV";#N/A,#N/A,FALSE,"200 LOGISTICS";#N/A,#N/A,FALSE,"210 Race Op";#N/A,#N/A,FALSE,"220 T&amp;S";#N/A,#N/A,FALSE,"225 SAFETY";#N/A,#N/A,FALSE,"230 Pace Car";#N/A,#N/A,FALSE,"240 ELEC";#N/A,#N/A,FALSE,"250 COMP";#N/A,#N/A,FALSE,"300 SALES";#N/A,#N/A,FALSE,"350 MARKET RESEARCH";#N/A,#N/A,FALSE,"375 M &amp; A";#N/A,#N/A,FALSE,"400 CLIENT SERVICE";#N/A,#N/A,FALSE,"425 WCC";#N/A,#N/A,FALSE,"450 PR";#N/A,#N/A,FALSE,"475 MARKETING SERVICES";#N/A,#N/A,FALSE,"500 REGISTRATION";#N/A,#N/A,FALSE,"550 PROMOTIONS";#N/A,#N/A,FALSE,"575 Client Relations";#N/A,#N/A,FALSE,"2000 Budget All";#N/A,#N/A,FALSE,"Notes 2000";#N/A,#N/A,FALSE,"CART Q-LY";#N/A,#N/A,FALSE,"ARS";#N/A,#N/A,FALSE,"Promotion";#N/A,#N/A,FALSE,"CLP";#N/A,#N/A,FALSE,"2000 Share calc-actual";#N/A,#N/A,FALSE,"Comb 2000";#N/A,#N/A,FALSE,"Comb 2001";#N/A,#N/A,FALSE,"Comb 2002";#N/A,#N/A,FALSE,"Comb 2003";#N/A,#N/A,FALSE,"Comb 2004";#N/A,#N/A,FALSE,"Comb 2005";#N/A,#N/A,FALSE,"Summary";#N/A,#N/A,FALSE,"CHAMP Q-LY"}</definedName>
    <definedName name="wrn.print._.area._.1." hidden="1">{#N/A,#N/A,FALSE,"100 ADMIN";#N/A,#N/A,FALSE,"150 BROADCAST SERV";#N/A,#N/A,FALSE,"200 LOGISTICS";#N/A,#N/A,FALSE,"210 Race Op";#N/A,#N/A,FALSE,"220 T&amp;S";#N/A,#N/A,FALSE,"225 SAFETY";#N/A,#N/A,FALSE,"230 Pace Car";#N/A,#N/A,FALSE,"240 ELEC";#N/A,#N/A,FALSE,"250 COMP";#N/A,#N/A,FALSE,"300 SALES";#N/A,#N/A,FALSE,"350 MARKET RESEARCH";#N/A,#N/A,FALSE,"375 M &amp; A";#N/A,#N/A,FALSE,"400 CLIENT SERVICE";#N/A,#N/A,FALSE,"425 WCC";#N/A,#N/A,FALSE,"450 PR";#N/A,#N/A,FALSE,"475 MARKETING SERVICES";#N/A,#N/A,FALSE,"500 REGISTRATION";#N/A,#N/A,FALSE,"550 PROMOTIONS";#N/A,#N/A,FALSE,"575 Client Relations";#N/A,#N/A,FALSE,"2000 Budget All";#N/A,#N/A,FALSE,"Notes 2000";#N/A,#N/A,FALSE,"CART Q-LY";#N/A,#N/A,FALSE,"ARS";#N/A,#N/A,FALSE,"Promotion";#N/A,#N/A,FALSE,"CLP";#N/A,#N/A,FALSE,"2000 Share calc-actual";#N/A,#N/A,FALSE,"Comb 2000";#N/A,#N/A,FALSE,"Comb 2001";#N/A,#N/A,FALSE,"Comb 2002";#N/A,#N/A,FALSE,"Comb 2003";#N/A,#N/A,FALSE,"Comb 2004";#N/A,#N/A,FALSE,"Comb 2005";#N/A,#N/A,FALSE,"Summary";#N/A,#N/A,FALSE,"CHAMP Q-LY"}</definedName>
    <definedName name="wrn.print._.graphs." localSheetId="10" hidden="1">{"cap_structure",#N/A,FALSE,"Graph-Mkt Cap";"price",#N/A,FALSE,"Graph-Price";"ebit",#N/A,FALSE,"Graph-EBITDA";"ebitda",#N/A,FALSE,"Graph-EBITDA"}</definedName>
    <definedName name="wrn.print._.graphs." localSheetId="9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graphs._1" localSheetId="10" hidden="1">{"cap_structure",#N/A,FALSE,"Graph-Mkt Cap";"price",#N/A,FALSE,"Graph-Price";"ebit",#N/A,FALSE,"Graph-EBITDA";"ebitda",#N/A,FALSE,"Graph-EBITDA"}</definedName>
    <definedName name="wrn.print._.graphs._1" localSheetId="9" hidden="1">{"cap_structure",#N/A,FALSE,"Graph-Mkt Cap";"price",#N/A,FALSE,"Graph-Price";"ebit",#N/A,FALSE,"Graph-EBITDA";"ebitda",#N/A,FALSE,"Graph-EBITDA"}</definedName>
    <definedName name="wrn.print._.graphs._1" hidden="1">{"cap_structure",#N/A,FALSE,"Graph-Mkt Cap";"price",#N/A,FALSE,"Graph-Price";"ebit",#N/A,FALSE,"Graph-EBITDA";"ebitda",#N/A,FALSE,"Graph-EBITDA"}</definedName>
    <definedName name="wrn.print._.graphs._1_1" localSheetId="10" hidden="1">{"cap_structure",#N/A,FALSE,"Graph-Mkt Cap";"price",#N/A,FALSE,"Graph-Price";"ebit",#N/A,FALSE,"Graph-EBITDA";"ebitda",#N/A,FALSE,"Graph-EBITDA"}</definedName>
    <definedName name="wrn.print._.graphs._1_1" localSheetId="9" hidden="1">{"cap_structure",#N/A,FALSE,"Graph-Mkt Cap";"price",#N/A,FALSE,"Graph-Price";"ebit",#N/A,FALSE,"Graph-EBITDA";"ebitda",#N/A,FALSE,"Graph-EBITDA"}</definedName>
    <definedName name="wrn.print._.graphs._1_1" hidden="1">{"cap_structure",#N/A,FALSE,"Graph-Mkt Cap";"price",#N/A,FALSE,"Graph-Price";"ebit",#N/A,FALSE,"Graph-EBITDA";"ebitda",#N/A,FALSE,"Graph-EBITDA"}</definedName>
    <definedName name="wrn.print._.graphs._1_2" localSheetId="10" hidden="1">{"cap_structure",#N/A,FALSE,"Graph-Mkt Cap";"price",#N/A,FALSE,"Graph-Price";"ebit",#N/A,FALSE,"Graph-EBITDA";"ebitda",#N/A,FALSE,"Graph-EBITDA"}</definedName>
    <definedName name="wrn.print._.graphs._1_2" localSheetId="9" hidden="1">{"cap_structure",#N/A,FALSE,"Graph-Mkt Cap";"price",#N/A,FALSE,"Graph-Price";"ebit",#N/A,FALSE,"Graph-EBITDA";"ebitda",#N/A,FALSE,"Graph-EBITDA"}</definedName>
    <definedName name="wrn.print._.graphs._1_2" hidden="1">{"cap_structure",#N/A,FALSE,"Graph-Mkt Cap";"price",#N/A,FALSE,"Graph-Price";"ebit",#N/A,FALSE,"Graph-EBITDA";"ebitda",#N/A,FALSE,"Graph-EBITDA"}</definedName>
    <definedName name="wrn.print._.graphs._1_3" localSheetId="10" hidden="1">{"cap_structure",#N/A,FALSE,"Graph-Mkt Cap";"price",#N/A,FALSE,"Graph-Price";"ebit",#N/A,FALSE,"Graph-EBITDA";"ebitda",#N/A,FALSE,"Graph-EBITDA"}</definedName>
    <definedName name="wrn.print._.graphs._1_3" localSheetId="9" hidden="1">{"cap_structure",#N/A,FALSE,"Graph-Mkt Cap";"price",#N/A,FALSE,"Graph-Price";"ebit",#N/A,FALSE,"Graph-EBITDA";"ebitda",#N/A,FALSE,"Graph-EBITDA"}</definedName>
    <definedName name="wrn.print._.graphs._1_3" hidden="1">{"cap_structure",#N/A,FALSE,"Graph-Mkt Cap";"price",#N/A,FALSE,"Graph-Price";"ebit",#N/A,FALSE,"Graph-EBITDA";"ebitda",#N/A,FALSE,"Graph-EBITDA"}</definedName>
    <definedName name="wrn.print._.graphs._1_4" localSheetId="10" hidden="1">{"cap_structure",#N/A,FALSE,"Graph-Mkt Cap";"price",#N/A,FALSE,"Graph-Price";"ebit",#N/A,FALSE,"Graph-EBITDA";"ebitda",#N/A,FALSE,"Graph-EBITDA"}</definedName>
    <definedName name="wrn.print._.graphs._1_4" localSheetId="9" hidden="1">{"cap_structure",#N/A,FALSE,"Graph-Mkt Cap";"price",#N/A,FALSE,"Graph-Price";"ebit",#N/A,FALSE,"Graph-EBITDA";"ebitda",#N/A,FALSE,"Graph-EBITDA"}</definedName>
    <definedName name="wrn.print._.graphs._1_4" hidden="1">{"cap_structure",#N/A,FALSE,"Graph-Mkt Cap";"price",#N/A,FALSE,"Graph-Price";"ebit",#N/A,FALSE,"Graph-EBITDA";"ebitda",#N/A,FALSE,"Graph-EBITDA"}</definedName>
    <definedName name="wrn.print._.graphs._2" localSheetId="10" hidden="1">{"cap_structure",#N/A,FALSE,"Graph-Mkt Cap";"price",#N/A,FALSE,"Graph-Price";"ebit",#N/A,FALSE,"Graph-EBITDA";"ebitda",#N/A,FALSE,"Graph-EBITDA"}</definedName>
    <definedName name="wrn.print._.graphs._2" localSheetId="9" hidden="1">{"cap_structure",#N/A,FALSE,"Graph-Mkt Cap";"price",#N/A,FALSE,"Graph-Price";"ebit",#N/A,FALSE,"Graph-EBITDA";"ebitda",#N/A,FALSE,"Graph-EBITDA"}</definedName>
    <definedName name="wrn.print._.graphs._2" hidden="1">{"cap_structure",#N/A,FALSE,"Graph-Mkt Cap";"price",#N/A,FALSE,"Graph-Price";"ebit",#N/A,FALSE,"Graph-EBITDA";"ebitda",#N/A,FALSE,"Graph-EBITDA"}</definedName>
    <definedName name="wrn.print._.graphs._2_1" localSheetId="10" hidden="1">{"cap_structure",#N/A,FALSE,"Graph-Mkt Cap";"price",#N/A,FALSE,"Graph-Price";"ebit",#N/A,FALSE,"Graph-EBITDA";"ebitda",#N/A,FALSE,"Graph-EBITDA"}</definedName>
    <definedName name="wrn.print._.graphs._2_1" localSheetId="9" hidden="1">{"cap_structure",#N/A,FALSE,"Graph-Mkt Cap";"price",#N/A,FALSE,"Graph-Price";"ebit",#N/A,FALSE,"Graph-EBITDA";"ebitda",#N/A,FALSE,"Graph-EBITDA"}</definedName>
    <definedName name="wrn.print._.graphs._2_1" hidden="1">{"cap_structure",#N/A,FALSE,"Graph-Mkt Cap";"price",#N/A,FALSE,"Graph-Price";"ebit",#N/A,FALSE,"Graph-EBITDA";"ebitda",#N/A,FALSE,"Graph-EBITDA"}</definedName>
    <definedName name="wrn.print._.graphs._2_2" localSheetId="10" hidden="1">{"cap_structure",#N/A,FALSE,"Graph-Mkt Cap";"price",#N/A,FALSE,"Graph-Price";"ebit",#N/A,FALSE,"Graph-EBITDA";"ebitda",#N/A,FALSE,"Graph-EBITDA"}</definedName>
    <definedName name="wrn.print._.graphs._2_2" localSheetId="9" hidden="1">{"cap_structure",#N/A,FALSE,"Graph-Mkt Cap";"price",#N/A,FALSE,"Graph-Price";"ebit",#N/A,FALSE,"Graph-EBITDA";"ebitda",#N/A,FALSE,"Graph-EBITDA"}</definedName>
    <definedName name="wrn.print._.graphs._2_2" hidden="1">{"cap_structure",#N/A,FALSE,"Graph-Mkt Cap";"price",#N/A,FALSE,"Graph-Price";"ebit",#N/A,FALSE,"Graph-EBITDA";"ebitda",#N/A,FALSE,"Graph-EBITDA"}</definedName>
    <definedName name="wrn.print._.graphs._2_3" localSheetId="10" hidden="1">{"cap_structure",#N/A,FALSE,"Graph-Mkt Cap";"price",#N/A,FALSE,"Graph-Price";"ebit",#N/A,FALSE,"Graph-EBITDA";"ebitda",#N/A,FALSE,"Graph-EBITDA"}</definedName>
    <definedName name="wrn.print._.graphs._2_3" localSheetId="9" hidden="1">{"cap_structure",#N/A,FALSE,"Graph-Mkt Cap";"price",#N/A,FALSE,"Graph-Price";"ebit",#N/A,FALSE,"Graph-EBITDA";"ebitda",#N/A,FALSE,"Graph-EBITDA"}</definedName>
    <definedName name="wrn.print._.graphs._2_3" hidden="1">{"cap_structure",#N/A,FALSE,"Graph-Mkt Cap";"price",#N/A,FALSE,"Graph-Price";"ebit",#N/A,FALSE,"Graph-EBITDA";"ebitda",#N/A,FALSE,"Graph-EBITDA"}</definedName>
    <definedName name="wrn.print._.graphs._2_4" localSheetId="10" hidden="1">{"cap_structure",#N/A,FALSE,"Graph-Mkt Cap";"price",#N/A,FALSE,"Graph-Price";"ebit",#N/A,FALSE,"Graph-EBITDA";"ebitda",#N/A,FALSE,"Graph-EBITDA"}</definedName>
    <definedName name="wrn.print._.graphs._2_4" localSheetId="9" hidden="1">{"cap_structure",#N/A,FALSE,"Graph-Mkt Cap";"price",#N/A,FALSE,"Graph-Price";"ebit",#N/A,FALSE,"Graph-EBITDA";"ebitda",#N/A,FALSE,"Graph-EBITDA"}</definedName>
    <definedName name="wrn.print._.graphs._2_4" hidden="1">{"cap_structure",#N/A,FALSE,"Graph-Mkt Cap";"price",#N/A,FALSE,"Graph-Price";"ebit",#N/A,FALSE,"Graph-EBITDA";"ebitda",#N/A,FALSE,"Graph-EBITDA"}</definedName>
    <definedName name="wrn.print._.graphs._3" localSheetId="10" hidden="1">{"cap_structure",#N/A,FALSE,"Graph-Mkt Cap";"price",#N/A,FALSE,"Graph-Price";"ebit",#N/A,FALSE,"Graph-EBITDA";"ebitda",#N/A,FALSE,"Graph-EBITDA"}</definedName>
    <definedName name="wrn.print._.graphs._3" localSheetId="9" hidden="1">{"cap_structure",#N/A,FALSE,"Graph-Mkt Cap";"price",#N/A,FALSE,"Graph-Price";"ebit",#N/A,FALSE,"Graph-EBITDA";"ebitda",#N/A,FALSE,"Graph-EBITDA"}</definedName>
    <definedName name="wrn.print._.graphs._3" hidden="1">{"cap_structure",#N/A,FALSE,"Graph-Mkt Cap";"price",#N/A,FALSE,"Graph-Price";"ebit",#N/A,FALSE,"Graph-EBITDA";"ebitda",#N/A,FALSE,"Graph-EBITDA"}</definedName>
    <definedName name="wrn.print._.graphs._3_1" localSheetId="10" hidden="1">{"cap_structure",#N/A,FALSE,"Graph-Mkt Cap";"price",#N/A,FALSE,"Graph-Price";"ebit",#N/A,FALSE,"Graph-EBITDA";"ebitda",#N/A,FALSE,"Graph-EBITDA"}</definedName>
    <definedName name="wrn.print._.graphs._3_1" localSheetId="9" hidden="1">{"cap_structure",#N/A,FALSE,"Graph-Mkt Cap";"price",#N/A,FALSE,"Graph-Price";"ebit",#N/A,FALSE,"Graph-EBITDA";"ebitda",#N/A,FALSE,"Graph-EBITDA"}</definedName>
    <definedName name="wrn.print._.graphs._3_1" hidden="1">{"cap_structure",#N/A,FALSE,"Graph-Mkt Cap";"price",#N/A,FALSE,"Graph-Price";"ebit",#N/A,FALSE,"Graph-EBITDA";"ebitda",#N/A,FALSE,"Graph-EBITDA"}</definedName>
    <definedName name="wrn.print._.graphs._3_2" localSheetId="10" hidden="1">{"cap_structure",#N/A,FALSE,"Graph-Mkt Cap";"price",#N/A,FALSE,"Graph-Price";"ebit",#N/A,FALSE,"Graph-EBITDA";"ebitda",#N/A,FALSE,"Graph-EBITDA"}</definedName>
    <definedName name="wrn.print._.graphs._3_2" localSheetId="9" hidden="1">{"cap_structure",#N/A,FALSE,"Graph-Mkt Cap";"price",#N/A,FALSE,"Graph-Price";"ebit",#N/A,FALSE,"Graph-EBITDA";"ebitda",#N/A,FALSE,"Graph-EBITDA"}</definedName>
    <definedName name="wrn.print._.graphs._3_2" hidden="1">{"cap_structure",#N/A,FALSE,"Graph-Mkt Cap";"price",#N/A,FALSE,"Graph-Price";"ebit",#N/A,FALSE,"Graph-EBITDA";"ebitda",#N/A,FALSE,"Graph-EBITDA"}</definedName>
    <definedName name="wrn.print._.graphs._3_3" localSheetId="10" hidden="1">{"cap_structure",#N/A,FALSE,"Graph-Mkt Cap";"price",#N/A,FALSE,"Graph-Price";"ebit",#N/A,FALSE,"Graph-EBITDA";"ebitda",#N/A,FALSE,"Graph-EBITDA"}</definedName>
    <definedName name="wrn.print._.graphs._3_3" localSheetId="9" hidden="1">{"cap_structure",#N/A,FALSE,"Graph-Mkt Cap";"price",#N/A,FALSE,"Graph-Price";"ebit",#N/A,FALSE,"Graph-EBITDA";"ebitda",#N/A,FALSE,"Graph-EBITDA"}</definedName>
    <definedName name="wrn.print._.graphs._3_3" hidden="1">{"cap_structure",#N/A,FALSE,"Graph-Mkt Cap";"price",#N/A,FALSE,"Graph-Price";"ebit",#N/A,FALSE,"Graph-EBITDA";"ebitda",#N/A,FALSE,"Graph-EBITDA"}</definedName>
    <definedName name="wrn.print._.graphs._3_4" localSheetId="10" hidden="1">{"cap_structure",#N/A,FALSE,"Graph-Mkt Cap";"price",#N/A,FALSE,"Graph-Price";"ebit",#N/A,FALSE,"Graph-EBITDA";"ebitda",#N/A,FALSE,"Graph-EBITDA"}</definedName>
    <definedName name="wrn.print._.graphs._3_4" localSheetId="9" hidden="1">{"cap_structure",#N/A,FALSE,"Graph-Mkt Cap";"price",#N/A,FALSE,"Graph-Price";"ebit",#N/A,FALSE,"Graph-EBITDA";"ebitda",#N/A,FALSE,"Graph-EBITDA"}</definedName>
    <definedName name="wrn.print._.graphs._3_4" hidden="1">{"cap_structure",#N/A,FALSE,"Graph-Mkt Cap";"price",#N/A,FALSE,"Graph-Price";"ebit",#N/A,FALSE,"Graph-EBITDA";"ebitda",#N/A,FALSE,"Graph-EBITDA"}</definedName>
    <definedName name="wrn.print._.graphs._4" localSheetId="10" hidden="1">{"cap_structure",#N/A,FALSE,"Graph-Mkt Cap";"price",#N/A,FALSE,"Graph-Price";"ebit",#N/A,FALSE,"Graph-EBITDA";"ebitda",#N/A,FALSE,"Graph-EBITDA"}</definedName>
    <definedName name="wrn.print._.graphs._4" localSheetId="9" hidden="1">{"cap_structure",#N/A,FALSE,"Graph-Mkt Cap";"price",#N/A,FALSE,"Graph-Price";"ebit",#N/A,FALSE,"Graph-EBITDA";"ebitda",#N/A,FALSE,"Graph-EBITDA"}</definedName>
    <definedName name="wrn.print._.graphs._4" hidden="1">{"cap_structure",#N/A,FALSE,"Graph-Mkt Cap";"price",#N/A,FALSE,"Graph-Price";"ebit",#N/A,FALSE,"Graph-EBITDA";"ebitda",#N/A,FALSE,"Graph-EBITDA"}</definedName>
    <definedName name="wrn.print._.graphs._4_1" localSheetId="10" hidden="1">{"cap_structure",#N/A,FALSE,"Graph-Mkt Cap";"price",#N/A,FALSE,"Graph-Price";"ebit",#N/A,FALSE,"Graph-EBITDA";"ebitda",#N/A,FALSE,"Graph-EBITDA"}</definedName>
    <definedName name="wrn.print._.graphs._4_1" localSheetId="9" hidden="1">{"cap_structure",#N/A,FALSE,"Graph-Mkt Cap";"price",#N/A,FALSE,"Graph-Price";"ebit",#N/A,FALSE,"Graph-EBITDA";"ebitda",#N/A,FALSE,"Graph-EBITDA"}</definedName>
    <definedName name="wrn.print._.graphs._4_1" hidden="1">{"cap_structure",#N/A,FALSE,"Graph-Mkt Cap";"price",#N/A,FALSE,"Graph-Price";"ebit",#N/A,FALSE,"Graph-EBITDA";"ebitda",#N/A,FALSE,"Graph-EBITDA"}</definedName>
    <definedName name="wrn.print._.graphs._4_2" localSheetId="10" hidden="1">{"cap_structure",#N/A,FALSE,"Graph-Mkt Cap";"price",#N/A,FALSE,"Graph-Price";"ebit",#N/A,FALSE,"Graph-EBITDA";"ebitda",#N/A,FALSE,"Graph-EBITDA"}</definedName>
    <definedName name="wrn.print._.graphs._4_2" localSheetId="9" hidden="1">{"cap_structure",#N/A,FALSE,"Graph-Mkt Cap";"price",#N/A,FALSE,"Graph-Price";"ebit",#N/A,FALSE,"Graph-EBITDA";"ebitda",#N/A,FALSE,"Graph-EBITDA"}</definedName>
    <definedName name="wrn.print._.graphs._4_2" hidden="1">{"cap_structure",#N/A,FALSE,"Graph-Mkt Cap";"price",#N/A,FALSE,"Graph-Price";"ebit",#N/A,FALSE,"Graph-EBITDA";"ebitda",#N/A,FALSE,"Graph-EBITDA"}</definedName>
    <definedName name="wrn.print._.graphs._4_3" localSheetId="10" hidden="1">{"cap_structure",#N/A,FALSE,"Graph-Mkt Cap";"price",#N/A,FALSE,"Graph-Price";"ebit",#N/A,FALSE,"Graph-EBITDA";"ebitda",#N/A,FALSE,"Graph-EBITDA"}</definedName>
    <definedName name="wrn.print._.graphs._4_3" localSheetId="9" hidden="1">{"cap_structure",#N/A,FALSE,"Graph-Mkt Cap";"price",#N/A,FALSE,"Graph-Price";"ebit",#N/A,FALSE,"Graph-EBITDA";"ebitda",#N/A,FALSE,"Graph-EBITDA"}</definedName>
    <definedName name="wrn.print._.graphs._4_3" hidden="1">{"cap_structure",#N/A,FALSE,"Graph-Mkt Cap";"price",#N/A,FALSE,"Graph-Price";"ebit",#N/A,FALSE,"Graph-EBITDA";"ebitda",#N/A,FALSE,"Graph-EBITDA"}</definedName>
    <definedName name="wrn.print._.graphs._4_4" localSheetId="10" hidden="1">{"cap_structure",#N/A,FALSE,"Graph-Mkt Cap";"price",#N/A,FALSE,"Graph-Price";"ebit",#N/A,FALSE,"Graph-EBITDA";"ebitda",#N/A,FALSE,"Graph-EBITDA"}</definedName>
    <definedName name="wrn.print._.graphs._4_4" localSheetId="9" hidden="1">{"cap_structure",#N/A,FALSE,"Graph-Mkt Cap";"price",#N/A,FALSE,"Graph-Price";"ebit",#N/A,FALSE,"Graph-EBITDA";"ebitda",#N/A,FALSE,"Graph-EBITDA"}</definedName>
    <definedName name="wrn.print._.graphs._4_4" hidden="1">{"cap_structure",#N/A,FALSE,"Graph-Mkt Cap";"price",#N/A,FALSE,"Graph-Price";"ebit",#N/A,FALSE,"Graph-EBITDA";"ebitda",#N/A,FALSE,"Graph-EBITDA"}</definedName>
    <definedName name="wrn.print._.graphs._5" localSheetId="10" hidden="1">{"cap_structure",#N/A,FALSE,"Graph-Mkt Cap";"price",#N/A,FALSE,"Graph-Price";"ebit",#N/A,FALSE,"Graph-EBITDA";"ebitda",#N/A,FALSE,"Graph-EBITDA"}</definedName>
    <definedName name="wrn.print._.graphs._5" localSheetId="9" hidden="1">{"cap_structure",#N/A,FALSE,"Graph-Mkt Cap";"price",#N/A,FALSE,"Graph-Price";"ebit",#N/A,FALSE,"Graph-EBITDA";"ebitda",#N/A,FALSE,"Graph-EBITDA"}</definedName>
    <definedName name="wrn.print._.graphs._5" hidden="1">{"cap_structure",#N/A,FALSE,"Graph-Mkt Cap";"price",#N/A,FALSE,"Graph-Price";"ebit",#N/A,FALSE,"Graph-EBITDA";"ebitda",#N/A,FALSE,"Graph-EBITDA"}</definedName>
    <definedName name="wrn.print._.graphs._5_1" localSheetId="10" hidden="1">{"cap_structure",#N/A,FALSE,"Graph-Mkt Cap";"price",#N/A,FALSE,"Graph-Price";"ebit",#N/A,FALSE,"Graph-EBITDA";"ebitda",#N/A,FALSE,"Graph-EBITDA"}</definedName>
    <definedName name="wrn.print._.graphs._5_1" localSheetId="9" hidden="1">{"cap_structure",#N/A,FALSE,"Graph-Mkt Cap";"price",#N/A,FALSE,"Graph-Price";"ebit",#N/A,FALSE,"Graph-EBITDA";"ebitda",#N/A,FALSE,"Graph-EBITDA"}</definedName>
    <definedName name="wrn.print._.graphs._5_1" hidden="1">{"cap_structure",#N/A,FALSE,"Graph-Mkt Cap";"price",#N/A,FALSE,"Graph-Price";"ebit",#N/A,FALSE,"Graph-EBITDA";"ebitda",#N/A,FALSE,"Graph-EBITDA"}</definedName>
    <definedName name="wrn.print._.graphs._5_2" localSheetId="10" hidden="1">{"cap_structure",#N/A,FALSE,"Graph-Mkt Cap";"price",#N/A,FALSE,"Graph-Price";"ebit",#N/A,FALSE,"Graph-EBITDA";"ebitda",#N/A,FALSE,"Graph-EBITDA"}</definedName>
    <definedName name="wrn.print._.graphs._5_2" localSheetId="9" hidden="1">{"cap_structure",#N/A,FALSE,"Graph-Mkt Cap";"price",#N/A,FALSE,"Graph-Price";"ebit",#N/A,FALSE,"Graph-EBITDA";"ebitda",#N/A,FALSE,"Graph-EBITDA"}</definedName>
    <definedName name="wrn.print._.graphs._5_2" hidden="1">{"cap_structure",#N/A,FALSE,"Graph-Mkt Cap";"price",#N/A,FALSE,"Graph-Price";"ebit",#N/A,FALSE,"Graph-EBITDA";"ebitda",#N/A,FALSE,"Graph-EBITDA"}</definedName>
    <definedName name="wrn.print._.graphs._5_3" localSheetId="10" hidden="1">{"cap_structure",#N/A,FALSE,"Graph-Mkt Cap";"price",#N/A,FALSE,"Graph-Price";"ebit",#N/A,FALSE,"Graph-EBITDA";"ebitda",#N/A,FALSE,"Graph-EBITDA"}</definedName>
    <definedName name="wrn.print._.graphs._5_3" localSheetId="9" hidden="1">{"cap_structure",#N/A,FALSE,"Graph-Mkt Cap";"price",#N/A,FALSE,"Graph-Price";"ebit",#N/A,FALSE,"Graph-EBITDA";"ebitda",#N/A,FALSE,"Graph-EBITDA"}</definedName>
    <definedName name="wrn.print._.graphs._5_3" hidden="1">{"cap_structure",#N/A,FALSE,"Graph-Mkt Cap";"price",#N/A,FALSE,"Graph-Price";"ebit",#N/A,FALSE,"Graph-EBITDA";"ebitda",#N/A,FALSE,"Graph-EBITDA"}</definedName>
    <definedName name="wrn.print._.graphs._5_4" localSheetId="10" hidden="1">{"cap_structure",#N/A,FALSE,"Graph-Mkt Cap";"price",#N/A,FALSE,"Graph-Price";"ebit",#N/A,FALSE,"Graph-EBITDA";"ebitda",#N/A,FALSE,"Graph-EBITDA"}</definedName>
    <definedName name="wrn.print._.graphs._5_4" localSheetId="9" hidden="1">{"cap_structure",#N/A,FALSE,"Graph-Mkt Cap";"price",#N/A,FALSE,"Graph-Price";"ebit",#N/A,FALSE,"Graph-EBITDA";"ebitda",#N/A,FALSE,"Graph-EBITDA"}</definedName>
    <definedName name="wrn.print._.graphs._5_4" hidden="1">{"cap_structure",#N/A,FALSE,"Graph-Mkt Cap";"price",#N/A,FALSE,"Graph-Price";"ebit",#N/A,FALSE,"Graph-EBITDA";"ebitda",#N/A,FALSE,"Graph-EBITDA"}</definedName>
    <definedName name="wrn.Print._.Maps." localSheetId="10" hidden="1">{#N/A,#N/A,FALSE,"Volumes Map";#N/A,#N/A,FALSE,"CGS Map";#N/A,#N/A,FALSE,"Pricing Map";#N/A,#N/A,FALSE,"Selling Costs Map";#N/A,#N/A,FALSE,"A&amp;P Costs Map";#N/A,#N/A,FALSE,"Capex Map"}</definedName>
    <definedName name="wrn.Print._.Maps." localSheetId="9" hidden="1">{#N/A,#N/A,FALSE,"Volumes Map";#N/A,#N/A,FALSE,"CGS Map";#N/A,#N/A,FALSE,"Pricing Map";#N/A,#N/A,FALSE,"Selling Costs Map";#N/A,#N/A,FALSE,"A&amp;P Costs Map";#N/A,#N/A,FALSE,"Capex Map"}</definedName>
    <definedName name="wrn.Print._.Maps." hidden="1">{#N/A,#N/A,FALSE,"Volumes Map";#N/A,#N/A,FALSE,"CGS Map";#N/A,#N/A,FALSE,"Pricing Map";#N/A,#N/A,FALSE,"Selling Costs Map";#N/A,#N/A,FALSE,"A&amp;P Costs Map";#N/A,#N/A,FALSE,"Capex Map"}</definedName>
    <definedName name="wrn.Print._.Maps._1" localSheetId="10" hidden="1">{#N/A,#N/A,FALSE,"Volumes Map";#N/A,#N/A,FALSE,"CGS Map";#N/A,#N/A,FALSE,"Pricing Map";#N/A,#N/A,FALSE,"Selling Costs Map";#N/A,#N/A,FALSE,"A&amp;P Costs Map";#N/A,#N/A,FALSE,"Capex Map"}</definedName>
    <definedName name="wrn.Print._.Maps._1" localSheetId="9" hidden="1">{#N/A,#N/A,FALSE,"Volumes Map";#N/A,#N/A,FALSE,"CGS Map";#N/A,#N/A,FALSE,"Pricing Map";#N/A,#N/A,FALSE,"Selling Costs Map";#N/A,#N/A,FALSE,"A&amp;P Costs Map";#N/A,#N/A,FALSE,"Capex Map"}</definedName>
    <definedName name="wrn.Print._.Maps._1" hidden="1">{#N/A,#N/A,FALSE,"Volumes Map";#N/A,#N/A,FALSE,"CGS Map";#N/A,#N/A,FALSE,"Pricing Map";#N/A,#N/A,FALSE,"Selling Costs Map";#N/A,#N/A,FALSE,"A&amp;P Costs Map";#N/A,#N/A,FALSE,"Capex Map"}</definedName>
    <definedName name="wrn.Print._.Products_active." localSheetId="10" hidden="1">{#N/A,#N/A,FALSE,"Krederex";#N/A,#N/A,FALSE,"Teveten";#N/A,#N/A,FALSE,"Kytril";#N/A,#N/A,FALSE,"Ariflo";#N/A,#N/A,FALSE,"SB217242";#N/A,#N/A,FALSE,"Vectavir";#N/A,#N/A,FALSE,"Avandia";#N/A,#N/A,FALSE,"Tiorfan";#N/A,#N/A,FALSE,"Eymo";#N/A,#N/A,FALSE,"Oxy"}</definedName>
    <definedName name="wrn.Print._.Products_active." localSheetId="9" hidden="1">{#N/A,#N/A,FALSE,"Krederex";#N/A,#N/A,FALSE,"Teveten";#N/A,#N/A,FALSE,"Kytril";#N/A,#N/A,FALSE,"Ariflo";#N/A,#N/A,FALSE,"SB217242";#N/A,#N/A,FALSE,"Vectavir";#N/A,#N/A,FALSE,"Avandia";#N/A,#N/A,FALSE,"Tiorfan";#N/A,#N/A,FALSE,"Eymo";#N/A,#N/A,FALSE,"Oxy"}</definedName>
    <definedName name="wrn.Print._.Products_active." hidden="1">{#N/A,#N/A,FALSE,"Krederex";#N/A,#N/A,FALSE,"Teveten";#N/A,#N/A,FALSE,"Kytril";#N/A,#N/A,FALSE,"Ariflo";#N/A,#N/A,FALSE,"SB217242";#N/A,#N/A,FALSE,"Vectavir";#N/A,#N/A,FALSE,"Avandia";#N/A,#N/A,FALSE,"Tiorfan";#N/A,#N/A,FALSE,"Eymo";#N/A,#N/A,FALSE,"Oxy"}</definedName>
    <definedName name="wrn.Print._.Products_active._1" localSheetId="10" hidden="1">{#N/A,#N/A,FALSE,"Krederex";#N/A,#N/A,FALSE,"Teveten";#N/A,#N/A,FALSE,"Kytril";#N/A,#N/A,FALSE,"Ariflo";#N/A,#N/A,FALSE,"SB217242";#N/A,#N/A,FALSE,"Vectavir";#N/A,#N/A,FALSE,"Avandia";#N/A,#N/A,FALSE,"Tiorfan";#N/A,#N/A,FALSE,"Eymo";#N/A,#N/A,FALSE,"Oxy"}</definedName>
    <definedName name="wrn.Print._.Products_active._1" localSheetId="9" hidden="1">{#N/A,#N/A,FALSE,"Krederex";#N/A,#N/A,FALSE,"Teveten";#N/A,#N/A,FALSE,"Kytril";#N/A,#N/A,FALSE,"Ariflo";#N/A,#N/A,FALSE,"SB217242";#N/A,#N/A,FALSE,"Vectavir";#N/A,#N/A,FALSE,"Avandia";#N/A,#N/A,FALSE,"Tiorfan";#N/A,#N/A,FALSE,"Eymo";#N/A,#N/A,FALSE,"Oxy"}</definedName>
    <definedName name="wrn.Print._.Products_active._1" hidden="1">{#N/A,#N/A,FALSE,"Krederex";#N/A,#N/A,FALSE,"Teveten";#N/A,#N/A,FALSE,"Kytril";#N/A,#N/A,FALSE,"Ariflo";#N/A,#N/A,FALSE,"SB217242";#N/A,#N/A,FALSE,"Vectavir";#N/A,#N/A,FALSE,"Avandia";#N/A,#N/A,FALSE,"Tiorfan";#N/A,#N/A,FALSE,"Eymo";#N/A,#N/A,FALSE,"Oxy"}</definedName>
    <definedName name="wrn.print._.raw._.data._.entry." localSheetId="10" hidden="1">{"inputs raw data",#N/A,TRUE,"INPUT"}</definedName>
    <definedName name="wrn.print._.raw._.data._.entry." localSheetId="9" hidden="1">{"inputs raw data",#N/A,TRUE,"INPUT"}</definedName>
    <definedName name="wrn.print._.raw._.data._.entry." hidden="1">{"inputs raw data",#N/A,TRUE,"INPUT"}</definedName>
    <definedName name="wrn.print._.raw._.data._.entry._1" localSheetId="10" hidden="1">{"inputs raw data",#N/A,TRUE,"INPUT"}</definedName>
    <definedName name="wrn.print._.raw._.data._.entry._1" localSheetId="9" hidden="1">{"inputs raw data",#N/A,TRUE,"INPUT"}</definedName>
    <definedName name="wrn.print._.raw._.data._.entry._1" hidden="1">{"inputs raw data",#N/A,TRUE,"INPUT"}</definedName>
    <definedName name="wrn.print._.raw._.data._.entry._1_1" localSheetId="10" hidden="1">{"inputs raw data",#N/A,TRUE,"INPUT"}</definedName>
    <definedName name="wrn.print._.raw._.data._.entry._1_1" localSheetId="9" hidden="1">{"inputs raw data",#N/A,TRUE,"INPUT"}</definedName>
    <definedName name="wrn.print._.raw._.data._.entry._1_1" hidden="1">{"inputs raw data",#N/A,TRUE,"INPUT"}</definedName>
    <definedName name="wrn.print._.raw._.data._.entry._1_2" localSheetId="10" hidden="1">{"inputs raw data",#N/A,TRUE,"INPUT"}</definedName>
    <definedName name="wrn.print._.raw._.data._.entry._1_2" localSheetId="9" hidden="1">{"inputs raw data",#N/A,TRUE,"INPUT"}</definedName>
    <definedName name="wrn.print._.raw._.data._.entry._1_2" hidden="1">{"inputs raw data",#N/A,TRUE,"INPUT"}</definedName>
    <definedName name="wrn.print._.raw._.data._.entry._1_3" localSheetId="10" hidden="1">{"inputs raw data",#N/A,TRUE,"INPUT"}</definedName>
    <definedName name="wrn.print._.raw._.data._.entry._1_3" localSheetId="9" hidden="1">{"inputs raw data",#N/A,TRUE,"INPUT"}</definedName>
    <definedName name="wrn.print._.raw._.data._.entry._1_3" hidden="1">{"inputs raw data",#N/A,TRUE,"INPUT"}</definedName>
    <definedName name="wrn.print._.raw._.data._.entry._1_4" localSheetId="10" hidden="1">{"inputs raw data",#N/A,TRUE,"INPUT"}</definedName>
    <definedName name="wrn.print._.raw._.data._.entry._1_4" localSheetId="9" hidden="1">{"inputs raw data",#N/A,TRUE,"INPUT"}</definedName>
    <definedName name="wrn.print._.raw._.data._.entry._1_4" hidden="1">{"inputs raw data",#N/A,TRUE,"INPUT"}</definedName>
    <definedName name="wrn.print._.raw._.data._.entry._2" localSheetId="10" hidden="1">{"inputs raw data",#N/A,TRUE,"INPUT"}</definedName>
    <definedName name="wrn.print._.raw._.data._.entry._2" localSheetId="9" hidden="1">{"inputs raw data",#N/A,TRUE,"INPUT"}</definedName>
    <definedName name="wrn.print._.raw._.data._.entry._2" hidden="1">{"inputs raw data",#N/A,TRUE,"INPUT"}</definedName>
    <definedName name="wrn.print._.raw._.data._.entry._2_1" localSheetId="10" hidden="1">{"inputs raw data",#N/A,TRUE,"INPUT"}</definedName>
    <definedName name="wrn.print._.raw._.data._.entry._2_1" localSheetId="9" hidden="1">{"inputs raw data",#N/A,TRUE,"INPUT"}</definedName>
    <definedName name="wrn.print._.raw._.data._.entry._2_1" hidden="1">{"inputs raw data",#N/A,TRUE,"INPUT"}</definedName>
    <definedName name="wrn.print._.raw._.data._.entry._2_2" localSheetId="10" hidden="1">{"inputs raw data",#N/A,TRUE,"INPUT"}</definedName>
    <definedName name="wrn.print._.raw._.data._.entry._2_2" localSheetId="9" hidden="1">{"inputs raw data",#N/A,TRUE,"INPUT"}</definedName>
    <definedName name="wrn.print._.raw._.data._.entry._2_2" hidden="1">{"inputs raw data",#N/A,TRUE,"INPUT"}</definedName>
    <definedName name="wrn.print._.raw._.data._.entry._2_3" localSheetId="10" hidden="1">{"inputs raw data",#N/A,TRUE,"INPUT"}</definedName>
    <definedName name="wrn.print._.raw._.data._.entry._2_3" localSheetId="9" hidden="1">{"inputs raw data",#N/A,TRUE,"INPUT"}</definedName>
    <definedName name="wrn.print._.raw._.data._.entry._2_3" hidden="1">{"inputs raw data",#N/A,TRUE,"INPUT"}</definedName>
    <definedName name="wrn.print._.raw._.data._.entry._2_4" localSheetId="10" hidden="1">{"inputs raw data",#N/A,TRUE,"INPUT"}</definedName>
    <definedName name="wrn.print._.raw._.data._.entry._2_4" localSheetId="9" hidden="1">{"inputs raw data",#N/A,TRUE,"INPUT"}</definedName>
    <definedName name="wrn.print._.raw._.data._.entry._2_4" hidden="1">{"inputs raw data",#N/A,TRUE,"INPUT"}</definedName>
    <definedName name="wrn.print._.raw._.data._.entry._3" localSheetId="10" hidden="1">{"inputs raw data",#N/A,TRUE,"INPUT"}</definedName>
    <definedName name="wrn.print._.raw._.data._.entry._3" localSheetId="9" hidden="1">{"inputs raw data",#N/A,TRUE,"INPUT"}</definedName>
    <definedName name="wrn.print._.raw._.data._.entry._3" hidden="1">{"inputs raw data",#N/A,TRUE,"INPUT"}</definedName>
    <definedName name="wrn.print._.raw._.data._.entry._3_1" localSheetId="10" hidden="1">{"inputs raw data",#N/A,TRUE,"INPUT"}</definedName>
    <definedName name="wrn.print._.raw._.data._.entry._3_1" localSheetId="9" hidden="1">{"inputs raw data",#N/A,TRUE,"INPUT"}</definedName>
    <definedName name="wrn.print._.raw._.data._.entry._3_1" hidden="1">{"inputs raw data",#N/A,TRUE,"INPUT"}</definedName>
    <definedName name="wrn.print._.raw._.data._.entry._3_2" localSheetId="10" hidden="1">{"inputs raw data",#N/A,TRUE,"INPUT"}</definedName>
    <definedName name="wrn.print._.raw._.data._.entry._3_2" localSheetId="9" hidden="1">{"inputs raw data",#N/A,TRUE,"INPUT"}</definedName>
    <definedName name="wrn.print._.raw._.data._.entry._3_2" hidden="1">{"inputs raw data",#N/A,TRUE,"INPUT"}</definedName>
    <definedName name="wrn.print._.raw._.data._.entry._3_3" localSheetId="10" hidden="1">{"inputs raw data",#N/A,TRUE,"INPUT"}</definedName>
    <definedName name="wrn.print._.raw._.data._.entry._3_3" localSheetId="9" hidden="1">{"inputs raw data",#N/A,TRUE,"INPUT"}</definedName>
    <definedName name="wrn.print._.raw._.data._.entry._3_3" hidden="1">{"inputs raw data",#N/A,TRUE,"INPUT"}</definedName>
    <definedName name="wrn.print._.raw._.data._.entry._3_4" localSheetId="10" hidden="1">{"inputs raw data",#N/A,TRUE,"INPUT"}</definedName>
    <definedName name="wrn.print._.raw._.data._.entry._3_4" localSheetId="9" hidden="1">{"inputs raw data",#N/A,TRUE,"INPUT"}</definedName>
    <definedName name="wrn.print._.raw._.data._.entry._3_4" hidden="1">{"inputs raw data",#N/A,TRUE,"INPUT"}</definedName>
    <definedName name="wrn.print._.raw._.data._.entry._4" localSheetId="10" hidden="1">{"inputs raw data",#N/A,TRUE,"INPUT"}</definedName>
    <definedName name="wrn.print._.raw._.data._.entry._4" localSheetId="9" hidden="1">{"inputs raw data",#N/A,TRUE,"INPUT"}</definedName>
    <definedName name="wrn.print._.raw._.data._.entry._4" hidden="1">{"inputs raw data",#N/A,TRUE,"INPUT"}</definedName>
    <definedName name="wrn.print._.raw._.data._.entry._4_1" localSheetId="10" hidden="1">{"inputs raw data",#N/A,TRUE,"INPUT"}</definedName>
    <definedName name="wrn.print._.raw._.data._.entry._4_1" localSheetId="9" hidden="1">{"inputs raw data",#N/A,TRUE,"INPUT"}</definedName>
    <definedName name="wrn.print._.raw._.data._.entry._4_1" hidden="1">{"inputs raw data",#N/A,TRUE,"INPUT"}</definedName>
    <definedName name="wrn.print._.raw._.data._.entry._4_2" localSheetId="10" hidden="1">{"inputs raw data",#N/A,TRUE,"INPUT"}</definedName>
    <definedName name="wrn.print._.raw._.data._.entry._4_2" localSheetId="9" hidden="1">{"inputs raw data",#N/A,TRUE,"INPUT"}</definedName>
    <definedName name="wrn.print._.raw._.data._.entry._4_2" hidden="1">{"inputs raw data",#N/A,TRUE,"INPUT"}</definedName>
    <definedName name="wrn.print._.raw._.data._.entry._4_3" localSheetId="10" hidden="1">{"inputs raw data",#N/A,TRUE,"INPUT"}</definedName>
    <definedName name="wrn.print._.raw._.data._.entry._4_3" localSheetId="9" hidden="1">{"inputs raw data",#N/A,TRUE,"INPUT"}</definedName>
    <definedName name="wrn.print._.raw._.data._.entry._4_3" hidden="1">{"inputs raw data",#N/A,TRUE,"INPUT"}</definedName>
    <definedName name="wrn.print._.raw._.data._.entry._4_4" localSheetId="10" hidden="1">{"inputs raw data",#N/A,TRUE,"INPUT"}</definedName>
    <definedName name="wrn.print._.raw._.data._.entry._4_4" localSheetId="9" hidden="1">{"inputs raw data",#N/A,TRUE,"INPUT"}</definedName>
    <definedName name="wrn.print._.raw._.data._.entry._4_4" hidden="1">{"inputs raw data",#N/A,TRUE,"INPUT"}</definedName>
    <definedName name="wrn.print._.raw._.data._.entry._5" localSheetId="10" hidden="1">{"inputs raw data",#N/A,TRUE,"INPUT"}</definedName>
    <definedName name="wrn.print._.raw._.data._.entry._5" localSheetId="9" hidden="1">{"inputs raw data",#N/A,TRUE,"INPUT"}</definedName>
    <definedName name="wrn.print._.raw._.data._.entry._5" hidden="1">{"inputs raw data",#N/A,TRUE,"INPUT"}</definedName>
    <definedName name="wrn.print._.raw._.data._.entry._5_1" localSheetId="10" hidden="1">{"inputs raw data",#N/A,TRUE,"INPUT"}</definedName>
    <definedName name="wrn.print._.raw._.data._.entry._5_1" localSheetId="9" hidden="1">{"inputs raw data",#N/A,TRUE,"INPUT"}</definedName>
    <definedName name="wrn.print._.raw._.data._.entry._5_1" hidden="1">{"inputs raw data",#N/A,TRUE,"INPUT"}</definedName>
    <definedName name="wrn.print._.raw._.data._.entry._5_2" localSheetId="10" hidden="1">{"inputs raw data",#N/A,TRUE,"INPUT"}</definedName>
    <definedName name="wrn.print._.raw._.data._.entry._5_2" localSheetId="9" hidden="1">{"inputs raw data",#N/A,TRUE,"INPUT"}</definedName>
    <definedName name="wrn.print._.raw._.data._.entry._5_2" hidden="1">{"inputs raw data",#N/A,TRUE,"INPUT"}</definedName>
    <definedName name="wrn.print._.raw._.data._.entry._5_3" localSheetId="10" hidden="1">{"inputs raw data",#N/A,TRUE,"INPUT"}</definedName>
    <definedName name="wrn.print._.raw._.data._.entry._5_3" localSheetId="9" hidden="1">{"inputs raw data",#N/A,TRUE,"INPUT"}</definedName>
    <definedName name="wrn.print._.raw._.data._.entry._5_3" hidden="1">{"inputs raw data",#N/A,TRUE,"INPUT"}</definedName>
    <definedName name="wrn.print._.raw._.data._.entry._5_4" localSheetId="10" hidden="1">{"inputs raw data",#N/A,TRUE,"INPUT"}</definedName>
    <definedName name="wrn.print._.raw._.data._.entry._5_4" localSheetId="9" hidden="1">{"inputs raw data",#N/A,TRUE,"INPUT"}</definedName>
    <definedName name="wrn.print._.raw._.data._.entry._5_4" hidden="1">{"inputs raw data",#N/A,TRUE,"INPUT"}</definedName>
    <definedName name="wrn.Print._.Runs." localSheetId="10" hidden="1">{"ratios",#N/A,FALSE,"Key Ratios";#N/A,#N/A,FALSE,"Annual Data";#N/A,#N/A,FALSE,"Balance Sheet"}</definedName>
    <definedName name="wrn.Print._.Runs." localSheetId="9" hidden="1">{"ratios",#N/A,FALSE,"Key Ratios";#N/A,#N/A,FALSE,"Annual Data";#N/A,#N/A,FALSE,"Balance Sheet"}</definedName>
    <definedName name="wrn.Print._.Runs." hidden="1">{"ratios",#N/A,FALSE,"Key Ratios";#N/A,#N/A,FALSE,"Annual Data";#N/A,#N/A,FALSE,"Balance Sheet"}</definedName>
    <definedName name="wrn.Print._.Sensitivities." localSheetId="10" hidden="1">{#N/A,#N/A,FALSE,"Prices,Vols,Capex Sensitivity";#N/A,#N/A,FALSE,"Individual Product Sensitivity";#N/A,#N/A,FALSE,"CGS Sensitivity by Product";#N/A,#N/A,FALSE,"Volume Sensitivity by Product";#N/A,#N/A,FALSE,"Pricing Sensitivity by Product"}</definedName>
    <definedName name="wrn.Print._.Sensitivities." localSheetId="9" hidden="1">{#N/A,#N/A,FALSE,"Prices,Vols,Capex Sensitivity";#N/A,#N/A,FALSE,"Individual Product Sensitivity";#N/A,#N/A,FALSE,"CGS Sensitivity by Product";#N/A,#N/A,FALSE,"Volume Sensitivity by Product";#N/A,#N/A,FALSE,"Pricing Sensitivity by Product"}</definedName>
    <definedName name="wrn.Print._.Sensitivities." hidden="1">{#N/A,#N/A,FALSE,"Prices,Vols,Capex Sensitivity";#N/A,#N/A,FALSE,"Individual Product Sensitivity";#N/A,#N/A,FALSE,"CGS Sensitivity by Product";#N/A,#N/A,FALSE,"Volume Sensitivity by Product";#N/A,#N/A,FALSE,"Pricing Sensitivity by Product"}</definedName>
    <definedName name="wrn.Print._.Sensitivities._1" localSheetId="10" hidden="1">{#N/A,#N/A,FALSE,"Prices,Vols,Capex Sensitivity";#N/A,#N/A,FALSE,"Individual Product Sensitivity";#N/A,#N/A,FALSE,"CGS Sensitivity by Product";#N/A,#N/A,FALSE,"Volume Sensitivity by Product";#N/A,#N/A,FALSE,"Pricing Sensitivity by Product"}</definedName>
    <definedName name="wrn.Print._.Sensitivities._1" localSheetId="9" hidden="1">{#N/A,#N/A,FALSE,"Prices,Vols,Capex Sensitivity";#N/A,#N/A,FALSE,"Individual Product Sensitivity";#N/A,#N/A,FALSE,"CGS Sensitivity by Product";#N/A,#N/A,FALSE,"Volume Sensitivity by Product";#N/A,#N/A,FALSE,"Pricing Sensitivity by Product"}</definedName>
    <definedName name="wrn.Print._.Sensitivities._1" hidden="1">{#N/A,#N/A,FALSE,"Prices,Vols,Capex Sensitivity";#N/A,#N/A,FALSE,"Individual Product Sensitivity";#N/A,#N/A,FALSE,"CGS Sensitivity by Product";#N/A,#N/A,FALSE,"Volume Sensitivity by Product";#N/A,#N/A,FALSE,"Pricing Sensitivity by Product"}</definedName>
    <definedName name="wrn.print._.standalone." localSheetId="10" hidden="1">{"standalone1",#N/A,FALSE,"DCFBase";"standalone2",#N/A,FALSE,"DCFBase"}</definedName>
    <definedName name="wrn.print._.standalone." localSheetId="9" hidden="1">{"standalone1",#N/A,FALSE,"DCFBase";"standalone2",#N/A,FALSE,"DCFBase"}</definedName>
    <definedName name="wrn.print._.standalone." hidden="1">{"standalone1",#N/A,FALSE,"DCFBase";"standalone2",#N/A,FALSE,"DCFBase"}</definedName>
    <definedName name="wrn.Print._.Summary._.Sheets." localSheetId="10" hidden="1">{#N/A,#N/A,FALSE,"Summary P&amp;l's";#N/A,#N/A,FALSE,"Consolidated P&amp;L";#N/A,#N/A,FALSE,"Local P&amp;L";#N/A,#N/A,FALSE,"Cash Flows"}</definedName>
    <definedName name="wrn.Print._.Summary._.Sheets." localSheetId="9" hidden="1">{#N/A,#N/A,FALSE,"Summary P&amp;l's";#N/A,#N/A,FALSE,"Consolidated P&amp;L";#N/A,#N/A,FALSE,"Local P&amp;L";#N/A,#N/A,FALSE,"Cash Flows"}</definedName>
    <definedName name="wrn.Print._.Summary._.Sheets." hidden="1">{#N/A,#N/A,FALSE,"Summary P&amp;l's";#N/A,#N/A,FALSE,"Consolidated P&amp;L";#N/A,#N/A,FALSE,"Local P&amp;L";#N/A,#N/A,FALSE,"Cash Flows"}</definedName>
    <definedName name="wrn.Print._.Summary._.Sheets._1" localSheetId="10" hidden="1">{#N/A,#N/A,FALSE,"Summary P&amp;l's";#N/A,#N/A,FALSE,"Consolidated P&amp;L";#N/A,#N/A,FALSE,"Local P&amp;L";#N/A,#N/A,FALSE,"Cash Flows"}</definedName>
    <definedName name="wrn.Print._.Summary._.Sheets._1" localSheetId="9" hidden="1">{#N/A,#N/A,FALSE,"Summary P&amp;l's";#N/A,#N/A,FALSE,"Consolidated P&amp;L";#N/A,#N/A,FALSE,"Local P&amp;L";#N/A,#N/A,FALSE,"Cash Flows"}</definedName>
    <definedName name="wrn.Print._.Summary._.Sheets._1" hidden="1">{#N/A,#N/A,FALSE,"Summary P&amp;l's";#N/A,#N/A,FALSE,"Consolidated P&amp;L";#N/A,#N/A,FALSE,"Local P&amp;L";#N/A,#N/A,FALSE,"Cash Flows"}</definedName>
    <definedName name="wrn.print._.summary._.sheets._1_1" localSheetId="10" hidden="1">{"summary1",#N/A,TRUE,"Comps";"summary2",#N/A,TRUE,"Comps";"summary3",#N/A,TRUE,"Comps"}</definedName>
    <definedName name="wrn.print._.summary._.sheets._1_1" localSheetId="9" hidden="1">{"summary1",#N/A,TRUE,"Comps";"summary2",#N/A,TRUE,"Comps";"summary3",#N/A,TRUE,"Comps"}</definedName>
    <definedName name="wrn.print._.summary._.sheets._1_1" hidden="1">{"summary1",#N/A,TRUE,"Comps";"summary2",#N/A,TRUE,"Comps";"summary3",#N/A,TRUE,"Comps"}</definedName>
    <definedName name="wrn.print._.summary._.sheets._1_2" localSheetId="10" hidden="1">{"summary1",#N/A,TRUE,"Comps";"summary2",#N/A,TRUE,"Comps";"summary3",#N/A,TRUE,"Comps"}</definedName>
    <definedName name="wrn.print._.summary._.sheets._1_2" localSheetId="9" hidden="1">{"summary1",#N/A,TRUE,"Comps";"summary2",#N/A,TRUE,"Comps";"summary3",#N/A,TRUE,"Comps"}</definedName>
    <definedName name="wrn.print._.summary._.sheets._1_2" hidden="1">{"summary1",#N/A,TRUE,"Comps";"summary2",#N/A,TRUE,"Comps";"summary3",#N/A,TRUE,"Comps"}</definedName>
    <definedName name="wrn.print._.summary._.sheets._1_3" localSheetId="10" hidden="1">{"summary1",#N/A,TRUE,"Comps";"summary2",#N/A,TRUE,"Comps";"summary3",#N/A,TRUE,"Comps"}</definedName>
    <definedName name="wrn.print._.summary._.sheets._1_3" localSheetId="9" hidden="1">{"summary1",#N/A,TRUE,"Comps";"summary2",#N/A,TRUE,"Comps";"summary3",#N/A,TRUE,"Comps"}</definedName>
    <definedName name="wrn.print._.summary._.sheets._1_3" hidden="1">{"summary1",#N/A,TRUE,"Comps";"summary2",#N/A,TRUE,"Comps";"summary3",#N/A,TRUE,"Comps"}</definedName>
    <definedName name="wrn.print._.summary._.sheets._1_4" localSheetId="10" hidden="1">{"summary1",#N/A,TRUE,"Comps";"summary2",#N/A,TRUE,"Comps";"summary3",#N/A,TRUE,"Comps"}</definedName>
    <definedName name="wrn.print._.summary._.sheets._1_4" localSheetId="9" hidden="1">{"summary1",#N/A,TRUE,"Comps";"summary2",#N/A,TRUE,"Comps";"summary3",#N/A,TRUE,"Comps"}</definedName>
    <definedName name="wrn.print._.summary._.sheets._1_4" hidden="1">{"summary1",#N/A,TRUE,"Comps";"summary2",#N/A,TRUE,"Comps";"summary3",#N/A,TRUE,"Comps"}</definedName>
    <definedName name="wrn.print._.summary._.sheets._2" localSheetId="10" hidden="1">{"summary1",#N/A,TRUE,"Comps";"summary2",#N/A,TRUE,"Comps";"summary3",#N/A,TRUE,"Comps"}</definedName>
    <definedName name="wrn.print._.summary._.sheets._2" localSheetId="9" hidden="1">{"summary1",#N/A,TRUE,"Comps";"summary2",#N/A,TRUE,"Comps";"summary3",#N/A,TRUE,"Comps"}</definedName>
    <definedName name="wrn.print._.summary._.sheets._2" hidden="1">{"summary1",#N/A,TRUE,"Comps";"summary2",#N/A,TRUE,"Comps";"summary3",#N/A,TRUE,"Comps"}</definedName>
    <definedName name="wrn.print._.summary._.sheets._2_1" localSheetId="10" hidden="1">{"summary1",#N/A,TRUE,"Comps";"summary2",#N/A,TRUE,"Comps";"summary3",#N/A,TRUE,"Comps"}</definedName>
    <definedName name="wrn.print._.summary._.sheets._2_1" localSheetId="9" hidden="1">{"summary1",#N/A,TRUE,"Comps";"summary2",#N/A,TRUE,"Comps";"summary3",#N/A,TRUE,"Comps"}</definedName>
    <definedName name="wrn.print._.summary._.sheets._2_1" hidden="1">{"summary1",#N/A,TRUE,"Comps";"summary2",#N/A,TRUE,"Comps";"summary3",#N/A,TRUE,"Comps"}</definedName>
    <definedName name="wrn.print._.summary._.sheets._2_2" localSheetId="10" hidden="1">{"summary1",#N/A,TRUE,"Comps";"summary2",#N/A,TRUE,"Comps";"summary3",#N/A,TRUE,"Comps"}</definedName>
    <definedName name="wrn.print._.summary._.sheets._2_2" localSheetId="9" hidden="1">{"summary1",#N/A,TRUE,"Comps";"summary2",#N/A,TRUE,"Comps";"summary3",#N/A,TRUE,"Comps"}</definedName>
    <definedName name="wrn.print._.summary._.sheets._2_2" hidden="1">{"summary1",#N/A,TRUE,"Comps";"summary2",#N/A,TRUE,"Comps";"summary3",#N/A,TRUE,"Comps"}</definedName>
    <definedName name="wrn.print._.summary._.sheets._2_3" localSheetId="10" hidden="1">{"summary1",#N/A,TRUE,"Comps";"summary2",#N/A,TRUE,"Comps";"summary3",#N/A,TRUE,"Comps"}</definedName>
    <definedName name="wrn.print._.summary._.sheets._2_3" localSheetId="9" hidden="1">{"summary1",#N/A,TRUE,"Comps";"summary2",#N/A,TRUE,"Comps";"summary3",#N/A,TRUE,"Comps"}</definedName>
    <definedName name="wrn.print._.summary._.sheets._2_3" hidden="1">{"summary1",#N/A,TRUE,"Comps";"summary2",#N/A,TRUE,"Comps";"summary3",#N/A,TRUE,"Comps"}</definedName>
    <definedName name="wrn.print._.summary._.sheets._2_4" localSheetId="10" hidden="1">{"summary1",#N/A,TRUE,"Comps";"summary2",#N/A,TRUE,"Comps";"summary3",#N/A,TRUE,"Comps"}</definedName>
    <definedName name="wrn.print._.summary._.sheets._2_4" localSheetId="9" hidden="1">{"summary1",#N/A,TRUE,"Comps";"summary2",#N/A,TRUE,"Comps";"summary3",#N/A,TRUE,"Comps"}</definedName>
    <definedName name="wrn.print._.summary._.sheets._2_4" hidden="1">{"summary1",#N/A,TRUE,"Comps";"summary2",#N/A,TRUE,"Comps";"summary3",#N/A,TRUE,"Comps"}</definedName>
    <definedName name="wrn.print._.summary._.sheets._3" localSheetId="10" hidden="1">{"summary1",#N/A,TRUE,"Comps";"summary2",#N/A,TRUE,"Comps";"summary3",#N/A,TRUE,"Comps"}</definedName>
    <definedName name="wrn.print._.summary._.sheets._3" localSheetId="9" hidden="1">{"summary1",#N/A,TRUE,"Comps";"summary2",#N/A,TRUE,"Comps";"summary3",#N/A,TRUE,"Comps"}</definedName>
    <definedName name="wrn.print._.summary._.sheets._3" hidden="1">{"summary1",#N/A,TRUE,"Comps";"summary2",#N/A,TRUE,"Comps";"summary3",#N/A,TRUE,"Comps"}</definedName>
    <definedName name="wrn.print._.summary._.sheets._3_1" localSheetId="10" hidden="1">{"summary1",#N/A,TRUE,"Comps";"summary2",#N/A,TRUE,"Comps";"summary3",#N/A,TRUE,"Comps"}</definedName>
    <definedName name="wrn.print._.summary._.sheets._3_1" localSheetId="9" hidden="1">{"summary1",#N/A,TRUE,"Comps";"summary2",#N/A,TRUE,"Comps";"summary3",#N/A,TRUE,"Comps"}</definedName>
    <definedName name="wrn.print._.summary._.sheets._3_1" hidden="1">{"summary1",#N/A,TRUE,"Comps";"summary2",#N/A,TRUE,"Comps";"summary3",#N/A,TRUE,"Comps"}</definedName>
    <definedName name="wrn.print._.summary._.sheets._3_2" localSheetId="10" hidden="1">{"summary1",#N/A,TRUE,"Comps";"summary2",#N/A,TRUE,"Comps";"summary3",#N/A,TRUE,"Comps"}</definedName>
    <definedName name="wrn.print._.summary._.sheets._3_2" localSheetId="9" hidden="1">{"summary1",#N/A,TRUE,"Comps";"summary2",#N/A,TRUE,"Comps";"summary3",#N/A,TRUE,"Comps"}</definedName>
    <definedName name="wrn.print._.summary._.sheets._3_2" hidden="1">{"summary1",#N/A,TRUE,"Comps";"summary2",#N/A,TRUE,"Comps";"summary3",#N/A,TRUE,"Comps"}</definedName>
    <definedName name="wrn.print._.summary._.sheets._3_3" localSheetId="10" hidden="1">{"summary1",#N/A,TRUE,"Comps";"summary2",#N/A,TRUE,"Comps";"summary3",#N/A,TRUE,"Comps"}</definedName>
    <definedName name="wrn.print._.summary._.sheets._3_3" localSheetId="9" hidden="1">{"summary1",#N/A,TRUE,"Comps";"summary2",#N/A,TRUE,"Comps";"summary3",#N/A,TRUE,"Comps"}</definedName>
    <definedName name="wrn.print._.summary._.sheets._3_3" hidden="1">{"summary1",#N/A,TRUE,"Comps";"summary2",#N/A,TRUE,"Comps";"summary3",#N/A,TRUE,"Comps"}</definedName>
    <definedName name="wrn.print._.summary._.sheets._3_4" localSheetId="10" hidden="1">{"summary1",#N/A,TRUE,"Comps";"summary2",#N/A,TRUE,"Comps";"summary3",#N/A,TRUE,"Comps"}</definedName>
    <definedName name="wrn.print._.summary._.sheets._3_4" localSheetId="9" hidden="1">{"summary1",#N/A,TRUE,"Comps";"summary2",#N/A,TRUE,"Comps";"summary3",#N/A,TRUE,"Comps"}</definedName>
    <definedName name="wrn.print._.summary._.sheets._3_4" hidden="1">{"summary1",#N/A,TRUE,"Comps";"summary2",#N/A,TRUE,"Comps";"summary3",#N/A,TRUE,"Comps"}</definedName>
    <definedName name="wrn.print._.summary._.sheets._4" localSheetId="10" hidden="1">{"summary1",#N/A,TRUE,"Comps";"summary2",#N/A,TRUE,"Comps";"summary3",#N/A,TRUE,"Comps"}</definedName>
    <definedName name="wrn.print._.summary._.sheets._4" localSheetId="9" hidden="1">{"summary1",#N/A,TRUE,"Comps";"summary2",#N/A,TRUE,"Comps";"summary3",#N/A,TRUE,"Comps"}</definedName>
    <definedName name="wrn.print._.summary._.sheets._4" hidden="1">{"summary1",#N/A,TRUE,"Comps";"summary2",#N/A,TRUE,"Comps";"summary3",#N/A,TRUE,"Comps"}</definedName>
    <definedName name="wrn.print._.summary._.sheets._4_1" localSheetId="10" hidden="1">{"summary1",#N/A,TRUE,"Comps";"summary2",#N/A,TRUE,"Comps";"summary3",#N/A,TRUE,"Comps"}</definedName>
    <definedName name="wrn.print._.summary._.sheets._4_1" localSheetId="9" hidden="1">{"summary1",#N/A,TRUE,"Comps";"summary2",#N/A,TRUE,"Comps";"summary3",#N/A,TRUE,"Comps"}</definedName>
    <definedName name="wrn.print._.summary._.sheets._4_1" hidden="1">{"summary1",#N/A,TRUE,"Comps";"summary2",#N/A,TRUE,"Comps";"summary3",#N/A,TRUE,"Comps"}</definedName>
    <definedName name="wrn.print._.summary._.sheets._4_2" localSheetId="10" hidden="1">{"summary1",#N/A,TRUE,"Comps";"summary2",#N/A,TRUE,"Comps";"summary3",#N/A,TRUE,"Comps"}</definedName>
    <definedName name="wrn.print._.summary._.sheets._4_2" localSheetId="9" hidden="1">{"summary1",#N/A,TRUE,"Comps";"summary2",#N/A,TRUE,"Comps";"summary3",#N/A,TRUE,"Comps"}</definedName>
    <definedName name="wrn.print._.summary._.sheets._4_2" hidden="1">{"summary1",#N/A,TRUE,"Comps";"summary2",#N/A,TRUE,"Comps";"summary3",#N/A,TRUE,"Comps"}</definedName>
    <definedName name="wrn.print._.summary._.sheets._4_3" localSheetId="10" hidden="1">{"summary1",#N/A,TRUE,"Comps";"summary2",#N/A,TRUE,"Comps";"summary3",#N/A,TRUE,"Comps"}</definedName>
    <definedName name="wrn.print._.summary._.sheets._4_3" localSheetId="9" hidden="1">{"summary1",#N/A,TRUE,"Comps";"summary2",#N/A,TRUE,"Comps";"summary3",#N/A,TRUE,"Comps"}</definedName>
    <definedName name="wrn.print._.summary._.sheets._4_3" hidden="1">{"summary1",#N/A,TRUE,"Comps";"summary2",#N/A,TRUE,"Comps";"summary3",#N/A,TRUE,"Comps"}</definedName>
    <definedName name="wrn.print._.summary._.sheets._4_4" localSheetId="10" hidden="1">{"summary1",#N/A,TRUE,"Comps";"summary2",#N/A,TRUE,"Comps";"summary3",#N/A,TRUE,"Comps"}</definedName>
    <definedName name="wrn.print._.summary._.sheets._4_4" localSheetId="9" hidden="1">{"summary1",#N/A,TRUE,"Comps";"summary2",#N/A,TRUE,"Comps";"summary3",#N/A,TRUE,"Comps"}</definedName>
    <definedName name="wrn.print._.summary._.sheets._4_4" hidden="1">{"summary1",#N/A,TRUE,"Comps";"summary2",#N/A,TRUE,"Comps";"summary3",#N/A,TRUE,"Comps"}</definedName>
    <definedName name="wrn.print._.summary._.sheets._5" localSheetId="10" hidden="1">{"summary1",#N/A,TRUE,"Comps";"summary2",#N/A,TRUE,"Comps";"summary3",#N/A,TRUE,"Comps"}</definedName>
    <definedName name="wrn.print._.summary._.sheets._5" localSheetId="9" hidden="1">{"summary1",#N/A,TRUE,"Comps";"summary2",#N/A,TRUE,"Comps";"summary3",#N/A,TRUE,"Comps"}</definedName>
    <definedName name="wrn.print._.summary._.sheets._5" hidden="1">{"summary1",#N/A,TRUE,"Comps";"summary2",#N/A,TRUE,"Comps";"summary3",#N/A,TRUE,"Comps"}</definedName>
    <definedName name="wrn.print._.summary._.sheets._5_1" localSheetId="10" hidden="1">{"summary1",#N/A,TRUE,"Comps";"summary2",#N/A,TRUE,"Comps";"summary3",#N/A,TRUE,"Comps"}</definedName>
    <definedName name="wrn.print._.summary._.sheets._5_1" localSheetId="9" hidden="1">{"summary1",#N/A,TRUE,"Comps";"summary2",#N/A,TRUE,"Comps";"summary3",#N/A,TRUE,"Comps"}</definedName>
    <definedName name="wrn.print._.summary._.sheets._5_1" hidden="1">{"summary1",#N/A,TRUE,"Comps";"summary2",#N/A,TRUE,"Comps";"summary3",#N/A,TRUE,"Comps"}</definedName>
    <definedName name="wrn.print._.summary._.sheets._5_2" localSheetId="10" hidden="1">{"summary1",#N/A,TRUE,"Comps";"summary2",#N/A,TRUE,"Comps";"summary3",#N/A,TRUE,"Comps"}</definedName>
    <definedName name="wrn.print._.summary._.sheets._5_2" localSheetId="9" hidden="1">{"summary1",#N/A,TRUE,"Comps";"summary2",#N/A,TRUE,"Comps";"summary3",#N/A,TRUE,"Comps"}</definedName>
    <definedName name="wrn.print._.summary._.sheets._5_2" hidden="1">{"summary1",#N/A,TRUE,"Comps";"summary2",#N/A,TRUE,"Comps";"summary3",#N/A,TRUE,"Comps"}</definedName>
    <definedName name="wrn.print._.summary._.sheets._5_3" localSheetId="10" hidden="1">{"summary1",#N/A,TRUE,"Comps";"summary2",#N/A,TRUE,"Comps";"summary3",#N/A,TRUE,"Comps"}</definedName>
    <definedName name="wrn.print._.summary._.sheets._5_3" localSheetId="9" hidden="1">{"summary1",#N/A,TRUE,"Comps";"summary2",#N/A,TRUE,"Comps";"summary3",#N/A,TRUE,"Comps"}</definedName>
    <definedName name="wrn.print._.summary._.sheets._5_3" hidden="1">{"summary1",#N/A,TRUE,"Comps";"summary2",#N/A,TRUE,"Comps";"summary3",#N/A,TRUE,"Comps"}</definedName>
    <definedName name="wrn.print._.summary._.sheets._5_4" localSheetId="10" hidden="1">{"summary1",#N/A,TRUE,"Comps";"summary2",#N/A,TRUE,"Comps";"summary3",#N/A,TRUE,"Comps"}</definedName>
    <definedName name="wrn.print._.summary._.sheets._5_4" localSheetId="9" hidden="1">{"summary1",#N/A,TRUE,"Comps";"summary2",#N/A,TRUE,"Comps";"summary3",#N/A,TRUE,"Comps"}</definedName>
    <definedName name="wrn.print._.summary._.sheets._5_4" hidden="1">{"summary1",#N/A,TRUE,"Comps";"summary2",#N/A,TRUE,"Comps";"summary3",#N/A,TRUE,"Comps"}</definedName>
    <definedName name="wrn.Print._.Support._.Inf.." localSheetId="10" hidden="1">{#N/A,#N/A,FALSE,"Assumptions";#N/A,#N/A,FALSE,"Production Units";#N/A,#N/A,FALSE,"Selling Costs";#N/A,#N/A,FALSE,"Admin Costs";#N/A,#N/A,FALSE,"Capex";#N/A,#N/A,FALSE,"Depreciation"}</definedName>
    <definedName name="wrn.Print._.Support._.Inf.." localSheetId="9" hidden="1">{#N/A,#N/A,FALSE,"Assumptions";#N/A,#N/A,FALSE,"Production Units";#N/A,#N/A,FALSE,"Selling Costs";#N/A,#N/A,FALSE,"Admin Costs";#N/A,#N/A,FALSE,"Capex";#N/A,#N/A,FALSE,"Depreciation"}</definedName>
    <definedName name="wrn.Print._.Support._.Inf.." hidden="1">{#N/A,#N/A,FALSE,"Assumptions";#N/A,#N/A,FALSE,"Production Units";#N/A,#N/A,FALSE,"Selling Costs";#N/A,#N/A,FALSE,"Admin Costs";#N/A,#N/A,FALSE,"Capex";#N/A,#N/A,FALSE,"Depreciation"}</definedName>
    <definedName name="wrn.Print._.Support._.Inf.._1" localSheetId="10" hidden="1">{#N/A,#N/A,FALSE,"Assumptions";#N/A,#N/A,FALSE,"Production Units";#N/A,#N/A,FALSE,"Selling Costs";#N/A,#N/A,FALSE,"Admin Costs";#N/A,#N/A,FALSE,"Capex";#N/A,#N/A,FALSE,"Depreciation"}</definedName>
    <definedName name="wrn.Print._.Support._.Inf.._1" localSheetId="9" hidden="1">{#N/A,#N/A,FALSE,"Assumptions";#N/A,#N/A,FALSE,"Production Units";#N/A,#N/A,FALSE,"Selling Costs";#N/A,#N/A,FALSE,"Admin Costs";#N/A,#N/A,FALSE,"Capex";#N/A,#N/A,FALSE,"Depreciation"}</definedName>
    <definedName name="wrn.Print._.Support._.Inf.._1" hidden="1">{#N/A,#N/A,FALSE,"Assumptions";#N/A,#N/A,FALSE,"Production Units";#N/A,#N/A,FALSE,"Selling Costs";#N/A,#N/A,FALSE,"Admin Costs";#N/A,#N/A,FALSE,"Capex";#N/A,#N/A,FALSE,"Depreciation"}</definedName>
    <definedName name="wrn.print._all1." localSheetId="10" hidden="1">{#N/A,#N/A,FALSE,"Pharm";#N/A,#N/A,FALSE,"WWCM"}</definedName>
    <definedName name="wrn.print._all1." localSheetId="9" hidden="1">{#N/A,#N/A,FALSE,"Pharm";#N/A,#N/A,FALSE,"WWCM"}</definedName>
    <definedName name="wrn.print._all1." hidden="1">{#N/A,#N/A,FALSE,"Pharm";#N/A,#N/A,FALSE,"WWCM"}</definedName>
    <definedName name="wrn.Print_Buyer." localSheetId="10" hidden="1">{#N/A,"DR",FALSE,"increm pf";#N/A,"MAMSI",FALSE,"increm pf";#N/A,"MAXI",FALSE,"increm pf";#N/A,"PCAM",FALSE,"increm pf";#N/A,"PHSV",FALSE,"increm pf";#N/A,"SIE",FALSE,"increm pf"}</definedName>
    <definedName name="wrn.Print_Buyer." localSheetId="9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Buyer._1" localSheetId="10" hidden="1">{#N/A,"DR",FALSE,"increm pf";#N/A,"MAMSI",FALSE,"increm pf";#N/A,"MAXI",FALSE,"increm pf";#N/A,"PCAM",FALSE,"increm pf";#N/A,"PHSV",FALSE,"increm pf";#N/A,"SIE",FALSE,"increm pf"}</definedName>
    <definedName name="wrn.Print_Buyer._1" localSheetId="9" hidden="1">{#N/A,"DR",FALSE,"increm pf";#N/A,"MAMSI",FALSE,"increm pf";#N/A,"MAXI",FALSE,"increm pf";#N/A,"PCAM",FALSE,"increm pf";#N/A,"PHSV",FALSE,"increm pf";#N/A,"SIE",FALSE,"increm pf"}</definedName>
    <definedName name="wrn.Print_Buyer._1" hidden="1">{#N/A,"DR",FALSE,"increm pf";#N/A,"MAMSI",FALSE,"increm pf";#N/A,"MAXI",FALSE,"increm pf";#N/A,"PCAM",FALSE,"increm pf";#N/A,"PHSV",FALSE,"increm pf";#N/A,"SIE",FALSE,"increm pf"}</definedName>
    <definedName name="wrn.Print_Buyer._1_1" localSheetId="10" hidden="1">{#N/A,"DR",FALSE,"increm pf";#N/A,"MAMSI",FALSE,"increm pf";#N/A,"MAXI",FALSE,"increm pf";#N/A,"PCAM",FALSE,"increm pf";#N/A,"PHSV",FALSE,"increm pf";#N/A,"SIE",FALSE,"increm pf"}</definedName>
    <definedName name="wrn.Print_Buyer._1_1" localSheetId="9" hidden="1">{#N/A,"DR",FALSE,"increm pf";#N/A,"MAMSI",FALSE,"increm pf";#N/A,"MAXI",FALSE,"increm pf";#N/A,"PCAM",FALSE,"increm pf";#N/A,"PHSV",FALSE,"increm pf";#N/A,"SIE",FALSE,"increm pf"}</definedName>
    <definedName name="wrn.Print_Buyer._1_1" hidden="1">{#N/A,"DR",FALSE,"increm pf";#N/A,"MAMSI",FALSE,"increm pf";#N/A,"MAXI",FALSE,"increm pf";#N/A,"PCAM",FALSE,"increm pf";#N/A,"PHSV",FALSE,"increm pf";#N/A,"SIE",FALSE,"increm pf"}</definedName>
    <definedName name="wrn.Print_Buyer._1_2" localSheetId="10" hidden="1">{#N/A,"DR",FALSE,"increm pf";#N/A,"MAMSI",FALSE,"increm pf";#N/A,"MAXI",FALSE,"increm pf";#N/A,"PCAM",FALSE,"increm pf";#N/A,"PHSV",FALSE,"increm pf";#N/A,"SIE",FALSE,"increm pf"}</definedName>
    <definedName name="wrn.Print_Buyer._1_2" localSheetId="9" hidden="1">{#N/A,"DR",FALSE,"increm pf";#N/A,"MAMSI",FALSE,"increm pf";#N/A,"MAXI",FALSE,"increm pf";#N/A,"PCAM",FALSE,"increm pf";#N/A,"PHSV",FALSE,"increm pf";#N/A,"SIE",FALSE,"increm pf"}</definedName>
    <definedName name="wrn.Print_Buyer._1_2" hidden="1">{#N/A,"DR",FALSE,"increm pf";#N/A,"MAMSI",FALSE,"increm pf";#N/A,"MAXI",FALSE,"increm pf";#N/A,"PCAM",FALSE,"increm pf";#N/A,"PHSV",FALSE,"increm pf";#N/A,"SIE",FALSE,"increm pf"}</definedName>
    <definedName name="wrn.Print_Buyer._1_3" localSheetId="10" hidden="1">{#N/A,"DR",FALSE,"increm pf";#N/A,"MAMSI",FALSE,"increm pf";#N/A,"MAXI",FALSE,"increm pf";#N/A,"PCAM",FALSE,"increm pf";#N/A,"PHSV",FALSE,"increm pf";#N/A,"SIE",FALSE,"increm pf"}</definedName>
    <definedName name="wrn.Print_Buyer._1_3" localSheetId="9" hidden="1">{#N/A,"DR",FALSE,"increm pf";#N/A,"MAMSI",FALSE,"increm pf";#N/A,"MAXI",FALSE,"increm pf";#N/A,"PCAM",FALSE,"increm pf";#N/A,"PHSV",FALSE,"increm pf";#N/A,"SIE",FALSE,"increm pf"}</definedName>
    <definedName name="wrn.Print_Buyer._1_3" hidden="1">{#N/A,"DR",FALSE,"increm pf";#N/A,"MAMSI",FALSE,"increm pf";#N/A,"MAXI",FALSE,"increm pf";#N/A,"PCAM",FALSE,"increm pf";#N/A,"PHSV",FALSE,"increm pf";#N/A,"SIE",FALSE,"increm pf"}</definedName>
    <definedName name="wrn.Print_Buyer._1_4" localSheetId="10" hidden="1">{#N/A,"DR",FALSE,"increm pf";#N/A,"MAMSI",FALSE,"increm pf";#N/A,"MAXI",FALSE,"increm pf";#N/A,"PCAM",FALSE,"increm pf";#N/A,"PHSV",FALSE,"increm pf";#N/A,"SIE",FALSE,"increm pf"}</definedName>
    <definedName name="wrn.Print_Buyer._1_4" localSheetId="9" hidden="1">{#N/A,"DR",FALSE,"increm pf";#N/A,"MAMSI",FALSE,"increm pf";#N/A,"MAXI",FALSE,"increm pf";#N/A,"PCAM",FALSE,"increm pf";#N/A,"PHSV",FALSE,"increm pf";#N/A,"SIE",FALSE,"increm pf"}</definedName>
    <definedName name="wrn.Print_Buyer._1_4" hidden="1">{#N/A,"DR",FALSE,"increm pf";#N/A,"MAMSI",FALSE,"increm pf";#N/A,"MAXI",FALSE,"increm pf";#N/A,"PCAM",FALSE,"increm pf";#N/A,"PHSV",FALSE,"increm pf";#N/A,"SIE",FALSE,"increm pf"}</definedName>
    <definedName name="wrn.Print_Buyer._2" localSheetId="10" hidden="1">{#N/A,"DR",FALSE,"increm pf";#N/A,"MAMSI",FALSE,"increm pf";#N/A,"MAXI",FALSE,"increm pf";#N/A,"PCAM",FALSE,"increm pf";#N/A,"PHSV",FALSE,"increm pf";#N/A,"SIE",FALSE,"increm pf"}</definedName>
    <definedName name="wrn.Print_Buyer._2" localSheetId="9" hidden="1">{#N/A,"DR",FALSE,"increm pf";#N/A,"MAMSI",FALSE,"increm pf";#N/A,"MAXI",FALSE,"increm pf";#N/A,"PCAM",FALSE,"increm pf";#N/A,"PHSV",FALSE,"increm pf";#N/A,"SIE",FALSE,"increm pf"}</definedName>
    <definedName name="wrn.Print_Buyer._2" hidden="1">{#N/A,"DR",FALSE,"increm pf";#N/A,"MAMSI",FALSE,"increm pf";#N/A,"MAXI",FALSE,"increm pf";#N/A,"PCAM",FALSE,"increm pf";#N/A,"PHSV",FALSE,"increm pf";#N/A,"SIE",FALSE,"increm pf"}</definedName>
    <definedName name="wrn.Print_Buyer._2_1" localSheetId="10" hidden="1">{#N/A,"DR",FALSE,"increm pf";#N/A,"MAMSI",FALSE,"increm pf";#N/A,"MAXI",FALSE,"increm pf";#N/A,"PCAM",FALSE,"increm pf";#N/A,"PHSV",FALSE,"increm pf";#N/A,"SIE",FALSE,"increm pf"}</definedName>
    <definedName name="wrn.Print_Buyer._2_1" localSheetId="9" hidden="1">{#N/A,"DR",FALSE,"increm pf";#N/A,"MAMSI",FALSE,"increm pf";#N/A,"MAXI",FALSE,"increm pf";#N/A,"PCAM",FALSE,"increm pf";#N/A,"PHSV",FALSE,"increm pf";#N/A,"SIE",FALSE,"increm pf"}</definedName>
    <definedName name="wrn.Print_Buyer._2_1" hidden="1">{#N/A,"DR",FALSE,"increm pf";#N/A,"MAMSI",FALSE,"increm pf";#N/A,"MAXI",FALSE,"increm pf";#N/A,"PCAM",FALSE,"increm pf";#N/A,"PHSV",FALSE,"increm pf";#N/A,"SIE",FALSE,"increm pf"}</definedName>
    <definedName name="wrn.Print_Buyer._2_2" localSheetId="10" hidden="1">{#N/A,"DR",FALSE,"increm pf";#N/A,"MAMSI",FALSE,"increm pf";#N/A,"MAXI",FALSE,"increm pf";#N/A,"PCAM",FALSE,"increm pf";#N/A,"PHSV",FALSE,"increm pf";#N/A,"SIE",FALSE,"increm pf"}</definedName>
    <definedName name="wrn.Print_Buyer._2_2" localSheetId="9" hidden="1">{#N/A,"DR",FALSE,"increm pf";#N/A,"MAMSI",FALSE,"increm pf";#N/A,"MAXI",FALSE,"increm pf";#N/A,"PCAM",FALSE,"increm pf";#N/A,"PHSV",FALSE,"increm pf";#N/A,"SIE",FALSE,"increm pf"}</definedName>
    <definedName name="wrn.Print_Buyer._2_2" hidden="1">{#N/A,"DR",FALSE,"increm pf";#N/A,"MAMSI",FALSE,"increm pf";#N/A,"MAXI",FALSE,"increm pf";#N/A,"PCAM",FALSE,"increm pf";#N/A,"PHSV",FALSE,"increm pf";#N/A,"SIE",FALSE,"increm pf"}</definedName>
    <definedName name="wrn.Print_Buyer._2_3" localSheetId="10" hidden="1">{#N/A,"DR",FALSE,"increm pf";#N/A,"MAMSI",FALSE,"increm pf";#N/A,"MAXI",FALSE,"increm pf";#N/A,"PCAM",FALSE,"increm pf";#N/A,"PHSV",FALSE,"increm pf";#N/A,"SIE",FALSE,"increm pf"}</definedName>
    <definedName name="wrn.Print_Buyer._2_3" localSheetId="9" hidden="1">{#N/A,"DR",FALSE,"increm pf";#N/A,"MAMSI",FALSE,"increm pf";#N/A,"MAXI",FALSE,"increm pf";#N/A,"PCAM",FALSE,"increm pf";#N/A,"PHSV",FALSE,"increm pf";#N/A,"SIE",FALSE,"increm pf"}</definedName>
    <definedName name="wrn.Print_Buyer._2_3" hidden="1">{#N/A,"DR",FALSE,"increm pf";#N/A,"MAMSI",FALSE,"increm pf";#N/A,"MAXI",FALSE,"increm pf";#N/A,"PCAM",FALSE,"increm pf";#N/A,"PHSV",FALSE,"increm pf";#N/A,"SIE",FALSE,"increm pf"}</definedName>
    <definedName name="wrn.Print_Buyer._2_4" localSheetId="10" hidden="1">{#N/A,"DR",FALSE,"increm pf";#N/A,"MAMSI",FALSE,"increm pf";#N/A,"MAXI",FALSE,"increm pf";#N/A,"PCAM",FALSE,"increm pf";#N/A,"PHSV",FALSE,"increm pf";#N/A,"SIE",FALSE,"increm pf"}</definedName>
    <definedName name="wrn.Print_Buyer._2_4" localSheetId="9" hidden="1">{#N/A,"DR",FALSE,"increm pf";#N/A,"MAMSI",FALSE,"increm pf";#N/A,"MAXI",FALSE,"increm pf";#N/A,"PCAM",FALSE,"increm pf";#N/A,"PHSV",FALSE,"increm pf";#N/A,"SIE",FALSE,"increm pf"}</definedName>
    <definedName name="wrn.Print_Buyer._2_4" hidden="1">{#N/A,"DR",FALSE,"increm pf";#N/A,"MAMSI",FALSE,"increm pf";#N/A,"MAXI",FALSE,"increm pf";#N/A,"PCAM",FALSE,"increm pf";#N/A,"PHSV",FALSE,"increm pf";#N/A,"SIE",FALSE,"increm pf"}</definedName>
    <definedName name="wrn.Print_Buyer._3" localSheetId="10" hidden="1">{#N/A,"DR",FALSE,"increm pf";#N/A,"MAMSI",FALSE,"increm pf";#N/A,"MAXI",FALSE,"increm pf";#N/A,"PCAM",FALSE,"increm pf";#N/A,"PHSV",FALSE,"increm pf";#N/A,"SIE",FALSE,"increm pf"}</definedName>
    <definedName name="wrn.Print_Buyer._3" localSheetId="9" hidden="1">{#N/A,"DR",FALSE,"increm pf";#N/A,"MAMSI",FALSE,"increm pf";#N/A,"MAXI",FALSE,"increm pf";#N/A,"PCAM",FALSE,"increm pf";#N/A,"PHSV",FALSE,"increm pf";#N/A,"SIE",FALSE,"increm pf"}</definedName>
    <definedName name="wrn.Print_Buyer._3" hidden="1">{#N/A,"DR",FALSE,"increm pf";#N/A,"MAMSI",FALSE,"increm pf";#N/A,"MAXI",FALSE,"increm pf";#N/A,"PCAM",FALSE,"increm pf";#N/A,"PHSV",FALSE,"increm pf";#N/A,"SIE",FALSE,"increm pf"}</definedName>
    <definedName name="wrn.Print_Buyer._3_1" localSheetId="10" hidden="1">{#N/A,"DR",FALSE,"increm pf";#N/A,"MAMSI",FALSE,"increm pf";#N/A,"MAXI",FALSE,"increm pf";#N/A,"PCAM",FALSE,"increm pf";#N/A,"PHSV",FALSE,"increm pf";#N/A,"SIE",FALSE,"increm pf"}</definedName>
    <definedName name="wrn.Print_Buyer._3_1" localSheetId="9" hidden="1">{#N/A,"DR",FALSE,"increm pf";#N/A,"MAMSI",FALSE,"increm pf";#N/A,"MAXI",FALSE,"increm pf";#N/A,"PCAM",FALSE,"increm pf";#N/A,"PHSV",FALSE,"increm pf";#N/A,"SIE",FALSE,"increm pf"}</definedName>
    <definedName name="wrn.Print_Buyer._3_1" hidden="1">{#N/A,"DR",FALSE,"increm pf";#N/A,"MAMSI",FALSE,"increm pf";#N/A,"MAXI",FALSE,"increm pf";#N/A,"PCAM",FALSE,"increm pf";#N/A,"PHSV",FALSE,"increm pf";#N/A,"SIE",FALSE,"increm pf"}</definedName>
    <definedName name="wrn.Print_Buyer._3_2" localSheetId="10" hidden="1">{#N/A,"DR",FALSE,"increm pf";#N/A,"MAMSI",FALSE,"increm pf";#N/A,"MAXI",FALSE,"increm pf";#N/A,"PCAM",FALSE,"increm pf";#N/A,"PHSV",FALSE,"increm pf";#N/A,"SIE",FALSE,"increm pf"}</definedName>
    <definedName name="wrn.Print_Buyer._3_2" localSheetId="9" hidden="1">{#N/A,"DR",FALSE,"increm pf";#N/A,"MAMSI",FALSE,"increm pf";#N/A,"MAXI",FALSE,"increm pf";#N/A,"PCAM",FALSE,"increm pf";#N/A,"PHSV",FALSE,"increm pf";#N/A,"SIE",FALSE,"increm pf"}</definedName>
    <definedName name="wrn.Print_Buyer._3_2" hidden="1">{#N/A,"DR",FALSE,"increm pf";#N/A,"MAMSI",FALSE,"increm pf";#N/A,"MAXI",FALSE,"increm pf";#N/A,"PCAM",FALSE,"increm pf";#N/A,"PHSV",FALSE,"increm pf";#N/A,"SIE",FALSE,"increm pf"}</definedName>
    <definedName name="wrn.Print_Buyer._3_3" localSheetId="10" hidden="1">{#N/A,"DR",FALSE,"increm pf";#N/A,"MAMSI",FALSE,"increm pf";#N/A,"MAXI",FALSE,"increm pf";#N/A,"PCAM",FALSE,"increm pf";#N/A,"PHSV",FALSE,"increm pf";#N/A,"SIE",FALSE,"increm pf"}</definedName>
    <definedName name="wrn.Print_Buyer._3_3" localSheetId="9" hidden="1">{#N/A,"DR",FALSE,"increm pf";#N/A,"MAMSI",FALSE,"increm pf";#N/A,"MAXI",FALSE,"increm pf";#N/A,"PCAM",FALSE,"increm pf";#N/A,"PHSV",FALSE,"increm pf";#N/A,"SIE",FALSE,"increm pf"}</definedName>
    <definedName name="wrn.Print_Buyer._3_3" hidden="1">{#N/A,"DR",FALSE,"increm pf";#N/A,"MAMSI",FALSE,"increm pf";#N/A,"MAXI",FALSE,"increm pf";#N/A,"PCAM",FALSE,"increm pf";#N/A,"PHSV",FALSE,"increm pf";#N/A,"SIE",FALSE,"increm pf"}</definedName>
    <definedName name="wrn.Print_Buyer._3_4" localSheetId="10" hidden="1">{#N/A,"DR",FALSE,"increm pf";#N/A,"MAMSI",FALSE,"increm pf";#N/A,"MAXI",FALSE,"increm pf";#N/A,"PCAM",FALSE,"increm pf";#N/A,"PHSV",FALSE,"increm pf";#N/A,"SIE",FALSE,"increm pf"}</definedName>
    <definedName name="wrn.Print_Buyer._3_4" localSheetId="9" hidden="1">{#N/A,"DR",FALSE,"increm pf";#N/A,"MAMSI",FALSE,"increm pf";#N/A,"MAXI",FALSE,"increm pf";#N/A,"PCAM",FALSE,"increm pf";#N/A,"PHSV",FALSE,"increm pf";#N/A,"SIE",FALSE,"increm pf"}</definedName>
    <definedName name="wrn.Print_Buyer._3_4" hidden="1">{#N/A,"DR",FALSE,"increm pf";#N/A,"MAMSI",FALSE,"increm pf";#N/A,"MAXI",FALSE,"increm pf";#N/A,"PCAM",FALSE,"increm pf";#N/A,"PHSV",FALSE,"increm pf";#N/A,"SIE",FALSE,"increm pf"}</definedName>
    <definedName name="wrn.Print_Buyer._4" localSheetId="10" hidden="1">{#N/A,"DR",FALSE,"increm pf";#N/A,"MAMSI",FALSE,"increm pf";#N/A,"MAXI",FALSE,"increm pf";#N/A,"PCAM",FALSE,"increm pf";#N/A,"PHSV",FALSE,"increm pf";#N/A,"SIE",FALSE,"increm pf"}</definedName>
    <definedName name="wrn.Print_Buyer._4" localSheetId="9" hidden="1">{#N/A,"DR",FALSE,"increm pf";#N/A,"MAMSI",FALSE,"increm pf";#N/A,"MAXI",FALSE,"increm pf";#N/A,"PCAM",FALSE,"increm pf";#N/A,"PHSV",FALSE,"increm pf";#N/A,"SIE",FALSE,"increm pf"}</definedName>
    <definedName name="wrn.Print_Buyer._4" hidden="1">{#N/A,"DR",FALSE,"increm pf";#N/A,"MAMSI",FALSE,"increm pf";#N/A,"MAXI",FALSE,"increm pf";#N/A,"PCAM",FALSE,"increm pf";#N/A,"PHSV",FALSE,"increm pf";#N/A,"SIE",FALSE,"increm pf"}</definedName>
    <definedName name="wrn.Print_Buyer._4_1" localSheetId="10" hidden="1">{#N/A,"DR",FALSE,"increm pf";#N/A,"MAMSI",FALSE,"increm pf";#N/A,"MAXI",FALSE,"increm pf";#N/A,"PCAM",FALSE,"increm pf";#N/A,"PHSV",FALSE,"increm pf";#N/A,"SIE",FALSE,"increm pf"}</definedName>
    <definedName name="wrn.Print_Buyer._4_1" localSheetId="9" hidden="1">{#N/A,"DR",FALSE,"increm pf";#N/A,"MAMSI",FALSE,"increm pf";#N/A,"MAXI",FALSE,"increm pf";#N/A,"PCAM",FALSE,"increm pf";#N/A,"PHSV",FALSE,"increm pf";#N/A,"SIE",FALSE,"increm pf"}</definedName>
    <definedName name="wrn.Print_Buyer._4_1" hidden="1">{#N/A,"DR",FALSE,"increm pf";#N/A,"MAMSI",FALSE,"increm pf";#N/A,"MAXI",FALSE,"increm pf";#N/A,"PCAM",FALSE,"increm pf";#N/A,"PHSV",FALSE,"increm pf";#N/A,"SIE",FALSE,"increm pf"}</definedName>
    <definedName name="wrn.Print_Buyer._4_2" localSheetId="10" hidden="1">{#N/A,"DR",FALSE,"increm pf";#N/A,"MAMSI",FALSE,"increm pf";#N/A,"MAXI",FALSE,"increm pf";#N/A,"PCAM",FALSE,"increm pf";#N/A,"PHSV",FALSE,"increm pf";#N/A,"SIE",FALSE,"increm pf"}</definedName>
    <definedName name="wrn.Print_Buyer._4_2" localSheetId="9" hidden="1">{#N/A,"DR",FALSE,"increm pf";#N/A,"MAMSI",FALSE,"increm pf";#N/A,"MAXI",FALSE,"increm pf";#N/A,"PCAM",FALSE,"increm pf";#N/A,"PHSV",FALSE,"increm pf";#N/A,"SIE",FALSE,"increm pf"}</definedName>
    <definedName name="wrn.Print_Buyer._4_2" hidden="1">{#N/A,"DR",FALSE,"increm pf";#N/A,"MAMSI",FALSE,"increm pf";#N/A,"MAXI",FALSE,"increm pf";#N/A,"PCAM",FALSE,"increm pf";#N/A,"PHSV",FALSE,"increm pf";#N/A,"SIE",FALSE,"increm pf"}</definedName>
    <definedName name="wrn.Print_Buyer._4_3" localSheetId="10" hidden="1">{#N/A,"DR",FALSE,"increm pf";#N/A,"MAMSI",FALSE,"increm pf";#N/A,"MAXI",FALSE,"increm pf";#N/A,"PCAM",FALSE,"increm pf";#N/A,"PHSV",FALSE,"increm pf";#N/A,"SIE",FALSE,"increm pf"}</definedName>
    <definedName name="wrn.Print_Buyer._4_3" localSheetId="9" hidden="1">{#N/A,"DR",FALSE,"increm pf";#N/A,"MAMSI",FALSE,"increm pf";#N/A,"MAXI",FALSE,"increm pf";#N/A,"PCAM",FALSE,"increm pf";#N/A,"PHSV",FALSE,"increm pf";#N/A,"SIE",FALSE,"increm pf"}</definedName>
    <definedName name="wrn.Print_Buyer._4_3" hidden="1">{#N/A,"DR",FALSE,"increm pf";#N/A,"MAMSI",FALSE,"increm pf";#N/A,"MAXI",FALSE,"increm pf";#N/A,"PCAM",FALSE,"increm pf";#N/A,"PHSV",FALSE,"increm pf";#N/A,"SIE",FALSE,"increm pf"}</definedName>
    <definedName name="wrn.Print_Buyer._4_4" localSheetId="10" hidden="1">{#N/A,"DR",FALSE,"increm pf";#N/A,"MAMSI",FALSE,"increm pf";#N/A,"MAXI",FALSE,"increm pf";#N/A,"PCAM",FALSE,"increm pf";#N/A,"PHSV",FALSE,"increm pf";#N/A,"SIE",FALSE,"increm pf"}</definedName>
    <definedName name="wrn.Print_Buyer._4_4" localSheetId="9" hidden="1">{#N/A,"DR",FALSE,"increm pf";#N/A,"MAMSI",FALSE,"increm pf";#N/A,"MAXI",FALSE,"increm pf";#N/A,"PCAM",FALSE,"increm pf";#N/A,"PHSV",FALSE,"increm pf";#N/A,"SIE",FALSE,"increm pf"}</definedName>
    <definedName name="wrn.Print_Buyer._4_4" hidden="1">{#N/A,"DR",FALSE,"increm pf";#N/A,"MAMSI",FALSE,"increm pf";#N/A,"MAXI",FALSE,"increm pf";#N/A,"PCAM",FALSE,"increm pf";#N/A,"PHSV",FALSE,"increm pf";#N/A,"SIE",FALSE,"increm pf"}</definedName>
    <definedName name="wrn.Print_Buyer._5" localSheetId="10" hidden="1">{#N/A,"DR",FALSE,"increm pf";#N/A,"MAMSI",FALSE,"increm pf";#N/A,"MAXI",FALSE,"increm pf";#N/A,"PCAM",FALSE,"increm pf";#N/A,"PHSV",FALSE,"increm pf";#N/A,"SIE",FALSE,"increm pf"}</definedName>
    <definedName name="wrn.Print_Buyer._5" localSheetId="9" hidden="1">{#N/A,"DR",FALSE,"increm pf";#N/A,"MAMSI",FALSE,"increm pf";#N/A,"MAXI",FALSE,"increm pf";#N/A,"PCAM",FALSE,"increm pf";#N/A,"PHSV",FALSE,"increm pf";#N/A,"SIE",FALSE,"increm pf"}</definedName>
    <definedName name="wrn.Print_Buyer._5" hidden="1">{#N/A,"DR",FALSE,"increm pf";#N/A,"MAMSI",FALSE,"increm pf";#N/A,"MAXI",FALSE,"increm pf";#N/A,"PCAM",FALSE,"increm pf";#N/A,"PHSV",FALSE,"increm pf";#N/A,"SIE",FALSE,"increm pf"}</definedName>
    <definedName name="wrn.Print_Buyer._5_1" localSheetId="10" hidden="1">{#N/A,"DR",FALSE,"increm pf";#N/A,"MAMSI",FALSE,"increm pf";#N/A,"MAXI",FALSE,"increm pf";#N/A,"PCAM",FALSE,"increm pf";#N/A,"PHSV",FALSE,"increm pf";#N/A,"SIE",FALSE,"increm pf"}</definedName>
    <definedName name="wrn.Print_Buyer._5_1" localSheetId="9" hidden="1">{#N/A,"DR",FALSE,"increm pf";#N/A,"MAMSI",FALSE,"increm pf";#N/A,"MAXI",FALSE,"increm pf";#N/A,"PCAM",FALSE,"increm pf";#N/A,"PHSV",FALSE,"increm pf";#N/A,"SIE",FALSE,"increm pf"}</definedName>
    <definedName name="wrn.Print_Buyer._5_1" hidden="1">{#N/A,"DR",FALSE,"increm pf";#N/A,"MAMSI",FALSE,"increm pf";#N/A,"MAXI",FALSE,"increm pf";#N/A,"PCAM",FALSE,"increm pf";#N/A,"PHSV",FALSE,"increm pf";#N/A,"SIE",FALSE,"increm pf"}</definedName>
    <definedName name="wrn.Print_Buyer._5_2" localSheetId="10" hidden="1">{#N/A,"DR",FALSE,"increm pf";#N/A,"MAMSI",FALSE,"increm pf";#N/A,"MAXI",FALSE,"increm pf";#N/A,"PCAM",FALSE,"increm pf";#N/A,"PHSV",FALSE,"increm pf";#N/A,"SIE",FALSE,"increm pf"}</definedName>
    <definedName name="wrn.Print_Buyer._5_2" localSheetId="9" hidden="1">{#N/A,"DR",FALSE,"increm pf";#N/A,"MAMSI",FALSE,"increm pf";#N/A,"MAXI",FALSE,"increm pf";#N/A,"PCAM",FALSE,"increm pf";#N/A,"PHSV",FALSE,"increm pf";#N/A,"SIE",FALSE,"increm pf"}</definedName>
    <definedName name="wrn.Print_Buyer._5_2" hidden="1">{#N/A,"DR",FALSE,"increm pf";#N/A,"MAMSI",FALSE,"increm pf";#N/A,"MAXI",FALSE,"increm pf";#N/A,"PCAM",FALSE,"increm pf";#N/A,"PHSV",FALSE,"increm pf";#N/A,"SIE",FALSE,"increm pf"}</definedName>
    <definedName name="wrn.Print_Buyer._5_3" localSheetId="10" hidden="1">{#N/A,"DR",FALSE,"increm pf";#N/A,"MAMSI",FALSE,"increm pf";#N/A,"MAXI",FALSE,"increm pf";#N/A,"PCAM",FALSE,"increm pf";#N/A,"PHSV",FALSE,"increm pf";#N/A,"SIE",FALSE,"increm pf"}</definedName>
    <definedName name="wrn.Print_Buyer._5_3" localSheetId="9" hidden="1">{#N/A,"DR",FALSE,"increm pf";#N/A,"MAMSI",FALSE,"increm pf";#N/A,"MAXI",FALSE,"increm pf";#N/A,"PCAM",FALSE,"increm pf";#N/A,"PHSV",FALSE,"increm pf";#N/A,"SIE",FALSE,"increm pf"}</definedName>
    <definedName name="wrn.Print_Buyer._5_3" hidden="1">{#N/A,"DR",FALSE,"increm pf";#N/A,"MAMSI",FALSE,"increm pf";#N/A,"MAXI",FALSE,"increm pf";#N/A,"PCAM",FALSE,"increm pf";#N/A,"PHSV",FALSE,"increm pf";#N/A,"SIE",FALSE,"increm pf"}</definedName>
    <definedName name="wrn.Print_Buyer._5_4" localSheetId="10" hidden="1">{#N/A,"DR",FALSE,"increm pf";#N/A,"MAMSI",FALSE,"increm pf";#N/A,"MAXI",FALSE,"increm pf";#N/A,"PCAM",FALSE,"increm pf";#N/A,"PHSV",FALSE,"increm pf";#N/A,"SIE",FALSE,"increm pf"}</definedName>
    <definedName name="wrn.Print_Buyer._5_4" localSheetId="9" hidden="1">{#N/A,"DR",FALSE,"increm pf";#N/A,"MAMSI",FALSE,"increm pf";#N/A,"MAXI",FALSE,"increm pf";#N/A,"PCAM",FALSE,"increm pf";#N/A,"PHSV",FALSE,"increm pf";#N/A,"SIE",FALSE,"increm pf"}</definedName>
    <definedName name="wrn.Print_Buyer._5_4" hidden="1">{#N/A,"DR",FALSE,"increm pf";#N/A,"MAMSI",FALSE,"increm pf";#N/A,"MAXI",FALSE,"increm pf";#N/A,"PCAM",FALSE,"increm pf";#N/A,"PHSV",FALSE,"increm pf";#N/A,"SIE",FALSE,"increm pf"}</definedName>
    <definedName name="wrn.Print_Target." localSheetId="1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9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" localSheetId="1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" localSheetId="9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" localSheetId="1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" localSheetId="9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" localSheetId="1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" localSheetId="9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" localSheetId="1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" localSheetId="9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" localSheetId="1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" localSheetId="9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" localSheetId="1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" localSheetId="9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" localSheetId="1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" localSheetId="9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" localSheetId="1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" localSheetId="9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3" localSheetId="1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3" localSheetId="9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4" localSheetId="1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4" localSheetId="9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4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" localSheetId="1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" localSheetId="9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1" localSheetId="1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1" localSheetId="9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2" localSheetId="1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2" localSheetId="9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3" localSheetId="1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3" localSheetId="9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4" localSheetId="1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4" localSheetId="9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4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" localSheetId="1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" localSheetId="9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1" localSheetId="1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1" localSheetId="9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2" localSheetId="1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2" localSheetId="9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3" localSheetId="1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3" localSheetId="9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4" localSheetId="1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4" localSheetId="9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4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" localSheetId="1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" localSheetId="9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1" localSheetId="1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1" localSheetId="9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2" localSheetId="1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2" localSheetId="9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3" localSheetId="1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3" localSheetId="9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4" localSheetId="1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4" localSheetId="9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4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2" localSheetId="10" hidden="1">{#N/A,#N/A,FALSE,"Pharm";#N/A,#N/A,FALSE,"WWCM"}</definedName>
    <definedName name="wrn.print2" localSheetId="9" hidden="1">{#N/A,#N/A,FALSE,"Pharm";#N/A,#N/A,FALSE,"WWCM"}</definedName>
    <definedName name="wrn.print2" hidden="1">{#N/A,#N/A,FALSE,"Pharm";#N/A,#N/A,FALSE,"WWCM"}</definedName>
    <definedName name="wrn.printall." localSheetId="10" hidden="1">{"printall",#N/A,FALSE,"BAIRNUMB"}</definedName>
    <definedName name="wrn.printall." localSheetId="9" hidden="1">{"printall",#N/A,FALSE,"BAIRNUMB"}</definedName>
    <definedName name="wrn.printall." hidden="1">{"printall",#N/A,FALSE,"BAIRNUMB"}</definedName>
    <definedName name="wrn.PrintCap." localSheetId="10" hidden="1">{"page1",#N/A,FALSE,"Capital";"page2",#N/A,FALSE,"Capital";"page3",#N/A,FALSE,"Capital"}</definedName>
    <definedName name="wrn.PrintCap." localSheetId="9" hidden="1">{"page1",#N/A,FALSE,"Capital";"page2",#N/A,FALSE,"Capital";"page3",#N/A,FALSE,"Capital"}</definedName>
    <definedName name="wrn.PrintCap." hidden="1">{"page1",#N/A,FALSE,"Capital";"page2",#N/A,FALSE,"Capital";"page3",#N/A,FALSE,"Capital"}</definedName>
    <definedName name="wrn.Printout2." localSheetId="10" hidden="1">{"Linkages",#N/A,FALSE,"Linkages";"Busplan",#N/A,FALSE,"Linkages";"traffic",#N/A,FALSE,"Linkages";"Finassum",#N/A,FALSE,"Linkages"}</definedName>
    <definedName name="wrn.Printout2." localSheetId="9" hidden="1">{"Linkages",#N/A,FALSE,"Linkages";"Busplan",#N/A,FALSE,"Linkages";"traffic",#N/A,FALSE,"Linkages";"Finassum",#N/A,FALSE,"Linkages"}</definedName>
    <definedName name="wrn.Printout2." hidden="1">{"Linkages",#N/A,FALSE,"Linkages";"Busplan",#N/A,FALSE,"Linkages";"traffic",#N/A,FALSE,"Linkages";"Finassum",#N/A,FALSE,"Linkages"}</definedName>
    <definedName name="wrn.prodcon." localSheetId="10" hidden="1">{"closed",#N/A,FALSE,"Consolidated Products - Budget";"expanded",#N/A,FALSE,"Consolidated Products - Budget"}</definedName>
    <definedName name="wrn.prodcon." localSheetId="9" hidden="1">{"closed",#N/A,FALSE,"Consolidated Products - Budget";"expanded",#N/A,FALSE,"Consolidated Products - Budget"}</definedName>
    <definedName name="wrn.prodcon." hidden="1">{"closed",#N/A,FALSE,"Consolidated Products - Budget";"expanded",#N/A,FALSE,"Consolidated Products - Budget"}</definedName>
    <definedName name="wrn.PRODUCT._.GROUP." localSheetId="10" hidden="1">{"PRODUCTGROUP",#N/A,FALSE,"PRODUCT GROUP"}</definedName>
    <definedName name="wrn.PRODUCT._.GROUP." localSheetId="9" hidden="1">{"PRODUCTGROUP",#N/A,FALSE,"PRODUCT GROUP"}</definedName>
    <definedName name="wrn.PRODUCT._.GROUP." hidden="1">{"PRODUCTGROUP",#N/A,FALSE,"PRODUCT GROUP"}</definedName>
    <definedName name="wrn.PRODUCT._.GROUP._1" localSheetId="10" hidden="1">{"PRODUCTGROUP",#N/A,FALSE,"PRODUCT GROUP"}</definedName>
    <definedName name="wrn.PRODUCT._.GROUP._1" localSheetId="9" hidden="1">{"PRODUCTGROUP",#N/A,FALSE,"PRODUCT GROUP"}</definedName>
    <definedName name="wrn.PRODUCT._.GROUP._1" hidden="1">{"PRODUCTGROUP",#N/A,FALSE,"PRODUCT GROUP"}</definedName>
    <definedName name="wrn.products" localSheetId="10" hidden="1">{#N/A,#N/A,FALSE,"1";#N/A,#N/A,FALSE,"2";#N/A,#N/A,FALSE,"16 - 17";#N/A,#N/A,FALSE,"18 - 19";#N/A,#N/A,FALSE,"26";#N/A,#N/A,FALSE,"27";#N/A,#N/A,FALSE,"28"}</definedName>
    <definedName name="wrn.products" localSheetId="9" hidden="1">{#N/A,#N/A,FALSE,"1";#N/A,#N/A,FALSE,"2";#N/A,#N/A,FALSE,"16 - 17";#N/A,#N/A,FALSE,"18 - 19";#N/A,#N/A,FALSE,"26";#N/A,#N/A,FALSE,"27";#N/A,#N/A,FALSE,"28"}</definedName>
    <definedName name="wrn.products" hidden="1">{#N/A,#N/A,FALSE,"1";#N/A,#N/A,FALSE,"2";#N/A,#N/A,FALSE,"16 - 17";#N/A,#N/A,FALSE,"18 - 19";#N/A,#N/A,FALSE,"26";#N/A,#N/A,FALSE,"27";#N/A,#N/A,FALSE,"28"}</definedName>
    <definedName name="wrn.Products." localSheetId="10" hidden="1">{#N/A,#N/A,FALSE,"1";#N/A,#N/A,FALSE,"2";#N/A,#N/A,FALSE,"16 - 17";#N/A,#N/A,FALSE,"18 - 19";#N/A,#N/A,FALSE,"26";#N/A,#N/A,FALSE,"27";#N/A,#N/A,FALSE,"28"}</definedName>
    <definedName name="wrn.Products." localSheetId="9" hidden="1">{#N/A,#N/A,FALSE,"1";#N/A,#N/A,FALSE,"2";#N/A,#N/A,FALSE,"16 - 17";#N/A,#N/A,FALSE,"18 - 19";#N/A,#N/A,FALSE,"26";#N/A,#N/A,FALSE,"27";#N/A,#N/A,FALSE,"28"}</definedName>
    <definedName name="wrn.Products." hidden="1">{#N/A,#N/A,FALSE,"1";#N/A,#N/A,FALSE,"2";#N/A,#N/A,FALSE,"16 - 17";#N/A,#N/A,FALSE,"18 - 19";#N/A,#N/A,FALSE,"26";#N/A,#N/A,FALSE,"27";#N/A,#N/A,FALSE,"28"}</definedName>
    <definedName name="wrn.Program." localSheetId="10" hidden="1">{#N/A,#N/A,FALSE,"RPR Grid";#N/A,#N/A,FALSE,"Budget"}</definedName>
    <definedName name="wrn.Program." localSheetId="9" hidden="1">{#N/A,#N/A,FALSE,"RPR Grid";#N/A,#N/A,FALSE,"Budget"}</definedName>
    <definedName name="wrn.Program." hidden="1">{#N/A,#N/A,FALSE,"RPR Grid";#N/A,#N/A,FALSE,"Budget"}</definedName>
    <definedName name="wrn.pror" localSheetId="10" hidden="1">{#N/A,#N/A,FALSE,"Pharm";#N/A,#N/A,FALSE,"WWCM"}</definedName>
    <definedName name="wrn.pror" localSheetId="9" hidden="1">{#N/A,#N/A,FALSE,"Pharm";#N/A,#N/A,FALSE,"WWCM"}</definedName>
    <definedName name="wrn.pror" hidden="1">{#N/A,#N/A,FALSE,"Pharm";#N/A,#N/A,FALSE,"WWCM"}</definedName>
    <definedName name="wrn.Pulp." localSheetId="10" hidden="1">{"Pulp Production",#N/A,FALSE,"Pulp";"Pulp Earnings",#N/A,FALSE,"Pulp"}</definedName>
    <definedName name="wrn.Pulp." localSheetId="9" hidden="1">{"Pulp Production",#N/A,FALSE,"Pulp";"Pulp Earnings",#N/A,FALSE,"Pulp"}</definedName>
    <definedName name="wrn.Pulp." hidden="1">{"Pulp Production",#N/A,FALSE,"Pulp";"Pulp Earnings",#N/A,FALSE,"Pulp"}</definedName>
    <definedName name="wrn.qrt95." localSheetId="10" hidden="1">{"qrt95",#N/A,FALSE,"BAIRNUMB"}</definedName>
    <definedName name="wrn.qrt95." localSheetId="9" hidden="1">{"qrt95",#N/A,FALSE,"BAIRNUMB"}</definedName>
    <definedName name="wrn.qrt95." hidden="1">{"qrt95",#N/A,FALSE,"BAIRNUMB"}</definedName>
    <definedName name="wrn.Qtr._.Op._.Q1." localSheetId="10" hidden="1">{"Qtr Op Mgd Q1",#N/A,FALSE,"Qtr-Op (Mng)";"Qtr Op Rpt Q1",#N/A,FALSE,"Qtr-Op (Rpt)";"Operating Vs Reported",#N/A,FALSE,"Rpt-Op Inc"}</definedName>
    <definedName name="wrn.Qtr._.Op._.Q1." localSheetId="9" hidden="1">{"Qtr Op Mgd Q1",#N/A,FALSE,"Qtr-Op (Mng)";"Qtr Op Rpt Q1",#N/A,FALSE,"Qtr-Op (Rpt)";"Operating Vs Reported",#N/A,FALSE,"Rpt-Op Inc"}</definedName>
    <definedName name="wrn.Qtr._.Op._.Q1." hidden="1">{"Qtr Op Mgd Q1",#N/A,FALSE,"Qtr-Op (Mng)";"Qtr Op Rpt Q1",#N/A,FALSE,"Qtr-Op (Rpt)";"Operating Vs Reported",#N/A,FALSE,"Rpt-Op Inc"}</definedName>
    <definedName name="wrn.Qtr._.Op._.Q2." localSheetId="10" hidden="1">{"Qtr Op Mgd Q2",#N/A,FALSE,"Qtr-Op (Mng)";"Qtr Op Rpt Q2",#N/A,FALSE,"Qtr-Op (Rpt)";"Operating Vs Reported",#N/A,FALSE,"Rpt-Op Inc"}</definedName>
    <definedName name="wrn.Qtr._.Op._.Q2." localSheetId="9" hidden="1">{"Qtr Op Mgd Q2",#N/A,FALSE,"Qtr-Op (Mng)";"Qtr Op Rpt Q2",#N/A,FALSE,"Qtr-Op (Rpt)";"Operating Vs Reported",#N/A,FALSE,"Rpt-Op Inc"}</definedName>
    <definedName name="wrn.Qtr._.Op._.Q2." hidden="1">{"Qtr Op Mgd Q2",#N/A,FALSE,"Qtr-Op (Mng)";"Qtr Op Rpt Q2",#N/A,FALSE,"Qtr-Op (Rpt)";"Operating Vs Reported",#N/A,FALSE,"Rpt-Op Inc"}</definedName>
    <definedName name="wrn.Qtr._.Op._.Q3." localSheetId="10" hidden="1">{"Qtr Op Mgd Q3",#N/A,FALSE,"Qtr-Op (Mng)";"Qtr Op Rpt Q3",#N/A,FALSE,"Qtr-Op (Rpt)";"Operating Vs Reported",#N/A,FALSE,"Rpt-Op Inc"}</definedName>
    <definedName name="wrn.Qtr._.Op._.Q3." localSheetId="9" hidden="1">{"Qtr Op Mgd Q3",#N/A,FALSE,"Qtr-Op (Mng)";"Qtr Op Rpt Q3",#N/A,FALSE,"Qtr-Op (Rpt)";"Operating Vs Reported",#N/A,FALSE,"Rpt-Op Inc"}</definedName>
    <definedName name="wrn.Qtr._.Op._.Q3." hidden="1">{"Qtr Op Mgd Q3",#N/A,FALSE,"Qtr-Op (Mng)";"Qtr Op Rpt Q3",#N/A,FALSE,"Qtr-Op (Rpt)";"Operating Vs Reported",#N/A,FALSE,"Rpt-Op Inc"}</definedName>
    <definedName name="wrn.Qtr._.Op._.Q4." localSheetId="10" hidden="1">{"Qtr Op Mgd Q3",#N/A,FALSE,"Qtr-Op (Mng)";"Qtr Op Rpt Q4",#N/A,FALSE,"Qtr-Op (Rpt)";"Operating Vs Reported",#N/A,FALSE,"Rpt-Op Inc"}</definedName>
    <definedName name="wrn.Qtr._.Op._.Q4." localSheetId="9" hidden="1">{"Qtr Op Mgd Q3",#N/A,FALSE,"Qtr-Op (Mng)";"Qtr Op Rpt Q4",#N/A,FALSE,"Qtr-Op (Rpt)";"Operating Vs Reported",#N/A,FALSE,"Rpt-Op Inc"}</definedName>
    <definedName name="wrn.Qtr._.Op._.Q4." hidden="1">{"Qtr Op Mgd Q3",#N/A,FALSE,"Qtr-Op (Mng)";"Qtr Op Rpt Q4",#N/A,FALSE,"Qtr-Op (Rpt)";"Operating Vs Reported",#N/A,FALSE,"Rpt-Op Inc"}</definedName>
    <definedName name="wrn.Qtr._.Op._Q2a." localSheetId="10" hidden="1">{"Qtr Op Mgd Q2",#N/A,FALSE,"Qtr-Op (Mng)";"Qtr Op Rpt Q2",#N/A,FALSE,"Qtr-Op (Rpt)";"Operating Vs Reported",#N/A,FALSE,"Rpt-Op Inc"}</definedName>
    <definedName name="wrn.Qtr._.Op._Q2a." localSheetId="9" hidden="1">{"Qtr Op Mgd Q2",#N/A,FALSE,"Qtr-Op (Mng)";"Qtr Op Rpt Q2",#N/A,FALSE,"Qtr-Op (Rpt)";"Operating Vs Reported",#N/A,FALSE,"Rpt-Op Inc"}</definedName>
    <definedName name="wrn.Qtr._.Op._Q2a." hidden="1">{"Qtr Op Mgd Q2",#N/A,FALSE,"Qtr-Op (Mng)";"Qtr Op Rpt Q2",#N/A,FALSE,"Qtr-Op (Rpt)";"Operating Vs Reported",#N/A,FALSE,"Rpt-Op Inc"}</definedName>
    <definedName name="wrn.Qtr_.Op._.Q4." localSheetId="10" hidden="1">{"Qtr Op Mgd Q3",#N/A,FALSE,"Qtr-Op (Mng)";"Qtr Op Rpt Q4",#N/A,FALSE,"Qtr-Op (Rpt)";"Operating Vs Reported",#N/A,FALSE,"Rpt-Op Inc"}</definedName>
    <definedName name="wrn.Qtr_.Op._.Q4." localSheetId="9" hidden="1">{"Qtr Op Mgd Q3",#N/A,FALSE,"Qtr-Op (Mng)";"Qtr Op Rpt Q4",#N/A,FALSE,"Qtr-Op (Rpt)";"Operating Vs Reported",#N/A,FALSE,"Rpt-Op Inc"}</definedName>
    <definedName name="wrn.Qtr_.Op._.Q4." hidden="1">{"Qtr Op Mgd Q3",#N/A,FALSE,"Qtr-Op (Mng)";"Qtr Op Rpt Q4",#N/A,FALSE,"Qtr-Op (Rpt)";"Operating Vs Reported",#N/A,FALSE,"Rpt-Op Inc"}</definedName>
    <definedName name="wrn.Quality._.Assurance." localSheetId="10" hidden="1">{"Quality Assurance",#N/A,FALSE,"Quality Assurance"}</definedName>
    <definedName name="wrn.Quality._.Assurance." localSheetId="9" hidden="1">{"Quality Assurance",#N/A,FALSE,"Quality Assurance"}</definedName>
    <definedName name="wrn.Quality._.Assurance." hidden="1">{"Quality Assurance",#N/A,FALSE,"Quality Assurance"}</definedName>
    <definedName name="wrn.quart." localSheetId="10" hidden="1">{"quart",#N/A,FALSE,"quartfin"}</definedName>
    <definedName name="wrn.quart." localSheetId="9" hidden="1">{"quart",#N/A,FALSE,"quartfin"}</definedName>
    <definedName name="wrn.quart." hidden="1">{"quart",#N/A,FALSE,"quartfin"}</definedName>
    <definedName name="wrn.quarterly." localSheetId="10" hidden="1">{"quarterly",#N/A,FALSE,"BAIRNUMB"}</definedName>
    <definedName name="wrn.quarterly." localSheetId="9" hidden="1">{"quarterly",#N/A,FALSE,"BAIRNUMB"}</definedName>
    <definedName name="wrn.quarterly." hidden="1">{"quarterly",#N/A,FALSE,"BAIRNUMB"}</definedName>
    <definedName name="wrn.quartfin." localSheetId="10" hidden="1">{"quartfin",#N/A,FALSE,"quartfin"}</definedName>
    <definedName name="wrn.quartfin." localSheetId="9" hidden="1">{"quartfin",#N/A,FALSE,"quartfin"}</definedName>
    <definedName name="wrn.quartfin." hidden="1">{"quartfin",#N/A,FALSE,"quartfin"}</definedName>
    <definedName name="wrn.Raff._.Di._.Landro." localSheetId="10" hidden="1">{#N/A,#N/A,FALSE,"Raff di Landro";#N/A,#N/A,FALSE,"P&amp;L - Brighton";#N/A,#N/A,FALSE,"P&amp;L - Guildford"}</definedName>
    <definedName name="wrn.Raff._.Di._.Landro." localSheetId="9" hidden="1">{#N/A,#N/A,FALSE,"Raff di Landro";#N/A,#N/A,FALSE,"P&amp;L - Brighton";#N/A,#N/A,FALSE,"P&amp;L - Guildford"}</definedName>
    <definedName name="wrn.Raff._.Di._.Landro." hidden="1">{#N/A,#N/A,FALSE,"Raff di Landro";#N/A,#N/A,FALSE,"P&amp;L - Brighton";#N/A,#N/A,FALSE,"P&amp;L - Guildford"}</definedName>
    <definedName name="wrn.REE._.Bericht._.Prognose._.2000." localSheetId="10" hidden="1">{#N/A,#N/A,FALSE,"Cover";#N/A,#N/A,FALSE,"Content";#N/A,#N/A,FALSE,"KeyFig.";#N/A,#N/A,FALSE,"Pr. Progn.";#N/A,#N/A,FALSE,"IncSt Progn. DM";#N/A,#N/A,FALSE,"VA_DM"}</definedName>
    <definedName name="wrn.REE._.Bericht._.Prognose._.2000." localSheetId="9" hidden="1">{#N/A,#N/A,FALSE,"Cover";#N/A,#N/A,FALSE,"Content";#N/A,#N/A,FALSE,"KeyFig.";#N/A,#N/A,FALSE,"Pr. Progn.";#N/A,#N/A,FALSE,"IncSt Progn. DM";#N/A,#N/A,FALSE,"VA_DM"}</definedName>
    <definedName name="wrn.REE._.Bericht._.Prognose._.2000." hidden="1">{#N/A,#N/A,FALSE,"Cover";#N/A,#N/A,FALSE,"Content";#N/A,#N/A,FALSE,"KeyFig.";#N/A,#N/A,FALSE,"Pr. Progn.";#N/A,#N/A,FALSE,"IncSt Progn. DM";#N/A,#N/A,FALSE,"VA_DM"}</definedName>
    <definedName name="wrn.REE._.Bericht._.Prognose._.2000._1" localSheetId="10" hidden="1">{#N/A,#N/A,FALSE,"Cover";#N/A,#N/A,FALSE,"Content";#N/A,#N/A,FALSE,"KeyFig.";#N/A,#N/A,FALSE,"Pr. Progn.";#N/A,#N/A,FALSE,"IncSt Progn. DM";#N/A,#N/A,FALSE,"VA_DM"}</definedName>
    <definedName name="wrn.REE._.Bericht._.Prognose._.2000._1" localSheetId="9" hidden="1">{#N/A,#N/A,FALSE,"Cover";#N/A,#N/A,FALSE,"Content";#N/A,#N/A,FALSE,"KeyFig.";#N/A,#N/A,FALSE,"Pr. Progn.";#N/A,#N/A,FALSE,"IncSt Progn. DM";#N/A,#N/A,FALSE,"VA_DM"}</definedName>
    <definedName name="wrn.REE._.Bericht._.Prognose._.2000._1" hidden="1">{#N/A,#N/A,FALSE,"Cover";#N/A,#N/A,FALSE,"Content";#N/A,#N/A,FALSE,"KeyFig.";#N/A,#N/A,FALSE,"Pr. Progn.";#N/A,#N/A,FALSE,"IncSt Progn. DM";#N/A,#N/A,FALSE,"VA_DM"}</definedName>
    <definedName name="wrn.rep1." localSheetId="10" hidden="1">{"add",#N/A,FALSE,"code"}</definedName>
    <definedName name="wrn.rep1." localSheetId="9" hidden="1">{"add",#N/A,FALSE,"code"}</definedName>
    <definedName name="wrn.rep1." hidden="1">{"add",#N/A,FALSE,"code"}</definedName>
    <definedName name="wrn.Replacement._.Cost." localSheetId="1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9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1" localSheetId="1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1" localSheetId="9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1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localSheetId="10" hidden="1">{#N/A,#N/A,FALSE,"Sales  total 9712";#N/A,#N/A,FALSE,"Sales  total 9712";#N/A,#N/A,FALSE,"Sales  total 9712";#N/A,#N/A,FALSE,"Sales  total 9712"}</definedName>
    <definedName name="wrn.REPORT." localSheetId="9" hidden="1">{#N/A,#N/A,FALSE,"Sales  total 9712";#N/A,#N/A,FALSE,"Sales  total 9712";#N/A,#N/A,FALSE,"Sales  total 9712";#N/A,#N/A,FALSE,"Sales  total 9712"}</definedName>
    <definedName name="wrn.REPORT." hidden="1">{#N/A,#N/A,FALSE,"Sales  total 9712";#N/A,#N/A,FALSE,"Sales  total 9712";#N/A,#N/A,FALSE,"Sales  total 9712";#N/A,#N/A,FALSE,"Sales  total 9712"}</definedName>
    <definedName name="wrn.REPORT._1" localSheetId="10" hidden="1">{#N/A,#N/A,FALSE,"Sales  total 9712";#N/A,#N/A,FALSE,"Sales  total 9712";#N/A,#N/A,FALSE,"Sales  total 9712";#N/A,#N/A,FALSE,"Sales  total 9712"}</definedName>
    <definedName name="wrn.REPORT._1" localSheetId="9" hidden="1">{#N/A,#N/A,FALSE,"Sales  total 9712";#N/A,#N/A,FALSE,"Sales  total 9712";#N/A,#N/A,FALSE,"Sales  total 9712";#N/A,#N/A,FALSE,"Sales  total 9712"}</definedName>
    <definedName name="wrn.REPORT._1" hidden="1">{#N/A,#N/A,FALSE,"Sales  total 9712";#N/A,#N/A,FALSE,"Sales  total 9712";#N/A,#N/A,FALSE,"Sales  total 9712";#N/A,#N/A,FALSE,"Sales  total 9712"}</definedName>
    <definedName name="wrn.report.1" localSheetId="10" hidden="1">{"summary",#N/A,FALSE,"2000 vs 1999";"detail",#N/A,FALSE,"2000 vs 1999"}</definedName>
    <definedName name="wrn.report.1" localSheetId="9" hidden="1">{"summary",#N/A,FALSE,"2000 vs 1999";"detail",#N/A,FALSE,"2000 vs 1999"}</definedName>
    <definedName name="wrn.report.1" hidden="1">{"summary",#N/A,FALSE,"2000 vs 1999";"detail",#N/A,FALSE,"2000 vs 1999"}</definedName>
    <definedName name="wrn.report.1_1" localSheetId="10" hidden="1">{"summary",#N/A,FALSE,"2000 vs 1999";"detail",#N/A,FALSE,"2000 vs 1999"}</definedName>
    <definedName name="wrn.report.1_1" localSheetId="9" hidden="1">{"summary",#N/A,FALSE,"2000 vs 1999";"detail",#N/A,FALSE,"2000 vs 1999"}</definedName>
    <definedName name="wrn.report.1_1" hidden="1">{"summary",#N/A,FALSE,"2000 vs 1999";"detail",#N/A,FALSE,"2000 vs 1999"}</definedName>
    <definedName name="wrn.report.2" localSheetId="10" hidden="1">{"summary",#N/A,FALSE,"2000 vs 1999";"detail",#N/A,FALSE,"2000 vs 1999"}</definedName>
    <definedName name="wrn.report.2" localSheetId="9" hidden="1">{"summary",#N/A,FALSE,"2000 vs 1999";"detail",#N/A,FALSE,"2000 vs 1999"}</definedName>
    <definedName name="wrn.report.2" hidden="1">{"summary",#N/A,FALSE,"2000 vs 1999";"detail",#N/A,FALSE,"2000 vs 1999"}</definedName>
    <definedName name="wrn.report.2_1" localSheetId="10" hidden="1">{"summary",#N/A,FALSE,"2000 vs 1999";"detail",#N/A,FALSE,"2000 vs 1999"}</definedName>
    <definedName name="wrn.report.2_1" localSheetId="9" hidden="1">{"summary",#N/A,FALSE,"2000 vs 1999";"detail",#N/A,FALSE,"2000 vs 1999"}</definedName>
    <definedName name="wrn.report.2_1" hidden="1">{"summary",#N/A,FALSE,"2000 vs 1999";"detail",#N/A,FALSE,"2000 vs 1999"}</definedName>
    <definedName name="wrn.report.3" localSheetId="10" hidden="1">{"summary",#N/A,FALSE,"2000 vs 1999";"detail",#N/A,FALSE,"2000 vs 1999"}</definedName>
    <definedName name="wrn.report.3" localSheetId="9" hidden="1">{"summary",#N/A,FALSE,"2000 vs 1999";"detail",#N/A,FALSE,"2000 vs 1999"}</definedName>
    <definedName name="wrn.report.3" hidden="1">{"summary",#N/A,FALSE,"2000 vs 1999";"detail",#N/A,FALSE,"2000 vs 1999"}</definedName>
    <definedName name="wrn.report.3_1" localSheetId="10" hidden="1">{"summary",#N/A,FALSE,"2000 vs 1999";"detail",#N/A,FALSE,"2000 vs 1999"}</definedName>
    <definedName name="wrn.report.3_1" localSheetId="9" hidden="1">{"summary",#N/A,FALSE,"2000 vs 1999";"detail",#N/A,FALSE,"2000 vs 1999"}</definedName>
    <definedName name="wrn.report.3_1" hidden="1">{"summary",#N/A,FALSE,"2000 vs 1999";"detail",#N/A,FALSE,"2000 vs 1999"}</definedName>
    <definedName name="wrn.report.4" localSheetId="10" hidden="1">{"summary",#N/A,FALSE,"2000 vs 1999";"detail",#N/A,FALSE,"2000 vs 1999"}</definedName>
    <definedName name="wrn.report.4" localSheetId="9" hidden="1">{"summary",#N/A,FALSE,"2000 vs 1999";"detail",#N/A,FALSE,"2000 vs 1999"}</definedName>
    <definedName name="wrn.report.4" hidden="1">{"summary",#N/A,FALSE,"2000 vs 1999";"detail",#N/A,FALSE,"2000 vs 1999"}</definedName>
    <definedName name="wrn.report.4_1" localSheetId="10" hidden="1">{"summary",#N/A,FALSE,"2000 vs 1999";"detail",#N/A,FALSE,"2000 vs 1999"}</definedName>
    <definedName name="wrn.report.4_1" localSheetId="9" hidden="1">{"summary",#N/A,FALSE,"2000 vs 1999";"detail",#N/A,FALSE,"2000 vs 1999"}</definedName>
    <definedName name="wrn.report.4_1" hidden="1">{"summary",#N/A,FALSE,"2000 vs 1999";"detail",#N/A,FALSE,"2000 vs 1999"}</definedName>
    <definedName name="wrn.report.5" localSheetId="10" hidden="1">{"summary",#N/A,FALSE,"2000 vs 1999";"detail",#N/A,FALSE,"2000 vs 1999"}</definedName>
    <definedName name="wrn.report.5" localSheetId="9" hidden="1">{"summary",#N/A,FALSE,"2000 vs 1999";"detail",#N/A,FALSE,"2000 vs 1999"}</definedName>
    <definedName name="wrn.report.5" hidden="1">{"summary",#N/A,FALSE,"2000 vs 1999";"detail",#N/A,FALSE,"2000 vs 1999"}</definedName>
    <definedName name="wrn.report.5_1" localSheetId="10" hidden="1">{"summary",#N/A,FALSE,"2000 vs 1999";"detail",#N/A,FALSE,"2000 vs 1999"}</definedName>
    <definedName name="wrn.report.5_1" localSheetId="9" hidden="1">{"summary",#N/A,FALSE,"2000 vs 1999";"detail",#N/A,FALSE,"2000 vs 1999"}</definedName>
    <definedName name="wrn.report.5_1" hidden="1">{"summary",#N/A,FALSE,"2000 vs 1999";"detail",#N/A,FALSE,"2000 vs 1999"}</definedName>
    <definedName name="wrn.report.6" localSheetId="10" hidden="1">{"summary",#N/A,FALSE,"2000 vs 1999";"detail",#N/A,FALSE,"2000 vs 1999"}</definedName>
    <definedName name="wrn.report.6" localSheetId="9" hidden="1">{"summary",#N/A,FALSE,"2000 vs 1999";"detail",#N/A,FALSE,"2000 vs 1999"}</definedName>
    <definedName name="wrn.report.6" hidden="1">{"summary",#N/A,FALSE,"2000 vs 1999";"detail",#N/A,FALSE,"2000 vs 1999"}</definedName>
    <definedName name="wrn.report.6_1" localSheetId="10" hidden="1">{"summary",#N/A,FALSE,"2000 vs 1999";"detail",#N/A,FALSE,"2000 vs 1999"}</definedName>
    <definedName name="wrn.report.6_1" localSheetId="9" hidden="1">{"summary",#N/A,FALSE,"2000 vs 1999";"detail",#N/A,FALSE,"2000 vs 1999"}</definedName>
    <definedName name="wrn.report.6_1" hidden="1">{"summary",#N/A,FALSE,"2000 vs 1999";"detail",#N/A,FALSE,"2000 vs 1999"}</definedName>
    <definedName name="wrn.report.new" localSheetId="10" hidden="1">{"summary",#N/A,FALSE,"2000 vs 1999";"detail",#N/A,FALSE,"2000 vs 1999"}</definedName>
    <definedName name="wrn.report.new" localSheetId="9" hidden="1">{"summary",#N/A,FALSE,"2000 vs 1999";"detail",#N/A,FALSE,"2000 vs 1999"}</definedName>
    <definedName name="wrn.report.new" hidden="1">{"summary",#N/A,FALSE,"2000 vs 1999";"detail",#N/A,FALSE,"2000 vs 1999"}</definedName>
    <definedName name="wrn.report.new.1" localSheetId="10" hidden="1">{"summary",#N/A,FALSE,"2000 vs 1999";"detail",#N/A,FALSE,"2000 vs 1999"}</definedName>
    <definedName name="wrn.report.new.1" localSheetId="9" hidden="1">{"summary",#N/A,FALSE,"2000 vs 1999";"detail",#N/A,FALSE,"2000 vs 1999"}</definedName>
    <definedName name="wrn.report.new.1" hidden="1">{"summary",#N/A,FALSE,"2000 vs 1999";"detail",#N/A,FALSE,"2000 vs 1999"}</definedName>
    <definedName name="wrn.report.new.1_1" localSheetId="10" hidden="1">{"summary",#N/A,FALSE,"2000 vs 1999";"detail",#N/A,FALSE,"2000 vs 1999"}</definedName>
    <definedName name="wrn.report.new.1_1" localSheetId="9" hidden="1">{"summary",#N/A,FALSE,"2000 vs 1999";"detail",#N/A,FALSE,"2000 vs 1999"}</definedName>
    <definedName name="wrn.report.new.1_1" hidden="1">{"summary",#N/A,FALSE,"2000 vs 1999";"detail",#N/A,FALSE,"2000 vs 1999"}</definedName>
    <definedName name="wrn.report.new.5" localSheetId="10" hidden="1">{"summary",#N/A,FALSE,"2000 vs 1999";"detail",#N/A,FALSE,"2000 vs 1999"}</definedName>
    <definedName name="wrn.report.new.5" localSheetId="9" hidden="1">{"summary",#N/A,FALSE,"2000 vs 1999";"detail",#N/A,FALSE,"2000 vs 1999"}</definedName>
    <definedName name="wrn.report.new.5" hidden="1">{"summary",#N/A,FALSE,"2000 vs 1999";"detail",#N/A,FALSE,"2000 vs 1999"}</definedName>
    <definedName name="wrn.report.new.5_1" localSheetId="10" hidden="1">{"summary",#N/A,FALSE,"2000 vs 1999";"detail",#N/A,FALSE,"2000 vs 1999"}</definedName>
    <definedName name="wrn.report.new.5_1" localSheetId="9" hidden="1">{"summary",#N/A,FALSE,"2000 vs 1999";"detail",#N/A,FALSE,"2000 vs 1999"}</definedName>
    <definedName name="wrn.report.new.5_1" hidden="1">{"summary",#N/A,FALSE,"2000 vs 1999";"detail",#N/A,FALSE,"2000 vs 1999"}</definedName>
    <definedName name="wrn.report.new_1" localSheetId="10" hidden="1">{"summary",#N/A,FALSE,"2000 vs 1999";"detail",#N/A,FALSE,"2000 vs 1999"}</definedName>
    <definedName name="wrn.report.new_1" localSheetId="9" hidden="1">{"summary",#N/A,FALSE,"2000 vs 1999";"detail",#N/A,FALSE,"2000 vs 1999"}</definedName>
    <definedName name="wrn.report.new_1" hidden="1">{"summary",#N/A,FALSE,"2000 vs 1999";"detail",#N/A,FALSE,"2000 vs 1999"}</definedName>
    <definedName name="wrn.report.new1" localSheetId="10" hidden="1">{"summary",#N/A,FALSE,"2000 vs 1999";"detail",#N/A,FALSE,"2000 vs 1999"}</definedName>
    <definedName name="wrn.report.new1" localSheetId="9" hidden="1">{"summary",#N/A,FALSE,"2000 vs 1999";"detail",#N/A,FALSE,"2000 vs 1999"}</definedName>
    <definedName name="wrn.report.new1" hidden="1">{"summary",#N/A,FALSE,"2000 vs 1999";"detail",#N/A,FALSE,"2000 vs 1999"}</definedName>
    <definedName name="wrn.report.new1_1" localSheetId="10" hidden="1">{"summary",#N/A,FALSE,"2000 vs 1999";"detail",#N/A,FALSE,"2000 vs 1999"}</definedName>
    <definedName name="wrn.report.new1_1" localSheetId="9" hidden="1">{"summary",#N/A,FALSE,"2000 vs 1999";"detail",#N/A,FALSE,"2000 vs 1999"}</definedName>
    <definedName name="wrn.report.new1_1" hidden="1">{"summary",#N/A,FALSE,"2000 vs 1999";"detail",#N/A,FALSE,"2000 vs 1999"}</definedName>
    <definedName name="wrn.report.new2" localSheetId="10" hidden="1">{"summary",#N/A,FALSE,"2000 vs 1999";"detail",#N/A,FALSE,"2000 vs 1999"}</definedName>
    <definedName name="wrn.report.new2" localSheetId="9" hidden="1">{"summary",#N/A,FALSE,"2000 vs 1999";"detail",#N/A,FALSE,"2000 vs 1999"}</definedName>
    <definedName name="wrn.report.new2" hidden="1">{"summary",#N/A,FALSE,"2000 vs 1999";"detail",#N/A,FALSE,"2000 vs 1999"}</definedName>
    <definedName name="wrn.report.new2_1" localSheetId="10" hidden="1">{"summary",#N/A,FALSE,"2000 vs 1999";"detail",#N/A,FALSE,"2000 vs 1999"}</definedName>
    <definedName name="wrn.report.new2_1" localSheetId="9" hidden="1">{"summary",#N/A,FALSE,"2000 vs 1999";"detail",#N/A,FALSE,"2000 vs 1999"}</definedName>
    <definedName name="wrn.report.new2_1" hidden="1">{"summary",#N/A,FALSE,"2000 vs 1999";"detail",#N/A,FALSE,"2000 vs 1999"}</definedName>
    <definedName name="wrn.report1" localSheetId="10" hidden="1">{"summary",#N/A,FALSE,"2000 vs 1999";"detail",#N/A,FALSE,"2000 vs 1999"}</definedName>
    <definedName name="wrn.report1" localSheetId="9" hidden="1">{"summary",#N/A,FALSE,"2000 vs 1999";"detail",#N/A,FALSE,"2000 vs 1999"}</definedName>
    <definedName name="wrn.report1" hidden="1">{"summary",#N/A,FALSE,"2000 vs 1999";"detail",#N/A,FALSE,"2000 vs 1999"}</definedName>
    <definedName name="wrn.Report1." localSheetId="10" hidden="1">{#N/A,#N/A,FALSE,"IS";#N/A,#N/A,FALSE,"BS";#N/A,#N/A,FALSE,"CF";#N/A,#N/A,FALSE,"CE";#N/A,#N/A,FALSE,"Depr";#N/A,#N/A,FALSE,"APAL"}</definedName>
    <definedName name="wrn.Report1." localSheetId="9" hidden="1">{#N/A,#N/A,FALSE,"IS";#N/A,#N/A,FALSE,"BS";#N/A,#N/A,FALSE,"CF";#N/A,#N/A,FALSE,"CE";#N/A,#N/A,FALSE,"Depr";#N/A,#N/A,FALSE,"APAL"}</definedName>
    <definedName name="wrn.Report1." hidden="1">{#N/A,#N/A,FALSE,"IS";#N/A,#N/A,FALSE,"BS";#N/A,#N/A,FALSE,"CF";#N/A,#N/A,FALSE,"CE";#N/A,#N/A,FALSE,"Depr";#N/A,#N/A,FALSE,"APAL"}</definedName>
    <definedName name="wrn.Report1._1" localSheetId="10" hidden="1">{#N/A,#N/A,FALSE,"IS";#N/A,#N/A,FALSE,"BS";#N/A,#N/A,FALSE,"CF";#N/A,#N/A,FALSE,"CE";#N/A,#N/A,FALSE,"Depr";#N/A,#N/A,FALSE,"APAL"}</definedName>
    <definedName name="wrn.Report1._1" localSheetId="9" hidden="1">{#N/A,#N/A,FALSE,"IS";#N/A,#N/A,FALSE,"BS";#N/A,#N/A,FALSE,"CF";#N/A,#N/A,FALSE,"CE";#N/A,#N/A,FALSE,"Depr";#N/A,#N/A,FALSE,"APAL"}</definedName>
    <definedName name="wrn.Report1._1" hidden="1">{#N/A,#N/A,FALSE,"IS";#N/A,#N/A,FALSE,"BS";#N/A,#N/A,FALSE,"CF";#N/A,#N/A,FALSE,"CE";#N/A,#N/A,FALSE,"Depr";#N/A,#N/A,FALSE,"APAL"}</definedName>
    <definedName name="wrn.Report1._1_1" localSheetId="10" hidden="1">{#N/A,#N/A,FALSE,"IS";#N/A,#N/A,FALSE,"BS";#N/A,#N/A,FALSE,"CF";#N/A,#N/A,FALSE,"CE";#N/A,#N/A,FALSE,"Depr";#N/A,#N/A,FALSE,"APAL"}</definedName>
    <definedName name="wrn.Report1._1_1" localSheetId="9" hidden="1">{#N/A,#N/A,FALSE,"IS";#N/A,#N/A,FALSE,"BS";#N/A,#N/A,FALSE,"CF";#N/A,#N/A,FALSE,"CE";#N/A,#N/A,FALSE,"Depr";#N/A,#N/A,FALSE,"APAL"}</definedName>
    <definedName name="wrn.Report1._1_1" hidden="1">{#N/A,#N/A,FALSE,"IS";#N/A,#N/A,FALSE,"BS";#N/A,#N/A,FALSE,"CF";#N/A,#N/A,FALSE,"CE";#N/A,#N/A,FALSE,"Depr";#N/A,#N/A,FALSE,"APAL"}</definedName>
    <definedName name="wrn.Report1._1_2" localSheetId="10" hidden="1">{#N/A,#N/A,FALSE,"IS";#N/A,#N/A,FALSE,"BS";#N/A,#N/A,FALSE,"CF";#N/A,#N/A,FALSE,"CE";#N/A,#N/A,FALSE,"Depr";#N/A,#N/A,FALSE,"APAL"}</definedName>
    <definedName name="wrn.Report1._1_2" localSheetId="9" hidden="1">{#N/A,#N/A,FALSE,"IS";#N/A,#N/A,FALSE,"BS";#N/A,#N/A,FALSE,"CF";#N/A,#N/A,FALSE,"CE";#N/A,#N/A,FALSE,"Depr";#N/A,#N/A,FALSE,"APAL"}</definedName>
    <definedName name="wrn.Report1._1_2" hidden="1">{#N/A,#N/A,FALSE,"IS";#N/A,#N/A,FALSE,"BS";#N/A,#N/A,FALSE,"CF";#N/A,#N/A,FALSE,"CE";#N/A,#N/A,FALSE,"Depr";#N/A,#N/A,FALSE,"APAL"}</definedName>
    <definedName name="wrn.Report1._1_3" localSheetId="10" hidden="1">{#N/A,#N/A,FALSE,"IS";#N/A,#N/A,FALSE,"BS";#N/A,#N/A,FALSE,"CF";#N/A,#N/A,FALSE,"CE";#N/A,#N/A,FALSE,"Depr";#N/A,#N/A,FALSE,"APAL"}</definedName>
    <definedName name="wrn.Report1._1_3" localSheetId="9" hidden="1">{#N/A,#N/A,FALSE,"IS";#N/A,#N/A,FALSE,"BS";#N/A,#N/A,FALSE,"CF";#N/A,#N/A,FALSE,"CE";#N/A,#N/A,FALSE,"Depr";#N/A,#N/A,FALSE,"APAL"}</definedName>
    <definedName name="wrn.Report1._1_3" hidden="1">{#N/A,#N/A,FALSE,"IS";#N/A,#N/A,FALSE,"BS";#N/A,#N/A,FALSE,"CF";#N/A,#N/A,FALSE,"CE";#N/A,#N/A,FALSE,"Depr";#N/A,#N/A,FALSE,"APAL"}</definedName>
    <definedName name="wrn.Report1._1_4" localSheetId="10" hidden="1">{#N/A,#N/A,FALSE,"IS";#N/A,#N/A,FALSE,"BS";#N/A,#N/A,FALSE,"CF";#N/A,#N/A,FALSE,"CE";#N/A,#N/A,FALSE,"Depr";#N/A,#N/A,FALSE,"APAL"}</definedName>
    <definedName name="wrn.Report1._1_4" localSheetId="9" hidden="1">{#N/A,#N/A,FALSE,"IS";#N/A,#N/A,FALSE,"BS";#N/A,#N/A,FALSE,"CF";#N/A,#N/A,FALSE,"CE";#N/A,#N/A,FALSE,"Depr";#N/A,#N/A,FALSE,"APAL"}</definedName>
    <definedName name="wrn.Report1._1_4" hidden="1">{#N/A,#N/A,FALSE,"IS";#N/A,#N/A,FALSE,"BS";#N/A,#N/A,FALSE,"CF";#N/A,#N/A,FALSE,"CE";#N/A,#N/A,FALSE,"Depr";#N/A,#N/A,FALSE,"APAL"}</definedName>
    <definedName name="wrn.Report1._2" localSheetId="10" hidden="1">{#N/A,#N/A,FALSE,"IS";#N/A,#N/A,FALSE,"BS";#N/A,#N/A,FALSE,"CF";#N/A,#N/A,FALSE,"CE";#N/A,#N/A,FALSE,"Depr";#N/A,#N/A,FALSE,"APAL"}</definedName>
    <definedName name="wrn.Report1._2" localSheetId="9" hidden="1">{#N/A,#N/A,FALSE,"IS";#N/A,#N/A,FALSE,"BS";#N/A,#N/A,FALSE,"CF";#N/A,#N/A,FALSE,"CE";#N/A,#N/A,FALSE,"Depr";#N/A,#N/A,FALSE,"APAL"}</definedName>
    <definedName name="wrn.Report1._2" hidden="1">{#N/A,#N/A,FALSE,"IS";#N/A,#N/A,FALSE,"BS";#N/A,#N/A,FALSE,"CF";#N/A,#N/A,FALSE,"CE";#N/A,#N/A,FALSE,"Depr";#N/A,#N/A,FALSE,"APAL"}</definedName>
    <definedName name="wrn.Report1._2_1" localSheetId="10" hidden="1">{#N/A,#N/A,FALSE,"IS";#N/A,#N/A,FALSE,"BS";#N/A,#N/A,FALSE,"CF";#N/A,#N/A,FALSE,"CE";#N/A,#N/A,FALSE,"Depr";#N/A,#N/A,FALSE,"APAL"}</definedName>
    <definedName name="wrn.Report1._2_1" localSheetId="9" hidden="1">{#N/A,#N/A,FALSE,"IS";#N/A,#N/A,FALSE,"BS";#N/A,#N/A,FALSE,"CF";#N/A,#N/A,FALSE,"CE";#N/A,#N/A,FALSE,"Depr";#N/A,#N/A,FALSE,"APAL"}</definedName>
    <definedName name="wrn.Report1._2_1" hidden="1">{#N/A,#N/A,FALSE,"IS";#N/A,#N/A,FALSE,"BS";#N/A,#N/A,FALSE,"CF";#N/A,#N/A,FALSE,"CE";#N/A,#N/A,FALSE,"Depr";#N/A,#N/A,FALSE,"APAL"}</definedName>
    <definedName name="wrn.Report1._2_2" localSheetId="10" hidden="1">{#N/A,#N/A,FALSE,"IS";#N/A,#N/A,FALSE,"BS";#N/A,#N/A,FALSE,"CF";#N/A,#N/A,FALSE,"CE";#N/A,#N/A,FALSE,"Depr";#N/A,#N/A,FALSE,"APAL"}</definedName>
    <definedName name="wrn.Report1._2_2" localSheetId="9" hidden="1">{#N/A,#N/A,FALSE,"IS";#N/A,#N/A,FALSE,"BS";#N/A,#N/A,FALSE,"CF";#N/A,#N/A,FALSE,"CE";#N/A,#N/A,FALSE,"Depr";#N/A,#N/A,FALSE,"APAL"}</definedName>
    <definedName name="wrn.Report1._2_2" hidden="1">{#N/A,#N/A,FALSE,"IS";#N/A,#N/A,FALSE,"BS";#N/A,#N/A,FALSE,"CF";#N/A,#N/A,FALSE,"CE";#N/A,#N/A,FALSE,"Depr";#N/A,#N/A,FALSE,"APAL"}</definedName>
    <definedName name="wrn.Report1._2_3" localSheetId="10" hidden="1">{#N/A,#N/A,FALSE,"IS";#N/A,#N/A,FALSE,"BS";#N/A,#N/A,FALSE,"CF";#N/A,#N/A,FALSE,"CE";#N/A,#N/A,FALSE,"Depr";#N/A,#N/A,FALSE,"APAL"}</definedName>
    <definedName name="wrn.Report1._2_3" localSheetId="9" hidden="1">{#N/A,#N/A,FALSE,"IS";#N/A,#N/A,FALSE,"BS";#N/A,#N/A,FALSE,"CF";#N/A,#N/A,FALSE,"CE";#N/A,#N/A,FALSE,"Depr";#N/A,#N/A,FALSE,"APAL"}</definedName>
    <definedName name="wrn.Report1._2_3" hidden="1">{#N/A,#N/A,FALSE,"IS";#N/A,#N/A,FALSE,"BS";#N/A,#N/A,FALSE,"CF";#N/A,#N/A,FALSE,"CE";#N/A,#N/A,FALSE,"Depr";#N/A,#N/A,FALSE,"APAL"}</definedName>
    <definedName name="wrn.Report1._2_4" localSheetId="10" hidden="1">{#N/A,#N/A,FALSE,"IS";#N/A,#N/A,FALSE,"BS";#N/A,#N/A,FALSE,"CF";#N/A,#N/A,FALSE,"CE";#N/A,#N/A,FALSE,"Depr";#N/A,#N/A,FALSE,"APAL"}</definedName>
    <definedName name="wrn.Report1._2_4" localSheetId="9" hidden="1">{#N/A,#N/A,FALSE,"IS";#N/A,#N/A,FALSE,"BS";#N/A,#N/A,FALSE,"CF";#N/A,#N/A,FALSE,"CE";#N/A,#N/A,FALSE,"Depr";#N/A,#N/A,FALSE,"APAL"}</definedName>
    <definedName name="wrn.Report1._2_4" hidden="1">{#N/A,#N/A,FALSE,"IS";#N/A,#N/A,FALSE,"BS";#N/A,#N/A,FALSE,"CF";#N/A,#N/A,FALSE,"CE";#N/A,#N/A,FALSE,"Depr";#N/A,#N/A,FALSE,"APAL"}</definedName>
    <definedName name="wrn.Report1._3" localSheetId="10" hidden="1">{#N/A,#N/A,FALSE,"IS";#N/A,#N/A,FALSE,"BS";#N/A,#N/A,FALSE,"CF";#N/A,#N/A,FALSE,"CE";#N/A,#N/A,FALSE,"Depr";#N/A,#N/A,FALSE,"APAL"}</definedName>
    <definedName name="wrn.Report1._3" localSheetId="9" hidden="1">{#N/A,#N/A,FALSE,"IS";#N/A,#N/A,FALSE,"BS";#N/A,#N/A,FALSE,"CF";#N/A,#N/A,FALSE,"CE";#N/A,#N/A,FALSE,"Depr";#N/A,#N/A,FALSE,"APAL"}</definedName>
    <definedName name="wrn.Report1._3" hidden="1">{#N/A,#N/A,FALSE,"IS";#N/A,#N/A,FALSE,"BS";#N/A,#N/A,FALSE,"CF";#N/A,#N/A,FALSE,"CE";#N/A,#N/A,FALSE,"Depr";#N/A,#N/A,FALSE,"APAL"}</definedName>
    <definedName name="wrn.Report1._3_1" localSheetId="10" hidden="1">{#N/A,#N/A,FALSE,"IS";#N/A,#N/A,FALSE,"BS";#N/A,#N/A,FALSE,"CF";#N/A,#N/A,FALSE,"CE";#N/A,#N/A,FALSE,"Depr";#N/A,#N/A,FALSE,"APAL"}</definedName>
    <definedName name="wrn.Report1._3_1" localSheetId="9" hidden="1">{#N/A,#N/A,FALSE,"IS";#N/A,#N/A,FALSE,"BS";#N/A,#N/A,FALSE,"CF";#N/A,#N/A,FALSE,"CE";#N/A,#N/A,FALSE,"Depr";#N/A,#N/A,FALSE,"APAL"}</definedName>
    <definedName name="wrn.Report1._3_1" hidden="1">{#N/A,#N/A,FALSE,"IS";#N/A,#N/A,FALSE,"BS";#N/A,#N/A,FALSE,"CF";#N/A,#N/A,FALSE,"CE";#N/A,#N/A,FALSE,"Depr";#N/A,#N/A,FALSE,"APAL"}</definedName>
    <definedName name="wrn.Report1._3_2" localSheetId="10" hidden="1">{#N/A,#N/A,FALSE,"IS";#N/A,#N/A,FALSE,"BS";#N/A,#N/A,FALSE,"CF";#N/A,#N/A,FALSE,"CE";#N/A,#N/A,FALSE,"Depr";#N/A,#N/A,FALSE,"APAL"}</definedName>
    <definedName name="wrn.Report1._3_2" localSheetId="9" hidden="1">{#N/A,#N/A,FALSE,"IS";#N/A,#N/A,FALSE,"BS";#N/A,#N/A,FALSE,"CF";#N/A,#N/A,FALSE,"CE";#N/A,#N/A,FALSE,"Depr";#N/A,#N/A,FALSE,"APAL"}</definedName>
    <definedName name="wrn.Report1._3_2" hidden="1">{#N/A,#N/A,FALSE,"IS";#N/A,#N/A,FALSE,"BS";#N/A,#N/A,FALSE,"CF";#N/A,#N/A,FALSE,"CE";#N/A,#N/A,FALSE,"Depr";#N/A,#N/A,FALSE,"APAL"}</definedName>
    <definedName name="wrn.Report1._3_3" localSheetId="10" hidden="1">{#N/A,#N/A,FALSE,"IS";#N/A,#N/A,FALSE,"BS";#N/A,#N/A,FALSE,"CF";#N/A,#N/A,FALSE,"CE";#N/A,#N/A,FALSE,"Depr";#N/A,#N/A,FALSE,"APAL"}</definedName>
    <definedName name="wrn.Report1._3_3" localSheetId="9" hidden="1">{#N/A,#N/A,FALSE,"IS";#N/A,#N/A,FALSE,"BS";#N/A,#N/A,FALSE,"CF";#N/A,#N/A,FALSE,"CE";#N/A,#N/A,FALSE,"Depr";#N/A,#N/A,FALSE,"APAL"}</definedName>
    <definedName name="wrn.Report1._3_3" hidden="1">{#N/A,#N/A,FALSE,"IS";#N/A,#N/A,FALSE,"BS";#N/A,#N/A,FALSE,"CF";#N/A,#N/A,FALSE,"CE";#N/A,#N/A,FALSE,"Depr";#N/A,#N/A,FALSE,"APAL"}</definedName>
    <definedName name="wrn.Report1._3_4" localSheetId="10" hidden="1">{#N/A,#N/A,FALSE,"IS";#N/A,#N/A,FALSE,"BS";#N/A,#N/A,FALSE,"CF";#N/A,#N/A,FALSE,"CE";#N/A,#N/A,FALSE,"Depr";#N/A,#N/A,FALSE,"APAL"}</definedName>
    <definedName name="wrn.Report1._3_4" localSheetId="9" hidden="1">{#N/A,#N/A,FALSE,"IS";#N/A,#N/A,FALSE,"BS";#N/A,#N/A,FALSE,"CF";#N/A,#N/A,FALSE,"CE";#N/A,#N/A,FALSE,"Depr";#N/A,#N/A,FALSE,"APAL"}</definedName>
    <definedName name="wrn.Report1._3_4" hidden="1">{#N/A,#N/A,FALSE,"IS";#N/A,#N/A,FALSE,"BS";#N/A,#N/A,FALSE,"CF";#N/A,#N/A,FALSE,"CE";#N/A,#N/A,FALSE,"Depr";#N/A,#N/A,FALSE,"APAL"}</definedName>
    <definedName name="wrn.Report1._4" localSheetId="10" hidden="1">{#N/A,#N/A,FALSE,"IS";#N/A,#N/A,FALSE,"BS";#N/A,#N/A,FALSE,"CF";#N/A,#N/A,FALSE,"CE";#N/A,#N/A,FALSE,"Depr";#N/A,#N/A,FALSE,"APAL"}</definedName>
    <definedName name="wrn.Report1._4" localSheetId="9" hidden="1">{#N/A,#N/A,FALSE,"IS";#N/A,#N/A,FALSE,"BS";#N/A,#N/A,FALSE,"CF";#N/A,#N/A,FALSE,"CE";#N/A,#N/A,FALSE,"Depr";#N/A,#N/A,FALSE,"APAL"}</definedName>
    <definedName name="wrn.Report1._4" hidden="1">{#N/A,#N/A,FALSE,"IS";#N/A,#N/A,FALSE,"BS";#N/A,#N/A,FALSE,"CF";#N/A,#N/A,FALSE,"CE";#N/A,#N/A,FALSE,"Depr";#N/A,#N/A,FALSE,"APAL"}</definedName>
    <definedName name="wrn.Report1._4_1" localSheetId="10" hidden="1">{#N/A,#N/A,FALSE,"IS";#N/A,#N/A,FALSE,"BS";#N/A,#N/A,FALSE,"CF";#N/A,#N/A,FALSE,"CE";#N/A,#N/A,FALSE,"Depr";#N/A,#N/A,FALSE,"APAL"}</definedName>
    <definedName name="wrn.Report1._4_1" localSheetId="9" hidden="1">{#N/A,#N/A,FALSE,"IS";#N/A,#N/A,FALSE,"BS";#N/A,#N/A,FALSE,"CF";#N/A,#N/A,FALSE,"CE";#N/A,#N/A,FALSE,"Depr";#N/A,#N/A,FALSE,"APAL"}</definedName>
    <definedName name="wrn.Report1._4_1" hidden="1">{#N/A,#N/A,FALSE,"IS";#N/A,#N/A,FALSE,"BS";#N/A,#N/A,FALSE,"CF";#N/A,#N/A,FALSE,"CE";#N/A,#N/A,FALSE,"Depr";#N/A,#N/A,FALSE,"APAL"}</definedName>
    <definedName name="wrn.Report1._4_2" localSheetId="10" hidden="1">{#N/A,#N/A,FALSE,"IS";#N/A,#N/A,FALSE,"BS";#N/A,#N/A,FALSE,"CF";#N/A,#N/A,FALSE,"CE";#N/A,#N/A,FALSE,"Depr";#N/A,#N/A,FALSE,"APAL"}</definedName>
    <definedName name="wrn.Report1._4_2" localSheetId="9" hidden="1">{#N/A,#N/A,FALSE,"IS";#N/A,#N/A,FALSE,"BS";#N/A,#N/A,FALSE,"CF";#N/A,#N/A,FALSE,"CE";#N/A,#N/A,FALSE,"Depr";#N/A,#N/A,FALSE,"APAL"}</definedName>
    <definedName name="wrn.Report1._4_2" hidden="1">{#N/A,#N/A,FALSE,"IS";#N/A,#N/A,FALSE,"BS";#N/A,#N/A,FALSE,"CF";#N/A,#N/A,FALSE,"CE";#N/A,#N/A,FALSE,"Depr";#N/A,#N/A,FALSE,"APAL"}</definedName>
    <definedName name="wrn.Report1._4_3" localSheetId="10" hidden="1">{#N/A,#N/A,FALSE,"IS";#N/A,#N/A,FALSE,"BS";#N/A,#N/A,FALSE,"CF";#N/A,#N/A,FALSE,"CE";#N/A,#N/A,FALSE,"Depr";#N/A,#N/A,FALSE,"APAL"}</definedName>
    <definedName name="wrn.Report1._4_3" localSheetId="9" hidden="1">{#N/A,#N/A,FALSE,"IS";#N/A,#N/A,FALSE,"BS";#N/A,#N/A,FALSE,"CF";#N/A,#N/A,FALSE,"CE";#N/A,#N/A,FALSE,"Depr";#N/A,#N/A,FALSE,"APAL"}</definedName>
    <definedName name="wrn.Report1._4_3" hidden="1">{#N/A,#N/A,FALSE,"IS";#N/A,#N/A,FALSE,"BS";#N/A,#N/A,FALSE,"CF";#N/A,#N/A,FALSE,"CE";#N/A,#N/A,FALSE,"Depr";#N/A,#N/A,FALSE,"APAL"}</definedName>
    <definedName name="wrn.Report1._4_4" localSheetId="10" hidden="1">{#N/A,#N/A,FALSE,"IS";#N/A,#N/A,FALSE,"BS";#N/A,#N/A,FALSE,"CF";#N/A,#N/A,FALSE,"CE";#N/A,#N/A,FALSE,"Depr";#N/A,#N/A,FALSE,"APAL"}</definedName>
    <definedName name="wrn.Report1._4_4" localSheetId="9" hidden="1">{#N/A,#N/A,FALSE,"IS";#N/A,#N/A,FALSE,"BS";#N/A,#N/A,FALSE,"CF";#N/A,#N/A,FALSE,"CE";#N/A,#N/A,FALSE,"Depr";#N/A,#N/A,FALSE,"APAL"}</definedName>
    <definedName name="wrn.Report1._4_4" hidden="1">{#N/A,#N/A,FALSE,"IS";#N/A,#N/A,FALSE,"BS";#N/A,#N/A,FALSE,"CF";#N/A,#N/A,FALSE,"CE";#N/A,#N/A,FALSE,"Depr";#N/A,#N/A,FALSE,"APAL"}</definedName>
    <definedName name="wrn.Report1._5" localSheetId="10" hidden="1">{#N/A,#N/A,FALSE,"IS";#N/A,#N/A,FALSE,"BS";#N/A,#N/A,FALSE,"CF";#N/A,#N/A,FALSE,"CE";#N/A,#N/A,FALSE,"Depr";#N/A,#N/A,FALSE,"APAL"}</definedName>
    <definedName name="wrn.Report1._5" localSheetId="9" hidden="1">{#N/A,#N/A,FALSE,"IS";#N/A,#N/A,FALSE,"BS";#N/A,#N/A,FALSE,"CF";#N/A,#N/A,FALSE,"CE";#N/A,#N/A,FALSE,"Depr";#N/A,#N/A,FALSE,"APAL"}</definedName>
    <definedName name="wrn.Report1._5" hidden="1">{#N/A,#N/A,FALSE,"IS";#N/A,#N/A,FALSE,"BS";#N/A,#N/A,FALSE,"CF";#N/A,#N/A,FALSE,"CE";#N/A,#N/A,FALSE,"Depr";#N/A,#N/A,FALSE,"APAL"}</definedName>
    <definedName name="wrn.Report1._5_1" localSheetId="10" hidden="1">{#N/A,#N/A,FALSE,"IS";#N/A,#N/A,FALSE,"BS";#N/A,#N/A,FALSE,"CF";#N/A,#N/A,FALSE,"CE";#N/A,#N/A,FALSE,"Depr";#N/A,#N/A,FALSE,"APAL"}</definedName>
    <definedName name="wrn.Report1._5_1" localSheetId="9" hidden="1">{#N/A,#N/A,FALSE,"IS";#N/A,#N/A,FALSE,"BS";#N/A,#N/A,FALSE,"CF";#N/A,#N/A,FALSE,"CE";#N/A,#N/A,FALSE,"Depr";#N/A,#N/A,FALSE,"APAL"}</definedName>
    <definedName name="wrn.Report1._5_1" hidden="1">{#N/A,#N/A,FALSE,"IS";#N/A,#N/A,FALSE,"BS";#N/A,#N/A,FALSE,"CF";#N/A,#N/A,FALSE,"CE";#N/A,#N/A,FALSE,"Depr";#N/A,#N/A,FALSE,"APAL"}</definedName>
    <definedName name="wrn.Report1._5_2" localSheetId="10" hidden="1">{#N/A,#N/A,FALSE,"IS";#N/A,#N/A,FALSE,"BS";#N/A,#N/A,FALSE,"CF";#N/A,#N/A,FALSE,"CE";#N/A,#N/A,FALSE,"Depr";#N/A,#N/A,FALSE,"APAL"}</definedName>
    <definedName name="wrn.Report1._5_2" localSheetId="9" hidden="1">{#N/A,#N/A,FALSE,"IS";#N/A,#N/A,FALSE,"BS";#N/A,#N/A,FALSE,"CF";#N/A,#N/A,FALSE,"CE";#N/A,#N/A,FALSE,"Depr";#N/A,#N/A,FALSE,"APAL"}</definedName>
    <definedName name="wrn.Report1._5_2" hidden="1">{#N/A,#N/A,FALSE,"IS";#N/A,#N/A,FALSE,"BS";#N/A,#N/A,FALSE,"CF";#N/A,#N/A,FALSE,"CE";#N/A,#N/A,FALSE,"Depr";#N/A,#N/A,FALSE,"APAL"}</definedName>
    <definedName name="wrn.Report1._5_3" localSheetId="10" hidden="1">{#N/A,#N/A,FALSE,"IS";#N/A,#N/A,FALSE,"BS";#N/A,#N/A,FALSE,"CF";#N/A,#N/A,FALSE,"CE";#N/A,#N/A,FALSE,"Depr";#N/A,#N/A,FALSE,"APAL"}</definedName>
    <definedName name="wrn.Report1._5_3" localSheetId="9" hidden="1">{#N/A,#N/A,FALSE,"IS";#N/A,#N/A,FALSE,"BS";#N/A,#N/A,FALSE,"CF";#N/A,#N/A,FALSE,"CE";#N/A,#N/A,FALSE,"Depr";#N/A,#N/A,FALSE,"APAL"}</definedName>
    <definedName name="wrn.Report1._5_3" hidden="1">{#N/A,#N/A,FALSE,"IS";#N/A,#N/A,FALSE,"BS";#N/A,#N/A,FALSE,"CF";#N/A,#N/A,FALSE,"CE";#N/A,#N/A,FALSE,"Depr";#N/A,#N/A,FALSE,"APAL"}</definedName>
    <definedName name="wrn.Report1._5_4" localSheetId="10" hidden="1">{#N/A,#N/A,FALSE,"IS";#N/A,#N/A,FALSE,"BS";#N/A,#N/A,FALSE,"CF";#N/A,#N/A,FALSE,"CE";#N/A,#N/A,FALSE,"Depr";#N/A,#N/A,FALSE,"APAL"}</definedName>
    <definedName name="wrn.Report1._5_4" localSheetId="9" hidden="1">{#N/A,#N/A,FALSE,"IS";#N/A,#N/A,FALSE,"BS";#N/A,#N/A,FALSE,"CF";#N/A,#N/A,FALSE,"CE";#N/A,#N/A,FALSE,"Depr";#N/A,#N/A,FALSE,"APAL"}</definedName>
    <definedName name="wrn.Report1._5_4" hidden="1">{#N/A,#N/A,FALSE,"IS";#N/A,#N/A,FALSE,"BS";#N/A,#N/A,FALSE,"CF";#N/A,#N/A,FALSE,"CE";#N/A,#N/A,FALSE,"Depr";#N/A,#N/A,FALSE,"APAL"}</definedName>
    <definedName name="wrn.report1_1" localSheetId="10" hidden="1">{"summary",#N/A,FALSE,"2000 vs 1999";"detail",#N/A,FALSE,"2000 vs 1999"}</definedName>
    <definedName name="wrn.report1_1" localSheetId="9" hidden="1">{"summary",#N/A,FALSE,"2000 vs 1999";"detail",#N/A,FALSE,"2000 vs 1999"}</definedName>
    <definedName name="wrn.report1_1" hidden="1">{"summary",#N/A,FALSE,"2000 vs 1999";"detail",#N/A,FALSE,"2000 vs 1999"}</definedName>
    <definedName name="wrn.REPORTING._.PACKAGE." localSheetId="10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ING._.PACKAGE." localSheetId="9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ING._.PACKAGE._1" localSheetId="10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ING._.PACKAGE._1" localSheetId="9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ING._.PACKAGE._1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quest._.for._.CPA." localSheetId="10" hidden="1">{"Request for CPA",#N/A,FALSE,"Request for Appropriation"}</definedName>
    <definedName name="wrn.Request._.for._.CPA." localSheetId="9" hidden="1">{"Request for CPA",#N/A,FALSE,"Request for Appropriation"}</definedName>
    <definedName name="wrn.Request._.for._.CPA." hidden="1">{"Request for CPA",#N/A,FALSE,"Request for Appropriation"}</definedName>
    <definedName name="wrn.Request._.for._.Lease." localSheetId="10" hidden="1">{"Request for Lease",#N/A,FALSE,"Request for Lease"}</definedName>
    <definedName name="wrn.Request._.for._.Lease." localSheetId="9" hidden="1">{"Request for Lease",#N/A,FALSE,"Request for Lease"}</definedName>
    <definedName name="wrn.Request._.for._.Lease." hidden="1">{"Request for Lease",#N/A,FALSE,"Request for Lease"}</definedName>
    <definedName name="wrn.RESULTS." localSheetId="10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SULTS." localSheetId="9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SULTS.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venue._.Details." localSheetId="10" hidden="1">{"Revenue by Industry Chart",#N/A,FALSE,"Mix";"Annual Revenue Detail",#N/A,FALSE,"Mix";"Quarterly Revenue Detail",#N/A,FALSE,"Mix"}</definedName>
    <definedName name="wrn.Revenue._.Details." localSheetId="9" hidden="1">{"Revenue by Industry Chart",#N/A,FALSE,"Mix";"Annual Revenue Detail",#N/A,FALSE,"Mix";"Quarterly Revenue Detail",#N/A,FALSE,"Mix"}</definedName>
    <definedName name="wrn.Revenue._.Details." hidden="1">{"Revenue by Industry Chart",#N/A,FALSE,"Mix";"Annual Revenue Detail",#N/A,FALSE,"Mix";"Quarterly Revenue Detail",#N/A,FALSE,"Mix"}</definedName>
    <definedName name="wrn.RPT.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saf." localSheetId="10" hidden="1">{#N/A,#N/A,FALSE,"SAFILOR"}</definedName>
    <definedName name="wrn.saf." localSheetId="9" hidden="1">{#N/A,#N/A,FALSE,"SAFILOR"}</definedName>
    <definedName name="wrn.saf." hidden="1">{#N/A,#N/A,FALSE,"SAFILOR"}</definedName>
    <definedName name="wrn.Sales." localSheetId="10" hidden="1">{#N/A,#N/A,FALSE,"Marketing";#N/A,#N/A,FALSE,"Selling";#N/A,#N/A,FALSE,"Promotional";#N/A,#N/A,FALSE,"Advertising"}</definedName>
    <definedName name="wrn.Sales." localSheetId="9" hidden="1">{#N/A,#N/A,FALSE,"Marketing";#N/A,#N/A,FALSE,"Selling";#N/A,#N/A,FALSE,"Promotional";#N/A,#N/A,FALSE,"Advertising"}</definedName>
    <definedName name="wrn.Sales." hidden="1">{#N/A,#N/A,FALSE,"Marketing";#N/A,#N/A,FALSE,"Selling";#N/A,#N/A,FALSE,"Promotional";#N/A,#N/A,FALSE,"Advertising"}</definedName>
    <definedName name="wrn.Sales._1" localSheetId="10" hidden="1">{#N/A,#N/A,FALSE,"Marketing";#N/A,#N/A,FALSE,"Selling";#N/A,#N/A,FALSE,"Promotional";#N/A,#N/A,FALSE,"Advertising"}</definedName>
    <definedName name="wrn.Sales._1" localSheetId="9" hidden="1">{#N/A,#N/A,FALSE,"Marketing";#N/A,#N/A,FALSE,"Selling";#N/A,#N/A,FALSE,"Promotional";#N/A,#N/A,FALSE,"Advertising"}</definedName>
    <definedName name="wrn.Sales._1" hidden="1">{#N/A,#N/A,FALSE,"Marketing";#N/A,#N/A,FALSE,"Selling";#N/A,#N/A,FALSE,"Promotional";#N/A,#N/A,FALSE,"Advertising"}</definedName>
    <definedName name="wrn.salesassum." localSheetId="10" hidden="1">{"Salesass",#N/A,FALSE,"assumpt"}</definedName>
    <definedName name="wrn.salesassum." localSheetId="9" hidden="1">{"Salesass",#N/A,FALSE,"assumpt"}</definedName>
    <definedName name="wrn.salesassum." hidden="1">{"Salesass",#N/A,FALSE,"assumpt"}</definedName>
    <definedName name="wrn.SB_PRES." localSheetId="10" hidden="1">{#N/A,#N/A,TRUE,"Sheet16"}</definedName>
    <definedName name="wrn.SB_PRES." localSheetId="9" hidden="1">{#N/A,#N/A,TRUE,"Sheet16"}</definedName>
    <definedName name="wrn.SB_PRES." hidden="1">{#N/A,#N/A,TRUE,"Sheet16"}</definedName>
    <definedName name="wrn.SCA._.Acq.." localSheetId="10" hidden="1">{#N/A,#N/A,FALSE,"main";#N/A,#N/A,FALSE,"Pooling";#N/A,#N/A,FALSE,"Purchase"}</definedName>
    <definedName name="wrn.SCA._.Acq.." localSheetId="9" hidden="1">{#N/A,#N/A,FALSE,"main";#N/A,#N/A,FALSE,"Pooling";#N/A,#N/A,FALSE,"Purchase"}</definedName>
    <definedName name="wrn.SCA._.Acq.." hidden="1">{#N/A,#N/A,FALSE,"main";#N/A,#N/A,FALSE,"Pooling";#N/A,#N/A,FALSE,"Purchase"}</definedName>
    <definedName name="wrn.SCA._.AcqDisv." localSheetId="10" hidden="1">{#N/A,#N/A,FALSE,"main";#N/A,#N/A,FALSE,"Purchase"}</definedName>
    <definedName name="wrn.SCA._.AcqDisv." localSheetId="9" hidden="1">{#N/A,#N/A,FALSE,"main";#N/A,#N/A,FALSE,"Purchase"}</definedName>
    <definedName name="wrn.SCA._.AcqDisv." hidden="1">{#N/A,#N/A,FALSE,"main";#N/A,#N/A,FALSE,"Purchase"}</definedName>
    <definedName name="wrn.Scenario._.Analysis." localSheetId="10" hidden="1">{#N/A,"Base Case",FALSE,"Revenue";#N/A,"£6.25 Fee",FALSE,"Revenue"}</definedName>
    <definedName name="wrn.Scenario._.Analysis." localSheetId="9" hidden="1">{#N/A,"Base Case",FALSE,"Revenue";#N/A,"£6.25 Fee",FALSE,"Revenue"}</definedName>
    <definedName name="wrn.Scenario._.Analysis." hidden="1">{#N/A,"Base Case",FALSE,"Revenue";#N/A,"£6.25 Fee",FALSE,"Revenue"}</definedName>
    <definedName name="wrn.Section._.D." localSheetId="10" hidden="1">{"Physical Count Securities",#N/A,FALSE,"BFIT B&amp;D Valuation";"Accrued Interest",#N/A,FALSE,"BFIT B&amp;D Valuation";"Major Differences",#N/A,FALSE,"BFIT B&amp;D Valuation";"Print_Bond and Debenture Calculation",#N/A,FALSE,"BFIT B&amp;D Valuation";"Note to FS_Liquidity Risk",#N/A,FALSE,"BFIT B&amp;D Valuation"}</definedName>
    <definedName name="wrn.Section._.D." localSheetId="9" hidden="1">{"Physical Count Securities",#N/A,FALSE,"BFIT B&amp;D Valuation";"Accrued Interest",#N/A,FALSE,"BFIT B&amp;D Valuation";"Major Differences",#N/A,FALSE,"BFIT B&amp;D Valuation";"Print_Bond and Debenture Calculation",#N/A,FALSE,"BFIT B&amp;D Valuation";"Note to FS_Liquidity Risk",#N/A,FALSE,"BFIT B&amp;D Valuation"}</definedName>
    <definedName name="wrn.Section._.D." hidden="1">{"Physical Count Securities",#N/A,FALSE,"BFIT B&amp;D Valuation";"Accrued Interest",#N/A,FALSE,"BFIT B&amp;D Valuation";"Major Differences",#N/A,FALSE,"BFIT B&amp;D Valuation";"Print_Bond and Debenture Calculation",#N/A,FALSE,"BFIT B&amp;D Valuation";"Note to FS_Liquidity Risk",#N/A,FALSE,"BFIT B&amp;D Valuation"}</definedName>
    <definedName name="wrn.SFS." localSheetId="10" hidden="1">{"index",#N/A,FALSE,"DRS";"a_1",#N/A,FALSE,"DRS";"a_2",#N/A,FALSE,"DRS";"b_1",#N/A,FALSE,"DRS";"b_2.b_3",#N/A,FALSE,"DRS";"b_4.b_5.b_6",#N/A,FALSE,"DRS";"b_7.b_8",#N/A,FALSE,"DRS";"b_9",#N/A,FALSE,"DRS";"b_10.b_11",#N/A,FALSE,"DRS";"b_12.b_13",#N/A,FALSE,"DRS";"b_14",#N/A,FALSE,"DRS";"b_15.b_16",#N/A,FALSE,"DRS";"b_17",#N/A,FALSE,"DRS";"b_18",#N/A,FALSE,"DRS";"c_1.c_2",#N/A,FALSE,"DRS";"d_1",#N/A,FALSE,"DRS";"e_1",#N/A,FALSE,"DRS"}</definedName>
    <definedName name="wrn.SFS." localSheetId="9" hidden="1">{"index",#N/A,FALSE,"DRS";"a_1",#N/A,FALSE,"DRS";"a_2",#N/A,FALSE,"DRS";"b_1",#N/A,FALSE,"DRS";"b_2.b_3",#N/A,FALSE,"DRS";"b_4.b_5.b_6",#N/A,FALSE,"DRS";"b_7.b_8",#N/A,FALSE,"DRS";"b_9",#N/A,FALSE,"DRS";"b_10.b_11",#N/A,FALSE,"DRS";"b_12.b_13",#N/A,FALSE,"DRS";"b_14",#N/A,FALSE,"DRS";"b_15.b_16",#N/A,FALSE,"DRS";"b_17",#N/A,FALSE,"DRS";"b_18",#N/A,FALSE,"DRS";"c_1.c_2",#N/A,FALSE,"DRS";"d_1",#N/A,FALSE,"DRS";"e_1",#N/A,FALSE,"DRS"}</definedName>
    <definedName name="wrn.SFS." hidden="1">{"index",#N/A,FALSE,"DRS";"a_1",#N/A,FALSE,"DRS";"a_2",#N/A,FALSE,"DRS";"b_1",#N/A,FALSE,"DRS";"b_2.b_3",#N/A,FALSE,"DRS";"b_4.b_5.b_6",#N/A,FALSE,"DRS";"b_7.b_8",#N/A,FALSE,"DRS";"b_9",#N/A,FALSE,"DRS";"b_10.b_11",#N/A,FALSE,"DRS";"b_12.b_13",#N/A,FALSE,"DRS";"b_14",#N/A,FALSE,"DRS";"b_15.b_16",#N/A,FALSE,"DRS";"b_17",#N/A,FALSE,"DRS";"b_18",#N/A,FALSE,"DRS";"c_1.c_2",#N/A,FALSE,"DRS";"d_1",#N/A,FALSE,"DRS";"e_1",#N/A,FALSE,"DRS"}</definedName>
    <definedName name="wrn.SFS._1" localSheetId="10" hidden="1">{"index",#N/A,FALSE,"DRS";"a_1",#N/A,FALSE,"DRS";"a_2",#N/A,FALSE,"DRS";"b_1",#N/A,FALSE,"DRS";"b_2.b_3",#N/A,FALSE,"DRS";"b_4.b_5.b_6",#N/A,FALSE,"DRS";"b_7.b_8",#N/A,FALSE,"DRS";"b_9",#N/A,FALSE,"DRS";"b_10.b_11",#N/A,FALSE,"DRS";"b_12.b_13",#N/A,FALSE,"DRS";"b_14",#N/A,FALSE,"DRS";"b_15.b_16",#N/A,FALSE,"DRS";"b_17",#N/A,FALSE,"DRS";"b_18",#N/A,FALSE,"DRS";"c_1.c_2",#N/A,FALSE,"DRS";"d_1",#N/A,FALSE,"DRS";"e_1",#N/A,FALSE,"DRS"}</definedName>
    <definedName name="wrn.SFS._1" localSheetId="9" hidden="1">{"index",#N/A,FALSE,"DRS";"a_1",#N/A,FALSE,"DRS";"a_2",#N/A,FALSE,"DRS";"b_1",#N/A,FALSE,"DRS";"b_2.b_3",#N/A,FALSE,"DRS";"b_4.b_5.b_6",#N/A,FALSE,"DRS";"b_7.b_8",#N/A,FALSE,"DRS";"b_9",#N/A,FALSE,"DRS";"b_10.b_11",#N/A,FALSE,"DRS";"b_12.b_13",#N/A,FALSE,"DRS";"b_14",#N/A,FALSE,"DRS";"b_15.b_16",#N/A,FALSE,"DRS";"b_17",#N/A,FALSE,"DRS";"b_18",#N/A,FALSE,"DRS";"c_1.c_2",#N/A,FALSE,"DRS";"d_1",#N/A,FALSE,"DRS";"e_1",#N/A,FALSE,"DRS"}</definedName>
    <definedName name="wrn.SFS._1" hidden="1">{"index",#N/A,FALSE,"DRS";"a_1",#N/A,FALSE,"DRS";"a_2",#N/A,FALSE,"DRS";"b_1",#N/A,FALSE,"DRS";"b_2.b_3",#N/A,FALSE,"DRS";"b_4.b_5.b_6",#N/A,FALSE,"DRS";"b_7.b_8",#N/A,FALSE,"DRS";"b_9",#N/A,FALSE,"DRS";"b_10.b_11",#N/A,FALSE,"DRS";"b_12.b_13",#N/A,FALSE,"DRS";"b_14",#N/A,FALSE,"DRS";"b_15.b_16",#N/A,FALSE,"DRS";"b_17",#N/A,FALSE,"DRS";"b_18",#N/A,FALSE,"DRS";"c_1.c_2",#N/A,FALSE,"DRS";"d_1",#N/A,FALSE,"DRS";"e_1",#N/A,FALSE,"DRS"}</definedName>
    <definedName name="wrn.SGPMODELS." localSheetId="10" hidden="1">{"QTRINC1",#N/A,FALSE,"SGPNEW";"QTRINC2",#N/A,FALSE,"SGPNEW";"USSALES1",#N/A,FALSE,"SGPNEW";"USSALES2",#N/A,FALSE,"SGPNEW";"INTLSALES1",#N/A,FALSE,"SGPNEW";"INTLSALES2",#N/A,FALSE,"SGPNEW";"WWSALES1",#N/A,FALSE,"SGPNEW";"WWSALES2",#N/A,FALSE,"SGPNEW";"NEWPRODS",#N/A,FALSE,"SGPNEW";"CASHFLOW",#N/A,FALSE,"SGPNEW"}</definedName>
    <definedName name="wrn.SGPMODELS." localSheetId="9" hidden="1">{"QTRINC1",#N/A,FALSE,"SGPNEW";"QTRINC2",#N/A,FALSE,"SGPNEW";"USSALES1",#N/A,FALSE,"SGPNEW";"USSALES2",#N/A,FALSE,"SGPNEW";"INTLSALES1",#N/A,FALSE,"SGPNEW";"INTLSALES2",#N/A,FALSE,"SGPNEW";"WWSALES1",#N/A,FALSE,"SGPNEW";"WWSALES2",#N/A,FALSE,"SGPNEW";"NEWPRODS",#N/A,FALSE,"SGPNEW";"CASHFLOW",#N/A,FALSE,"SGPNEW"}</definedName>
    <definedName name="wrn.SGPMODELS." hidden="1">{"QTRINC1",#N/A,FALSE,"SGPNEW";"QTRINC2",#N/A,FALSE,"SGPNEW";"USSALES1",#N/A,FALSE,"SGPNEW";"USSALES2",#N/A,FALSE,"SGPNEW";"INTLSALES1",#N/A,FALSE,"SGPNEW";"INTLSALES2",#N/A,FALSE,"SGPNEW";"WWSALES1",#N/A,FALSE,"SGPNEW";"WWSALES2",#N/A,FALSE,"SGPNEW";"NEWPRODS",#N/A,FALSE,"SGPNEW";"CASHFLOW",#N/A,FALSE,"SGPNEW"}</definedName>
    <definedName name="wrn.Shareholders._.and._.Employees." localSheetId="10" hidden="1">{#N/A,#N/A,FALSE,"Share the Wealth";#N/A,#N/A,FALSE,"Shareholders vs Employees";#N/A,#N/A,FALSE,"Share vs Emp Summary"}</definedName>
    <definedName name="wrn.Shareholders._.and._.Employees." localSheetId="9" hidden="1">{#N/A,#N/A,FALSE,"Share the Wealth";#N/A,#N/A,FALSE,"Shareholders vs Employees";#N/A,#N/A,FALSE,"Share vs Emp Summary"}</definedName>
    <definedName name="wrn.Shareholders._.and._.Employees." hidden="1">{#N/A,#N/A,FALSE,"Share the Wealth";#N/A,#N/A,FALSE,"Shareholders vs Employees";#N/A,#N/A,FALSE,"Share vs Emp Summary"}</definedName>
    <definedName name="wrn.SHIN." localSheetId="10" hidden="1">{#N/A,#N/A,FALSE,"LANOS표면현황";#N/A,#N/A,FALSE,"표면처리업체별";#N/A,#N/A,FALSE,"사양별";#N/A,#N/A,FALSE,"제작업체별";#N/A,#N/A,FALSE,"장착부위";#N/A,#N/A,FALSE,"업체주소";#N/A,#N/A,FALSE,"불량현황"}</definedName>
    <definedName name="wrn.SHIN." localSheetId="9" hidden="1">{#N/A,#N/A,FALSE,"LANOS표면현황";#N/A,#N/A,FALSE,"표면처리업체별";#N/A,#N/A,FALSE,"사양별";#N/A,#N/A,FALSE,"제작업체별";#N/A,#N/A,FALSE,"장착부위";#N/A,#N/A,FALSE,"업체주소";#N/A,#N/A,FALSE,"불량현황"}</definedName>
    <definedName name="wrn.SHIN." hidden="1">{#N/A,#N/A,FALSE,"LANOS표면현황";#N/A,#N/A,FALSE,"표면처리업체별";#N/A,#N/A,FALSE,"사양별";#N/A,#N/A,FALSE,"제작업체별";#N/A,#N/A,FALSE,"장착부위";#N/A,#N/A,FALSE,"업체주소";#N/A,#N/A,FALSE,"불량현황"}</definedName>
    <definedName name="wrn.SHIPMENTS." localSheetId="10" hidden="1">{#N/A,#N/A,FALSE,"JANLN2"}</definedName>
    <definedName name="wrn.SHIPMENTS." localSheetId="9" hidden="1">{#N/A,#N/A,FALSE,"JANLN2"}</definedName>
    <definedName name="wrn.SHIPMENTS." hidden="1">{#N/A,#N/A,FALSE,"JANLN2"}</definedName>
    <definedName name="wrn.SHIPMENTS._1" localSheetId="10" hidden="1">{#N/A,#N/A,FALSE,"JANLN2"}</definedName>
    <definedName name="wrn.SHIPMENTS._1" localSheetId="9" hidden="1">{#N/A,#N/A,FALSE,"JANLN2"}</definedName>
    <definedName name="wrn.SHIPMENTS._1" hidden="1">{#N/A,#N/A,FALSE,"JANLN2"}</definedName>
    <definedName name="wrn.Short._.Report." localSheetId="10" hidden="1">{"short1",#N/A,FALSE,"masmode";"short2",#N/A,FALSE,"masmode";"qtrres",#N/A,FALSE,"QTR. RES.";"sales",#N/A,FALSE,"Sales &amp; Market Share"}</definedName>
    <definedName name="wrn.Short._.Report." localSheetId="9" hidden="1">{"short1",#N/A,FALSE,"masmode";"short2",#N/A,FALSE,"masmode";"qtrres",#N/A,FALSE,"QTR. RES.";"sales",#N/A,FALSE,"Sales &amp; Market Share"}</definedName>
    <definedName name="wrn.Short._.Report." hidden="1">{"short1",#N/A,FALSE,"masmode";"short2",#N/A,FALSE,"masmode";"qtrres",#N/A,FALSE,"QTR. RES.";"sales",#N/A,FALSE,"Sales &amp; Market Share"}</definedName>
    <definedName name="wrn.SKSCS1." localSheetId="10" hidden="1">{#N/A,#N/A,FALSE,"Antony Financials";#N/A,#N/A,FALSE,"Cowboy Financials";#N/A,#N/A,FALSE,"Combined";#N/A,#N/A,FALSE,"Valuematrix";#N/A,#N/A,FALSE,"DCFAntony";#N/A,#N/A,FALSE,"DCFCowboy";#N/A,#N/A,FALSE,"DCFCombined"}</definedName>
    <definedName name="wrn.SKSCS1." localSheetId="9" hidden="1">{#N/A,#N/A,FALSE,"Antony Financials";#N/A,#N/A,FALSE,"Cowboy Financials";#N/A,#N/A,FALSE,"Combined";#N/A,#N/A,FALSE,"Valuematrix";#N/A,#N/A,FALSE,"DCFAntony";#N/A,#N/A,FALSE,"DCFCowboy";#N/A,#N/A,FALSE,"DCFCombined"}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CIEDAD." localSheetId="1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localSheetId="9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_1" localSheetId="1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_1" localSheetId="9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_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TAND_ALONE_BOTH." localSheetId="10" hidden="1">{"FCB_ALL",#N/A,FALSE,"FCB";"GREY_ALL",#N/A,FALSE,"GREY"}</definedName>
    <definedName name="wrn.STAND_ALONE_BOTH." localSheetId="9" hidden="1">{"FCB_ALL",#N/A,FALSE,"FCB";"GREY_ALL",#N/A,FALSE,"GREY"}</definedName>
    <definedName name="wrn.STAND_ALONE_BOTH." hidden="1">{"FCB_ALL",#N/A,FALSE,"FCB";"GREY_ALL",#N/A,FALSE,"GREY"}</definedName>
    <definedName name="wrn.STAND_ALONE_BOTH._1" localSheetId="10" hidden="1">{"FCB_ALL",#N/A,FALSE,"FCB";"GREY_ALL",#N/A,FALSE,"GREY"}</definedName>
    <definedName name="wrn.STAND_ALONE_BOTH._1" localSheetId="9" hidden="1">{"FCB_ALL",#N/A,FALSE,"FCB";"GREY_ALL",#N/A,FALSE,"GREY"}</definedName>
    <definedName name="wrn.STAND_ALONE_BOTH._1" hidden="1">{"FCB_ALL",#N/A,FALSE,"FCB";"GREY_ALL",#N/A,FALSE,"GREY"}</definedName>
    <definedName name="wrn.STAND_ALONE_BOTH._1_1" localSheetId="10" hidden="1">{"FCB_ALL",#N/A,FALSE,"FCB";"GREY_ALL",#N/A,FALSE,"GREY"}</definedName>
    <definedName name="wrn.STAND_ALONE_BOTH._1_1" localSheetId="9" hidden="1">{"FCB_ALL",#N/A,FALSE,"FCB";"GREY_ALL",#N/A,FALSE,"GREY"}</definedName>
    <definedName name="wrn.STAND_ALONE_BOTH._1_1" hidden="1">{"FCB_ALL",#N/A,FALSE,"FCB";"GREY_ALL",#N/A,FALSE,"GREY"}</definedName>
    <definedName name="wrn.STAND_ALONE_BOTH._1_2" localSheetId="10" hidden="1">{"FCB_ALL",#N/A,FALSE,"FCB";"GREY_ALL",#N/A,FALSE,"GREY"}</definedName>
    <definedName name="wrn.STAND_ALONE_BOTH._1_2" localSheetId="9" hidden="1">{"FCB_ALL",#N/A,FALSE,"FCB";"GREY_ALL",#N/A,FALSE,"GREY"}</definedName>
    <definedName name="wrn.STAND_ALONE_BOTH._1_2" hidden="1">{"FCB_ALL",#N/A,FALSE,"FCB";"GREY_ALL",#N/A,FALSE,"GREY"}</definedName>
    <definedName name="wrn.STAND_ALONE_BOTH._1_3" localSheetId="10" hidden="1">{"FCB_ALL",#N/A,FALSE,"FCB";"GREY_ALL",#N/A,FALSE,"GREY"}</definedName>
    <definedName name="wrn.STAND_ALONE_BOTH._1_3" localSheetId="9" hidden="1">{"FCB_ALL",#N/A,FALSE,"FCB";"GREY_ALL",#N/A,FALSE,"GREY"}</definedName>
    <definedName name="wrn.STAND_ALONE_BOTH._1_3" hidden="1">{"FCB_ALL",#N/A,FALSE,"FCB";"GREY_ALL",#N/A,FALSE,"GREY"}</definedName>
    <definedName name="wrn.STAND_ALONE_BOTH._1_4" localSheetId="10" hidden="1">{"FCB_ALL",#N/A,FALSE,"FCB";"GREY_ALL",#N/A,FALSE,"GREY"}</definedName>
    <definedName name="wrn.STAND_ALONE_BOTH._1_4" localSheetId="9" hidden="1">{"FCB_ALL",#N/A,FALSE,"FCB";"GREY_ALL",#N/A,FALSE,"GREY"}</definedName>
    <definedName name="wrn.STAND_ALONE_BOTH._1_4" hidden="1">{"FCB_ALL",#N/A,FALSE,"FCB";"GREY_ALL",#N/A,FALSE,"GREY"}</definedName>
    <definedName name="wrn.STAND_ALONE_BOTH._2" localSheetId="10" hidden="1">{"FCB_ALL",#N/A,FALSE,"FCB";"GREY_ALL",#N/A,FALSE,"GREY"}</definedName>
    <definedName name="wrn.STAND_ALONE_BOTH._2" localSheetId="9" hidden="1">{"FCB_ALL",#N/A,FALSE,"FCB";"GREY_ALL",#N/A,FALSE,"GREY"}</definedName>
    <definedName name="wrn.STAND_ALONE_BOTH._2" hidden="1">{"FCB_ALL",#N/A,FALSE,"FCB";"GREY_ALL",#N/A,FALSE,"GREY"}</definedName>
    <definedName name="wrn.STAND_ALONE_BOTH._2_1" localSheetId="10" hidden="1">{"FCB_ALL",#N/A,FALSE,"FCB";"GREY_ALL",#N/A,FALSE,"GREY"}</definedName>
    <definedName name="wrn.STAND_ALONE_BOTH._2_1" localSheetId="9" hidden="1">{"FCB_ALL",#N/A,FALSE,"FCB";"GREY_ALL",#N/A,FALSE,"GREY"}</definedName>
    <definedName name="wrn.STAND_ALONE_BOTH._2_1" hidden="1">{"FCB_ALL",#N/A,FALSE,"FCB";"GREY_ALL",#N/A,FALSE,"GREY"}</definedName>
    <definedName name="wrn.STAND_ALONE_BOTH._2_2" localSheetId="10" hidden="1">{"FCB_ALL",#N/A,FALSE,"FCB";"GREY_ALL",#N/A,FALSE,"GREY"}</definedName>
    <definedName name="wrn.STAND_ALONE_BOTH._2_2" localSheetId="9" hidden="1">{"FCB_ALL",#N/A,FALSE,"FCB";"GREY_ALL",#N/A,FALSE,"GREY"}</definedName>
    <definedName name="wrn.STAND_ALONE_BOTH._2_2" hidden="1">{"FCB_ALL",#N/A,FALSE,"FCB";"GREY_ALL",#N/A,FALSE,"GREY"}</definedName>
    <definedName name="wrn.STAND_ALONE_BOTH._2_3" localSheetId="10" hidden="1">{"FCB_ALL",#N/A,FALSE,"FCB";"GREY_ALL",#N/A,FALSE,"GREY"}</definedName>
    <definedName name="wrn.STAND_ALONE_BOTH._2_3" localSheetId="9" hidden="1">{"FCB_ALL",#N/A,FALSE,"FCB";"GREY_ALL",#N/A,FALSE,"GREY"}</definedName>
    <definedName name="wrn.STAND_ALONE_BOTH._2_3" hidden="1">{"FCB_ALL",#N/A,FALSE,"FCB";"GREY_ALL",#N/A,FALSE,"GREY"}</definedName>
    <definedName name="wrn.STAND_ALONE_BOTH._2_4" localSheetId="10" hidden="1">{"FCB_ALL",#N/A,FALSE,"FCB";"GREY_ALL",#N/A,FALSE,"GREY"}</definedName>
    <definedName name="wrn.STAND_ALONE_BOTH._2_4" localSheetId="9" hidden="1">{"FCB_ALL",#N/A,FALSE,"FCB";"GREY_ALL",#N/A,FALSE,"GREY"}</definedName>
    <definedName name="wrn.STAND_ALONE_BOTH._2_4" hidden="1">{"FCB_ALL",#N/A,FALSE,"FCB";"GREY_ALL",#N/A,FALSE,"GREY"}</definedName>
    <definedName name="wrn.STAND_ALONE_BOTH._3" localSheetId="10" hidden="1">{"FCB_ALL",#N/A,FALSE,"FCB";"GREY_ALL",#N/A,FALSE,"GREY"}</definedName>
    <definedName name="wrn.STAND_ALONE_BOTH._3" localSheetId="9" hidden="1">{"FCB_ALL",#N/A,FALSE,"FCB";"GREY_ALL",#N/A,FALSE,"GREY"}</definedName>
    <definedName name="wrn.STAND_ALONE_BOTH._3" hidden="1">{"FCB_ALL",#N/A,FALSE,"FCB";"GREY_ALL",#N/A,FALSE,"GREY"}</definedName>
    <definedName name="wrn.STAND_ALONE_BOTH._3_1" localSheetId="10" hidden="1">{"FCB_ALL",#N/A,FALSE,"FCB";"GREY_ALL",#N/A,FALSE,"GREY"}</definedName>
    <definedName name="wrn.STAND_ALONE_BOTH._3_1" localSheetId="9" hidden="1">{"FCB_ALL",#N/A,FALSE,"FCB";"GREY_ALL",#N/A,FALSE,"GREY"}</definedName>
    <definedName name="wrn.STAND_ALONE_BOTH._3_1" hidden="1">{"FCB_ALL",#N/A,FALSE,"FCB";"GREY_ALL",#N/A,FALSE,"GREY"}</definedName>
    <definedName name="wrn.STAND_ALONE_BOTH._3_2" localSheetId="10" hidden="1">{"FCB_ALL",#N/A,FALSE,"FCB";"GREY_ALL",#N/A,FALSE,"GREY"}</definedName>
    <definedName name="wrn.STAND_ALONE_BOTH._3_2" localSheetId="9" hidden="1">{"FCB_ALL",#N/A,FALSE,"FCB";"GREY_ALL",#N/A,FALSE,"GREY"}</definedName>
    <definedName name="wrn.STAND_ALONE_BOTH._3_2" hidden="1">{"FCB_ALL",#N/A,FALSE,"FCB";"GREY_ALL",#N/A,FALSE,"GREY"}</definedName>
    <definedName name="wrn.STAND_ALONE_BOTH._3_3" localSheetId="10" hidden="1">{"FCB_ALL",#N/A,FALSE,"FCB";"GREY_ALL",#N/A,FALSE,"GREY"}</definedName>
    <definedName name="wrn.STAND_ALONE_BOTH._3_3" localSheetId="9" hidden="1">{"FCB_ALL",#N/A,FALSE,"FCB";"GREY_ALL",#N/A,FALSE,"GREY"}</definedName>
    <definedName name="wrn.STAND_ALONE_BOTH._3_3" hidden="1">{"FCB_ALL",#N/A,FALSE,"FCB";"GREY_ALL",#N/A,FALSE,"GREY"}</definedName>
    <definedName name="wrn.STAND_ALONE_BOTH._3_4" localSheetId="10" hidden="1">{"FCB_ALL",#N/A,FALSE,"FCB";"GREY_ALL",#N/A,FALSE,"GREY"}</definedName>
    <definedName name="wrn.STAND_ALONE_BOTH._3_4" localSheetId="9" hidden="1">{"FCB_ALL",#N/A,FALSE,"FCB";"GREY_ALL",#N/A,FALSE,"GREY"}</definedName>
    <definedName name="wrn.STAND_ALONE_BOTH._3_4" hidden="1">{"FCB_ALL",#N/A,FALSE,"FCB";"GREY_ALL",#N/A,FALSE,"GREY"}</definedName>
    <definedName name="wrn.STAND_ALONE_BOTH._4" localSheetId="10" hidden="1">{"FCB_ALL",#N/A,FALSE,"FCB";"GREY_ALL",#N/A,FALSE,"GREY"}</definedName>
    <definedName name="wrn.STAND_ALONE_BOTH._4" localSheetId="9" hidden="1">{"FCB_ALL",#N/A,FALSE,"FCB";"GREY_ALL",#N/A,FALSE,"GREY"}</definedName>
    <definedName name="wrn.STAND_ALONE_BOTH._4" hidden="1">{"FCB_ALL",#N/A,FALSE,"FCB";"GREY_ALL",#N/A,FALSE,"GREY"}</definedName>
    <definedName name="wrn.STAND_ALONE_BOTH._4_1" localSheetId="10" hidden="1">{"FCB_ALL",#N/A,FALSE,"FCB";"GREY_ALL",#N/A,FALSE,"GREY"}</definedName>
    <definedName name="wrn.STAND_ALONE_BOTH._4_1" localSheetId="9" hidden="1">{"FCB_ALL",#N/A,FALSE,"FCB";"GREY_ALL",#N/A,FALSE,"GREY"}</definedName>
    <definedName name="wrn.STAND_ALONE_BOTH._4_1" hidden="1">{"FCB_ALL",#N/A,FALSE,"FCB";"GREY_ALL",#N/A,FALSE,"GREY"}</definedName>
    <definedName name="wrn.STAND_ALONE_BOTH._4_2" localSheetId="10" hidden="1">{"FCB_ALL",#N/A,FALSE,"FCB";"GREY_ALL",#N/A,FALSE,"GREY"}</definedName>
    <definedName name="wrn.STAND_ALONE_BOTH._4_2" localSheetId="9" hidden="1">{"FCB_ALL",#N/A,FALSE,"FCB";"GREY_ALL",#N/A,FALSE,"GREY"}</definedName>
    <definedName name="wrn.STAND_ALONE_BOTH._4_2" hidden="1">{"FCB_ALL",#N/A,FALSE,"FCB";"GREY_ALL",#N/A,FALSE,"GREY"}</definedName>
    <definedName name="wrn.STAND_ALONE_BOTH._4_3" localSheetId="10" hidden="1">{"FCB_ALL",#N/A,FALSE,"FCB";"GREY_ALL",#N/A,FALSE,"GREY"}</definedName>
    <definedName name="wrn.STAND_ALONE_BOTH._4_3" localSheetId="9" hidden="1">{"FCB_ALL",#N/A,FALSE,"FCB";"GREY_ALL",#N/A,FALSE,"GREY"}</definedName>
    <definedName name="wrn.STAND_ALONE_BOTH._4_3" hidden="1">{"FCB_ALL",#N/A,FALSE,"FCB";"GREY_ALL",#N/A,FALSE,"GREY"}</definedName>
    <definedName name="wrn.STAND_ALONE_BOTH._4_4" localSheetId="10" hidden="1">{"FCB_ALL",#N/A,FALSE,"FCB";"GREY_ALL",#N/A,FALSE,"GREY"}</definedName>
    <definedName name="wrn.STAND_ALONE_BOTH._4_4" localSheetId="9" hidden="1">{"FCB_ALL",#N/A,FALSE,"FCB";"GREY_ALL",#N/A,FALSE,"GREY"}</definedName>
    <definedName name="wrn.STAND_ALONE_BOTH._4_4" hidden="1">{"FCB_ALL",#N/A,FALSE,"FCB";"GREY_ALL",#N/A,FALSE,"GREY"}</definedName>
    <definedName name="wrn.STAND_ALONE_BOTH._5" localSheetId="10" hidden="1">{"FCB_ALL",#N/A,FALSE,"FCB";"GREY_ALL",#N/A,FALSE,"GREY"}</definedName>
    <definedName name="wrn.STAND_ALONE_BOTH._5" localSheetId="9" hidden="1">{"FCB_ALL",#N/A,FALSE,"FCB";"GREY_ALL",#N/A,FALSE,"GREY"}</definedName>
    <definedName name="wrn.STAND_ALONE_BOTH._5" hidden="1">{"FCB_ALL",#N/A,FALSE,"FCB";"GREY_ALL",#N/A,FALSE,"GREY"}</definedName>
    <definedName name="wrn.STAND_ALONE_BOTH._5_1" localSheetId="10" hidden="1">{"FCB_ALL",#N/A,FALSE,"FCB";"GREY_ALL",#N/A,FALSE,"GREY"}</definedName>
    <definedName name="wrn.STAND_ALONE_BOTH._5_1" localSheetId="9" hidden="1">{"FCB_ALL",#N/A,FALSE,"FCB";"GREY_ALL",#N/A,FALSE,"GREY"}</definedName>
    <definedName name="wrn.STAND_ALONE_BOTH._5_1" hidden="1">{"FCB_ALL",#N/A,FALSE,"FCB";"GREY_ALL",#N/A,FALSE,"GREY"}</definedName>
    <definedName name="wrn.STAND_ALONE_BOTH._5_2" localSheetId="10" hidden="1">{"FCB_ALL",#N/A,FALSE,"FCB";"GREY_ALL",#N/A,FALSE,"GREY"}</definedName>
    <definedName name="wrn.STAND_ALONE_BOTH._5_2" localSheetId="9" hidden="1">{"FCB_ALL",#N/A,FALSE,"FCB";"GREY_ALL",#N/A,FALSE,"GREY"}</definedName>
    <definedName name="wrn.STAND_ALONE_BOTH._5_2" hidden="1">{"FCB_ALL",#N/A,FALSE,"FCB";"GREY_ALL",#N/A,FALSE,"GREY"}</definedName>
    <definedName name="wrn.STAND_ALONE_BOTH._5_3" localSheetId="10" hidden="1">{"FCB_ALL",#N/A,FALSE,"FCB";"GREY_ALL",#N/A,FALSE,"GREY"}</definedName>
    <definedName name="wrn.STAND_ALONE_BOTH._5_3" localSheetId="9" hidden="1">{"FCB_ALL",#N/A,FALSE,"FCB";"GREY_ALL",#N/A,FALSE,"GREY"}</definedName>
    <definedName name="wrn.STAND_ALONE_BOTH._5_3" hidden="1">{"FCB_ALL",#N/A,FALSE,"FCB";"GREY_ALL",#N/A,FALSE,"GREY"}</definedName>
    <definedName name="wrn.STAND_ALONE_BOTH._5_4" localSheetId="10" hidden="1">{"FCB_ALL",#N/A,FALSE,"FCB";"GREY_ALL",#N/A,FALSE,"GREY"}</definedName>
    <definedName name="wrn.STAND_ALONE_BOTH._5_4" localSheetId="9" hidden="1">{"FCB_ALL",#N/A,FALSE,"FCB";"GREY_ALL",#N/A,FALSE,"GREY"}</definedName>
    <definedName name="wrn.STAND_ALONE_BOTH._5_4" hidden="1">{"FCB_ALL",#N/A,FALSE,"FCB";"GREY_ALL",#N/A,FALSE,"GREY"}</definedName>
    <definedName name="wrn.Standard._.Forecast._.Report." localSheetId="10" hidden="1">{"StandardReport",#N/A,FALSE,"Forecast"}</definedName>
    <definedName name="wrn.Standard._.Forecast._.Report." localSheetId="9" hidden="1">{"StandardReport",#N/A,FALSE,"Forecast"}</definedName>
    <definedName name="wrn.Standard._.Forecast._.Report." hidden="1">{"StandardReport",#N/A,FALSE,"Forecast"}</definedName>
    <definedName name="wrn.Standard._.Forecast._.Report._1" localSheetId="10" hidden="1">{"StandardReport",#N/A,FALSE,"Forecast"}</definedName>
    <definedName name="wrn.Standard._.Forecast._.Report._1" localSheetId="9" hidden="1">{"StandardReport",#N/A,FALSE,"Forecast"}</definedName>
    <definedName name="wrn.Standard._.Forecast._.Report._1" hidden="1">{"StandardReport",#N/A,FALSE,"Forecast"}</definedName>
    <definedName name="wrn.Statement._.of._.Earnings." localSheetId="10" hidden="1">{"Statement of Earnings",#N/A,FALSE,"Statement of Earnings"}</definedName>
    <definedName name="wrn.Statement._.of._.Earnings." localSheetId="9" hidden="1">{"Statement of Earnings",#N/A,FALSE,"Statement of Earnings"}</definedName>
    <definedName name="wrn.Statement._.of._.Earnings." hidden="1">{"Statement of Earnings",#N/A,FALSE,"Statement of Earnings"}</definedName>
    <definedName name="wrn.su." localSheetId="10" hidden="1">{#N/A,#N/A,FALSE,"표지";#N/A,#N/A,FALSE,"전제";#N/A,#N/A,FALSE,"손익-자 (2)";#N/A,#N/A,FALSE,"손익-자";#N/A,#N/A,FALSE,"손익-마 (2)";#N/A,#N/A,FALSE,"손익-마";#N/A,#N/A,FALSE,"총손최종"}</definedName>
    <definedName name="wrn.su." localSheetId="9" hidden="1">{#N/A,#N/A,FALSE,"표지";#N/A,#N/A,FALSE,"전제";#N/A,#N/A,FALSE,"손익-자 (2)";#N/A,#N/A,FALSE,"손익-자";#N/A,#N/A,FALSE,"손익-마 (2)";#N/A,#N/A,FALSE,"손익-마";#N/A,#N/A,FALSE,"총손최종"}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Summary." localSheetId="10" hidden="1">{#N/A,#N/A,FALSE,"Corporate_Digital";#N/A,#N/A,FALSE,"Corporate_Analog";#N/A,#N/A,FALSE,"RetailDigBuckets";#N/A,#N/A,FALSE,"Retail_19.99";#N/A,#N/A,FALSE,"Companion Plan"}</definedName>
    <definedName name="wrn.Summary." localSheetId="9" hidden="1">{#N/A,#N/A,FALSE,"Corporate_Digital";#N/A,#N/A,FALSE,"Corporate_Analog";#N/A,#N/A,FALSE,"RetailDigBuckets";#N/A,#N/A,FALSE,"Retail_19.99";#N/A,#N/A,FALSE,"Companion Plan"}</definedName>
    <definedName name="wrn.Summary." hidden="1">{#N/A,#N/A,FALSE,"Corporate_Digital";#N/A,#N/A,FALSE,"Corporate_Analog";#N/A,#N/A,FALSE,"RetailDigBuckets";#N/A,#N/A,FALSE,"Retail_19.99";#N/A,#N/A,FALSE,"Companion Plan"}</definedName>
    <definedName name="wrn.Summary._.with._.short._.outputs." localSheetId="10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_.with._.short._.outputs." localSheetId="9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_.with._.short._.outputs.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_1" localSheetId="10" hidden="1">{#N/A,#N/A,FALSE,"Corporate_Digital";#N/A,#N/A,FALSE,"Corporate_Analog";#N/A,#N/A,FALSE,"RetailDigBuckets";#N/A,#N/A,FALSE,"Retail_19.99";#N/A,#N/A,FALSE,"Companion Plan"}</definedName>
    <definedName name="wrn.Summary._1" localSheetId="9" hidden="1">{#N/A,#N/A,FALSE,"Corporate_Digital";#N/A,#N/A,FALSE,"Corporate_Analog";#N/A,#N/A,FALSE,"RetailDigBuckets";#N/A,#N/A,FALSE,"Retail_19.99";#N/A,#N/A,FALSE,"Companion Plan"}</definedName>
    <definedName name="wrn.Summary._1" hidden="1">{#N/A,#N/A,FALSE,"Corporate_Digital";#N/A,#N/A,FALSE,"Corporate_Analog";#N/A,#N/A,FALSE,"RetailDigBuckets";#N/A,#N/A,FALSE,"Retail_19.99";#N/A,#N/A,FALSE,"Companion Plan"}</definedName>
    <definedName name="wrn.SummaryPgs." localSheetId="10" hidden="1">{#N/A,#N/A,FALSE,"CreditStat";#N/A,#N/A,FALSE,"SPbrkup";#N/A,#N/A,FALSE,"MerSPsyn";#N/A,#N/A,FALSE,"MerSPwKCsyn";#N/A,#N/A,FALSE,"MerSPwKCsyn (2)";#N/A,#N/A,FALSE,"CreditStat (2)"}</definedName>
    <definedName name="wrn.SummaryPgs." localSheetId="9" hidden="1">{#N/A,#N/A,FALSE,"CreditStat";#N/A,#N/A,FALSE,"SPbrkup";#N/A,#N/A,FALSE,"MerSPsyn";#N/A,#N/A,FALSE,"MerSPwKCsyn";#N/A,#N/A,FALSE,"MerSPwKCsyn (2)";#N/A,#N/A,FALSE,"CreditStat (2)"}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nModel." localSheetId="10" hidden="1">{#N/A,#N/A,FALSE,"summary";#N/A,#N/A,FALSE,"SIH";#N/A,#N/A,FALSE,"SIH Value";#N/A,#N/A,FALSE,"tax est.";#N/A,#N/A,FALSE,"Mohegan";#N/A,#N/A,FALSE,"Resorts";#N/A,#N/A,FALSE,"Win Per Day";#N/A,#N/A,FALSE,"CapStr"}</definedName>
    <definedName name="wrn.SunModel." localSheetId="9" hidden="1">{#N/A,#N/A,FALSE,"summary";#N/A,#N/A,FALSE,"SIH";#N/A,#N/A,FALSE,"SIH Value";#N/A,#N/A,FALSE,"tax est.";#N/A,#N/A,FALSE,"Mohegan";#N/A,#N/A,FALSE,"Resorts";#N/A,#N/A,FALSE,"Win Per Day";#N/A,#N/A,FALSE,"CapStr"}</definedName>
    <definedName name="wrn.SunModel." hidden="1">{#N/A,#N/A,FALSE,"summary";#N/A,#N/A,FALSE,"SIH";#N/A,#N/A,FALSE,"SIH Value";#N/A,#N/A,FALSE,"tax est.";#N/A,#N/A,FALSE,"Mohegan";#N/A,#N/A,FALSE,"Resorts";#N/A,#N/A,FALSE,"Win Per Day";#N/A,#N/A,FALSE,"CapStr"}</definedName>
    <definedName name="wrn.Tables." localSheetId="10" hidden="1">{"view1",#N/A,FALSE,"Tables";"view2",#N/A,FALSE,"Tables";"view3",#N/A,FALSE,"Tables"}</definedName>
    <definedName name="wrn.Tables." localSheetId="9" hidden="1">{"view1",#N/A,FALSE,"Tables";"view2",#N/A,FALSE,"Tables";"view3",#N/A,FALSE,"Tables"}</definedName>
    <definedName name="wrn.Tables." hidden="1">{"view1",#N/A,FALSE,"Tables";"view2",#N/A,FALSE,"Tables";"view3",#N/A,FALSE,"Tables"}</definedName>
    <definedName name="wrn.Telstra._.Inputs." localSheetId="10" hidden="1">{"Inputs",#N/A,FALSE,"US_FL";"Inputs",#N/A,FALSE,"EUROPE_FL";"Inputs",#N/A,FALSE,"ASIA_FL"}</definedName>
    <definedName name="wrn.Telstra._.Inputs." localSheetId="9" hidden="1">{"Inputs",#N/A,FALSE,"US_FL";"Inputs",#N/A,FALSE,"EUROPE_FL";"Inputs",#N/A,FALSE,"ASIA_FL"}</definedName>
    <definedName name="wrn.Telstra._.Inputs." hidden="1">{"Inputs",#N/A,FALSE,"US_FL";"Inputs",#N/A,FALSE,"EUROPE_FL";"Inputs",#N/A,FALSE,"ASIA_FL"}</definedName>
    <definedName name="wrn.Telstra._.Output." localSheetId="10" hidden="1">{"Output",#N/A,FALSE,"US_FL";"Output",#N/A,FALSE,"EUROPE_FL";"Output",#N/A,FALSE,"ASIA_FL"}</definedName>
    <definedName name="wrn.Telstra._.Output." localSheetId="9" hidden="1">{"Output",#N/A,FALSE,"US_FL";"Output",#N/A,FALSE,"EUROPE_FL";"Output",#N/A,FALSE,"ASIA_FL"}</definedName>
    <definedName name="wrn.Telstra._.Output." hidden="1">{"Output",#N/A,FALSE,"US_FL";"Output",#N/A,FALSE,"EUROPE_FL";"Output",#N/A,FALSE,"ASIA_FL"}</definedName>
    <definedName name="wrn.test." localSheetId="10" hidden="1">{#N/A,#N/A,FALSE,"yosu erweitert"}</definedName>
    <definedName name="wrn.test." localSheetId="9" hidden="1">{#N/A,#N/A,FALSE,"yosu erweitert"}</definedName>
    <definedName name="wrn.test." hidden="1">{#N/A,#N/A,FALSE,"yosu erweitert"}</definedName>
    <definedName name="wrn.test._1" localSheetId="10" hidden="1">{#N/A,#N/A,FALSE,"yosu erweitert"}</definedName>
    <definedName name="wrn.test._1" localSheetId="9" hidden="1">{#N/A,#N/A,FALSE,"yosu erweitert"}</definedName>
    <definedName name="wrn.test._1" hidden="1">{#N/A,#N/A,FALSE,"yosu erweitert"}</definedName>
    <definedName name="wrn.todo." localSheetId="1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todo." localSheetId="9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todo.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toptrial." localSheetId="10" hidden="1">{"toptrial",#N/A,TRUE,"toptrial";"adjustment",#N/A,TRUE,"toptrial";"voucher",#N/A,TRUE,"toptrial"}</definedName>
    <definedName name="wrn.toptrial." localSheetId="9" hidden="1">{"toptrial",#N/A,TRUE,"toptrial";"adjustment",#N/A,TRUE,"toptrial";"voucher",#N/A,TRUE,"toptrial"}</definedName>
    <definedName name="wrn.toptrial." hidden="1">{"toptrial",#N/A,TRUE,"toptrial";"adjustment",#N/A,TRUE,"toptrial";"voucher",#N/A,TRUE,"toptrial"}</definedName>
    <definedName name="wrn.toptrial._1" localSheetId="10" hidden="1">{"toptrial",#N/A,TRUE,"toptrial";"adjustment",#N/A,TRUE,"toptrial";"voucher",#N/A,TRUE,"toptrial"}</definedName>
    <definedName name="wrn.toptrial._1" localSheetId="9" hidden="1">{"toptrial",#N/A,TRUE,"toptrial";"adjustment",#N/A,TRUE,"toptrial";"voucher",#N/A,TRUE,"toptrial"}</definedName>
    <definedName name="wrn.toptrial._1" hidden="1">{"toptrial",#N/A,TRUE,"toptrial";"adjustment",#N/A,TRUE,"toptrial";"voucher",#N/A,TRUE,"toptrial"}</definedName>
    <definedName name="wrn.Total.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.Business." localSheetId="10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" localSheetId="9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Market._.Report." localSheetId="10" hidden="1">{#N/A,#N/A,FALSE,"Sales Graph";#N/A,#N/A,FALSE,"BUC Graph";#N/A,#N/A,FALSE,"P&amp;L - YTD"}</definedName>
    <definedName name="wrn.Total._.Market._.Report." localSheetId="9" hidden="1">{#N/A,#N/A,FALSE,"Sales Graph";#N/A,#N/A,FALSE,"BUC Graph";#N/A,#N/A,FALSE,"P&amp;L - YTD"}</definedName>
    <definedName name="wrn.Total._.Market._.Report." hidden="1">{#N/A,#N/A,FALSE,"Sales Graph";#N/A,#N/A,FALSE,"BUC Graph";#N/A,#N/A,FALSE,"P&amp;L - YTD"}</definedName>
    <definedName name="wrn.Total._1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1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1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1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1_1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1_1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1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comp." localSheetId="10" hidden="1">{"comp1",#N/A,FALSE,"COMPS";"footnotes",#N/A,FALSE,"COMPS"}</definedName>
    <definedName name="wrn.totalcomp." localSheetId="9" hidden="1">{"comp1",#N/A,FALSE,"COMPS";"footnotes",#N/A,FALSE,"COMPS"}</definedName>
    <definedName name="wrn.totalcomp." hidden="1">{"comp1",#N/A,FALSE,"COMPS";"footnotes",#N/A,FALSE,"COMPS"}</definedName>
    <definedName name="wrn.TRAFFIC." localSheetId="10" hidden="1">{#N/A,#N/A,TRUE,"TRAFFIC1";#N/A,#N/A,TRUE,"TRAFFIC2"}</definedName>
    <definedName name="wrn.TRAFFIC." localSheetId="9" hidden="1">{#N/A,#N/A,TRUE,"TRAFFIC1";#N/A,#N/A,TRUE,"TRAFFIC2"}</definedName>
    <definedName name="wrn.TRAFFIC." hidden="1">{#N/A,#N/A,TRUE,"TRAFFIC1";#N/A,#N/A,TRUE,"TRAFFIC2"}</definedName>
    <definedName name="wrn.Tweety." localSheetId="10" hidden="1">{#N/A,#N/A,FALSE,"A&amp;E";#N/A,#N/A,FALSE,"HighTop";#N/A,#N/A,FALSE,"JG";#N/A,#N/A,FALSE,"RI";#N/A,#N/A,FALSE,"woHT";#N/A,#N/A,FALSE,"woHT&amp;JG"}</definedName>
    <definedName name="wrn.Tweety." localSheetId="9" hidden="1">{#N/A,#N/A,FALSE,"A&amp;E";#N/A,#N/A,FALSE,"HighTop";#N/A,#N/A,FALSE,"JG";#N/A,#N/A,FALSE,"RI";#N/A,#N/A,FALSE,"woHT";#N/A,#N/A,FALSE,"woHT&amp;JG"}</definedName>
    <definedName name="wrn.Tweety." hidden="1">{#N/A,#N/A,FALSE,"A&amp;E";#N/A,#N/A,FALSE,"HighTop";#N/A,#N/A,FALSE,"JG";#N/A,#N/A,FALSE,"RI";#N/A,#N/A,FALSE,"woHT";#N/A,#N/A,FALSE,"woHT&amp;JG"}</definedName>
    <definedName name="wrn.UNCONMONTH." localSheetId="10" hidden="1">{"UNCONMONTH",#N/A,FALSE,"UNCON"}</definedName>
    <definedName name="wrn.UNCONMONTH." localSheetId="9" hidden="1">{"UNCONMONTH",#N/A,FALSE,"UNCON"}</definedName>
    <definedName name="wrn.UNCONMONTH." hidden="1">{"UNCONMONTH",#N/A,FALSE,"UNCON"}</definedName>
    <definedName name="wrn.UNCONMONTH._1" localSheetId="10" hidden="1">{"UNCONMONTH",#N/A,FALSE,"UNCON"}</definedName>
    <definedName name="wrn.UNCONMONTH._1" localSheetId="9" hidden="1">{"UNCONMONTH",#N/A,FALSE,"UNCON"}</definedName>
    <definedName name="wrn.UNCONMONTH._1" hidden="1">{"UNCONMONTH",#N/A,FALSE,"UNCON"}</definedName>
    <definedName name="wrn.UNCONTOTAL." localSheetId="10" hidden="1">{"UNCONMONTH",#N/A,FALSE,"UNCON";"UNCONYEAR",#N/A,FALSE,"UNCON"}</definedName>
    <definedName name="wrn.UNCONTOTAL." localSheetId="9" hidden="1">{"UNCONMONTH",#N/A,FALSE,"UNCON";"UNCONYEAR",#N/A,FALSE,"UNCON"}</definedName>
    <definedName name="wrn.UNCONTOTAL." hidden="1">{"UNCONMONTH",#N/A,FALSE,"UNCON";"UNCONYEAR",#N/A,FALSE,"UNCON"}</definedName>
    <definedName name="wrn.UNCONTOTAL._1" localSheetId="10" hidden="1">{"UNCONMONTH",#N/A,FALSE,"UNCON";"UNCONYEAR",#N/A,FALSE,"UNCON"}</definedName>
    <definedName name="wrn.UNCONTOTAL._1" localSheetId="9" hidden="1">{"UNCONMONTH",#N/A,FALSE,"UNCON";"UNCONYEAR",#N/A,FALSE,"UNCON"}</definedName>
    <definedName name="wrn.UNCONTOTAL._1" hidden="1">{"UNCONMONTH",#N/A,FALSE,"UNCON";"UNCONYEAR",#N/A,FALSE,"UNCON"}</definedName>
    <definedName name="wrn.UNCONYEAR." localSheetId="10" hidden="1">{"UNCONYEAR",#N/A,FALSE,"UNCON"}</definedName>
    <definedName name="wrn.UNCONYEAR." localSheetId="9" hidden="1">{"UNCONYEAR",#N/A,FALSE,"UNCON"}</definedName>
    <definedName name="wrn.UNCONYEAR." hidden="1">{"UNCONYEAR",#N/A,FALSE,"UNCON"}</definedName>
    <definedName name="wrn.UNCONYEAR._1" localSheetId="10" hidden="1">{"UNCONYEAR",#N/A,FALSE,"UNCON"}</definedName>
    <definedName name="wrn.UNCONYEAR._1" localSheetId="9" hidden="1">{"UNCONYEAR",#N/A,FALSE,"UNCON"}</definedName>
    <definedName name="wrn.UNCONYEAR._1" hidden="1">{"UNCONYEAR",#N/A,FALSE,"UNCON"}</definedName>
    <definedName name="wrn.Unicom._.Financial._.Model." localSheetId="1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" localSheetId="9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1" localSheetId="1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1" localSheetId="9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1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1_1" localSheetId="1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1_1" localSheetId="9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1_1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1_2" localSheetId="1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1_2" localSheetId="9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1_2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1_3" localSheetId="1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1_3" localSheetId="9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1_3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1_4" localSheetId="1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1_4" localSheetId="9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1_4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2" localSheetId="1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2" localSheetId="9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2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2_1" localSheetId="1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2_1" localSheetId="9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2_1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2_2" localSheetId="1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2_2" localSheetId="9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2_2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2_3" localSheetId="1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2_3" localSheetId="9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2_3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2_4" localSheetId="1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2_4" localSheetId="9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2_4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3" localSheetId="1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3" localSheetId="9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3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3_1" localSheetId="1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3_1" localSheetId="9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3_1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3_2" localSheetId="1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3_2" localSheetId="9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3_2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3_3" localSheetId="1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3_3" localSheetId="9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3_3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3_4" localSheetId="1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3_4" localSheetId="9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3_4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4" localSheetId="1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4" localSheetId="9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4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4_1" localSheetId="1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4_1" localSheetId="9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4_1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4_2" localSheetId="1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4_2" localSheetId="9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4_2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4_3" localSheetId="1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4_3" localSheetId="9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4_3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4_4" localSheetId="1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4_4" localSheetId="9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4_4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5" localSheetId="1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5" localSheetId="9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5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5_1" localSheetId="1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5_1" localSheetId="9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5_1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5_2" localSheetId="1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5_2" localSheetId="9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5_2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5_3" localSheetId="1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5_3" localSheetId="9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5_3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5_4" localSheetId="10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5_4" localSheetId="9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com._.Financial._.Model._5_4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ts._.Profit._.and._.Loss." localSheetId="10" hidden="1">{#N/A,#N/A,TRUE,"P&amp;L - Ashford";#N/A,#N/A,TRUE,"P&amp;L - Brighton";#N/A,#N/A,TRUE,"P&amp;L - Brewer Street";#N/A,#N/A,TRUE,"P&amp;L - Bristol";#N/A,#N/A,TRUE,"P&amp;L - Camden";#N/A,#N/A,TRUE,"P&amp;L - Covent Garden";#N/A,#N/A,TRUE,"P&amp;L - Clapham Junction";#N/A,#N/A,TRUE,"P&amp;L - Clapham High Street";#N/A,#N/A,TRUE,"P&amp;L - Cranbourn Street";#N/A,#N/A,TRUE,"P&amp;L - Chiswick";#N/A,#N/A,TRUE,"P&amp;L - Deansgate";#N/A,#N/A,TRUE,"P&amp;L - Durham";#N/A,#N/A,TRUE,"P&amp;L - Edgeware Road";#N/A,#N/A,TRUE,"P&amp;L - Guildford";#N/A,#N/A,TRUE,"P&amp;L - Harrogate";#N/A,#N/A,TRUE,"P&amp;L - Hammersmith";#N/A,#N/A,TRUE,"P&amp;L - Hampstead";#N/A,#N/A,TRUE,"P&amp;L - Heathrow";#N/A,#N/A,TRUE,"P&amp;L - Leadenhall";#N/A,#N/A,TRUE,"P&amp;L - Leeds";#N/A,#N/A,TRUE,"P&amp;L - Lancaster Place";#N/A,#N/A,TRUE,"P&amp;L - Manchester";#N/A,#N/A,TRUE,"P&amp;L - Notting Hill";#N/A,#N/A,TRUE,"P&amp;L - Nottingham";#N/A,#N/A,TRUE,"P&amp;L - Portobello Road";#N/A,#N/A,TRUE,"P&amp;L - Piccadilly";#N/A,#N/A,TRUE,"P&amp;L - Regent Street";#N/A,#N/A,TRUE,"P&amp;L - Seven Dials";#N/A,#N/A,TRUE,"P&amp;L - South Kensington";#N/A,#N/A,TRUE,"P&amp;L - Soho";#N/A,#N/A,TRUE,"P&amp;L - Strand";#N/A,#N/A,TRUE,"P&amp;L - Tottenham Court Road";#N/A,#N/A,TRUE,"P&amp;L - The Triangle";#N/A,#N/A,TRUE,"P&amp;L - Westbourne Grove";#N/A,#N/A,TRUE,"P&amp;L - Winchester House";#N/A,#N/A,TRUE,"P&amp;L - Wormwood";#N/A,#N/A,TRUE,"P&amp;L - York"}</definedName>
    <definedName name="wrn.Units._.Profit._.and._.Loss." localSheetId="9" hidden="1">{#N/A,#N/A,TRUE,"P&amp;L - Ashford";#N/A,#N/A,TRUE,"P&amp;L - Brighton";#N/A,#N/A,TRUE,"P&amp;L - Brewer Street";#N/A,#N/A,TRUE,"P&amp;L - Bristol";#N/A,#N/A,TRUE,"P&amp;L - Camden";#N/A,#N/A,TRUE,"P&amp;L - Covent Garden";#N/A,#N/A,TRUE,"P&amp;L - Clapham Junction";#N/A,#N/A,TRUE,"P&amp;L - Clapham High Street";#N/A,#N/A,TRUE,"P&amp;L - Cranbourn Street";#N/A,#N/A,TRUE,"P&amp;L - Chiswick";#N/A,#N/A,TRUE,"P&amp;L - Deansgate";#N/A,#N/A,TRUE,"P&amp;L - Durham";#N/A,#N/A,TRUE,"P&amp;L - Edgeware Road";#N/A,#N/A,TRUE,"P&amp;L - Guildford";#N/A,#N/A,TRUE,"P&amp;L - Harrogate";#N/A,#N/A,TRUE,"P&amp;L - Hammersmith";#N/A,#N/A,TRUE,"P&amp;L - Hampstead";#N/A,#N/A,TRUE,"P&amp;L - Heathrow";#N/A,#N/A,TRUE,"P&amp;L - Leadenhall";#N/A,#N/A,TRUE,"P&amp;L - Leeds";#N/A,#N/A,TRUE,"P&amp;L - Lancaster Place";#N/A,#N/A,TRUE,"P&amp;L - Manchester";#N/A,#N/A,TRUE,"P&amp;L - Notting Hill";#N/A,#N/A,TRUE,"P&amp;L - Nottingham";#N/A,#N/A,TRUE,"P&amp;L - Portobello Road";#N/A,#N/A,TRUE,"P&amp;L - Piccadilly";#N/A,#N/A,TRUE,"P&amp;L - Regent Street";#N/A,#N/A,TRUE,"P&amp;L - Seven Dials";#N/A,#N/A,TRUE,"P&amp;L - South Kensington";#N/A,#N/A,TRUE,"P&amp;L - Soho";#N/A,#N/A,TRUE,"P&amp;L - Strand";#N/A,#N/A,TRUE,"P&amp;L - Tottenham Court Road";#N/A,#N/A,TRUE,"P&amp;L - The Triangle";#N/A,#N/A,TRUE,"P&amp;L - Westbourne Grove";#N/A,#N/A,TRUE,"P&amp;L - Winchester House";#N/A,#N/A,TRUE,"P&amp;L - Wormwood";#N/A,#N/A,TRUE,"P&amp;L - York"}</definedName>
    <definedName name="wrn.Units._.Profit._.and._.Loss." hidden="1">{#N/A,#N/A,TRUE,"P&amp;L - Ashford";#N/A,#N/A,TRUE,"P&amp;L - Brighton";#N/A,#N/A,TRUE,"P&amp;L - Brewer Street";#N/A,#N/A,TRUE,"P&amp;L - Bristol";#N/A,#N/A,TRUE,"P&amp;L - Camden";#N/A,#N/A,TRUE,"P&amp;L - Covent Garden";#N/A,#N/A,TRUE,"P&amp;L - Clapham Junction";#N/A,#N/A,TRUE,"P&amp;L - Clapham High Street";#N/A,#N/A,TRUE,"P&amp;L - Cranbourn Street";#N/A,#N/A,TRUE,"P&amp;L - Chiswick";#N/A,#N/A,TRUE,"P&amp;L - Deansgate";#N/A,#N/A,TRUE,"P&amp;L - Durham";#N/A,#N/A,TRUE,"P&amp;L - Edgeware Road";#N/A,#N/A,TRUE,"P&amp;L - Guildford";#N/A,#N/A,TRUE,"P&amp;L - Harrogate";#N/A,#N/A,TRUE,"P&amp;L - Hammersmith";#N/A,#N/A,TRUE,"P&amp;L - Hampstead";#N/A,#N/A,TRUE,"P&amp;L - Heathrow";#N/A,#N/A,TRUE,"P&amp;L - Leadenhall";#N/A,#N/A,TRUE,"P&amp;L - Leeds";#N/A,#N/A,TRUE,"P&amp;L - Lancaster Place";#N/A,#N/A,TRUE,"P&amp;L - Manchester";#N/A,#N/A,TRUE,"P&amp;L - Notting Hill";#N/A,#N/A,TRUE,"P&amp;L - Nottingham";#N/A,#N/A,TRUE,"P&amp;L - Portobello Road";#N/A,#N/A,TRUE,"P&amp;L - Piccadilly";#N/A,#N/A,TRUE,"P&amp;L - Regent Street";#N/A,#N/A,TRUE,"P&amp;L - Seven Dials";#N/A,#N/A,TRUE,"P&amp;L - South Kensington";#N/A,#N/A,TRUE,"P&amp;L - Soho";#N/A,#N/A,TRUE,"P&amp;L - Strand";#N/A,#N/A,TRUE,"P&amp;L - Tottenham Court Road";#N/A,#N/A,TRUE,"P&amp;L - The Triangle";#N/A,#N/A,TRUE,"P&amp;L - Westbourne Grove";#N/A,#N/A,TRUE,"P&amp;L - Winchester House";#N/A,#N/A,TRUE,"P&amp;L - Wormwood";#N/A,#N/A,TRUE,"P&amp;L - York"}</definedName>
    <definedName name="wrn.USF._.GROUP." localSheetId="10" hidden="1">{"USFGROUP",#N/A,FALSE,"USF GROUP CONSOL"}</definedName>
    <definedName name="wrn.USF._.GROUP." localSheetId="9" hidden="1">{"USFGROUP",#N/A,FALSE,"USF GROUP CONSOL"}</definedName>
    <definedName name="wrn.USF._.GROUP." hidden="1">{"USFGROUP",#N/A,FALSE,"USF GROUP CONSOL"}</definedName>
    <definedName name="wrn.USF._.GROUP._1" localSheetId="10" hidden="1">{"USFGROUP",#N/A,FALSE,"USF GROUP CONSOL"}</definedName>
    <definedName name="wrn.USF._.GROUP._1" localSheetId="9" hidden="1">{"USFGROUP",#N/A,FALSE,"USF GROUP CONSOL"}</definedName>
    <definedName name="wrn.USF._.GROUP._1" hidden="1">{"USFGROUP",#N/A,FALSE,"USF GROUP CONSOL"}</definedName>
    <definedName name="wrn.VALUATION." localSheetId="10" hidden="1">{#N/A,#N/A,FALSE,"Valuation Assumptions";#N/A,#N/A,FALSE,"Summary";#N/A,#N/A,FALSE,"DCF";#N/A,#N/A,FALSE,"Valuation";#N/A,#N/A,FALSE,"WACC";#N/A,#N/A,FALSE,"UBVH";#N/A,#N/A,FALSE,"Free Cash Flow"}</definedName>
    <definedName name="wrn.VALUATION." localSheetId="9" hidden="1">{#N/A,#N/A,FALSE,"Valuation Assumptions";#N/A,#N/A,FALSE,"Summary";#N/A,#N/A,FALSE,"DCF";#N/A,#N/A,FALSE,"Valuation";#N/A,#N/A,FALSE,"WACC";#N/A,#N/A,FALSE,"UBVH";#N/A,#N/A,FALSE,"Free Cash Flow"}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ation._.Committee." localSheetId="10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9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1" localSheetId="10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1" localSheetId="9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1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e._.Summaries." localSheetId="10" hidden="1">{"Value to Sprint PCS",#N/A,FALSE,"Value to Sprint PCS";"Value to Affiliate",#N/A,FALSE,"Value of 8% Royalty";#N/A,#N/A,FALSE,"Value Summary"}</definedName>
    <definedName name="wrn.Value._.Summaries." localSheetId="9" hidden="1">{"Value to Sprint PCS",#N/A,FALSE,"Value to Sprint PCS";"Value to Affiliate",#N/A,FALSE,"Value of 8% Royalty";#N/A,#N/A,FALSE,"Value Summary"}</definedName>
    <definedName name="wrn.Value._.Summaries." hidden="1">{"Value to Sprint PCS",#N/A,FALSE,"Value to Sprint PCS";"Value to Affiliate",#N/A,FALSE,"Value of 8% Royalty";#N/A,#N/A,FALSE,"Value Summary"}</definedName>
    <definedName name="wrn.Value._.Summaries._1" localSheetId="10" hidden="1">{"Value to Sprint PCS",#N/A,FALSE,"Value to Sprint PCS";"Value to Affiliate",#N/A,FALSE,"Value of 8% Royalty";#N/A,#N/A,FALSE,"Value Summary"}</definedName>
    <definedName name="wrn.Value._.Summaries._1" localSheetId="9" hidden="1">{"Value to Sprint PCS",#N/A,FALSE,"Value to Sprint PCS";"Value to Affiliate",#N/A,FALSE,"Value of 8% Royalty";#N/A,#N/A,FALSE,"Value Summary"}</definedName>
    <definedName name="wrn.Value._.Summaries._1" hidden="1">{"Value to Sprint PCS",#N/A,FALSE,"Value to Sprint PCS";"Value to Affiliate",#N/A,FALSE,"Value of 8% Royalty";#N/A,#N/A,FALSE,"Value Summary"}</definedName>
    <definedName name="wrn.Variance._.3." localSheetId="10" hidden="1">{"Variance Q3",#N/A,FALSE,"Var"}</definedName>
    <definedName name="wrn.Variance._.3." localSheetId="9" hidden="1">{"Variance Q3",#N/A,FALSE,"Var"}</definedName>
    <definedName name="wrn.Variance._.3." hidden="1">{"Variance Q3",#N/A,FALSE,"Var"}</definedName>
    <definedName name="wrn.Variance._.Only._.Report." localSheetId="10" hidden="1">{"Variance",#N/A,FALSE,"Forecast"}</definedName>
    <definedName name="wrn.Variance._.Only._.Report." localSheetId="9" hidden="1">{"Variance",#N/A,FALSE,"Forecast"}</definedName>
    <definedName name="wrn.Variance._.Only._.Report." hidden="1">{"Variance",#N/A,FALSE,"Forecast"}</definedName>
    <definedName name="wrn.Variance._.Only._.Report._1" localSheetId="10" hidden="1">{"Variance",#N/A,FALSE,"Forecast"}</definedName>
    <definedName name="wrn.Variance._.Only._.Report._1" localSheetId="9" hidden="1">{"Variance",#N/A,FALSE,"Forecast"}</definedName>
    <definedName name="wrn.Variance._.Only._.Report._1" hidden="1">{"Variance",#N/A,FALSE,"Forecast"}</definedName>
    <definedName name="wrn.Variance._.Q1." localSheetId="10" hidden="1">{"Variance Q1",#N/A,FALSE,"Var"}</definedName>
    <definedName name="wrn.Variance._.Q1." localSheetId="9" hidden="1">{"Variance Q1",#N/A,FALSE,"Var"}</definedName>
    <definedName name="wrn.Variance._.Q1." hidden="1">{"Variance Q1",#N/A,FALSE,"Var"}</definedName>
    <definedName name="wrn.Variance._.Q2." localSheetId="10" hidden="1">{"Variance Q2",#N/A,FALSE,"Var"}</definedName>
    <definedName name="wrn.Variance._.Q2." localSheetId="9" hidden="1">{"Variance Q2",#N/A,FALSE,"Var"}</definedName>
    <definedName name="wrn.Variance._.Q2." hidden="1">{"Variance Q2",#N/A,FALSE,"Var"}</definedName>
    <definedName name="wrn.Variance._.Q3." localSheetId="10" hidden="1">{"Variance Q3",#N/A,FALSE,"Var"}</definedName>
    <definedName name="wrn.Variance._.Q3." localSheetId="9" hidden="1">{"Variance Q3",#N/A,FALSE,"Var"}</definedName>
    <definedName name="wrn.Variance._.Q3." hidden="1">{"Variance Q3",#N/A,FALSE,"Var"}</definedName>
    <definedName name="wrn.Variance._.Q4" localSheetId="10" hidden="1">{"Variance Q4",#N/A,FALSE,"Var"}</definedName>
    <definedName name="wrn.Variance._.Q4" localSheetId="9" hidden="1">{"Variance Q4",#N/A,FALSE,"Var"}</definedName>
    <definedName name="wrn.Variance._.Q4" hidden="1">{"Variance Q4",#N/A,FALSE,"Var"}</definedName>
    <definedName name="wrn.Variance._.Q4." localSheetId="10" hidden="1">{"Variance Q4",#N/A,FALSE,"Var"}</definedName>
    <definedName name="wrn.Variance._.Q4." localSheetId="9" hidden="1">{"Variance Q4",#N/A,FALSE,"Var"}</definedName>
    <definedName name="wrn.Variance._.Q4." hidden="1">{"Variance Q4",#N/A,FALSE,"Var"}</definedName>
    <definedName name="wrn.voucher9703." localSheetId="10" hidden="1">{#N/A,#N/A,FALSE,"970301";#N/A,#N/A,FALSE,"970302";#N/A,#N/A,FALSE,"970303";#N/A,#N/A,FALSE,"970304";#N/A,#N/A,FALSE,"COM1";#N/A,#N/A,FALSE,"COM2"}</definedName>
    <definedName name="wrn.voucher9703." localSheetId="9" hidden="1">{#N/A,#N/A,FALSE,"970301";#N/A,#N/A,FALSE,"970302";#N/A,#N/A,FALSE,"970303";#N/A,#N/A,FALSE,"970304";#N/A,#N/A,FALSE,"COM1";#N/A,#N/A,FALSE,"COM2"}</definedName>
    <definedName name="wrn.voucher9703." hidden="1">{#N/A,#N/A,FALSE,"970301";#N/A,#N/A,FALSE,"970302";#N/A,#N/A,FALSE,"970303";#N/A,#N/A,FALSE,"970304";#N/A,#N/A,FALSE,"COM1";#N/A,#N/A,FALSE,"COM2"}</definedName>
    <definedName name="wrn.voucher9703._1" localSheetId="10" hidden="1">{#N/A,#N/A,FALSE,"970301";#N/A,#N/A,FALSE,"970302";#N/A,#N/A,FALSE,"970303";#N/A,#N/A,FALSE,"970304";#N/A,#N/A,FALSE,"COM1";#N/A,#N/A,FALSE,"COM2"}</definedName>
    <definedName name="wrn.voucher9703._1" localSheetId="9" hidden="1">{#N/A,#N/A,FALSE,"970301";#N/A,#N/A,FALSE,"970302";#N/A,#N/A,FALSE,"970303";#N/A,#N/A,FALSE,"970304";#N/A,#N/A,FALSE,"COM1";#N/A,#N/A,FALSE,"COM2"}</definedName>
    <definedName name="wrn.voucher9703._1" hidden="1">{#N/A,#N/A,FALSE,"970301";#N/A,#N/A,FALSE,"970302";#N/A,#N/A,FALSE,"970303";#N/A,#N/A,FALSE,"970304";#N/A,#N/A,FALSE,"COM1";#N/A,#N/A,FALSE,"COM2"}</definedName>
    <definedName name="wrn.VT수익성._.FULL._.SET." localSheetId="10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VT수익성._.FULL._.SET." localSheetId="9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wag." localSheetId="10" hidden="1">{"inc.ann",#N/A,FALSE,"WAG";"inc.quart",#N/A,FALSE,"WAG"}</definedName>
    <definedName name="wrn.wag." localSheetId="9" hidden="1">{"inc.ann",#N/A,FALSE,"WAG";"inc.quart",#N/A,FALSE,"WAG"}</definedName>
    <definedName name="wrn.wag." hidden="1">{"inc.ann",#N/A,FALSE,"WAG";"inc.quart",#N/A,FALSE,"WAG"}</definedName>
    <definedName name="wrn.weekly." localSheetId="10" hidden="1">{#N/A,#N/A,FALSE,"Large Operators";#N/A,#N/A,FALSE,"Smaller Operators";#N/A,#N/A,FALSE,"Equip. Supply";#N/A,#N/A,FALSE,"EBITDA";#N/A,#N/A,FALSE,"perform"}</definedName>
    <definedName name="wrn.weekly." localSheetId="9" hidden="1">{#N/A,#N/A,FALSE,"Large Operators";#N/A,#N/A,FALSE,"Smaller Operators";#N/A,#N/A,FALSE,"Equip. Supply";#N/A,#N/A,FALSE,"EBITDA";#N/A,#N/A,FALSE,"perform"}</definedName>
    <definedName name="wrn.weekly." hidden="1">{#N/A,#N/A,FALSE,"Large Operators";#N/A,#N/A,FALSE,"Smaller Operators";#N/A,#N/A,FALSE,"Equip. Supply";#N/A,#N/A,FALSE,"EBITDA";#N/A,#N/A,FALSE,"perform"}</definedName>
    <definedName name="wrn.Western._.District._.1997._.Capital._.Budget." localSheetId="10" hidden="1">{#N/A,#N/A,FALSE,"EXP97"}</definedName>
    <definedName name="wrn.Western._.District._.1997._.Capital._.Budget." localSheetId="9" hidden="1">{#N/A,#N/A,FALSE,"EXP97"}</definedName>
    <definedName name="wrn.Western._.District._.1997._.Capital._.Budget." hidden="1">{#N/A,#N/A,FALSE,"EXP97"}</definedName>
    <definedName name="wrn.WLAVARIANCEANALYSIS." localSheetId="10" hidden="1">{"INCOME STATEMENT",#N/A,FALSE,"IS";"WWSALES",#N/A,FALSE,"WWSALES";"USSALES",#N/A,FALSE,"USSALES";"INTLSALES",#N/A,FALSE,"INTLSALES"}</definedName>
    <definedName name="wrn.WLAVARIANCEANALYSIS." localSheetId="9" hidden="1">{"INCOME STATEMENT",#N/A,FALSE,"IS";"WWSALES",#N/A,FALSE,"WWSALES";"USSALES",#N/A,FALSE,"USSALES";"INTLSALES",#N/A,FALSE,"INTLSALES"}</definedName>
    <definedName name="wrn.WLAVARIANCEANALYSIS." hidden="1">{"INCOME STATEMENT",#N/A,FALSE,"IS";"WWSALES",#N/A,FALSE,"WWSALES";"USSALES",#N/A,FALSE,"USSALES";"INTLSALES",#N/A,FALSE,"INTLSALES"}</definedName>
    <definedName name="wrn.Xa." localSheetId="10" hidden="1">{"capcity",#N/A,FALSE,"Xiamen (chn)";"volume",#N/A,FALSE,"Xiamen (chn)"}</definedName>
    <definedName name="wrn.Xa." localSheetId="9" hidden="1">{"capcity",#N/A,FALSE,"Xiamen (chn)";"volume",#N/A,FALSE,"Xiamen (chn)"}</definedName>
    <definedName name="wrn.Xa." hidden="1">{"capcity",#N/A,FALSE,"Xiamen (chn)";"volume",#N/A,FALSE,"Xiamen (chn)"}</definedName>
    <definedName name="wrn.Xa._1" localSheetId="10" hidden="1">{"capcity",#N/A,FALSE,"Xiamen (chn)";"volume",#N/A,FALSE,"Xiamen (chn)"}</definedName>
    <definedName name="wrn.Xa._1" localSheetId="9" hidden="1">{"capcity",#N/A,FALSE,"Xiamen (chn)";"volume",#N/A,FALSE,"Xiamen (chn)"}</definedName>
    <definedName name="wrn.Xa._1" hidden="1">{"capcity",#N/A,FALSE,"Xiamen (chn)";"volume",#N/A,FALSE,"Xiamen (chn)"}</definedName>
    <definedName name="wrn.XN." localSheetId="10" hidden="1">{"capacity",#N/A,FALSE,"Xian";"Volume",#N/A,FALSE,"Xian"}</definedName>
    <definedName name="wrn.XN." localSheetId="9" hidden="1">{"capacity",#N/A,FALSE,"Xian";"Volume",#N/A,FALSE,"Xian"}</definedName>
    <definedName name="wrn.XN." hidden="1">{"capacity",#N/A,FALSE,"Xian";"Volume",#N/A,FALSE,"Xian"}</definedName>
    <definedName name="wrn.XN._1" localSheetId="10" hidden="1">{"capacity",#N/A,FALSE,"Xian";"Volume",#N/A,FALSE,"Xian"}</definedName>
    <definedName name="wrn.XN._1" localSheetId="9" hidden="1">{"capacity",#N/A,FALSE,"Xian";"Volume",#N/A,FALSE,"Xian"}</definedName>
    <definedName name="wrn.XN._1" hidden="1">{"capacity",#N/A,FALSE,"Xian";"Volume",#N/A,FALSE,"Xian"}</definedName>
    <definedName name="wrn.Yahoo." localSheetId="10" hidden="1">{#N/A,#N/A,FALSE,"Inc. St.";#N/A,#N/A,FALSE,"FYear";#N/A,#N/A,FALSE,"Revs.";#N/A,#N/A,FALSE,"RevsYear";#N/A,#N/A,FALSE,"Balance";#N/A,#N/A,FALSE,"CompVal";#N/A,#N/A,FALSE,"Val.";#N/A,#N/A,FALSE,"DCFval"}</definedName>
    <definedName name="wrn.Yahoo." localSheetId="9" hidden="1">{#N/A,#N/A,FALSE,"Inc. St.";#N/A,#N/A,FALSE,"FYear";#N/A,#N/A,FALSE,"Revs.";#N/A,#N/A,FALSE,"RevsYear";#N/A,#N/A,FALSE,"Balance";#N/A,#N/A,FALSE,"CompVal";#N/A,#N/A,FALSE,"Val.";#N/A,#N/A,FALSE,"DCFval"}</definedName>
    <definedName name="wrn.Yahoo." hidden="1">{#N/A,#N/A,FALSE,"Inc. St.";#N/A,#N/A,FALSE,"FYear";#N/A,#N/A,FALSE,"Revs.";#N/A,#N/A,FALSE,"RevsYear";#N/A,#N/A,FALSE,"Balance";#N/A,#N/A,FALSE,"CompVal";#N/A,#N/A,FALSE,"Val.";#N/A,#N/A,FALSE,"DCFval"}</definedName>
    <definedName name="wrn.Yahoo._1" localSheetId="10" hidden="1">{#N/A,#N/A,FALSE,"Inc. St.";#N/A,#N/A,FALSE,"FYear";#N/A,#N/A,FALSE,"Revs.";#N/A,#N/A,FALSE,"RevsYear";#N/A,#N/A,FALSE,"Balance";#N/A,#N/A,FALSE,"CompVal";#N/A,#N/A,FALSE,"Val.";#N/A,#N/A,FALSE,"DCFval"}</definedName>
    <definedName name="wrn.Yahoo._1" localSheetId="9" hidden="1">{#N/A,#N/A,FALSE,"Inc. St.";#N/A,#N/A,FALSE,"FYear";#N/A,#N/A,FALSE,"Revs.";#N/A,#N/A,FALSE,"RevsYear";#N/A,#N/A,FALSE,"Balance";#N/A,#N/A,FALSE,"CompVal";#N/A,#N/A,FALSE,"Val.";#N/A,#N/A,FALSE,"DCFval"}</definedName>
    <definedName name="wrn.Yahoo._1" hidden="1">{#N/A,#N/A,FALSE,"Inc. St.";#N/A,#N/A,FALSE,"FYear";#N/A,#N/A,FALSE,"Revs.";#N/A,#N/A,FALSE,"RevsYear";#N/A,#N/A,FALSE,"Balance";#N/A,#N/A,FALSE,"CompVal";#N/A,#N/A,FALSE,"Val.";#N/A,#N/A,FALSE,"DCFval"}</definedName>
    <definedName name="wrn.YTD._.monthly._.report." localSheetId="10" hidden="1">{#N/A,#N/A,FALSE,"YTD ,99"}</definedName>
    <definedName name="wrn.YTD._.monthly._.report." localSheetId="9" hidden="1">{#N/A,#N/A,FALSE,"YTD ,99"}</definedName>
    <definedName name="wrn.YTD._.monthly._.report." hidden="1">{#N/A,#N/A,FALSE,"YTD ,99"}</definedName>
    <definedName name="wrn.YTD._.monthly._.report._1" localSheetId="10" hidden="1">{#N/A,#N/A,FALSE,"YTD ,99"}</definedName>
    <definedName name="wrn.YTD._.monthly._.report._1" localSheetId="9" hidden="1">{#N/A,#N/A,FALSE,"YTD ,99"}</definedName>
    <definedName name="wrn.YTD._.monthly._.report._1" hidden="1">{#N/A,#N/A,FALSE,"YTD ,99"}</definedName>
    <definedName name="wrn.Y차._.종합." localSheetId="10" hidden="1">{#N/A,#N/A,TRUE,"Y생산";#N/A,#N/A,TRUE,"Y판매";#N/A,#N/A,TRUE,"Y총물량";#N/A,#N/A,TRUE,"Y능력";#N/A,#N/A,TRUE,"YKD"}</definedName>
    <definedName name="wrn.Y차._.종합." localSheetId="9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ZZ." localSheetId="10" hidden="1">{"Volume",#N/A,FALSE,"Zhengzhou";"capacity",#N/A,FALSE,"Zhengzhou"}</definedName>
    <definedName name="wrn.ZZ." localSheetId="9" hidden="1">{"Volume",#N/A,FALSE,"Zhengzhou";"capacity",#N/A,FALSE,"Zhengzhou"}</definedName>
    <definedName name="wrn.ZZ." hidden="1">{"Volume",#N/A,FALSE,"Zhengzhou";"capacity",#N/A,FALSE,"Zhengzhou"}</definedName>
    <definedName name="wrn.ZZ._1" localSheetId="10" hidden="1">{"Volume",#N/A,FALSE,"Zhengzhou";"capacity",#N/A,FALSE,"Zhengzhou"}</definedName>
    <definedName name="wrn.ZZ._1" localSheetId="9" hidden="1">{"Volume",#N/A,FALSE,"Zhengzhou";"capacity",#N/A,FALSE,"Zhengzhou"}</definedName>
    <definedName name="wrn.ZZ._1" hidden="1">{"Volume",#N/A,FALSE,"Zhengzhou";"capacity",#N/A,FALSE,"Zhengzhou"}</definedName>
    <definedName name="wrn.간단한세무조정계산서." localSheetId="1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localSheetId="9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_1" localSheetId="1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_1" localSheetId="9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견적." localSheetId="10" hidden="1">{#N/A,#N/A,FALSE,"Sheet1";#N/A,#N/A,FALSE,"Sheet2";#N/A,#N/A,FALSE,"TAB96-1"}</definedName>
    <definedName name="wrn.견적." localSheetId="9" hidden="1">{#N/A,#N/A,FALSE,"Sheet1";#N/A,#N/A,FALSE,"Sheet2";#N/A,#N/A,FALSE,"TAB96-1"}</definedName>
    <definedName name="wrn.견적." hidden="1">{#N/A,#N/A,FALSE,"Sheet1";#N/A,#N/A,FALSE,"Sheet2";#N/A,#N/A,FALSE,"TAB96-1"}</definedName>
    <definedName name="wrn.결산서." localSheetId="10" hidden="1">{#N/A,#N/A,TRUE,"최종합계잔액시산표";#N/A,#N/A,TRUE,"최종대차대조표";#N/A,#N/A,TRUE,"최종손익계산서";#N/A,#N/A,TRUE,"재무상태변동표";#N/A,#N/A,TRUE,"이익잉여금처분"}</definedName>
    <definedName name="wrn.결산서." localSheetId="9" hidden="1">{#N/A,#N/A,TRUE,"최종합계잔액시산표";#N/A,#N/A,TRUE,"최종대차대조표";#N/A,#N/A,TRUE,"최종손익계산서";#N/A,#N/A,TRUE,"재무상태변동표";#N/A,#N/A,TRUE,"이익잉여금처분"}</definedName>
    <definedName name="wrn.결산서." hidden="1">{#N/A,#N/A,TRUE,"최종합계잔액시산표";#N/A,#N/A,TRUE,"최종대차대조표";#N/A,#N/A,TRUE,"최종손익계산서";#N/A,#N/A,TRUE,"재무상태변동표";#N/A,#N/A,TRUE,"이익잉여금처분"}</definedName>
    <definedName name="wrn.결산서._1" localSheetId="10" hidden="1">{#N/A,#N/A,TRUE,"최종합계잔액시산표";#N/A,#N/A,TRUE,"최종대차대조표";#N/A,#N/A,TRUE,"최종손익계산서";#N/A,#N/A,TRUE,"재무상태변동표";#N/A,#N/A,TRUE,"이익잉여금처분"}</definedName>
    <definedName name="wrn.결산서._1" localSheetId="9" hidden="1">{#N/A,#N/A,TRUE,"최종합계잔액시산표";#N/A,#N/A,TRUE,"최종대차대조표";#N/A,#N/A,TRUE,"최종손익계산서";#N/A,#N/A,TRUE,"재무상태변동표";#N/A,#N/A,TRUE,"이익잉여금처분"}</definedName>
    <definedName name="wrn.결산서._1" hidden="1">{#N/A,#N/A,TRUE,"최종합계잔액시산표";#N/A,#N/A,TRUE,"최종대차대조표";#N/A,#N/A,TRUE,"최종손익계산서";#N/A,#N/A,TRUE,"재무상태변동표";#N/A,#N/A,TRUE,"이익잉여금처분"}</definedName>
    <definedName name="wrn.골재소요량." localSheetId="10" hidden="1">{#N/A,#N/A,FALSE,"골재소요량";#N/A,#N/A,FALSE,"골재소요량"}</definedName>
    <definedName name="wrn.골재소요량." localSheetId="9" hidden="1">{#N/A,#N/A,FALSE,"골재소요량";#N/A,#N/A,FALSE,"골재소요량"}</definedName>
    <definedName name="wrn.골재소요량." hidden="1">{#N/A,#N/A,FALSE,"골재소요량";#N/A,#N/A,FALSE,"골재소요량"}</definedName>
    <definedName name="wrn.교대." localSheetId="10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localSheetId="9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구소민." localSheetId="10" hidden="1">{#N/A,#N/A,TRUE,"변동비고정비분류(5단계)";#N/A,#N/A,TRUE,"변동비고정비분류(5단계)"}</definedName>
    <definedName name="wrn.구소민." localSheetId="9" hidden="1">{#N/A,#N/A,TRUE,"변동비고정비분류(5단계)";#N/A,#N/A,TRUE,"변동비고정비분류(5단계)"}</definedName>
    <definedName name="wrn.구소민." hidden="1">{#N/A,#N/A,TRUE,"변동비고정비분류(5단계)";#N/A,#N/A,TRUE,"변동비고정비분류(5단계)"}</definedName>
    <definedName name="wrn.구조2." localSheetId="10" hidden="1">{#N/A,#N/A,FALSE,"구조2"}</definedName>
    <definedName name="wrn.구조2." localSheetId="9" hidden="1">{#N/A,#N/A,FALSE,"구조2"}</definedName>
    <definedName name="wrn.구조2." hidden="1">{#N/A,#N/A,FALSE,"구조2"}</definedName>
    <definedName name="wrn.기술료._.비교." localSheetId="10" hidden="1">{#N/A,#N/A,FALSE,"기술료 비교"}</definedName>
    <definedName name="wrn.기술료._.비교." localSheetId="9" hidden="1">{#N/A,#N/A,FALSE,"기술료 비교"}</definedName>
    <definedName name="wrn.기술료._.비교." hidden="1">{#N/A,#N/A,FALSE,"기술료 비교"}</definedName>
    <definedName name="wrn.供料净化车间固定资产." localSheetId="10" hidden="1">{#N/A,#N/A,FALSE,"供料净化车间"}</definedName>
    <definedName name="wrn.供料净化车间固定资产." localSheetId="9" hidden="1">{#N/A,#N/A,FALSE,"供料净化车间"}</definedName>
    <definedName name="wrn.供料净化车间固定资产." hidden="1">{#N/A,#N/A,FALSE,"供料净化车间"}</definedName>
    <definedName name="wrn.供料净化车间固定资产._1" localSheetId="10" hidden="1">{#N/A,#N/A,FALSE,"供料净化车间"}</definedName>
    <definedName name="wrn.供料净化车间固定资产._1" localSheetId="9" hidden="1">{#N/A,#N/A,FALSE,"供料净化车间"}</definedName>
    <definedName name="wrn.供料净化车间固定资产._1" hidden="1">{#N/A,#N/A,FALSE,"供料净化车间"}</definedName>
    <definedName name="wrn.단가표지." localSheetId="10" hidden="1">{#N/A,#N/A,FALSE,"단가표지"}</definedName>
    <definedName name="wrn.단가표지." localSheetId="9" hidden="1">{#N/A,#N/A,FALSE,"단가표지"}</definedName>
    <definedName name="wrn.단가표지." hidden="1">{#N/A,#N/A,FALSE,"단가표지"}</definedName>
    <definedName name="wrn.배수1." localSheetId="10" hidden="1">{#N/A,#N/A,FALSE,"배수1"}</definedName>
    <definedName name="wrn.배수1." localSheetId="9" hidden="1">{#N/A,#N/A,FALSE,"배수1"}</definedName>
    <definedName name="wrn.배수1." hidden="1">{#N/A,#N/A,FALSE,"배수1"}</definedName>
    <definedName name="wrn.배수2." localSheetId="10" hidden="1">{#N/A,#N/A,FALSE,"배수2"}</definedName>
    <definedName name="wrn.배수2." localSheetId="9" hidden="1">{#N/A,#N/A,FALSE,"배수2"}</definedName>
    <definedName name="wrn.배수2." hidden="1">{#N/A,#N/A,FALSE,"배수2"}</definedName>
    <definedName name="wrn.造寸" localSheetId="10" hidden="1">{#N/A,#N/A,TRUE,"CC_IN965"}</definedName>
    <definedName name="wrn.造寸" localSheetId="9" hidden="1">{#N/A,#N/A,TRUE,"CC_IN965"}</definedName>
    <definedName name="wrn.造寸" hidden="1">{#N/A,#N/A,TRUE,"CC_IN965"}</definedName>
    <definedName name="wrn.造寸銷貪發票匯總表." localSheetId="10" hidden="1">{#N/A,#N/A,TRUE,"CC_IN965"}</definedName>
    <definedName name="wrn.造寸銷貪發票匯總表." localSheetId="9" hidden="1">{#N/A,#N/A,TRUE,"CC_IN965"}</definedName>
    <definedName name="wrn.造寸銷貪發票匯總表." hidden="1">{#N/A,#N/A,TRUE,"CC_IN965"}</definedName>
    <definedName name="wrn.보고서." localSheetId="10" hidden="1">{#N/A,#N/A,FALSE,"Sheet1";#N/A,#N/A,FALSE,"기평9607"}</definedName>
    <definedName name="wrn.보고서." localSheetId="9" hidden="1">{#N/A,#N/A,FALSE,"Sheet1";#N/A,#N/A,FALSE,"기평9607"}</definedName>
    <definedName name="wrn.보고서." hidden="1">{#N/A,#N/A,FALSE,"Sheet1";#N/A,#N/A,FALSE,"기평9607"}</definedName>
    <definedName name="wrn.보고서._1" localSheetId="10" hidden="1">{#N/A,#N/A,FALSE,"Sheet1";#N/A,#N/A,FALSE,"기평9607"}</definedName>
    <definedName name="wrn.보고서._1" localSheetId="9" hidden="1">{#N/A,#N/A,FALSE,"Sheet1";#N/A,#N/A,FALSE,"기평9607"}</definedName>
    <definedName name="wrn.보고서._1" hidden="1">{#N/A,#N/A,FALSE,"Sheet1";#N/A,#N/A,FALSE,"기평9607"}</definedName>
    <definedName name="wrn.부대1." localSheetId="10" hidden="1">{#N/A,#N/A,FALSE,"부대1"}</definedName>
    <definedName name="wrn.부대1." localSheetId="9" hidden="1">{#N/A,#N/A,FALSE,"부대1"}</definedName>
    <definedName name="wrn.부대1." hidden="1">{#N/A,#N/A,FALSE,"부대1"}</definedName>
    <definedName name="wrn.부대2." localSheetId="10" hidden="1">{#N/A,#N/A,FALSE,"부대2"}</definedName>
    <definedName name="wrn.부대2." localSheetId="9" hidden="1">{#N/A,#N/A,FALSE,"부대2"}</definedName>
    <definedName name="wrn.부대2." hidden="1">{#N/A,#N/A,FALSE,"부대2"}</definedName>
    <definedName name="wrn.선사." localSheetId="10" hidden="1">{#N/A,#N/A,FALSE,"품의서";#N/A,#N/A,FALSE,"전제";#N/A,#N/A,FALSE,"총손";#N/A,#N/A,FALSE,"손익"}</definedName>
    <definedName name="wrn.선사." localSheetId="9" hidden="1">{#N/A,#N/A,FALSE,"품의서";#N/A,#N/A,FALSE,"전제";#N/A,#N/A,FALSE,"총손";#N/A,#N/A,FALSE,"손익"}</definedName>
    <definedName name="wrn.선사." hidden="1">{#N/A,#N/A,FALSE,"품의서";#N/A,#N/A,FALSE,"전제";#N/A,#N/A,FALSE,"총손";#N/A,#N/A,FALSE,"손익"}</definedName>
    <definedName name="wrn.세무조정계산서." localSheetId="1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localSheetId="9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_1" localSheetId="1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_1" localSheetId="9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localSheetId="1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localSheetId="9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_1" localSheetId="1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_1" localSheetId="9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속도." localSheetId="10" hidden="1">{#N/A,#N/A,FALSE,"속도"}</definedName>
    <definedName name="wrn.속도." localSheetId="9" hidden="1">{#N/A,#N/A,FALSE,"속도"}</definedName>
    <definedName name="wrn.속도." hidden="1">{#N/A,#N/A,FALSE,"속도"}</definedName>
    <definedName name="wrn.손익보고.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신용찬." localSheetId="10" hidden="1">{#N/A,#N/A,TRUE,"토적및재료집계";#N/A,#N/A,TRUE,"토적및재료집계";#N/A,#N/A,TRUE,"단위량"}</definedName>
    <definedName name="wrn.신용찬." localSheetId="9" hidden="1">{#N/A,#N/A,TRUE,"토적및재료집계";#N/A,#N/A,TRUE,"토적및재료집계";#N/A,#N/A,TRUE,"단위량"}</definedName>
    <definedName name="wrn.신용찬." hidden="1">{#N/A,#N/A,TRUE,"토적및재료집계";#N/A,#N/A,TRUE,"토적및재료집계";#N/A,#N/A,TRUE,"단위량"}</definedName>
    <definedName name="wrn.운반시간." localSheetId="10" hidden="1">{#N/A,#N/A,FALSE,"운반시간"}</definedName>
    <definedName name="wrn.운반시간." localSheetId="9" hidden="1">{#N/A,#N/A,FALSE,"운반시간"}</definedName>
    <definedName name="wrn.운반시간." hidden="1">{#N/A,#N/A,FALSE,"운반시간"}</definedName>
    <definedName name="wrn.이정표." localSheetId="10" hidden="1">{#N/A,#N/A,FALSE,"이정표"}</definedName>
    <definedName name="wrn.이정표." localSheetId="9" hidden="1">{#N/A,#N/A,FALSE,"이정표"}</definedName>
    <definedName name="wrn.이정표." hidden="1">{#N/A,#N/A,FALSE,"이정표"}</definedName>
    <definedName name="wrn.이태원._.철근." localSheetId="10" hidden="1">{#N/A,#N/A,FALSE,"이태원철근"}</definedName>
    <definedName name="wrn.이태원._.철근." localSheetId="9" hidden="1">{#N/A,#N/A,FALSE,"이태원철근"}</definedName>
    <definedName name="wrn.이태원._.철근." hidden="1">{#N/A,#N/A,FALSE,"이태원철근"}</definedName>
    <definedName name="wrn.자판정비._.월간회의자료." localSheetId="1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9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무제표." localSheetId="10" hidden="1">{#N/A,#N/A,FALSE,"BS";#N/A,#N/A,FALSE,"IS";#N/A,#N/A,FALSE,"결손금처리";#N/A,#N/A,FALSE,"cashflow"}</definedName>
    <definedName name="wrn.재무제표." localSheetId="9" hidden="1">{#N/A,#N/A,FALSE,"BS";#N/A,#N/A,FALSE,"IS";#N/A,#N/A,FALSE,"결손금처리";#N/A,#N/A,FALSE,"cashflow"}</definedName>
    <definedName name="wrn.재무제표." hidden="1">{#N/A,#N/A,FALSE,"BS";#N/A,#N/A,FALSE,"IS";#N/A,#N/A,FALSE,"결손금처리";#N/A,#N/A,FALSE,"cashflow"}</definedName>
    <definedName name="wrn.재무제표._1" localSheetId="10" hidden="1">{#N/A,#N/A,FALSE,"BS";#N/A,#N/A,FALSE,"IS";#N/A,#N/A,FALSE,"결손금처리";#N/A,#N/A,FALSE,"cashflow"}</definedName>
    <definedName name="wrn.재무제표._1" localSheetId="9" hidden="1">{#N/A,#N/A,FALSE,"BS";#N/A,#N/A,FALSE,"IS";#N/A,#N/A,FALSE,"결손금처리";#N/A,#N/A,FALSE,"cashflow"}</definedName>
    <definedName name="wrn.재무제표._1" hidden="1">{#N/A,#N/A,FALSE,"BS";#N/A,#N/A,FALSE,"IS";#N/A,#N/A,FALSE,"결손금처리";#N/A,#N/A,FALSE,"cashflow"}</definedName>
    <definedName name="wrn.전략보고." localSheetId="10" hidden="1">{#N/A,#N/A,FALSE,"표지";#N/A,#N/A,FALSE,"목차";#N/A,#N/A,FALSE,"업무실적 (상공보사)";#N/A,#N/A,FALSE,"업무실적 (환경.공정)";#N/A,#N/A,FALSE,"실적 (특허1)";#N/A,#N/A,FALSE,"실적 (특허2)";#N/A,#N/A,FALSE,"실적 (특허3)";#N/A,#N/A,FALSE,"실적 (특허4)";#N/A,#N/A,FALSE,"동향및현황 (부문)";#N/A,#N/A,FALSE,"과제해결계획 (부문)";#N/A,#N/A,FALSE,"목표 및 전략합의서 (부문)";#N/A,#N/A,FALSE,"지원요망사항";#N/A,#N/A,FALSE,"국제동향(환경)";#N/A,#N/A,FALSE,"정부정책(환경)";#N/A,#N/A,FALSE,"당사대응방향(환경)";#N/A,#N/A,FALSE,"정부정책(공정)";#N/A,#N/A,FALSE,"공정자율";#N/A,#N/A,FALSE,"환경조직보강";#N/A,#N/A,FALSE,"조직보강(업무분장)"}</definedName>
    <definedName name="wrn.전략보고." localSheetId="9" hidden="1">{#N/A,#N/A,FALSE,"표지";#N/A,#N/A,FALSE,"목차";#N/A,#N/A,FALSE,"업무실적 (상공보사)";#N/A,#N/A,FALSE,"업무실적 (환경.공정)";#N/A,#N/A,FALSE,"실적 (특허1)";#N/A,#N/A,FALSE,"실적 (특허2)";#N/A,#N/A,FALSE,"실적 (특허3)";#N/A,#N/A,FALSE,"실적 (특허4)";#N/A,#N/A,FALSE,"동향및현황 (부문)";#N/A,#N/A,FALSE,"과제해결계획 (부문)";#N/A,#N/A,FALSE,"목표 및 전략합의서 (부문)";#N/A,#N/A,FALSE,"지원요망사항";#N/A,#N/A,FALSE,"국제동향(환경)";#N/A,#N/A,FALSE,"정부정책(환경)";#N/A,#N/A,FALSE,"당사대응방향(환경)";#N/A,#N/A,FALSE,"정부정책(공정)";#N/A,#N/A,FALSE,"공정자율";#N/A,#N/A,FALSE,"환경조직보강";#N/A,#N/A,FALSE,"조직보강(업무분장)"}</definedName>
    <definedName name="wrn.전략보고." hidden="1">{#N/A,#N/A,FALSE,"표지";#N/A,#N/A,FALSE,"목차";#N/A,#N/A,FALSE,"업무실적 (상공보사)";#N/A,#N/A,FALSE,"업무실적 (환경.공정)";#N/A,#N/A,FALSE,"실적 (특허1)";#N/A,#N/A,FALSE,"실적 (특허2)";#N/A,#N/A,FALSE,"실적 (특허3)";#N/A,#N/A,FALSE,"실적 (특허4)";#N/A,#N/A,FALSE,"동향및현황 (부문)";#N/A,#N/A,FALSE,"과제해결계획 (부문)";#N/A,#N/A,FALSE,"목표 및 전략합의서 (부문)";#N/A,#N/A,FALSE,"지원요망사항";#N/A,#N/A,FALSE,"국제동향(환경)";#N/A,#N/A,FALSE,"정부정책(환경)";#N/A,#N/A,FALSE,"당사대응방향(환경)";#N/A,#N/A,FALSE,"정부정책(공정)";#N/A,#N/A,FALSE,"공정자율";#N/A,#N/A,FALSE,"환경조직보강";#N/A,#N/A,FALSE,"조직보강(업무분장)"}</definedName>
    <definedName name="wrn.전부인쇄." localSheetId="10" hidden="1">{#N/A,#N/A,FALSE,"단축1";#N/A,#N/A,FALSE,"단축2";#N/A,#N/A,FALSE,"단축3";#N/A,#N/A,FALSE,"장축";#N/A,#N/A,FALSE,"4WD"}</definedName>
    <definedName name="wrn.전부인쇄." localSheetId="9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전사예산." localSheetId="10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전사예산." localSheetId="9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전사예산.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전사예산._1" localSheetId="10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전사예산._1" localSheetId="9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전사예산.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전체인쇄." localSheetId="10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wrn.전체인쇄." localSheetId="9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wrn.전체인쇄.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wrn.조골재." localSheetId="10" hidden="1">{#N/A,#N/A,FALSE,"조골재"}</definedName>
    <definedName name="wrn.조골재." localSheetId="9" hidden="1">{#N/A,#N/A,FALSE,"조골재"}</definedName>
    <definedName name="wrn.조골재." hidden="1">{#N/A,#N/A,FALSE,"조골재"}</definedName>
    <definedName name="wrn.주간._.보고." localSheetId="10" hidden="1">{#N/A,#N/A,TRUE,"일정"}</definedName>
    <definedName name="wrn.주간._.보고." localSheetId="9" hidden="1">{#N/A,#N/A,TRUE,"일정"}</definedName>
    <definedName name="wrn.주간._.보고." hidden="1">{#N/A,#N/A,TRUE,"일정"}</definedName>
    <definedName name="wrn.직좌." localSheetId="10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좌." localSheetId="9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localSheetId="10" hidden="1">{#N/A,#N/A,FALSE,"표지";#N/A,#N/A,FALSE,"전제";#N/A,#N/A,FALSE,"대당";#N/A,#N/A,FALSE,"가공비";#N/A,#N/A,FALSE,"재료비";#N/A,#N/A,FALSE,"손익"}</definedName>
    <definedName name="wrn.직중." localSheetId="9" hidden="1">{#N/A,#N/A,FALSE,"표지";#N/A,#N/A,FALSE,"전제";#N/A,#N/A,FALSE,"대당";#N/A,#N/A,FALSE,"가공비";#N/A,#N/A,FALSE,"재료비";#N/A,#N/A,FALSE,"손익"}</definedName>
    <definedName name="wrn.직중." hidden="1">{#N/A,#N/A,FALSE,"표지";#N/A,#N/A,FALSE,"전제";#N/A,#N/A,FALSE,"대당";#N/A,#N/A,FALSE,"가공비";#N/A,#N/A,FALSE,"재료비";#N/A,#N/A,FALSE,"손익"}</definedName>
    <definedName name="wrn.채권채무조회서." localSheetId="10" hidden="1">{#N/A,#N/A,FALSE,"채권채무";#N/A,#N/A,FALSE,"control sheet"}</definedName>
    <definedName name="wrn.채권채무조회서." localSheetId="9" hidden="1">{#N/A,#N/A,FALSE,"채권채무";#N/A,#N/A,FALSE,"control sheet"}</definedName>
    <definedName name="wrn.채권채무조회서." hidden="1">{#N/A,#N/A,FALSE,"채권채무";#N/A,#N/A,FALSE,"control sheet"}</definedName>
    <definedName name="wrn.토공1." localSheetId="10" hidden="1">{#N/A,#N/A,FALSE,"구조1"}</definedName>
    <definedName name="wrn.토공1." localSheetId="9" hidden="1">{#N/A,#N/A,FALSE,"구조1"}</definedName>
    <definedName name="wrn.토공1." hidden="1">{#N/A,#N/A,FALSE,"구조1"}</definedName>
    <definedName name="wrn.토공2." localSheetId="10" hidden="1">{#N/A,#N/A,FALSE,"토공2"}</definedName>
    <definedName name="wrn.토공2." localSheetId="9" hidden="1">{#N/A,#N/A,FALSE,"토공2"}</definedName>
    <definedName name="wrn.토공2." hidden="1">{#N/A,#N/A,FALSE,"토공2"}</definedName>
    <definedName name="wrn.통신지." localSheetId="10" hidden="1">{#N/A,#N/A,FALSE,"기안지";#N/A,#N/A,FALSE,"통신지"}</definedName>
    <definedName name="wrn.통신지." localSheetId="9" hidden="1">{#N/A,#N/A,FALSE,"기안지";#N/A,#N/A,FALSE,"통신지"}</definedName>
    <definedName name="wrn.통신지." hidden="1">{#N/A,#N/A,FALSE,"기안지";#N/A,#N/A,FALSE,"통신지"}</definedName>
    <definedName name="wrn.판유리예산." localSheetId="10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판유리예산." localSheetId="9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판유리예산.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판유리예산._1" localSheetId="10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판유리예산._1" localSheetId="9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판유리예산.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포장1." localSheetId="10" hidden="1">{#N/A,#N/A,FALSE,"포장1";#N/A,#N/A,FALSE,"포장1"}</definedName>
    <definedName name="wrn.포장1." localSheetId="9" hidden="1">{#N/A,#N/A,FALSE,"포장1";#N/A,#N/A,FALSE,"포장1"}</definedName>
    <definedName name="wrn.포장1." hidden="1">{#N/A,#N/A,FALSE,"포장1";#N/A,#N/A,FALSE,"포장1"}</definedName>
    <definedName name="wrn.포장2." localSheetId="10" hidden="1">{#N/A,#N/A,FALSE,"포장2"}</definedName>
    <definedName name="wrn.포장2." localSheetId="9" hidden="1">{#N/A,#N/A,FALSE,"포장2"}</definedName>
    <definedName name="wrn.포장2." hidden="1">{#N/A,#N/A,FALSE,"포장2"}</definedName>
    <definedName name="wrn.표면처리._.현황." localSheetId="10" hidden="1">{#N/A,#N/A,FALSE,"불량현황";#N/A,#N/A,FALSE,"표면처리업체별";#N/A,#N/A,FALSE,"사양별";#N/A,#N/A,FALSE,"제작업체별";#N/A,#N/A,FALSE,"업체주소";#N/A,#N/A,FALSE,"장착부위";#N/A,#N/A,FALSE,"V-100표면현황 (2)"}</definedName>
    <definedName name="wrn.표면처리._.현황." localSheetId="9" hidden="1">{#N/A,#N/A,FALSE,"불량현황";#N/A,#N/A,FALSE,"표면처리업체별";#N/A,#N/A,FALSE,"사양별";#N/A,#N/A,FALSE,"제작업체별";#N/A,#N/A,FALSE,"업체주소";#N/A,#N/A,FALSE,"장착부위";#N/A,#N/A,FALSE,"V-100표면현황 (2)"}</definedName>
    <definedName name="wrn.표면처리._.현황." hidden="1">{#N/A,#N/A,FALSE,"불량현황";#N/A,#N/A,FALSE,"표면처리업체별";#N/A,#N/A,FALSE,"사양별";#N/A,#N/A,FALSE,"제작업체별";#N/A,#N/A,FALSE,"업체주소";#N/A,#N/A,FALSE,"장착부위";#N/A,#N/A,FALSE,"V-100표면현황 (2)"}</definedName>
    <definedName name="wrn.표지목차." localSheetId="10" hidden="1">{#N/A,#N/A,FALSE,"표지목차"}</definedName>
    <definedName name="wrn.표지목차." localSheetId="9" hidden="1">{#N/A,#N/A,FALSE,"표지목차"}</definedName>
    <definedName name="wrn.표지목차." hidden="1">{#N/A,#N/A,FALSE,"표지목차"}</definedName>
    <definedName name="wrn.현대정공구매현황." localSheetId="10" hidden="1">{#N/A,#N/A,FALSE,"정공"}</definedName>
    <definedName name="wrn.현대정공구매현황." localSheetId="9" hidden="1">{#N/A,#N/A,FALSE,"정공"}</definedName>
    <definedName name="wrn.현대정공구매현황." hidden="1">{#N/A,#N/A,FALSE,"정공"}</definedName>
    <definedName name="wrn.현장._.NCR._.분석." localSheetId="10" hidden="1">{#N/A,#N/A,FALSE,"현장 NCR 분석";#N/A,#N/A,FALSE,"현장품질감사";#N/A,#N/A,FALSE,"현장품질감사"}</definedName>
    <definedName name="wrn.현장._.NCR._.분석." localSheetId="9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현장._.NCR._.분석._1" localSheetId="10" hidden="1">{#N/A,#N/A,FALSE,"현장 NCR 분석";#N/A,#N/A,FALSE,"현장품질감사";#N/A,#N/A,FALSE,"현장품질감사"}</definedName>
    <definedName name="wrn.현장._.NCR._.분석._1" localSheetId="9" hidden="1">{#N/A,#N/A,FALSE,"현장 NCR 분석";#N/A,#N/A,FALSE,"현장품질감사";#N/A,#N/A,FALSE,"현장품질감사"}</definedName>
    <definedName name="wrn.현장._.NCR._.분석._1" hidden="1">{#N/A,#N/A,FALSE,"현장 NCR 분석";#N/A,#N/A,FALSE,"현장품질감사";#N/A,#N/A,FALSE,"현장품질감사"}</definedName>
    <definedName name="wrn.혼합골재." localSheetId="10" hidden="1">{#N/A,#N/A,FALSE,"혼합골재"}</definedName>
    <definedName name="wrn.혼합골재." localSheetId="9" hidden="1">{#N/A,#N/A,FALSE,"혼합골재"}</definedName>
    <definedName name="wrn.혼합골재." hidden="1">{#N/A,#N/A,FALSE,"혼합골재"}</definedName>
    <definedName name="wrn.회선임차현황." localSheetId="10" hidden="1">{#N/A,#N/A,FALSE,"회선임차현황"}</definedName>
    <definedName name="wrn.회선임차현황." localSheetId="9" hidden="1">{#N/A,#N/A,FALSE,"회선임차현황"}</definedName>
    <definedName name="wrn.회선임차현황." hidden="1">{#N/A,#N/A,FALSE,"회선임차현황"}</definedName>
    <definedName name="wrn.회선임차현황._1" localSheetId="10" hidden="1">{#N/A,#N/A,FALSE,"회선임차현황"}</definedName>
    <definedName name="wrn.회선임차현황._1" localSheetId="9" hidden="1">{#N/A,#N/A,FALSE,"회선임차현황"}</definedName>
    <definedName name="wrn.회선임차현황._1" hidden="1">{#N/A,#N/A,FALSE,"회선임차현황"}</definedName>
    <definedName name="wrn.회선임차현황._1_1" localSheetId="10" hidden="1">{#N/A,#N/A,FALSE,"회선임차현황"}</definedName>
    <definedName name="wrn.회선임차현황._1_1" localSheetId="9" hidden="1">{#N/A,#N/A,FALSE,"회선임차현황"}</definedName>
    <definedName name="wrn.회선임차현황._1_1" hidden="1">{#N/A,#N/A,FALSE,"회선임차현황"}</definedName>
    <definedName name="wrn.회선임차현황._1_2" localSheetId="10" hidden="1">{#N/A,#N/A,FALSE,"회선임차현황"}</definedName>
    <definedName name="wrn.회선임차현황._1_2" localSheetId="9" hidden="1">{#N/A,#N/A,FALSE,"회선임차현황"}</definedName>
    <definedName name="wrn.회선임차현황._1_2" hidden="1">{#N/A,#N/A,FALSE,"회선임차현황"}</definedName>
    <definedName name="wrn.회선임차현황._1_3" localSheetId="10" hidden="1">{#N/A,#N/A,FALSE,"회선임차현황"}</definedName>
    <definedName name="wrn.회선임차현황._1_3" localSheetId="9" hidden="1">{#N/A,#N/A,FALSE,"회선임차현황"}</definedName>
    <definedName name="wrn.회선임차현황._1_3" hidden="1">{#N/A,#N/A,FALSE,"회선임차현황"}</definedName>
    <definedName name="wrn.회선임차현황._1_4" localSheetId="10" hidden="1">{#N/A,#N/A,FALSE,"회선임차현황"}</definedName>
    <definedName name="wrn.회선임차현황._1_4" localSheetId="9" hidden="1">{#N/A,#N/A,FALSE,"회선임차현황"}</definedName>
    <definedName name="wrn.회선임차현황._1_4" hidden="1">{#N/A,#N/A,FALSE,"회선임차현황"}</definedName>
    <definedName name="wrn.회선임차현황._2" localSheetId="10" hidden="1">{#N/A,#N/A,FALSE,"회선임차현황"}</definedName>
    <definedName name="wrn.회선임차현황._2" localSheetId="9" hidden="1">{#N/A,#N/A,FALSE,"회선임차현황"}</definedName>
    <definedName name="wrn.회선임차현황._2" hidden="1">{#N/A,#N/A,FALSE,"회선임차현황"}</definedName>
    <definedName name="wrn.회선임차현황._2_1" localSheetId="10" hidden="1">{#N/A,#N/A,FALSE,"회선임차현황"}</definedName>
    <definedName name="wrn.회선임차현황._2_1" localSheetId="9" hidden="1">{#N/A,#N/A,FALSE,"회선임차현황"}</definedName>
    <definedName name="wrn.회선임차현황._2_1" hidden="1">{#N/A,#N/A,FALSE,"회선임차현황"}</definedName>
    <definedName name="wrn.회선임차현황._2_2" localSheetId="10" hidden="1">{#N/A,#N/A,FALSE,"회선임차현황"}</definedName>
    <definedName name="wrn.회선임차현황._2_2" localSheetId="9" hidden="1">{#N/A,#N/A,FALSE,"회선임차현황"}</definedName>
    <definedName name="wrn.회선임차현황._2_2" hidden="1">{#N/A,#N/A,FALSE,"회선임차현황"}</definedName>
    <definedName name="wrn.회선임차현황._2_3" localSheetId="10" hidden="1">{#N/A,#N/A,FALSE,"회선임차현황"}</definedName>
    <definedName name="wrn.회선임차현황._2_3" localSheetId="9" hidden="1">{#N/A,#N/A,FALSE,"회선임차현황"}</definedName>
    <definedName name="wrn.회선임차현황._2_3" hidden="1">{#N/A,#N/A,FALSE,"회선임차현황"}</definedName>
    <definedName name="wrn.회선임차현황._2_4" localSheetId="10" hidden="1">{#N/A,#N/A,FALSE,"회선임차현황"}</definedName>
    <definedName name="wrn.회선임차현황._2_4" localSheetId="9" hidden="1">{#N/A,#N/A,FALSE,"회선임차현황"}</definedName>
    <definedName name="wrn.회선임차현황._2_4" hidden="1">{#N/A,#N/A,FALSE,"회선임차현황"}</definedName>
    <definedName name="wrn.회선임차현황._3" localSheetId="10" hidden="1">{#N/A,#N/A,FALSE,"회선임차현황"}</definedName>
    <definedName name="wrn.회선임차현황._3" localSheetId="9" hidden="1">{#N/A,#N/A,FALSE,"회선임차현황"}</definedName>
    <definedName name="wrn.회선임차현황._3" hidden="1">{#N/A,#N/A,FALSE,"회선임차현황"}</definedName>
    <definedName name="wrn.회선임차현황._3_1" localSheetId="10" hidden="1">{#N/A,#N/A,FALSE,"회선임차현황"}</definedName>
    <definedName name="wrn.회선임차현황._3_1" localSheetId="9" hidden="1">{#N/A,#N/A,FALSE,"회선임차현황"}</definedName>
    <definedName name="wrn.회선임차현황._3_1" hidden="1">{#N/A,#N/A,FALSE,"회선임차현황"}</definedName>
    <definedName name="wrn.회선임차현황._3_2" localSheetId="10" hidden="1">{#N/A,#N/A,FALSE,"회선임차현황"}</definedName>
    <definedName name="wrn.회선임차현황._3_2" localSheetId="9" hidden="1">{#N/A,#N/A,FALSE,"회선임차현황"}</definedName>
    <definedName name="wrn.회선임차현황._3_2" hidden="1">{#N/A,#N/A,FALSE,"회선임차현황"}</definedName>
    <definedName name="wrn.회선임차현황._3_3" localSheetId="10" hidden="1">{#N/A,#N/A,FALSE,"회선임차현황"}</definedName>
    <definedName name="wrn.회선임차현황._3_3" localSheetId="9" hidden="1">{#N/A,#N/A,FALSE,"회선임차현황"}</definedName>
    <definedName name="wrn.회선임차현황._3_3" hidden="1">{#N/A,#N/A,FALSE,"회선임차현황"}</definedName>
    <definedName name="wrn.회선임차현황._3_4" localSheetId="10" hidden="1">{#N/A,#N/A,FALSE,"회선임차현황"}</definedName>
    <definedName name="wrn.회선임차현황._3_4" localSheetId="9" hidden="1">{#N/A,#N/A,FALSE,"회선임차현황"}</definedName>
    <definedName name="wrn.회선임차현황._3_4" hidden="1">{#N/A,#N/A,FALSE,"회선임차현황"}</definedName>
    <definedName name="wrn.회선임차현황._4" localSheetId="10" hidden="1">{#N/A,#N/A,FALSE,"회선임차현황"}</definedName>
    <definedName name="wrn.회선임차현황._4" localSheetId="9" hidden="1">{#N/A,#N/A,FALSE,"회선임차현황"}</definedName>
    <definedName name="wrn.회선임차현황._4" hidden="1">{#N/A,#N/A,FALSE,"회선임차현황"}</definedName>
    <definedName name="wrn.회선임차현황._4_1" localSheetId="10" hidden="1">{#N/A,#N/A,FALSE,"회선임차현황"}</definedName>
    <definedName name="wrn.회선임차현황._4_1" localSheetId="9" hidden="1">{#N/A,#N/A,FALSE,"회선임차현황"}</definedName>
    <definedName name="wrn.회선임차현황._4_1" hidden="1">{#N/A,#N/A,FALSE,"회선임차현황"}</definedName>
    <definedName name="wrn.회선임차현황._4_2" localSheetId="10" hidden="1">{#N/A,#N/A,FALSE,"회선임차현황"}</definedName>
    <definedName name="wrn.회선임차현황._4_2" localSheetId="9" hidden="1">{#N/A,#N/A,FALSE,"회선임차현황"}</definedName>
    <definedName name="wrn.회선임차현황._4_2" hidden="1">{#N/A,#N/A,FALSE,"회선임차현황"}</definedName>
    <definedName name="wrn.회선임차현황._4_3" localSheetId="10" hidden="1">{#N/A,#N/A,FALSE,"회선임차현황"}</definedName>
    <definedName name="wrn.회선임차현황._4_3" localSheetId="9" hidden="1">{#N/A,#N/A,FALSE,"회선임차현황"}</definedName>
    <definedName name="wrn.회선임차현황._4_3" hidden="1">{#N/A,#N/A,FALSE,"회선임차현황"}</definedName>
    <definedName name="wrn.회선임차현황._4_4" localSheetId="10" hidden="1">{#N/A,#N/A,FALSE,"회선임차현황"}</definedName>
    <definedName name="wrn.회선임차현황._4_4" localSheetId="9" hidden="1">{#N/A,#N/A,FALSE,"회선임차현황"}</definedName>
    <definedName name="wrn.회선임차현황._4_4" hidden="1">{#N/A,#N/A,FALSE,"회선임차현황"}</definedName>
    <definedName name="wrn.회선임차현황._5" localSheetId="10" hidden="1">{#N/A,#N/A,FALSE,"회선임차현황"}</definedName>
    <definedName name="wrn.회선임차현황._5" localSheetId="9" hidden="1">{#N/A,#N/A,FALSE,"회선임차현황"}</definedName>
    <definedName name="wrn.회선임차현황._5" hidden="1">{#N/A,#N/A,FALSE,"회선임차현황"}</definedName>
    <definedName name="wrn.회선임차현황._5_1" localSheetId="10" hidden="1">{#N/A,#N/A,FALSE,"회선임차현황"}</definedName>
    <definedName name="wrn.회선임차현황._5_1" localSheetId="9" hidden="1">{#N/A,#N/A,FALSE,"회선임차현황"}</definedName>
    <definedName name="wrn.회선임차현황._5_1" hidden="1">{#N/A,#N/A,FALSE,"회선임차현황"}</definedName>
    <definedName name="wrn.회선임차현황._5_2" localSheetId="10" hidden="1">{#N/A,#N/A,FALSE,"회선임차현황"}</definedName>
    <definedName name="wrn.회선임차현황._5_2" localSheetId="9" hidden="1">{#N/A,#N/A,FALSE,"회선임차현황"}</definedName>
    <definedName name="wrn.회선임차현황._5_2" hidden="1">{#N/A,#N/A,FALSE,"회선임차현황"}</definedName>
    <definedName name="wrn.회선임차현황._5_3" localSheetId="10" hidden="1">{#N/A,#N/A,FALSE,"회선임차현황"}</definedName>
    <definedName name="wrn.회선임차현황._5_3" localSheetId="9" hidden="1">{#N/A,#N/A,FALSE,"회선임차현황"}</definedName>
    <definedName name="wrn.회선임차현황._5_3" hidden="1">{#N/A,#N/A,FALSE,"회선임차현황"}</definedName>
    <definedName name="wrn.회선임차현황._5_4" localSheetId="10" hidden="1">{#N/A,#N/A,FALSE,"회선임차현황"}</definedName>
    <definedName name="wrn.회선임차현황._5_4" localSheetId="9" hidden="1">{#N/A,#N/A,FALSE,"회선임차현황"}</definedName>
    <definedName name="wrn.회선임차현황._5_4" hidden="1">{#N/A,#N/A,FALSE,"회선임차현황"}</definedName>
    <definedName name="wrn.회의0104.XLS." localSheetId="10" hidden="1">{#N/A,#N/A,TRUE,"매출진척-1";#N/A,#N/A,TRUE,"매출진척-2";#N/A,#N/A,TRUE,"제품실적";#N/A,#N/A,TRUE,"RAC";#N/A,#N/A,TRUE,"PAC ";#N/A,#N/A,TRUE,"재고현황";#N/A,#N/A,TRUE,"공지사항"}</definedName>
    <definedName name="wrn.회의0104.XLS." localSheetId="9" hidden="1">{#N/A,#N/A,TRUE,"매출진척-1";#N/A,#N/A,TRUE,"매출진척-2";#N/A,#N/A,TRUE,"제품실적";#N/A,#N/A,TRUE,"RAC";#N/A,#N/A,TRUE,"PAC ";#N/A,#N/A,TRUE,"재고현황";#N/A,#N/A,TRUE,"공지사항"}</definedName>
    <definedName name="wrn.회의0104.XLS." hidden="1">{#N/A,#N/A,TRUE,"매출진척-1";#N/A,#N/A,TRUE,"매출진척-2";#N/A,#N/A,TRUE,"제품실적";#N/A,#N/A,TRUE,"RAC";#N/A,#N/A,TRUE,"PAC ";#N/A,#N/A,TRUE,"재고현황";#N/A,#N/A,TRUE,"공지사항"}</definedName>
    <definedName name="wrn.회의0104.XLS._1" localSheetId="10" hidden="1">{#N/A,#N/A,TRUE,"매출진척-1";#N/A,#N/A,TRUE,"매출진척-2";#N/A,#N/A,TRUE,"제품실적";#N/A,#N/A,TRUE,"RAC";#N/A,#N/A,TRUE,"PAC ";#N/A,#N/A,TRUE,"재고현황";#N/A,#N/A,TRUE,"공지사항"}</definedName>
    <definedName name="wrn.회의0104.XLS._1" localSheetId="9" hidden="1">{#N/A,#N/A,TRUE,"매출진척-1";#N/A,#N/A,TRUE,"매출진척-2";#N/A,#N/A,TRUE,"제품실적";#N/A,#N/A,TRUE,"RAC";#N/A,#N/A,TRUE,"PAC ";#N/A,#N/A,TRUE,"재고현황";#N/A,#N/A,TRUE,"공지사항"}</definedName>
    <definedName name="wrn.회의0104.XLS._1" hidden="1">{#N/A,#N/A,TRUE,"매출진척-1";#N/A,#N/A,TRUE,"매출진척-2";#N/A,#N/A,TRUE,"제품실적";#N/A,#N/A,TRUE,"RAC";#N/A,#N/A,TRUE,"PAC ";#N/A,#N/A,TRUE,"재고현황";#N/A,#N/A,TRUE,"공지사항"}</definedName>
    <definedName name="wrna.prod" localSheetId="10" hidden="1">{#N/A,#N/A,FALSE,"1";#N/A,#N/A,FALSE,"2";#N/A,#N/A,FALSE,"16 - 17";#N/A,#N/A,FALSE,"18 - 19";#N/A,#N/A,FALSE,"26";#N/A,#N/A,FALSE,"27";#N/A,#N/A,FALSE,"28"}</definedName>
    <definedName name="wrna.prod" localSheetId="9" hidden="1">{#N/A,#N/A,FALSE,"1";#N/A,#N/A,FALSE,"2";#N/A,#N/A,FALSE,"16 - 17";#N/A,#N/A,FALSE,"18 - 19";#N/A,#N/A,FALSE,"26";#N/A,#N/A,FALSE,"27";#N/A,#N/A,FALSE,"28"}</definedName>
    <definedName name="wrna.prod" hidden="1">{#N/A,#N/A,FALSE,"1";#N/A,#N/A,FALSE,"2";#N/A,#N/A,FALSE,"16 - 17";#N/A,#N/A,FALSE,"18 - 19";#N/A,#N/A,FALSE,"26";#N/A,#N/A,FALSE,"27";#N/A,#N/A,FALSE,"28"}</definedName>
    <definedName name="WRR" localSheetId="10" hidden="1">{#N/A,#N/A,FALSE,"Pharm";#N/A,#N/A,FALSE,"WWCM"}</definedName>
    <definedName name="WRR" localSheetId="9" hidden="1">{#N/A,#N/A,FALSE,"Pharm";#N/A,#N/A,FALSE,"WWCM"}</definedName>
    <definedName name="WRR" hidden="1">{#N/A,#N/A,FALSE,"Pharm";#N/A,#N/A,FALSE,"WWCM"}</definedName>
    <definedName name="wrrrrr" localSheetId="10" hidden="1">{#N/A,#N/A,FALSE,"REPORT"}</definedName>
    <definedName name="wrrrrr" localSheetId="9" hidden="1">{#N/A,#N/A,FALSE,"REPORT"}</definedName>
    <definedName name="wrrrrr" hidden="1">{#N/A,#N/A,FALSE,"REPORT"}</definedName>
    <definedName name="wrty" localSheetId="10" hidden="1">{"'용역비'!$A$4:$C$8"}</definedName>
    <definedName name="wrty" localSheetId="9" hidden="1">{"'용역비'!$A$4:$C$8"}</definedName>
    <definedName name="wrty" hidden="1">{"'용역비'!$A$4:$C$8"}</definedName>
    <definedName name="wrtyrtyrt" localSheetId="10" hidden="1">{"'용역비'!$A$4:$C$8"}</definedName>
    <definedName name="wrtyrtyrt" localSheetId="9" hidden="1">{"'용역비'!$A$4:$C$8"}</definedName>
    <definedName name="wrtyrtyrt" hidden="1">{"'용역비'!$A$4:$C$8"}</definedName>
    <definedName name="wrtywrtywr" localSheetId="10" hidden="1">{"'용역비'!$A$4:$C$8"}</definedName>
    <definedName name="wrtywrtywr" localSheetId="9" hidden="1">{"'용역비'!$A$4:$C$8"}</definedName>
    <definedName name="wrtywrtywr" hidden="1">{"'용역비'!$A$4:$C$8"}</definedName>
    <definedName name="ws" localSheetId="10" hidden="1">{"'보고양식'!$A$58:$K$111"}</definedName>
    <definedName name="ws" localSheetId="9" hidden="1">{"'보고양식'!$A$58:$K$111"}</definedName>
    <definedName name="ws" hidden="1">{"'보고양식'!$A$58:$K$111"}</definedName>
    <definedName name="wuy" localSheetId="10" hidden="1">{"'용역비'!$A$4:$C$8"}</definedName>
    <definedName name="wuy" localSheetId="9" hidden="1">{"'용역비'!$A$4:$C$8"}</definedName>
    <definedName name="wuy" hidden="1">{"'용역비'!$A$4:$C$8"}</definedName>
    <definedName name="wv" localSheetId="10" hidden="1">{#N/A,#N/A,FALSE,"Pharm";#N/A,#N/A,FALSE,"WWCM"}</definedName>
    <definedName name="wv" localSheetId="9" hidden="1">{#N/A,#N/A,FALSE,"Pharm";#N/A,#N/A,FALSE,"WWCM"}</definedName>
    <definedName name="wv" hidden="1">{#N/A,#N/A,FALSE,"Pharm";#N/A,#N/A,FALSE,"WWCM"}</definedName>
    <definedName name="wvsc" hidden="1">#REF!</definedName>
    <definedName name="wvu.cash." localSheetId="10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" localSheetId="9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1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1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2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2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3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3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4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4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_1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_1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_2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_2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_3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_3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_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_4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_4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_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_1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_1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_2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_2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_3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_3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_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_4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_4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_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4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4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4_1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4_1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4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4_2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4_2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4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4_3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4_3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4_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4_4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4_4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4_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5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5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5_1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5_1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5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5_2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5_2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5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5_3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5_3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5_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5_4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5_4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5_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data.1" localSheetId="1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data.1" localSheetId="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data.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localSheetId="10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" localSheetId="9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REPORT." localSheetId="10" hidden="1">{TRUE,TRUE,-2.75,-17,484.5,255.75,FALSE,TRUE,TRUE,TRUE,0,1,#N/A,23,#N/A,5.96875,16.3529411764706,1,FALSE,FALSE,3,TRUE,1,FALSE,100,"Swvu.REPORT.","ACwvu.REPORT.",#N/A,FALSE,FALSE,0.748031496062992,0.748031496062992,0.94488188976378,0.78740157480315,1,"","&amp;L&amp;""CG Omega,Regular""&amp;9&amp;A of &amp;F&amp;C&amp;""CG Omega,Regular""&amp;9&amp;P&amp;R&amp;""CG Omega,Italic""&amp;9&amp;D &amp;T",TRUE,FALSE,FALSE,FALSE,1,#N/A,1,1,FALSE,FALSE,#N/A,#N/A,FALSE,FALSE,FALSE,9,300,300,FALSE,FALSE,TRUE,TRUE,TRUE}</definedName>
    <definedName name="wvu.REPORT." localSheetId="9" hidden="1">{TRUE,TRUE,-2.75,-17,484.5,255.75,FALSE,TRUE,TRUE,TRUE,0,1,#N/A,23,#N/A,5.96875,16.3529411764706,1,FALSE,FALSE,3,TRUE,1,FALSE,100,"Swvu.REPORT.","ACwvu.REPORT.",#N/A,FALSE,FALSE,0.748031496062992,0.748031496062992,0.94488188976378,0.78740157480315,1,"","&amp;L&amp;""CG Omega,Regular""&amp;9&amp;A of &amp;F&amp;C&amp;""CG Omega,Regular""&amp;9&amp;P&amp;R&amp;""CG Omega,Italic""&amp;9&amp;D &amp;T",TRUE,FALSE,FALSE,FALSE,1,#N/A,1,1,FALSE,FALSE,#N/A,#N/A,FALSE,FALSE,FALSE,9,300,300,FALSE,FALSE,TRUE,TRUE,TRUE}</definedName>
    <definedName name="wvu.REPORT." hidden="1">{TRUE,TRUE,-2.75,-17,484.5,255.75,FALSE,TRUE,TRUE,TRUE,0,1,#N/A,23,#N/A,5.96875,16.3529411764706,1,FALSE,FALSE,3,TRUE,1,FALSE,100,"Swvu.REPORT.","ACwvu.REPORT.",#N/A,FALSE,FALSE,0.748031496062992,0.748031496062992,0.94488188976378,0.78740157480315,1,"","&amp;L&amp;""CG Omega,Regular""&amp;9&amp;A of &amp;F&amp;C&amp;""CG Omega,Regular""&amp;9&amp;P&amp;R&amp;""CG Omega,Italic""&amp;9&amp;D &amp;T",TRUE,FALSE,FALSE,FALSE,1,#N/A,1,1,FALSE,FALSE,#N/A,#N/A,FALSE,FALSE,FALSE,9,300,300,FALSE,FALSE,TRUE,TRUE,TRUE}</definedName>
    <definedName name="wvu.summary1.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1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1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2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2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3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3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4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4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_1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_1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_2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_2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_3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_3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_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_4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_4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_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_1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_1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_2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_2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_3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_3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_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_4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_4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_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4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4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4_1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4_1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4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4_2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4_2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4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4_3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4_3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4_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4_4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4_4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4_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5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5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5_1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5_1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5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5_2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5_2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5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5_3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5_3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5_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5_4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5_4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5_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1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1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9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localSheetId="1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localSheetId="9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1" localSheetId="1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1" localSheetId="9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2" localSheetId="1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2" localSheetId="9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3" localSheetId="1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3" localSheetId="9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4" localSheetId="1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4" localSheetId="9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" localSheetId="1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" localSheetId="9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_1" localSheetId="1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_1" localSheetId="9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_2" localSheetId="1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_2" localSheetId="9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_3" localSheetId="1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_3" localSheetId="9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_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_4" localSheetId="1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_4" localSheetId="9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_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" localSheetId="1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" localSheetId="9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_1" localSheetId="1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_1" localSheetId="9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_2" localSheetId="1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_2" localSheetId="9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_3" localSheetId="1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_3" localSheetId="9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_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_4" localSheetId="1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_4" localSheetId="9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_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4" localSheetId="1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4" localSheetId="9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4_1" localSheetId="1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4_1" localSheetId="9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4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4_2" localSheetId="1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4_2" localSheetId="9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4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4_3" localSheetId="1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4_3" localSheetId="9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4_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4_4" localSheetId="1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4_4" localSheetId="9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4_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5" localSheetId="1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5" localSheetId="9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5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5_1" localSheetId="1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5_1" localSheetId="9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5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5_2" localSheetId="1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5_2" localSheetId="9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5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5_3" localSheetId="1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5_3" localSheetId="9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5_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5_4" localSheetId="1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5_4" localSheetId="9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5_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1" localSheetId="1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1" localSheetId="9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9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localSheetId="1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localSheetId="9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1" localSheetId="1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1" localSheetId="9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2" localSheetId="1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2" localSheetId="9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3" localSheetId="1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3" localSheetId="9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4" localSheetId="1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4" localSheetId="9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" localSheetId="1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" localSheetId="9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_1" localSheetId="1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_1" localSheetId="9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_2" localSheetId="1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_2" localSheetId="9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_3" localSheetId="1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_3" localSheetId="9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_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_4" localSheetId="1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_4" localSheetId="9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_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" localSheetId="1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" localSheetId="9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_1" localSheetId="1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_1" localSheetId="9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_2" localSheetId="1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_2" localSheetId="9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_3" localSheetId="1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_3" localSheetId="9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_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_4" localSheetId="1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_4" localSheetId="9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_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4" localSheetId="1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4" localSheetId="9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4_1" localSheetId="1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4_1" localSheetId="9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4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4_2" localSheetId="1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4_2" localSheetId="9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4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4_3" localSheetId="1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4_3" localSheetId="9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4_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4_4" localSheetId="1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4_4" localSheetId="9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4_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5" localSheetId="1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5" localSheetId="9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5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5_1" localSheetId="1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5_1" localSheetId="9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5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5_2" localSheetId="1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5_2" localSheetId="9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5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5_3" localSheetId="1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5_3" localSheetId="9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5_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5_4" localSheetId="1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5_4" localSheetId="9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5_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1" localSheetId="1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1" localSheetId="9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1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9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1" localSheetId="1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1" localSheetId="9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turnover." localSheetId="10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" localSheetId="9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localSheetId="10" hidden="1">{#N/A,#N/A,FALSE,"P&amp;L Variance";#N/A,#N/A,FALSE,"Location P&amp;L (Actual)";#N/A,#N/A,FALSE,"Location P&amp;L (Budget)";#N/A,#N/A,FALSE,"Location P&amp;L (Variance)";#N/A,#N/A,FALSE,"By Month P&amp;L"}</definedName>
    <definedName name="ww" localSheetId="9" hidden="1">{#N/A,#N/A,FALSE,"P&amp;L Variance";#N/A,#N/A,FALSE,"Location P&amp;L (Actual)";#N/A,#N/A,FALSE,"Location P&amp;L (Budget)";#N/A,#N/A,FALSE,"Location P&amp;L (Variance)";#N/A,#N/A,FALSE,"By Month P&amp;L"}</definedName>
    <definedName name="ww" hidden="1">{#N/A,#N/A,FALSE,"P&amp;L Variance";#N/A,#N/A,FALSE,"Location P&amp;L (Actual)";#N/A,#N/A,FALSE,"Location P&amp;L (Budget)";#N/A,#N/A,FALSE,"Location P&amp;L (Variance)";#N/A,#N/A,FALSE,"By Month P&amp;L"}</definedName>
    <definedName name="ww_1" localSheetId="10" hidden="1">{#N/A,#N/A,FALSE,"P&amp;L Variance";#N/A,#N/A,FALSE,"Location P&amp;L (Actual)";#N/A,#N/A,FALSE,"Location P&amp;L (Budget)";#N/A,#N/A,FALSE,"Location P&amp;L (Variance)";#N/A,#N/A,FALSE,"By Month P&amp;L"}</definedName>
    <definedName name="ww_1" localSheetId="9" hidden="1">{#N/A,#N/A,FALSE,"P&amp;L Variance";#N/A,#N/A,FALSE,"Location P&amp;L (Actual)";#N/A,#N/A,FALSE,"Location P&amp;L (Budget)";#N/A,#N/A,FALSE,"Location P&amp;L (Variance)";#N/A,#N/A,FALSE,"By Month P&amp;L"}</definedName>
    <definedName name="ww_1" hidden="1">{#N/A,#N/A,FALSE,"P&amp;L Variance";#N/A,#N/A,FALSE,"Location P&amp;L (Actual)";#N/A,#N/A,FALSE,"Location P&amp;L (Budget)";#N/A,#N/A,FALSE,"Location P&amp;L (Variance)";#N/A,#N/A,FALSE,"By Month P&amp;L"}</definedName>
    <definedName name="WW6a6ba7e2ed0f49b0a2cb9c18beacff77_4946" hidden="1">#REF!</definedName>
    <definedName name="WW6a6ba7e2ed0f49b0a2cb9c18beacff77_949E" hidden="1">#REF!</definedName>
    <definedName name="WW6a6ba7e2ed0f49b0a2cb9c18beacff77_FAD4" hidden="1">#REF!</definedName>
    <definedName name="WW870d0e8fb80e4026b6c9980dba1c7b18_57FA" hidden="1">#REF!</definedName>
    <definedName name="WWc7ceb1d0a22b4398926a9ebc0eda7ba0_634344890342528032" hidden="1">#REF!</definedName>
    <definedName name="WWd4f0d6dd1237419d8a47e24930e0a22a_4381" hidden="1">#REF!</definedName>
    <definedName name="WWd4f0d6dd1237419d8a47e24930e0a22a_5A21" hidden="1">#REF!</definedName>
    <definedName name="WWee7b8cdba5b74dfa8036a811a39efbaa_634377957048854764" hidden="1">#REF!</definedName>
    <definedName name="wwii" localSheetId="10" hidden="1">{#N/A,#N/A,TRUE,"Clairwyn Richardson";#N/A,#N/A,TRUE,"P&amp;L - Harrogate";#N/A,#N/A,TRUE,"P&amp;L - York";#N/A,#N/A,TRUE,"P&amp;L - Leeds";#N/A,#N/A,TRUE,"P&amp;L - Manchester";#N/A,#N/A,TRUE,"P&amp;L - Deansgate";#N/A,#N/A,TRUE,"P&amp;L - Durham";#N/A,#N/A,TRUE,"P&amp;L - Nottingham";#N/A,#N/A,TRUE,"P&amp;L - The Triangle"}</definedName>
    <definedName name="wwii" localSheetId="9" hidden="1">{#N/A,#N/A,TRUE,"Clairwyn Richardson";#N/A,#N/A,TRUE,"P&amp;L - Harrogate";#N/A,#N/A,TRUE,"P&amp;L - York";#N/A,#N/A,TRUE,"P&amp;L - Leeds";#N/A,#N/A,TRUE,"P&amp;L - Manchester";#N/A,#N/A,TRUE,"P&amp;L - Deansgate";#N/A,#N/A,TRUE,"P&amp;L - Durham";#N/A,#N/A,TRUE,"P&amp;L - Nottingham";#N/A,#N/A,TRUE,"P&amp;L - The Triangle"}</definedName>
    <definedName name="wwii" hidden="1">{#N/A,#N/A,TRUE,"Clairwyn Richardson";#N/A,#N/A,TRUE,"P&amp;L - Harrogate";#N/A,#N/A,TRUE,"P&amp;L - York";#N/A,#N/A,TRUE,"P&amp;L - Leeds";#N/A,#N/A,TRUE,"P&amp;L - Manchester";#N/A,#N/A,TRUE,"P&amp;L - Deansgate";#N/A,#N/A,TRUE,"P&amp;L - Durham";#N/A,#N/A,TRUE,"P&amp;L - Nottingham";#N/A,#N/A,TRUE,"P&amp;L - The Triangle"}</definedName>
    <definedName name="www" localSheetId="1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ww" localSheetId="9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ww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ww2123aaa" localSheetId="10" hidden="1">{#N/A,#N/A,FALSE,"Pharm";#N/A,#N/A,FALSE,"WWCM"}</definedName>
    <definedName name="www2123aaa" localSheetId="9" hidden="1">{#N/A,#N/A,FALSE,"Pharm";#N/A,#N/A,FALSE,"WWCM"}</definedName>
    <definedName name="www2123aaa" hidden="1">{#N/A,#N/A,FALSE,"Pharm";#N/A,#N/A,FALSE,"WWCM"}</definedName>
    <definedName name="wwww" localSheetId="10" hidden="1">{#N/A,#N/A,FALSE,"UNIT";#N/A,#N/A,FALSE,"UNIT";#N/A,#N/A,FALSE,"계정"}</definedName>
    <definedName name="wwww" localSheetId="9" hidden="1">{#N/A,#N/A,FALSE,"UNIT";#N/A,#N/A,FALSE,"UNIT";#N/A,#N/A,FALSE,"계정"}</definedName>
    <definedName name="wwww" hidden="1">{#N/A,#N/A,FALSE,"UNIT";#N/A,#N/A,FALSE,"UNIT";#N/A,#N/A,FALSE,"계정"}</definedName>
    <definedName name="wwww_1" localSheetId="10" hidden="1">{#N/A,#N/A,FALSE,"UNIT";#N/A,#N/A,FALSE,"UNIT";#N/A,#N/A,FALSE,"계정"}</definedName>
    <definedName name="wwww_1" localSheetId="9" hidden="1">{#N/A,#N/A,FALSE,"UNIT";#N/A,#N/A,FALSE,"UNIT";#N/A,#N/A,FALSE,"계정"}</definedName>
    <definedName name="wwww_1" hidden="1">{#N/A,#N/A,FALSE,"UNIT";#N/A,#N/A,FALSE,"UNIT";#N/A,#N/A,FALSE,"계정"}</definedName>
    <definedName name="wwwwwww" hidden="1">#REF!</definedName>
    <definedName name="wx" localSheetId="10" hidden="1">{#N/A,#N/A,FALSE,"Pharm";#N/A,#N/A,FALSE,"WWCM"}</definedName>
    <definedName name="wx" localSheetId="9" hidden="1">{#N/A,#N/A,FALSE,"Pharm";#N/A,#N/A,FALSE,"WWCM"}</definedName>
    <definedName name="wx" hidden="1">{#N/A,#N/A,FALSE,"Pharm";#N/A,#N/A,FALSE,"WWCM"}</definedName>
    <definedName name="x" localSheetId="10" hidden="1">{#N/A,#N/A,FALSE,"P&amp;L Variance";#N/A,#N/A,FALSE,"Location P&amp;L (Actual)";#N/A,#N/A,FALSE,"Location P&amp;L (Budget)";#N/A,#N/A,FALSE,"Location P&amp;L (Variance)";#N/A,#N/A,FALSE,"By Month P&amp;L"}</definedName>
    <definedName name="x" localSheetId="9" hidden="1">{#N/A,#N/A,FALSE,"YTD ,99"}</definedName>
    <definedName name="x" hidden="1">{#N/A,#N/A,FALSE,"P&amp;L Variance";#N/A,#N/A,FALSE,"Location P&amp;L (Actual)";#N/A,#N/A,FALSE,"Location P&amp;L (Budget)";#N/A,#N/A,FALSE,"Location P&amp;L (Variance)";#N/A,#N/A,FALSE,"By Month P&amp;L"}</definedName>
    <definedName name="x_1" localSheetId="10" hidden="1">{#N/A,#N/A,FALSE,"YTD ,99"}</definedName>
    <definedName name="x_1" localSheetId="9" hidden="1">{#N/A,#N/A,FALSE,"YTD ,99"}</definedName>
    <definedName name="x_1" hidden="1">{#N/A,#N/A,FALSE,"YTD ,99"}</definedName>
    <definedName name="xcv" localSheetId="10" hidden="1">{#N/A,#N/A,FALSE,"Pharm";#N/A,#N/A,FALSE,"WWCM"}</definedName>
    <definedName name="xcv" localSheetId="9" hidden="1">{#N/A,#N/A,FALSE,"Pharm";#N/A,#N/A,FALSE,"WWCM"}</definedName>
    <definedName name="xcv" hidden="1">{#N/A,#N/A,FALSE,"Pharm";#N/A,#N/A,FALSE,"WWCM"}</definedName>
    <definedName name="xcvc" hidden="1">#REF!</definedName>
    <definedName name="xd품확일정" localSheetId="10" hidden="1">{#N/A,#N/A,FALSE,"단축1";#N/A,#N/A,FALSE,"단축2";#N/A,#N/A,FALSE,"단축3";#N/A,#N/A,FALSE,"장축";#N/A,#N/A,FALSE,"4WD"}</definedName>
    <definedName name="xd품확일정" localSheetId="9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4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8Row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1" hidden="1">#REF!</definedName>
    <definedName name="XRefCopy61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6" hidden="1">#REF!</definedName>
    <definedName name="XRefCopy66Row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8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8" hidden="1">#REF!</definedName>
    <definedName name="XRefPaste148Row" hidden="1">#REF!</definedName>
    <definedName name="XRefPaste149" hidden="1">#REF!</definedName>
    <definedName name="XRefPaste149Row" hidden="1">#REF!</definedName>
    <definedName name="XRefPaste14Row" hidden="1">#REF!</definedName>
    <definedName name="XRefPaste15" hidden="1">#REF!</definedName>
    <definedName name="XRefPaste150" hidden="1">#REF!</definedName>
    <definedName name="XRefPaste150Row" hidden="1">#REF!</definedName>
    <definedName name="XRefPaste151" hidden="1">#REF!</definedName>
    <definedName name="XRefPaste151Row" hidden="1">#REF!</definedName>
    <definedName name="XRefPaste152" hidden="1">#REF!</definedName>
    <definedName name="XRefPaste152Row" hidden="1">#REF!</definedName>
    <definedName name="XRefPaste153" hidden="1">#REF!</definedName>
    <definedName name="XRefPaste153Row" hidden="1">#REF!</definedName>
    <definedName name="XRefPaste154" hidden="1">#REF!</definedName>
    <definedName name="XRefPaste154Row" hidden="1">#REF!</definedName>
    <definedName name="XRefPaste155" hidden="1">#REF!</definedName>
    <definedName name="XRefPaste155Row" hidden="1">#REF!</definedName>
    <definedName name="XRefPaste156" hidden="1">#REF!</definedName>
    <definedName name="XRefPaste156Row" hidden="1">#REF!</definedName>
    <definedName name="XRefPaste157" hidden="1">#REF!</definedName>
    <definedName name="XRefPaste157Row" hidden="1">#REF!</definedName>
    <definedName name="XRefPaste158" hidden="1">#REF!</definedName>
    <definedName name="XRefPaste158Row" hidden="1">#REF!</definedName>
    <definedName name="XRefPaste159" hidden="1">#REF!</definedName>
    <definedName name="XRefPaste159Row" hidden="1">#REF!</definedName>
    <definedName name="XRefPaste15Row" hidden="1">#REF!</definedName>
    <definedName name="XRefPaste16" hidden="1">#REF!</definedName>
    <definedName name="XRefPaste160" hidden="1">#REF!</definedName>
    <definedName name="XRefPaste160Row" hidden="1">#REF!</definedName>
    <definedName name="XRefPaste161" hidden="1">#REF!</definedName>
    <definedName name="XRefPaste161Row" hidden="1">#REF!</definedName>
    <definedName name="XRefPaste162" hidden="1">#REF!</definedName>
    <definedName name="XRefPaste162Row" hidden="1">#REF!</definedName>
    <definedName name="XRefPaste163" hidden="1">#REF!</definedName>
    <definedName name="XRefPaste163Row" hidden="1">#REF!</definedName>
    <definedName name="XRefPaste164" hidden="1">#REF!</definedName>
    <definedName name="XRefPaste164Row" hidden="1">#REF!</definedName>
    <definedName name="XRefPaste165" hidden="1">#REF!</definedName>
    <definedName name="XRefPaste165Row" hidden="1">#REF!</definedName>
    <definedName name="XRefPaste166" hidden="1">#REF!</definedName>
    <definedName name="XRefPaste166Row" hidden="1">#REF!</definedName>
    <definedName name="XRefPaste167" hidden="1">#REF!</definedName>
    <definedName name="XRefPaste167Row" hidden="1">#REF!</definedName>
    <definedName name="XRefPaste168" hidden="1">#REF!</definedName>
    <definedName name="XRefPaste168Row" hidden="1">#REF!</definedName>
    <definedName name="XRefPaste169" hidden="1">#REF!</definedName>
    <definedName name="XRefPaste169Row" hidden="1">#REF!</definedName>
    <definedName name="XRefPaste16Row" hidden="1">#REF!</definedName>
    <definedName name="XRefPaste17" hidden="1">#REF!</definedName>
    <definedName name="XRefPaste170" hidden="1">#REF!</definedName>
    <definedName name="XRefPaste170Row" hidden="1">#REF!</definedName>
    <definedName name="XRefPaste171" hidden="1">#REF!</definedName>
    <definedName name="XRefPaste171Row" hidden="1">#REF!</definedName>
    <definedName name="XRefPaste172" hidden="1">#REF!</definedName>
    <definedName name="XRefPaste172Row" hidden="1">#REF!</definedName>
    <definedName name="XRefPaste173" hidden="1">#REF!</definedName>
    <definedName name="XRefPaste173Row" hidden="1">#REF!</definedName>
    <definedName name="XRefPaste174" hidden="1">#REF!</definedName>
    <definedName name="XRefPaste174Row" hidden="1">#REF!</definedName>
    <definedName name="XRefPaste175" hidden="1">#REF!</definedName>
    <definedName name="XRefPaste175Row" hidden="1">#REF!</definedName>
    <definedName name="XRefPaste176" hidden="1">#REF!</definedName>
    <definedName name="XRefPaste176Row" hidden="1">#REF!</definedName>
    <definedName name="XRefPaste177" hidden="1">#REF!</definedName>
    <definedName name="XRefPaste177Row" hidden="1">#REF!</definedName>
    <definedName name="XRefPaste178" hidden="1">#REF!</definedName>
    <definedName name="XRefPaste178Row" hidden="1">#REF!</definedName>
    <definedName name="XRefPaste179" hidden="1">#REF!</definedName>
    <definedName name="XRefPaste179Row" hidden="1">#REF!</definedName>
    <definedName name="XRefPaste17Row" hidden="1">#REF!</definedName>
    <definedName name="XRefPaste18" hidden="1">#REF!</definedName>
    <definedName name="XRefPaste180" hidden="1">#REF!</definedName>
    <definedName name="XRefPaste180Row" hidden="1">#REF!</definedName>
    <definedName name="XRefPaste181" hidden="1">#REF!</definedName>
    <definedName name="XRefPaste181Row" hidden="1">#REF!</definedName>
    <definedName name="XRefPaste182" hidden="1">#REF!</definedName>
    <definedName name="XRefPaste182Row" hidden="1">#REF!</definedName>
    <definedName name="XRefPaste183" hidden="1">#REF!</definedName>
    <definedName name="XRefPaste183Row" hidden="1">#REF!</definedName>
    <definedName name="XRefPaste184" hidden="1">#REF!</definedName>
    <definedName name="XRefPaste184Row" hidden="1">#REF!</definedName>
    <definedName name="XRefPaste185" hidden="1">#REF!</definedName>
    <definedName name="XRefPaste185Row" hidden="1">#REF!</definedName>
    <definedName name="XRefPaste186" hidden="1">#REF!</definedName>
    <definedName name="XRefPaste186Row" hidden="1">#REF!</definedName>
    <definedName name="XRefPaste187" hidden="1">#REF!</definedName>
    <definedName name="XRefPaste187Row" hidden="1">#REF!</definedName>
    <definedName name="XRefPaste188" hidden="1">#REF!</definedName>
    <definedName name="XRefPaste188Row" hidden="1">#REF!</definedName>
    <definedName name="XRefPaste189" hidden="1">#REF!</definedName>
    <definedName name="XRefPaste189Row" hidden="1">#REF!</definedName>
    <definedName name="XRefPaste18Row" hidden="1">#REF!</definedName>
    <definedName name="XRefPaste19" hidden="1">#REF!</definedName>
    <definedName name="XRefPaste190" hidden="1">#REF!</definedName>
    <definedName name="XRefPaste190Row" hidden="1">#REF!</definedName>
    <definedName name="XRefPaste191" hidden="1">#REF!</definedName>
    <definedName name="XRefPaste191Row" hidden="1">#REF!</definedName>
    <definedName name="XRefPaste192" hidden="1">#REF!</definedName>
    <definedName name="XRefPaste192Row" hidden="1">#REF!</definedName>
    <definedName name="XRefPaste193" hidden="1">#REF!</definedName>
    <definedName name="XRefPaste193Row" hidden="1">#REF!</definedName>
    <definedName name="XRefPaste194" hidden="1">#REF!</definedName>
    <definedName name="XRefPaste194Row" hidden="1">#REF!</definedName>
    <definedName name="XRefPaste195" hidden="1">#REF!</definedName>
    <definedName name="XRefPaste195Row" hidden="1">#REF!</definedName>
    <definedName name="XRefPaste196" hidden="1">#REF!</definedName>
    <definedName name="XRefPaste196Row" hidden="1">#REF!</definedName>
    <definedName name="XRefPaste197" hidden="1">#REF!</definedName>
    <definedName name="XRefPaste197Row" hidden="1">#REF!</definedName>
    <definedName name="XRefPaste198" hidden="1">#REF!</definedName>
    <definedName name="XRefPaste198Row" hidden="1">#REF!</definedName>
    <definedName name="XRefPaste199" hidden="1">#REF!</definedName>
    <definedName name="XRefPaste199Row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0" hidden="1">#REF!</definedName>
    <definedName name="XRefPaste200Row" hidden="1">#REF!</definedName>
    <definedName name="XRefPaste201" hidden="1">#REF!</definedName>
    <definedName name="XRefPaste201Row" hidden="1">#REF!</definedName>
    <definedName name="XRefPaste202" hidden="1">#REF!</definedName>
    <definedName name="XRefPaste202Row" hidden="1">#REF!</definedName>
    <definedName name="XRefPaste203" hidden="1">#REF!</definedName>
    <definedName name="XRefPaste203Row" hidden="1">#REF!</definedName>
    <definedName name="XRefPaste204" hidden="1">#REF!</definedName>
    <definedName name="XRefPaste204Row" hidden="1">#REF!</definedName>
    <definedName name="XRefPaste205" hidden="1">#REF!</definedName>
    <definedName name="XRefPaste205Row" hidden="1">#REF!</definedName>
    <definedName name="XRefPaste206" hidden="1">#REF!</definedName>
    <definedName name="XRefPaste206Row" hidden="1">#REF!</definedName>
    <definedName name="XRefPaste207" hidden="1">#REF!</definedName>
    <definedName name="XRefPaste207Row" hidden="1">#REF!</definedName>
    <definedName name="XRefPaste208" hidden="1">#REF!</definedName>
    <definedName name="XRefPaste208Row" hidden="1">#REF!</definedName>
    <definedName name="XRefPaste209" hidden="1">#REF!</definedName>
    <definedName name="XRefPaste209Row" hidden="1">#REF!</definedName>
    <definedName name="XRefPaste20Row" hidden="1">#REF!</definedName>
    <definedName name="XRefPaste21" hidden="1">#REF!</definedName>
    <definedName name="XRefPaste210" hidden="1">#REF!</definedName>
    <definedName name="XRefPaste210Row" hidden="1">#REF!</definedName>
    <definedName name="XRefPaste212" hidden="1">#REF!</definedName>
    <definedName name="XRefPaste212Row" hidden="1">#REF!</definedName>
    <definedName name="XRefPaste213" hidden="1">#REF!</definedName>
    <definedName name="XRefPaste213Row" hidden="1">#REF!</definedName>
    <definedName name="XRefPaste214" hidden="1">#REF!</definedName>
    <definedName name="XRefPaste214Row" hidden="1">#REF!</definedName>
    <definedName name="XRefPaste215" hidden="1">#REF!</definedName>
    <definedName name="XRefPaste215Row" hidden="1">#REF!</definedName>
    <definedName name="XRefPaste216" hidden="1">#REF!</definedName>
    <definedName name="XRefPaste216Row" hidden="1">#REF!</definedName>
    <definedName name="XRefPaste217" hidden="1">#REF!</definedName>
    <definedName name="XRefPaste217Row" hidden="1">#REF!</definedName>
    <definedName name="XRefPaste218" hidden="1">#REF!</definedName>
    <definedName name="XRefPaste218Row" hidden="1">#REF!</definedName>
    <definedName name="XRefPaste219" hidden="1">#REF!</definedName>
    <definedName name="XRefPaste219Row" hidden="1">#REF!</definedName>
    <definedName name="XRefPaste21Row" hidden="1">#REF!</definedName>
    <definedName name="XRefPaste22" hidden="1">#REF!</definedName>
    <definedName name="XRefPaste220" hidden="1">#REF!</definedName>
    <definedName name="XRefPaste220Row" hidden="1">#REF!</definedName>
    <definedName name="XRefPaste221" hidden="1">#REF!</definedName>
    <definedName name="XRefPaste221Row" hidden="1">#REF!</definedName>
    <definedName name="XRefPaste222" hidden="1">#REF!</definedName>
    <definedName name="XRefPaste222Row" hidden="1">#REF!</definedName>
    <definedName name="XRefPaste223" hidden="1">#REF!</definedName>
    <definedName name="XRefPaste223Row" hidden="1">#REF!</definedName>
    <definedName name="XRefPaste224" hidden="1">#REF!</definedName>
    <definedName name="XRefPaste224Row" hidden="1">#REF!</definedName>
    <definedName name="XRefPaste225" hidden="1">#REF!</definedName>
    <definedName name="XRefPaste225Row" hidden="1">#REF!</definedName>
    <definedName name="XRefPaste226" hidden="1">#REF!</definedName>
    <definedName name="XRefPaste226Row" hidden="1">#REF!</definedName>
    <definedName name="XRefPaste227" hidden="1">#REF!</definedName>
    <definedName name="XRefPaste227Row" hidden="1">#REF!</definedName>
    <definedName name="XRefPaste228" hidden="1">#REF!</definedName>
    <definedName name="XRefPaste228Row" hidden="1">#REF!</definedName>
    <definedName name="XRefPaste229" hidden="1">#REF!</definedName>
    <definedName name="XRefPaste229Row" hidden="1">#REF!</definedName>
    <definedName name="XRefPaste22Row" hidden="1">#REF!</definedName>
    <definedName name="XRefPaste23" hidden="1">#REF!</definedName>
    <definedName name="XRefPaste230" hidden="1">#REF!</definedName>
    <definedName name="XRefPaste230Row" hidden="1">#REF!</definedName>
    <definedName name="XRefPaste231" hidden="1">#REF!</definedName>
    <definedName name="XRefPaste231Row" hidden="1">#REF!</definedName>
    <definedName name="XRefPaste232" hidden="1">#REF!</definedName>
    <definedName name="XRefPaste232Row" hidden="1">#REF!</definedName>
    <definedName name="XRefPaste233" hidden="1">#REF!</definedName>
    <definedName name="XRefPaste233Row" hidden="1">#REF!</definedName>
    <definedName name="XRefPaste234" hidden="1">#REF!</definedName>
    <definedName name="XRefPaste234Row" hidden="1">#REF!</definedName>
    <definedName name="XRefPaste235" hidden="1">#REF!</definedName>
    <definedName name="XRefPaste235Row" hidden="1">#REF!</definedName>
    <definedName name="XRefPaste236" hidden="1">#REF!</definedName>
    <definedName name="XRefPaste236Row" hidden="1">#REF!</definedName>
    <definedName name="XRefPaste237" hidden="1">#REF!</definedName>
    <definedName name="XRefPaste237Row" hidden="1">#REF!</definedName>
    <definedName name="XRefPaste238" hidden="1">#REF!</definedName>
    <definedName name="XRefPaste238Row" hidden="1">#REF!</definedName>
    <definedName name="XRefPaste239" hidden="1">#REF!</definedName>
    <definedName name="XRefPaste239Row" hidden="1">#REF!</definedName>
    <definedName name="XRefPaste23Row" hidden="1">#REF!</definedName>
    <definedName name="XRefPaste24" hidden="1">#REF!</definedName>
    <definedName name="XRefPaste240" hidden="1">#REF!</definedName>
    <definedName name="XRefPaste240Row" hidden="1">#REF!</definedName>
    <definedName name="XRefPaste241" hidden="1">#REF!</definedName>
    <definedName name="XRefPaste241Row" hidden="1">#REF!</definedName>
    <definedName name="XRefPaste242" hidden="1">#REF!</definedName>
    <definedName name="XRefPaste242Row" hidden="1">#REF!</definedName>
    <definedName name="XRefPaste243" hidden="1">#REF!</definedName>
    <definedName name="XRefPaste243Row" hidden="1">#REF!</definedName>
    <definedName name="XRefPaste244" hidden="1">#REF!</definedName>
    <definedName name="XRefPaste244Row" hidden="1">#REF!</definedName>
    <definedName name="XRefPaste245" hidden="1">#REF!</definedName>
    <definedName name="XRefPaste245Row" hidden="1">#REF!</definedName>
    <definedName name="XRefPaste246" hidden="1">#REF!</definedName>
    <definedName name="XRefPaste246Row" hidden="1">#REF!</definedName>
    <definedName name="XRefPaste247" hidden="1">#REF!</definedName>
    <definedName name="XRefPaste247Row" hidden="1">#REF!</definedName>
    <definedName name="XRefPaste248" hidden="1">#REF!</definedName>
    <definedName name="XRefPaste248Row" hidden="1">#REF!</definedName>
    <definedName name="XRefPaste249" hidden="1">#REF!</definedName>
    <definedName name="XRefPaste249Row" hidden="1">#REF!</definedName>
    <definedName name="XRefPaste24Row" hidden="1">#REF!</definedName>
    <definedName name="XRefPaste25" hidden="1">#REF!</definedName>
    <definedName name="XRefPaste250" hidden="1">#REF!</definedName>
    <definedName name="XRefPaste250Row" hidden="1">#REF!</definedName>
    <definedName name="XRefPaste251" hidden="1">#REF!</definedName>
    <definedName name="XRefPaste251Row" hidden="1">#REF!</definedName>
    <definedName name="XRefPaste252" hidden="1">#REF!</definedName>
    <definedName name="XRefPaste254" hidden="1">#REF!</definedName>
    <definedName name="XRefPaste255" hidden="1">#REF!</definedName>
    <definedName name="XRefPaste256" hidden="1">#REF!</definedName>
    <definedName name="XRefPaste257" hidden="1">#REF!</definedName>
    <definedName name="XRefPaste258" hidden="1">#REF!</definedName>
    <definedName name="XRefPaste259" hidden="1">#REF!</definedName>
    <definedName name="XRefPaste25Row" hidden="1">#REF!</definedName>
    <definedName name="XRefPaste26" hidden="1">#REF!</definedName>
    <definedName name="XRefPaste260" hidden="1">#REF!</definedName>
    <definedName name="XRefPaste261" hidden="1">#REF!</definedName>
    <definedName name="XRefPaste262" hidden="1">#REF!</definedName>
    <definedName name="XRefPaste263" hidden="1">#REF!</definedName>
    <definedName name="XRefPaste264" hidden="1">#REF!</definedName>
    <definedName name="XRefPaste265" hidden="1">#REF!</definedName>
    <definedName name="XRefPaste266" hidden="1">#REF!</definedName>
    <definedName name="XRefPaste267" hidden="1">#REF!</definedName>
    <definedName name="XRefPaste269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9" hidden="1">#REF!</definedName>
    <definedName name="XRefPaste28Row" hidden="1">#REF!</definedName>
    <definedName name="XRefPaste29" hidden="1">#REF!</definedName>
    <definedName name="XRefPaste290" hidden="1">#REF!</definedName>
    <definedName name="XRefPaste291" hidden="1">#REF!</definedName>
    <definedName name="XRefPaste292" hidden="1">#REF!</definedName>
    <definedName name="XRefPaste293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2" hidden="1">#REF!</definedName>
    <definedName name="XRefPaste305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4" hidden="1">#REF!</definedName>
    <definedName name="XRefPaste345" hidden="1">#REF!</definedName>
    <definedName name="XRefPaste34Row" hidden="1">#REF!</definedName>
    <definedName name="XRefPaste35" hidden="1">#REF!</definedName>
    <definedName name="XRefPaste350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" hidden="1">#REF!</definedName>
    <definedName name="XRefPaste53Row" hidden="1">#REF!</definedName>
    <definedName name="XRefPaste54" hidden="1">#REF!</definedName>
    <definedName name="XRefPaste54Row" hidden="1">#REF!</definedName>
    <definedName name="XRefPaste55" hidden="1">#REF!</definedName>
    <definedName name="XRefPaste56" hidden="1">#REF!</definedName>
    <definedName name="XRefPaste56Row" hidden="1">#REF!</definedName>
    <definedName name="XRefPaste57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#REF!</definedName>
    <definedName name="XRefPaste6" hidden="1">#REF!</definedName>
    <definedName name="XRefPaste60" hidden="1">#REF!</definedName>
    <definedName name="XRefPaste60Row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15</definedName>
    <definedName name="XTEST" localSheetId="10" hidden="1">{#N/A,#N/A,FALSE,"JANLN2"}</definedName>
    <definedName name="XTEST" localSheetId="9" hidden="1">{#N/A,#N/A,FALSE,"JANLN2"}</definedName>
    <definedName name="XTEST" hidden="1">{#N/A,#N/A,FALSE,"JANLN2"}</definedName>
    <definedName name="XTEST_1" localSheetId="10" hidden="1">{#N/A,#N/A,FALSE,"JANLN2"}</definedName>
    <definedName name="XTEST_1" localSheetId="9" hidden="1">{#N/A,#N/A,FALSE,"JANLN2"}</definedName>
    <definedName name="XTEST_1" hidden="1">{#N/A,#N/A,FALSE,"JANLN2"}</definedName>
    <definedName name="XX3dd752e6d3ff4770beb8a426c23cbe37" hidden="1">#REF!</definedName>
    <definedName name="XXX" localSheetId="10" hidden="1">{#N/A,#N/A,TRUE,"Overall";#N/A,#N/A,TRUE,"Region Wise ";#N/A,#N/A,TRUE,"Client Wise"}</definedName>
    <definedName name="XXX" localSheetId="9" hidden="1">{#N/A,#N/A,TRUE,"Overall";#N/A,#N/A,TRUE,"Region Wise ";#N/A,#N/A,TRUE,"Client Wise"}</definedName>
    <definedName name="XXX" hidden="1">{#N/A,#N/A,TRUE,"Overall";#N/A,#N/A,TRUE,"Region Wise ";#N/A,#N/A,TRUE,"Client Wise"}</definedName>
    <definedName name="XXX_1" localSheetId="10" hidden="1">{#N/A,#N/A,TRUE,"Overall";#N/A,#N/A,TRUE,"Region Wise ";#N/A,#N/A,TRUE,"Client Wise"}</definedName>
    <definedName name="XXX_1" localSheetId="9" hidden="1">{#N/A,#N/A,TRUE,"Overall";#N/A,#N/A,TRUE,"Region Wise ";#N/A,#N/A,TRUE,"Client Wise"}</definedName>
    <definedName name="XXX_1" hidden="1">{#N/A,#N/A,TRUE,"Overall";#N/A,#N/A,TRUE,"Region Wise ";#N/A,#N/A,TRUE,"Client Wise"}</definedName>
    <definedName name="xxxx" localSheetId="10" hidden="1">{#N/A,#N/A,TRUE,"CC_IN965"}</definedName>
    <definedName name="xxxx" localSheetId="9" hidden="1">{#N/A,#N/A,TRUE,"CC_IN965"}</definedName>
    <definedName name="xxxx" hidden="1">{#N/A,#N/A,TRUE,"CC_IN965"}</definedName>
    <definedName name="xxxx777" localSheetId="10" hidden="1">{0,0,0,0;0,0,0,0;0,0,0,0;TRUE,0,0,0;0,0,0,0;0,0,0,0;0,0,0,0;0,0,147.84,147.84;12,1774.08,0,0;0,0,0,#NULL!;0,0,0,0;0,0,TRUE,0;0,TRUE,TRUE,TRUE;0,0,0,0;0,0,0,0;0,0,0,0;0,0,0,0;0,0,0,0;0,0,0,0;0,0,0,0}</definedName>
    <definedName name="xxxx777" localSheetId="9" hidden="1">{0,0,0,0;0,0,0,0;0,0,0,0;TRUE,0,0,0;0,0,0,0;0,0,0,0;0,0,0,0;0,0,147.84,147.84;12,1774.08,0,0;0,0,0,#NULL!;0,0,0,0;0,0,TRUE,0;0,TRUE,TRUE,TRUE;0,0,0,0;0,0,0,0;0,0,0,0;0,0,0,0;0,0,0,0;0,0,0,0;0,0,0,0}</definedName>
    <definedName name="xxxx777" hidden="1">{0,0,0,0;0,0,0,0;0,0,0,0;TRUE,0,0,0;0,0,0,0;0,0,0,0;0,0,0,0;0,0,147.84,147.84;12,1774.08,0,0;0,0,0,#NULL!;0,0,0,0;0,0,TRUE,0;0,TRUE,TRUE,TRUE;0,0,0,0;0,0,0,0;0,0,0,0;0,0,0,0;0,0,0,0;0,0,0,0;0,0,0,0}</definedName>
    <definedName name="xxxx777_1" localSheetId="10" hidden="1">{0,0,0,0;0,0,0,0;0,0,0,0;TRUE,0,0,0;0,0,0,0;0,0,0,0;0,0,0,0;0,0,147.84,147.84;12,1774.08,0,0;0,0,0,#NULL!;0,0,0,0;0,0,TRUE,0;0,TRUE,TRUE,TRUE;0,0,0,0;0,0,0,0;0,0,0,0;0,0,0,0;0,0,0,0;0,0,0,0;0,0,0,0}</definedName>
    <definedName name="xxxx777_1" localSheetId="9" hidden="1">{0,0,0,0;0,0,0,0;0,0,0,0;TRUE,0,0,0;0,0,0,0;0,0,0,0;0,0,0,0;0,0,147.84,147.84;12,1774.08,0,0;0,0,0,#NULL!;0,0,0,0;0,0,TRUE,0;0,TRUE,TRUE,TRUE;0,0,0,0;0,0,0,0;0,0,0,0;0,0,0,0;0,0,0,0;0,0,0,0;0,0,0,0}</definedName>
    <definedName name="xxxx777_1" hidden="1">{0,0,0,0;0,0,0,0;0,0,0,0;TRUE,0,0,0;0,0,0,0;0,0,0,0;0,0,0,0;0,0,147.84,147.84;12,1774.08,0,0;0,0,0,#NULL!;0,0,0,0;0,0,TRUE,0;0,TRUE,TRUE,TRUE;0,0,0,0;0,0,0,0;0,0,0,0;0,0,0,0;0,0,0,0;0,0,0,0;0,0,0,0}</definedName>
    <definedName name="xxxxx" localSheetId="10" hidden="1">{#N/A,#N/A,FALSE,"Pharm";#N/A,#N/A,FALSE,"WWCM"}</definedName>
    <definedName name="xxxxx" localSheetId="9" hidden="1">{#N/A,#N/A,FALSE,"Pharm";#N/A,#N/A,FALSE,"WWCM"}</definedName>
    <definedName name="xxxxx" hidden="1">{#N/A,#N/A,FALSE,"Pharm";#N/A,#N/A,FALSE,"WWCM"}</definedName>
    <definedName name="XY" localSheetId="10" hidden="1">{#N/A,#N/A,TRUE,"CC_IN965"}</definedName>
    <definedName name="XY" localSheetId="9" hidden="1">{#N/A,#N/A,TRUE,"CC_IN965"}</definedName>
    <definedName name="XY" hidden="1">{#N/A,#N/A,TRUE,"CC_IN965"}</definedName>
    <definedName name="XYZ" localSheetId="10" hidden="1">{#N/A,#N/A,TRUE,"CC_IN965"}</definedName>
    <definedName name="XYZ" localSheetId="9" hidden="1">{#N/A,#N/A,TRUE,"CC_IN965"}</definedName>
    <definedName name="XYZ" hidden="1">{#N/A,#N/A,TRUE,"CC_IN965"}</definedName>
    <definedName name="Yahoo" localSheetId="10" hidden="1">{#N/A,#N/A,FALSE,"Inc. St.";#N/A,#N/A,FALSE,"FYear";#N/A,#N/A,FALSE,"Revs.";#N/A,#N/A,FALSE,"RevsYear";#N/A,#N/A,FALSE,"Balance";#N/A,#N/A,FALSE,"CompVal";#N/A,#N/A,FALSE,"Val.";#N/A,#N/A,FALSE,"DCFval"}</definedName>
    <definedName name="Yahoo" localSheetId="9" hidden="1">{#N/A,#N/A,FALSE,"Inc. St.";#N/A,#N/A,FALSE,"FYear";#N/A,#N/A,FALSE,"Revs.";#N/A,#N/A,FALSE,"RevsYear";#N/A,#N/A,FALSE,"Balance";#N/A,#N/A,FALSE,"CompVal";#N/A,#N/A,FALSE,"Val.";#N/A,#N/A,FALSE,"DCFval"}</definedName>
    <definedName name="Yahoo" hidden="1">{#N/A,#N/A,FALSE,"Inc. St.";#N/A,#N/A,FALSE,"FYear";#N/A,#N/A,FALSE,"Revs.";#N/A,#N/A,FALSE,"RevsYear";#N/A,#N/A,FALSE,"Balance";#N/A,#N/A,FALSE,"CompVal";#N/A,#N/A,FALSE,"Val.";#N/A,#N/A,FALSE,"DCFval"}</definedName>
    <definedName name="Yahoo_1" localSheetId="10" hidden="1">{#N/A,#N/A,FALSE,"Inc. St.";#N/A,#N/A,FALSE,"FYear";#N/A,#N/A,FALSE,"Revs.";#N/A,#N/A,FALSE,"RevsYear";#N/A,#N/A,FALSE,"Balance";#N/A,#N/A,FALSE,"CompVal";#N/A,#N/A,FALSE,"Val.";#N/A,#N/A,FALSE,"DCFval"}</definedName>
    <definedName name="Yahoo_1" localSheetId="9" hidden="1">{#N/A,#N/A,FALSE,"Inc. St.";#N/A,#N/A,FALSE,"FYear";#N/A,#N/A,FALSE,"Revs.";#N/A,#N/A,FALSE,"RevsYear";#N/A,#N/A,FALSE,"Balance";#N/A,#N/A,FALSE,"CompVal";#N/A,#N/A,FALSE,"Val.";#N/A,#N/A,FALSE,"DCFval"}</definedName>
    <definedName name="Yahoo_1" hidden="1">{#N/A,#N/A,FALSE,"Inc. St.";#N/A,#N/A,FALSE,"FYear";#N/A,#N/A,FALSE,"Revs.";#N/A,#N/A,FALSE,"RevsYear";#N/A,#N/A,FALSE,"Balance";#N/A,#N/A,FALSE,"CompVal";#N/A,#N/A,FALSE,"Val.";#N/A,#N/A,FALSE,"DCFval"}</definedName>
    <definedName name="Yash" localSheetId="1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9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FU" localSheetId="10" hidden="1">{"'용역비'!$A$4:$C$8"}</definedName>
    <definedName name="YFU" localSheetId="9" hidden="1">{"'용역비'!$A$4:$C$8"}</definedName>
    <definedName name="YFU" hidden="1">{"'용역비'!$A$4:$C$8"}</definedName>
    <definedName name="yrdtytyt" localSheetId="10" hidden="1">{#N/A,#N/A,FALSE,"CCTV"}</definedName>
    <definedName name="yrdtytyt" localSheetId="9" hidden="1">{#N/A,#N/A,FALSE,"CCTV"}</definedName>
    <definedName name="yrdtytyt" hidden="1">{#N/A,#N/A,FALSE,"CCTV"}</definedName>
    <definedName name="YTJUTYUT" localSheetId="10" hidden="1">{"summary",#N/A,FALSE,"2000 vs 1999";"detail",#N/A,FALSE,"2000 vs 1999"}</definedName>
    <definedName name="YTJUTYUT" localSheetId="9" hidden="1">{"summary",#N/A,FALSE,"2000 vs 1999";"detail",#N/A,FALSE,"2000 vs 1999"}</definedName>
    <definedName name="YTJUTYUT" hidden="1">{"summary",#N/A,FALSE,"2000 vs 1999";"detail",#N/A,FALSE,"2000 vs 1999"}</definedName>
    <definedName name="YTJUTYUT_1" localSheetId="10" hidden="1">{"summary",#N/A,FALSE,"2000 vs 1999";"detail",#N/A,FALSE,"2000 vs 1999"}</definedName>
    <definedName name="YTJUTYUT_1" localSheetId="9" hidden="1">{"summary",#N/A,FALSE,"2000 vs 1999";"detail",#N/A,FALSE,"2000 vs 1999"}</definedName>
    <definedName name="YTJUTYUT_1" hidden="1">{"summary",#N/A,FALSE,"2000 vs 1999";"detail",#N/A,FALSE,"2000 vs 1999"}</definedName>
    <definedName name="yu" localSheetId="10" hidden="1">{"'용역비'!$A$4:$C$8"}</definedName>
    <definedName name="yu" localSheetId="9" hidden="1">{"'용역비'!$A$4:$C$8"}</definedName>
    <definedName name="yu" hidden="1">{"'용역비'!$A$4:$C$8"}</definedName>
    <definedName name="YUIYU" localSheetId="10" hidden="1">{"summary",#N/A,FALSE,"2000 vs 1999";"detail",#N/A,FALSE,"2000 vs 1999"}</definedName>
    <definedName name="YUIYU" localSheetId="9" hidden="1">{"summary",#N/A,FALSE,"2000 vs 1999";"detail",#N/A,FALSE,"2000 vs 1999"}</definedName>
    <definedName name="YUIYU" hidden="1">{"summary",#N/A,FALSE,"2000 vs 1999";"detail",#N/A,FALSE,"2000 vs 1999"}</definedName>
    <definedName name="YUIYU_1" localSheetId="10" hidden="1">{"summary",#N/A,FALSE,"2000 vs 1999";"detail",#N/A,FALSE,"2000 vs 1999"}</definedName>
    <definedName name="YUIYU_1" localSheetId="9" hidden="1">{"summary",#N/A,FALSE,"2000 vs 1999";"detail",#N/A,FALSE,"2000 vs 1999"}</definedName>
    <definedName name="YUIYU_1" hidden="1">{"summary",#N/A,FALSE,"2000 vs 1999";"detail",#N/A,FALSE,"2000 vs 1999"}</definedName>
    <definedName name="YUK" localSheetId="10" hidden="1">{"'용역비'!$A$4:$C$8"}</definedName>
    <definedName name="YUK" localSheetId="9" hidden="1">{"'용역비'!$A$4:$C$8"}</definedName>
    <definedName name="YUK" hidden="1">{"'용역비'!$A$4:$C$8"}</definedName>
    <definedName name="YUTYT" localSheetId="10" hidden="1">{"summary",#N/A,FALSE,"2000 vs 1999";"detail",#N/A,FALSE,"2000 vs 1999"}</definedName>
    <definedName name="YUTYT" localSheetId="9" hidden="1">{"summary",#N/A,FALSE,"2000 vs 1999";"detail",#N/A,FALSE,"2000 vs 1999"}</definedName>
    <definedName name="YUTYT" hidden="1">{"summary",#N/A,FALSE,"2000 vs 1999";"detail",#N/A,FALSE,"2000 vs 1999"}</definedName>
    <definedName name="YUTYT_1" localSheetId="10" hidden="1">{"summary",#N/A,FALSE,"2000 vs 1999";"detail",#N/A,FALSE,"2000 vs 1999"}</definedName>
    <definedName name="YUTYT_1" localSheetId="9" hidden="1">{"summary",#N/A,FALSE,"2000 vs 1999";"detail",#N/A,FALSE,"2000 vs 1999"}</definedName>
    <definedName name="YUTYT_1" hidden="1">{"summary",#N/A,FALSE,"2000 vs 1999";"detail",#N/A,FALSE,"2000 vs 1999"}</definedName>
    <definedName name="yuyert" hidden="1">#REF!</definedName>
    <definedName name="yxc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1" localSheetId="10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1" localSheetId="9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c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" localSheetId="10" hidden="1">{"summary1",#N/A,TRUE,"Comps";"summary2",#N/A,TRUE,"Comps";"summary3",#N/A,TRUE,"Comps"}</definedName>
    <definedName name="yy" localSheetId="9" hidden="1">{"summary1",#N/A,TRUE,"Comps";"summary2",#N/A,TRUE,"Comps";"summary3",#N/A,TRUE,"Comps"}</definedName>
    <definedName name="yy" hidden="1">{"summary1",#N/A,TRUE,"Comps";"summary2",#N/A,TRUE,"Comps";"summary3",#N/A,TRUE,"Comps"}</definedName>
    <definedName name="yy_1" localSheetId="10" hidden="1">{"summary1",#N/A,TRUE,"Comps";"summary2",#N/A,TRUE,"Comps";"summary3",#N/A,TRUE,"Comps"}</definedName>
    <definedName name="yy_1" localSheetId="9" hidden="1">{"summary1",#N/A,TRUE,"Comps";"summary2",#N/A,TRUE,"Comps";"summary3",#N/A,TRUE,"Comps"}</definedName>
    <definedName name="yy_1" hidden="1">{"summary1",#N/A,TRUE,"Comps";"summary2",#N/A,TRUE,"Comps";"summary3",#N/A,TRUE,"Comps"}</definedName>
    <definedName name="YYY" hidden="1">#REF!</definedName>
    <definedName name="YYYY" localSheetId="10" hidden="1">{"summary",#N/A,FALSE,"2000 vs 1999";"detail",#N/A,FALSE,"2000 vs 1999"}</definedName>
    <definedName name="YYYY" localSheetId="9" hidden="1">{"summary",#N/A,FALSE,"2000 vs 1999";"detail",#N/A,FALSE,"2000 vs 1999"}</definedName>
    <definedName name="YYYY" hidden="1">{"summary",#N/A,FALSE,"2000 vs 1999";"detail",#N/A,FALSE,"2000 vs 1999"}</definedName>
    <definedName name="YYYY_1" localSheetId="10" hidden="1">{"summary",#N/A,FALSE,"2000 vs 1999";"detail",#N/A,FALSE,"2000 vs 1999"}</definedName>
    <definedName name="YYYY_1" localSheetId="9" hidden="1">{"summary",#N/A,FALSE,"2000 vs 1999";"detail",#N/A,FALSE,"2000 vs 1999"}</definedName>
    <definedName name="YYYY_1" hidden="1">{"summary",#N/A,FALSE,"2000 vs 1999";"detail",#N/A,FALSE,"2000 vs 1999"}</definedName>
    <definedName name="ｚ" localSheetId="10" hidden="1">{"'下期集計（10.27迄・速報値）'!$Q$16"}</definedName>
    <definedName name="ｚ" localSheetId="9" hidden="1">{"'下期集計（10.27迄・速報値）'!$Q$16"}</definedName>
    <definedName name="ｚ" hidden="1">{"'下期集計（10.27迄・速報値）'!$Q$16"}</definedName>
    <definedName name="Z_14ED2D52_A117_4949_A3C0_D2E5CEDD4C37_.wvu.Cols" hidden="1">#REF!</definedName>
    <definedName name="Z_41189362_3BA2_11D8_A45B_0050BAD0AF27_.wvu.FilterData" hidden="1">#REF!</definedName>
    <definedName name="Z_4FA15BC4_E285_45D4_988E_E9A7A4B52651_.wvu.Cols" hidden="1">#REF!</definedName>
    <definedName name="Z_677C6337_708E_11D3_B400_0000E21227E8_.wvu.Rows" hidden="1">#REF!</definedName>
    <definedName name="Z_71FF8D21_BA76_4880_91E4_8FFF6735AE26_.wvu.FilterData" hidden="1">#REF!</definedName>
    <definedName name="Z_71FF8D21_BA76_4880_91E4_8FFF6735AE26_.wvu.PrintArea" hidden="1">#REF!</definedName>
    <definedName name="Z_84B64A4E_3B93_11D8_A9FA_000795A76771_.wvu.FilterData" hidden="1">#REF!</definedName>
    <definedName name="Z_84B64A4E_3B93_11D8_A9FA_000795A76771_.wvu.PrintArea" hidden="1">#REF!</definedName>
    <definedName name="Z_B9384B7B_3BC5_11D8_8753_00D009C9A5D3_.wvu.Cols" hidden="1">#REF!</definedName>
    <definedName name="Z_B9384B7B_3BC5_11D8_8753_00D009C9A5D3_.wvu.FilterData" hidden="1">#REF!</definedName>
    <definedName name="Z_B9384B7B_3BC5_11D8_8753_00D009C9A5D3_.wvu.PrintTitles" hidden="1">#REF!</definedName>
    <definedName name="Z_E738B51C_56AE_4F9F_8D8A_36AD6137B90D_.wvu.Cols" hidden="1">#REF!</definedName>
    <definedName name="Z_E738B51C_56AE_4F9F_8D8A_36AD6137B90D_.wvu.PrintArea" hidden="1">#REF!</definedName>
    <definedName name="Z_E738B51C_56AE_4F9F_8D8A_36AD6137B90D_.wvu.PrintTitles" hidden="1">#REF!,#REF!</definedName>
    <definedName name="Z_E738B51C_56AE_4F9F_8D8A_36AD6137B90D_.wvu.Rows" hidden="1">#REF!</definedName>
    <definedName name="Z_ED32C521_2B6F_11D6_9967_009027BE6DFE_.wvu.Rows" hidden="1">#REF!,#REF!,#REF!,#REF!,#REF!,#REF!,#REF!</definedName>
    <definedName name="zero" hidden="1">#REF!,#REF!,#REF!</definedName>
    <definedName name="zgafkhakf" localSheetId="10" hidden="1">{"'Jibu9811 (3)'!$B$1:$J$433"}</definedName>
    <definedName name="zgafkhakf" localSheetId="9" hidden="1">{"'Jibu9811 (3)'!$B$1:$J$433"}</definedName>
    <definedName name="zgafkhakf" hidden="1">{"'Jibu9811 (3)'!$B$1:$J$433"}</definedName>
    <definedName name="zhu" localSheetId="10" hidden="1">{#N/A,#N/A,FALSE,"REPORT"}</definedName>
    <definedName name="zhu" localSheetId="9" hidden="1">{#N/A,#N/A,FALSE,"REPORT"}</definedName>
    <definedName name="zhu" hidden="1">{#N/A,#N/A,FALSE,"REPORT"}</definedName>
    <definedName name="zhutr" localSheetId="10" hidden="1">{#N/A,#N/A,FALSE,"REPORT"}</definedName>
    <definedName name="zhutr" localSheetId="9" hidden="1">{#N/A,#N/A,FALSE,"REPORT"}</definedName>
    <definedName name="zhutr" hidden="1">{#N/A,#N/A,FALSE,"REPORT"}</definedName>
    <definedName name="ZSZ" localSheetId="10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" localSheetId="9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XC" localSheetId="10" hidden="1">{#N/A,#N/A,FALSE,"이태원철근"}</definedName>
    <definedName name="ZXC" localSheetId="9" hidden="1">{#N/A,#N/A,FALSE,"이태원철근"}</definedName>
    <definedName name="ZXC" hidden="1">{#N/A,#N/A,FALSE,"이태원철근"}</definedName>
    <definedName name="zza4pg" localSheetId="10" hidden="1">{#N/A,#N/A,FALSE,"REPORT"}</definedName>
    <definedName name="zza4pg" localSheetId="9" hidden="1">{#N/A,#N/A,FALSE,"REPORT"}</definedName>
    <definedName name="zza4pg" hidden="1">{#N/A,#N/A,FALSE,"REPORT"}</definedName>
    <definedName name="zzee" localSheetId="10" hidden="1">{#N/A,#N/A,FALSE,"Pharm";#N/A,#N/A,FALSE,"WWCM"}</definedName>
    <definedName name="zzee" localSheetId="9" hidden="1">{#N/A,#N/A,FALSE,"Pharm";#N/A,#N/A,FALSE,"WWCM"}</definedName>
    <definedName name="zzee" hidden="1">{#N/A,#N/A,FALSE,"Pharm";#N/A,#N/A,FALSE,"WWCM"}</definedName>
    <definedName name="zzzzz" localSheetId="10" hidden="1">{#N/A,#N/A,FALSE,"REPORT"}</definedName>
    <definedName name="zzzzz" localSheetId="9" hidden="1">{#N/A,#N/A,FALSE,"REPORT"}</definedName>
    <definedName name="zzzzz" hidden="1">{#N/A,#N/A,FALSE,"REPORT"}</definedName>
    <definedName name="ぁ" localSheetId="10" hidden="1">{"'下期集計（10.27迄・速報値）'!$Q$16"}</definedName>
    <definedName name="ぁ" localSheetId="9" hidden="1">{"'下期集計（10.27迄・速報値）'!$Q$16"}</definedName>
    <definedName name="ぁ" hidden="1">{"'下期集計（10.27迄・速報値）'!$Q$16"}</definedName>
    <definedName name="あ" localSheetId="10" hidden="1">{"'下期集計（10.27迄・速報値）'!$Q$16"}</definedName>
    <definedName name="あ" localSheetId="9" hidden="1">{"'下期集計（10.27迄・速報値）'!$Q$16"}</definedName>
    <definedName name="あ" hidden="1">{"'下期集計（10.27迄・速報値）'!$Q$16"}</definedName>
    <definedName name="ぁ_1" localSheetId="10" hidden="1">{"'下期集計（10.27迄・速報値）'!$Q$16"}</definedName>
    <definedName name="ぁ_1" localSheetId="9" hidden="1">{"'下期集計（10.27迄・速報値）'!$Q$16"}</definedName>
    <definedName name="ぁ_1" hidden="1">{"'下期集計（10.27迄・速報値）'!$Q$16"}</definedName>
    <definedName name="あ_1" localSheetId="10" hidden="1">{"'下期集計（10.27迄・速報値）'!$Q$16"}</definedName>
    <definedName name="あ_1" localSheetId="9" hidden="1">{"'下期集計（10.27迄・速報値）'!$Q$16"}</definedName>
    <definedName name="あ_1" hidden="1">{"'下期集計（10.27迄・速報値）'!$Q$16"}</definedName>
    <definedName name="あああ" localSheetId="10" hidden="1">{"'下期集計（10.27迄・速報値）'!$Q$16"}</definedName>
    <definedName name="あああ" localSheetId="9" hidden="1">{"'下期集計（10.27迄・速報値）'!$Q$16"}</definedName>
    <definedName name="あああ" hidden="1">{"'下期集計（10.27迄・速報値）'!$Q$16"}</definedName>
    <definedName name="あああ_1" localSheetId="10" hidden="1">{"'下期集計（10.27迄・速報値）'!$Q$16"}</definedName>
    <definedName name="あああ_1" localSheetId="9" hidden="1">{"'下期集計（10.27迄・速報値）'!$Q$16"}</definedName>
    <definedName name="あああ_1" hidden="1">{"'下期集計（10.27迄・速報値）'!$Q$16"}</definedName>
    <definedName name="なんで" localSheetId="10" hidden="1">{"'下期集計（10.27迄・速報値）'!$Q$16"}</definedName>
    <definedName name="なんで" localSheetId="9" hidden="1">{"'下期集計（10.27迄・速報値）'!$Q$16"}</definedName>
    <definedName name="なんで" hidden="1">{"'下期集計（10.27迄・速報値）'!$Q$16"}</definedName>
    <definedName name="なんで_1" localSheetId="10" hidden="1">{"'下期集計（10.27迄・速報値）'!$Q$16"}</definedName>
    <definedName name="なんで_1" localSheetId="9" hidden="1">{"'下期集計（10.27迄・速報値）'!$Q$16"}</definedName>
    <definedName name="なんで_1" hidden="1">{"'下期集計（10.27迄・速報値）'!$Q$16"}</definedName>
    <definedName name="なんなの" localSheetId="10" hidden="1">{"'下期集計（10.27迄・速報値）'!$Q$16"}</definedName>
    <definedName name="なんなの" localSheetId="9" hidden="1">{"'下期集計（10.27迄・速報値）'!$Q$16"}</definedName>
    <definedName name="なんなの" hidden="1">{"'下期集計（10.27迄・速報値）'!$Q$16"}</definedName>
    <definedName name="なんなの_1" localSheetId="10" hidden="1">{"'下期集計（10.27迄・速報値）'!$Q$16"}</definedName>
    <definedName name="なんなの_1" localSheetId="9" hidden="1">{"'下期集計（10.27迄・速報値）'!$Q$16"}</definedName>
    <definedName name="なんなの_1" hidden="1">{"'下期集計（10.27迄・速報値）'!$Q$16"}</definedName>
    <definedName name="ㄱ" localSheetId="10" hidden="1">{#N/A,#N/A,FALSE,"BS";#N/A,#N/A,FALSE,"PL";#N/A,#N/A,FALSE,"처분";#N/A,#N/A,FALSE,"현금";#N/A,#N/A,FALSE,"매출";#N/A,#N/A,FALSE,"원가";#N/A,#N/A,FALSE,"경영"}</definedName>
    <definedName name="ㄱ" localSheetId="9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10" hidden="1">{#N/A,#N/A,FALSE,"UNIT";#N/A,#N/A,FALSE,"UNIT";#N/A,#N/A,FALSE,"계정"}</definedName>
    <definedName name="ㄱㄱ" localSheetId="9" hidden="1">{#N/A,#N/A,FALSE,"UNIT";#N/A,#N/A,FALSE,"UNIT";#N/A,#N/A,FALSE,"계정"}</definedName>
    <definedName name="ㄱㄱ" hidden="1">{#N/A,#N/A,FALSE,"UNIT";#N/A,#N/A,FALSE,"UNIT";#N/A,#N/A,FALSE,"계정"}</definedName>
    <definedName name="ㄱㄱㄱ" localSheetId="10" hidden="1">{#N/A,#N/A,FALSE,"UNIT";#N/A,#N/A,FALSE,"UNIT";#N/A,#N/A,FALSE,"계정"}</definedName>
    <definedName name="ㄱㄱㄱ" localSheetId="9" hidden="1">{#N/A,#N/A,FALSE,"UNIT";#N/A,#N/A,FALSE,"UNIT";#N/A,#N/A,FALSE,"계정"}</definedName>
    <definedName name="ㄱㄱㄱ" hidden="1">{#N/A,#N/A,FALSE,"UNIT";#N/A,#N/A,FALSE,"UNIT";#N/A,#N/A,FALSE,"계정"}</definedName>
    <definedName name="ㄱㄱㄱ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ㄱㄱ" localSheetId="10" hidden="1">{#N/A,#N/A,FALSE,"UNIT";#N/A,#N/A,FALSE,"UNIT";#N/A,#N/A,FALSE,"계정"}</definedName>
    <definedName name="ㄱㄱㄱㄱㄱ" localSheetId="9" hidden="1">{#N/A,#N/A,FALSE,"UNIT";#N/A,#N/A,FALSE,"UNIT";#N/A,#N/A,FALSE,"계정"}</definedName>
    <definedName name="ㄱㄱㄱㄱㄱ" hidden="1">{#N/A,#N/A,FALSE,"UNIT";#N/A,#N/A,FALSE,"UNIT";#N/A,#N/A,FALSE,"계정"}</definedName>
    <definedName name="ㄱㄱㄱㅎㄱ" localSheetId="10" hidden="1">{"'Jibu9811 (3)'!$B$1:$J$433"}</definedName>
    <definedName name="ㄱㄱㄱㅎㄱ" localSheetId="9" hidden="1">{"'Jibu9811 (3)'!$B$1:$J$433"}</definedName>
    <definedName name="ㄱㄱㄱㅎㄱ" hidden="1">{"'Jibu9811 (3)'!$B$1:$J$433"}</definedName>
    <definedName name="ㄱㄴㄷㅎ" localSheetId="10" hidden="1">{"'Jibu9811 (3)'!$B$1:$J$433"}</definedName>
    <definedName name="ㄱㄴㄷㅎ" localSheetId="9" hidden="1">{"'Jibu9811 (3)'!$B$1:$J$433"}</definedName>
    <definedName name="ㄱㄴㄷㅎ" hidden="1">{"'Jibu9811 (3)'!$B$1:$J$433"}</definedName>
    <definedName name="ㄱㄷㅈ" hidden="1">#REF!</definedName>
    <definedName name="ㄱㄷㅎ" localSheetId="10" hidden="1">{"'Jibu9811 (3)'!$B$1:$J$433"}</definedName>
    <definedName name="ㄱㄷㅎ" localSheetId="9" hidden="1">{"'Jibu9811 (3)'!$B$1:$J$433"}</definedName>
    <definedName name="ㄱㄷㅎ" hidden="1">{"'Jibu9811 (3)'!$B$1:$J$433"}</definedName>
    <definedName name="ㄱㄷㅎㄷㄱㅎㄱㅎㄱ" localSheetId="10" hidden="1">{"'Jibu9811 (3)'!$B$1:$J$433"}</definedName>
    <definedName name="ㄱㄷㅎㄷㄱㅎㄱㅎㄱ" localSheetId="9" hidden="1">{"'Jibu9811 (3)'!$B$1:$J$433"}</definedName>
    <definedName name="ㄱㄷㅎㄷㄱㅎㄱㅎㄱ" hidden="1">{"'Jibu9811 (3)'!$B$1:$J$433"}</definedName>
    <definedName name="ㄱㅁㅇ리허ㅏㅣ" localSheetId="10" hidden="1">{"'Jibu9811 (3)'!$B$1:$J$433"}</definedName>
    <definedName name="ㄱㅁㅇ리허ㅏㅣ" localSheetId="9" hidden="1">{"'Jibu9811 (3)'!$B$1:$J$433"}</definedName>
    <definedName name="ㄱㅁㅇ리허ㅏㅣ" hidden="1">{"'Jibu9811 (3)'!$B$1:$J$433"}</definedName>
    <definedName name="ㄱㅇ" localSheetId="10" hidden="1">{#N/A,#N/A,FALSE,"단축1";#N/A,#N/A,FALSE,"단축2";#N/A,#N/A,FALSE,"단축3";#N/A,#N/A,FALSE,"장축";#N/A,#N/A,FALSE,"4WD"}</definedName>
    <definedName name="ㄱㅇ" localSheetId="9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ㄱㅈ" localSheetId="10" hidden="1">{#N/A,#N/A,FALSE,"기안지";#N/A,#N/A,FALSE,"통신지"}</definedName>
    <definedName name="ㄱㅈ" localSheetId="9" hidden="1">{#N/A,#N/A,FALSE,"기안지";#N/A,#N/A,FALSE,"통신지"}</definedName>
    <definedName name="ㄱㅈ" hidden="1">{#N/A,#N/A,FALSE,"기안지";#N/A,#N/A,FALSE,"통신지"}</definedName>
    <definedName name="ㄱㅈ새새ㅐ재파ㅣㅍㄹ" localSheetId="10" hidden="1">{"'Jibu9811 (3)'!$B$1:$J$433"}</definedName>
    <definedName name="ㄱㅈ새새ㅐ재파ㅣㅍㄹ" localSheetId="9" hidden="1">{"'Jibu9811 (3)'!$B$1:$J$433"}</definedName>
    <definedName name="ㄱㅈ새새ㅐ재파ㅣㅍㄹ" hidden="1">{"'Jibu9811 (3)'!$B$1:$J$433"}</definedName>
    <definedName name="ㄱㅎ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ㅎ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ㅎ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ㅎㄱㄷ" localSheetId="10" hidden="1">{"'Jibu9811 (3)'!$B$1:$J$433"}</definedName>
    <definedName name="ㄱㅎㄱㄷ" localSheetId="9" hidden="1">{"'Jibu9811 (3)'!$B$1:$J$433"}</definedName>
    <definedName name="ㄱㅎㄱㄷ" hidden="1">{"'Jibu9811 (3)'!$B$1:$J$433"}</definedName>
    <definedName name="ㄱㅎㄳ" hidden="1">#REF!</definedName>
    <definedName name="ㄱㅎㄷㄱㅎㄱㄷ" hidden="1">#REF!</definedName>
    <definedName name="가1" localSheetId="10" hidden="1">{#N/A,#N/A,TRUE,"Y생산";#N/A,#N/A,TRUE,"Y판매";#N/A,#N/A,TRUE,"Y총물량";#N/A,#N/A,TRUE,"Y능력";#N/A,#N/A,TRUE,"YKD"}</definedName>
    <definedName name="가1" localSheetId="9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나다" localSheetId="10" hidden="1">{"'Jibu9811 (3)'!$B$1:$J$433"}</definedName>
    <definedName name="가나다" localSheetId="9" hidden="1">{"'Jibu9811 (3)'!$B$1:$J$433"}</definedName>
    <definedName name="가나다" hidden="1">{"'Jibu9811 (3)'!$B$1:$J$433"}</definedName>
    <definedName name="가아나" localSheetId="10" hidden="1">{#N/A,#N/A,TRUE,"Y생산";#N/A,#N/A,TRUE,"Y판매";#N/A,#N/A,TRUE,"Y총물량";#N/A,#N/A,TRUE,"Y능력";#N/A,#N/A,TRUE,"YKD"}</definedName>
    <definedName name="가아나" localSheetId="9" hidden="1">{#N/A,#N/A,TRUE,"Y생산";#N/A,#N/A,TRUE,"Y판매";#N/A,#N/A,TRUE,"Y총물량";#N/A,#N/A,TRUE,"Y능력";#N/A,#N/A,TRUE,"YKD"}</definedName>
    <definedName name="가아나" hidden="1">{#N/A,#N/A,TRUE,"Y생산";#N/A,#N/A,TRUE,"Y판매";#N/A,#N/A,TRUE,"Y총물량";#N/A,#N/A,TRUE,"Y능력";#N/A,#N/A,TRUE,"YKD"}</definedName>
    <definedName name="가짜" localSheetId="10" hidden="1">{"'Jibu9811 (3)'!$B$1:$J$433"}</definedName>
    <definedName name="가짜" localSheetId="9" hidden="1">{"'Jibu9811 (3)'!$B$1:$J$433"}</definedName>
    <definedName name="가짜" hidden="1">{"'Jibu9811 (3)'!$B$1:$J$433"}</definedName>
    <definedName name="가짜2" localSheetId="10" hidden="1">{"'Jibu9811 (3)'!$B$1:$J$433"}</definedName>
    <definedName name="가짜2" localSheetId="9" hidden="1">{"'Jibu9811 (3)'!$B$1:$J$433"}</definedName>
    <definedName name="가짜2" hidden="1">{"'Jibu9811 (3)'!$B$1:$J$433"}</definedName>
    <definedName name="간단한세무조정계산서" localSheetId="1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간단한세무조정계산서" localSheetId="9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간단한세무조정계산서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간서ㅣ랄" localSheetId="10" hidden="1">{"'Jibu9811 (3)'!$B$1:$J$433"}</definedName>
    <definedName name="간서ㅣ랄" localSheetId="9" hidden="1">{"'Jibu9811 (3)'!$B$1:$J$433"}</definedName>
    <definedName name="간서ㅣ랄" hidden="1">{"'Jibu9811 (3)'!$B$1:$J$433"}</definedName>
    <definedName name="갈레닉" localSheetId="10" hidden="1">{"'Jibu9811 (3)'!$B$1:$J$433"}</definedName>
    <definedName name="갈레닉" localSheetId="9" hidden="1">{"'Jibu9811 (3)'!$B$1:$J$433"}</definedName>
    <definedName name="갈레닉" hidden="1">{"'Jibu9811 (3)'!$B$1:$J$433"}</definedName>
    <definedName name="갈레닉2" localSheetId="10" hidden="1">{"'Jibu9811 (3)'!$B$1:$J$433"}</definedName>
    <definedName name="갈레닉2" localSheetId="9" hidden="1">{"'Jibu9811 (3)'!$B$1:$J$433"}</definedName>
    <definedName name="갈레닉2" hidden="1">{"'Jibu9811 (3)'!$B$1:$J$433"}</definedName>
    <definedName name="감가" hidden="1">#REF!</definedName>
    <definedName name="감치미" localSheetId="10" hidden="1">{"'Jibu9811 (3)'!$B$1:$J$433"}</definedName>
    <definedName name="감치미" localSheetId="9" hidden="1">{"'Jibu9811 (3)'!$B$1:$J$433"}</definedName>
    <definedName name="감치미" hidden="1">{"'Jibu9811 (3)'!$B$1:$J$433"}</definedName>
    <definedName name="갑지2" localSheetId="10" hidden="1">{#N/A,#N/A,FALSE,"CCTV"}</definedName>
    <definedName name="갑지2" localSheetId="9" hidden="1">{#N/A,#N/A,FALSE,"CCTV"}</definedName>
    <definedName name="갑지2" hidden="1">{#N/A,#N/A,FALSE,"CCTV"}</definedName>
    <definedName name="강릉" localSheetId="10" hidden="1">{"'Jibu9811 (3)'!$B$1:$J$433"}</definedName>
    <definedName name="강릉" localSheetId="9" hidden="1">{"'Jibu9811 (3)'!$B$1:$J$433"}</definedName>
    <definedName name="강릉" hidden="1">{"'Jibu9811 (3)'!$B$1:$J$433"}</definedName>
    <definedName name="강릉교동" hidden="1">#REF!</definedName>
    <definedName name="강릉교동터파기" hidden="1">#REF!</definedName>
    <definedName name="강릉교동토목" hidden="1">#REF!</definedName>
    <definedName name="강릉교동흙막이" hidden="1">#REF!</definedName>
    <definedName name="강릉토공사" hidden="1">#REF!</definedName>
    <definedName name="강릉토목공사" hidden="1">#REF!</definedName>
    <definedName name="강릉토목임" hidden="1">#REF!</definedName>
    <definedName name="강종옥" localSheetId="10" hidden="1">{#N/A,#N/A,FALSE,"단축1";#N/A,#N/A,FALSE,"단축2";#N/A,#N/A,FALSE,"단축3";#N/A,#N/A,FALSE,"장축";#N/A,#N/A,FALSE,"4WD"}</definedName>
    <definedName name="강종옥" localSheetId="9" hidden="1">{#N/A,#N/A,FALSE,"단축1";#N/A,#N/A,FALSE,"단축2";#N/A,#N/A,FALSE,"단축3";#N/A,#N/A,FALSE,"장축";#N/A,#N/A,FALSE,"4WD"}</definedName>
    <definedName name="강종옥" hidden="1">{#N/A,#N/A,FALSE,"단축1";#N/A,#N/A,FALSE,"단축2";#N/A,#N/A,FALSE,"단축3";#N/A,#N/A,FALSE,"장축";#N/A,#N/A,FALSE,"4WD"}</definedName>
    <definedName name="개가ㅠㅡ" localSheetId="10" hidden="1">{#N/A,#N/A,FALSE,"부대2"}</definedName>
    <definedName name="개가ㅠㅡ" localSheetId="9" hidden="1">{#N/A,#N/A,FALSE,"부대2"}</definedName>
    <definedName name="개가ㅠㅡ" hidden="1">{#N/A,#N/A,FALSE,"부대2"}</definedName>
    <definedName name="개발비1" localSheetId="1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개발비1" localSheetId="9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개발비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개발비1_1" localSheetId="1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개발비1_1" localSheetId="9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개발비1_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개발화학피앤비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화학피앤비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화학피앤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선내용" localSheetId="10" hidden="1">{#N/A,#N/A,TRUE,"Y생산";#N/A,#N/A,TRUE,"Y판매";#N/A,#N/A,TRUE,"Y총물량";#N/A,#N/A,TRUE,"Y능력";#N/A,#N/A,TRUE,"YKD"}</definedName>
    <definedName name="개선내용" localSheetId="9" hidden="1">{#N/A,#N/A,TRUE,"Y생산";#N/A,#N/A,TRUE,"Y판매";#N/A,#N/A,TRUE,"Y총물량";#N/A,#N/A,TRUE,"Y능력";#N/A,#N/A,TRUE,"YKD"}</definedName>
    <definedName name="개선내용" hidden="1">{#N/A,#N/A,TRUE,"Y생산";#N/A,#N/A,TRUE,"Y판매";#N/A,#N/A,TRUE,"Y총물량";#N/A,#N/A,TRUE,"Y능력";#N/A,#N/A,TRUE,"YKD"}</definedName>
    <definedName name="개선실적" localSheetId="10" hidden="1">{#N/A,#N/A,TRUE,"Y생산";#N/A,#N/A,TRUE,"Y판매";#N/A,#N/A,TRUE,"Y총물량";#N/A,#N/A,TRUE,"Y능력";#N/A,#N/A,TRUE,"YKD"}</definedName>
    <definedName name="개선실적" localSheetId="9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개선안" hidden="1">#REF!</definedName>
    <definedName name="개선안2" hidden="1">#REF!</definedName>
    <definedName name="개선안3" hidden="1">#REF!</definedName>
    <definedName name="개요" hidden="1">#REF!</definedName>
    <definedName name="개요1" hidden="1">#REF!</definedName>
    <definedName name="개요2" hidden="1">#REF!</definedName>
    <definedName name="갤로" localSheetId="10" hidden="1">{#N/A,#N/A,FALSE,"정공"}</definedName>
    <definedName name="갤로" localSheetId="9" hidden="1">{#N/A,#N/A,FALSE,"정공"}</definedName>
    <definedName name="갤로" hidden="1">{#N/A,#N/A,FALSE,"정공"}</definedName>
    <definedName name="갸ㅑㅐㅗㅡ" localSheetId="10" hidden="1">{#N/A,#N/A,FALSE,"기안지";#N/A,#N/A,FALSE,"통신지"}</definedName>
    <definedName name="갸ㅑㅐㅗㅡ" localSheetId="9" hidden="1">{#N/A,#N/A,FALSE,"기안지";#N/A,#N/A,FALSE,"통신지"}</definedName>
    <definedName name="갸ㅑㅐㅗㅡ" hidden="1">{#N/A,#N/A,FALSE,"기안지";#N/A,#N/A,FALSE,"통신지"}</definedName>
    <definedName name="갸ㅗㅓ허ㅏ" localSheetId="10" hidden="1">{#N/A,#N/A,FALSE,"토공2"}</definedName>
    <definedName name="갸ㅗㅓ허ㅏ" localSheetId="9" hidden="1">{#N/A,#N/A,FALSE,"토공2"}</definedName>
    <definedName name="갸ㅗㅓ허ㅏ" hidden="1">{#N/A,#N/A,FALSE,"토공2"}</definedName>
    <definedName name="건물임." localSheetId="10" hidden="1">{"'손익현황'!$A$1:$J$29"}</definedName>
    <definedName name="건물임." localSheetId="9" hidden="1">{"'손익현황'!$A$1:$J$29"}</definedName>
    <definedName name="건물임." hidden="1">{"'손익현황'!$A$1:$J$29"}</definedName>
    <definedName name="건물임._1" localSheetId="10" hidden="1">{"'손익현황'!$A$1:$J$29"}</definedName>
    <definedName name="건물임._1" localSheetId="9" hidden="1">{"'손익현황'!$A$1:$J$29"}</definedName>
    <definedName name="건물임._1" hidden="1">{"'손익현황'!$A$1:$J$29"}</definedName>
    <definedName name="건축원가" localSheetId="10" hidden="1">{#N/A,#N/A,FALSE,"토공2"}</definedName>
    <definedName name="건축원가" localSheetId="9" hidden="1">{#N/A,#N/A,FALSE,"토공2"}</definedName>
    <definedName name="건축원가" hidden="1">{#N/A,#N/A,FALSE,"토공2"}</definedName>
    <definedName name="건축토공" localSheetId="10" hidden="1">{#N/A,#N/A,FALSE,"기안지";#N/A,#N/A,FALSE,"통신지"}</definedName>
    <definedName name="건축토공" localSheetId="9" hidden="1">{#N/A,#N/A,FALSE,"기안지";#N/A,#N/A,FALSE,"통신지"}</definedName>
    <definedName name="건축토공" hidden="1">{#N/A,#N/A,FALSE,"기안지";#N/A,#N/A,FALSE,"통신지"}</definedName>
    <definedName name="备用" localSheetId="10" hidden="1">{#N/A,#N/A,FALSE,"OffAdvance";#N/A,#N/A,FALSE,"OffExpRprt";#N/A,#N/A,FALSE,"Entertmnt";#N/A,#N/A,FALSE,"Promotion";#N/A,#N/A,FALSE,"Travelling"}</definedName>
    <definedName name="备用" localSheetId="9" hidden="1">{#N/A,#N/A,FALSE,"OffAdvance";#N/A,#N/A,FALSE,"OffExpRprt";#N/A,#N/A,FALSE,"Entertmnt";#N/A,#N/A,FALSE,"Promotion";#N/A,#N/A,FALSE,"Travelling"}</definedName>
    <definedName name="备用" hidden="1">{#N/A,#N/A,FALSE,"OffAdvance";#N/A,#N/A,FALSE,"OffExpRprt";#N/A,#N/A,FALSE,"Entertmnt";#N/A,#N/A,FALSE,"Promotion";#N/A,#N/A,FALSE,"Travelling"}</definedName>
    <definedName name="备用_1" localSheetId="10" hidden="1">{#N/A,#N/A,FALSE,"OffAdvance";#N/A,#N/A,FALSE,"OffExpRprt";#N/A,#N/A,FALSE,"Entertmnt";#N/A,#N/A,FALSE,"Promotion";#N/A,#N/A,FALSE,"Travelling"}</definedName>
    <definedName name="备用_1" localSheetId="9" hidden="1">{#N/A,#N/A,FALSE,"OffAdvance";#N/A,#N/A,FALSE,"OffExpRprt";#N/A,#N/A,FALSE,"Entertmnt";#N/A,#N/A,FALSE,"Promotion";#N/A,#N/A,FALSE,"Travelling"}</definedName>
    <definedName name="备用_1" hidden="1">{#N/A,#N/A,FALSE,"OffAdvance";#N/A,#N/A,FALSE,"OffExpRprt";#N/A,#N/A,FALSE,"Entertmnt";#N/A,#N/A,FALSE,"Promotion";#N/A,#N/A,FALSE,"Travelling"}</definedName>
    <definedName name="결영" localSheetId="10" hidden="1">{#N/A,#N/A,FALSE,"P.C.B"}</definedName>
    <definedName name="결영" localSheetId="9" hidden="1">{#N/A,#N/A,FALSE,"P.C.B"}</definedName>
    <definedName name="결영" hidden="1">{#N/A,#N/A,FALSE,"P.C.B"}</definedName>
    <definedName name="경남" localSheetId="1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경남" localSheetId="9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경남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경남_1" localSheetId="1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경남_1" localSheetId="9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경남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경리" localSheetId="10" hidden="1">{#N/A,#N/A,FALSE,"P.C.B"}</definedName>
    <definedName name="경리" localSheetId="9" hidden="1">{#N/A,#N/A,FALSE,"P.C.B"}</definedName>
    <definedName name="경리" hidden="1">{#N/A,#N/A,FALSE,"P.C.B"}</definedName>
    <definedName name="경비실적" localSheetId="10" hidden="1">{#N/A,#N/A,FALSE,"정공"}</definedName>
    <definedName name="경비실적" localSheetId="9" hidden="1">{#N/A,#N/A,FALSE,"정공"}</definedName>
    <definedName name="경비실적" hidden="1">{#N/A,#N/A,FALSE,"정공"}</definedName>
    <definedName name="경영" localSheetId="10" hidden="1">{#N/A,#N/A,FALSE,"P.C.B"}</definedName>
    <definedName name="경영" localSheetId="9" hidden="1">{#N/A,#N/A,FALSE,"P.C.B"}</definedName>
    <definedName name="경영" hidden="1">{#N/A,#N/A,FALSE,"P.C.B"}</definedName>
    <definedName name="경영2" hidden="1">#REF!</definedName>
    <definedName name="경영지표" localSheetId="10" hidden="1">{#N/A,#N/A,FALSE,"BS";#N/A,#N/A,FALSE,"PL";#N/A,#N/A,FALSE,"처분";#N/A,#N/A,FALSE,"현금";#N/A,#N/A,FALSE,"매출";#N/A,#N/A,FALSE,"원가";#N/A,#N/A,FALSE,"경영"}</definedName>
    <definedName name="경영지표" localSheetId="9" hidden="1">{#N/A,#N/A,FALSE,"BS";#N/A,#N/A,FALSE,"PL";#N/A,#N/A,FALSE,"처분";#N/A,#N/A,FALSE,"현금";#N/A,#N/A,FALSE,"매출";#N/A,#N/A,FALSE,"원가";#N/A,#N/A,FALSE,"경영"}</definedName>
    <definedName name="경영지표" hidden="1">{#N/A,#N/A,FALSE,"BS";#N/A,#N/A,FALSE,"PL";#N/A,#N/A,FALSE,"처분";#N/A,#N/A,FALSE,"현금";#N/A,#N/A,FALSE,"매출";#N/A,#N/A,FALSE,"원가";#N/A,#N/A,FALSE,"경영"}</definedName>
    <definedName name="경영진보고" localSheetId="10" hidden="1">{"'Sheet1'!$A$1:$H$36"}</definedName>
    <definedName name="경영진보고" localSheetId="9" hidden="1">{"'Sheet1'!$A$1:$H$36"}</definedName>
    <definedName name="경영진보고" hidden="1">{"'Sheet1'!$A$1:$H$36"}</definedName>
    <definedName name="경인" localSheetId="10" hidden="1">{"'Jibu9811 (3)'!$B$1:$J$433"}</definedName>
    <definedName name="경인" localSheetId="9" hidden="1">{"'Jibu9811 (3)'!$B$1:$J$433"}</definedName>
    <definedName name="경인" hidden="1">{"'Jibu9811 (3)'!$B$1:$J$433"}</definedName>
    <definedName name="계획2" localSheetId="10" hidden="1">{#N/A,#N/A,FALSE,"정공"}</definedName>
    <definedName name="계획2" localSheetId="9" hidden="1">{#N/A,#N/A,FALSE,"정공"}</definedName>
    <definedName name="계획2" hidden="1">{#N/A,#N/A,FALSE,"정공"}</definedName>
    <definedName name="고" localSheetId="10" hidden="1">{#N/A,#N/A,FALSE,"REPORT"}</definedName>
    <definedName name="고" localSheetId="9" hidden="1">{#N/A,#N/A,FALSE,"REPORT"}</definedName>
    <definedName name="고" hidden="1">{#N/A,#N/A,FALSE,"REPORT"}</definedName>
    <definedName name="공_1" localSheetId="10" hidden="1">{"'손익현황'!$A$1:$J$29"}</definedName>
    <definedName name="공_1" localSheetId="9" hidden="1">{"'손익현황'!$A$1:$J$29"}</definedName>
    <definedName name="공_1" hidden="1">{"'손익현황'!$A$1:$J$29"}</definedName>
    <definedName name="공구" localSheetId="10" hidden="1">{"'손익현황'!$A$1:$J$29"}</definedName>
    <definedName name="공구" localSheetId="9" hidden="1">{"'손익현황'!$A$1:$J$29"}</definedName>
    <definedName name="공구" hidden="1">{"'손익현황'!$A$1:$J$29"}</definedName>
    <definedName name="공구_1" localSheetId="10" hidden="1">{"'손익현황'!$A$1:$J$29"}</definedName>
    <definedName name="공구_1" localSheetId="9" hidden="1">{"'손익현황'!$A$1:$J$29"}</definedName>
    <definedName name="공구_1" hidden="1">{"'손익현황'!$A$1:$J$29"}</definedName>
    <definedName name="공구기구" localSheetId="10" hidden="1">{"'손익현황'!$A$1:$J$29"}</definedName>
    <definedName name="공구기구" localSheetId="9" hidden="1">{"'손익현황'!$A$1:$J$29"}</definedName>
    <definedName name="공구기구" hidden="1">{"'손익현황'!$A$1:$J$29"}</definedName>
    <definedName name="공구기구_1" localSheetId="10" hidden="1">{"'손익현황'!$A$1:$J$29"}</definedName>
    <definedName name="공구기구_1" localSheetId="9" hidden="1">{"'손익현황'!$A$1:$J$29"}</definedName>
    <definedName name="공구기구_1" hidden="1">{"'손익현황'!$A$1:$J$29"}</definedName>
    <definedName name="공동구토공" localSheetId="10" hidden="1">{#N/A,#N/A,FALSE,"기안지";#N/A,#N/A,FALSE,"통신지"}</definedName>
    <definedName name="공동구토공" localSheetId="9" hidden="1">{#N/A,#N/A,FALSE,"기안지";#N/A,#N/A,FALSE,"통신지"}</definedName>
    <definedName name="공동구토공" hidden="1">{#N/A,#N/A,FALSE,"기안지";#N/A,#N/A,FALSE,"통신지"}</definedName>
    <definedName name="공모23" localSheetId="10" hidden="1">{#N/A,#N/A,FALSE,"현장 NCR 분석";#N/A,#N/A,FALSE,"현장품질감사";#N/A,#N/A,FALSE,"현장품질감사"}</definedName>
    <definedName name="공모23" localSheetId="9" hidden="1">{#N/A,#N/A,FALSE,"현장 NCR 분석";#N/A,#N/A,FALSE,"현장품질감사";#N/A,#N/A,FALSE,"현장품질감사"}</definedName>
    <definedName name="공모23" hidden="1">{#N/A,#N/A,FALSE,"현장 NCR 분석";#N/A,#N/A,FALSE,"현장품질감사";#N/A,#N/A,FALSE,"현장품질감사"}</definedName>
    <definedName name="공모23_1" localSheetId="10" hidden="1">{#N/A,#N/A,FALSE,"현장 NCR 분석";#N/A,#N/A,FALSE,"현장품질감사";#N/A,#N/A,FALSE,"현장품질감사"}</definedName>
    <definedName name="공모23_1" localSheetId="9" hidden="1">{#N/A,#N/A,FALSE,"현장 NCR 분석";#N/A,#N/A,FALSE,"현장품질감사";#N/A,#N/A,FALSE,"현장품질감사"}</definedName>
    <definedName name="공모23_1" hidden="1">{#N/A,#N/A,FALSE,"현장 NCR 분석";#N/A,#N/A,FALSE,"현장품질감사";#N/A,#N/A,FALSE,"현장품질감사"}</definedName>
    <definedName name="공모24" localSheetId="10" hidden="1">{#N/A,#N/A,FALSE,"현장 NCR 분석";#N/A,#N/A,FALSE,"현장품질감사";#N/A,#N/A,FALSE,"현장품질감사"}</definedName>
    <definedName name="공모24" localSheetId="9" hidden="1">{#N/A,#N/A,FALSE,"현장 NCR 분석";#N/A,#N/A,FALSE,"현장품질감사";#N/A,#N/A,FALSE,"현장품질감사"}</definedName>
    <definedName name="공모24" hidden="1">{#N/A,#N/A,FALSE,"현장 NCR 분석";#N/A,#N/A,FALSE,"현장품질감사";#N/A,#N/A,FALSE,"현장품질감사"}</definedName>
    <definedName name="공모24_1" localSheetId="10" hidden="1">{#N/A,#N/A,FALSE,"현장 NCR 분석";#N/A,#N/A,FALSE,"현장품질감사";#N/A,#N/A,FALSE,"현장품질감사"}</definedName>
    <definedName name="공모24_1" localSheetId="9" hidden="1">{#N/A,#N/A,FALSE,"현장 NCR 분석";#N/A,#N/A,FALSE,"현장품질감사";#N/A,#N/A,FALSE,"현장품질감사"}</definedName>
    <definedName name="공모24_1" hidden="1">{#N/A,#N/A,FALSE,"현장 NCR 분석";#N/A,#N/A,FALSE,"현장품질감사";#N/A,#N/A,FALSE,"현장품질감사"}</definedName>
    <definedName name="공사수입" localSheetId="1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공사수입" localSheetId="9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공사수입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공사수입_1" localSheetId="1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공사수입_1" localSheetId="9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공사수입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공사원가계산서" localSheetId="10" hidden="1">{#N/A,#N/A,TRUE,"토적및재료집계";#N/A,#N/A,TRUE,"토적및재료집계";#N/A,#N/A,TRUE,"단위량"}</definedName>
    <definedName name="공사원가계산서" localSheetId="9" hidden="1">{#N/A,#N/A,TRUE,"토적및재료집계";#N/A,#N/A,TRUE,"토적및재료집계";#N/A,#N/A,TRUE,"단위량"}</definedName>
    <definedName name="공사원가계산서" hidden="1">{#N/A,#N/A,TRUE,"토적및재료집계";#N/A,#N/A,TRUE,"토적및재료집계";#N/A,#N/A,TRUE,"단위량"}</definedName>
    <definedName name="공수투입" localSheetId="10" hidden="1">{#N/A,#N/A,FALSE,"정공"}</definedName>
    <definedName name="공수투입" localSheetId="9" hidden="1">{#N/A,#N/A,FALSE,"정공"}</definedName>
    <definedName name="공수투입" hidden="1">{#N/A,#N/A,FALSE,"정공"}</definedName>
    <definedName name="공장지원" hidden="1">#REF!</definedName>
    <definedName name="공장지원팀" hidden="1">#REF!</definedName>
    <definedName name="공정" hidden="1">#REF!</definedName>
    <definedName name="공지사항" localSheetId="10" hidden="1">{"'Jibu9811 (3)'!$B$1:$J$433"}</definedName>
    <definedName name="공지사항" localSheetId="9" hidden="1">{"'Jibu9811 (3)'!$B$1:$J$433"}</definedName>
    <definedName name="공지사항" hidden="1">{"'Jibu9811 (3)'!$B$1:$J$433"}</definedName>
    <definedName name="공통비" hidden="1">#REF!</definedName>
    <definedName name="광주" localSheetId="10" hidden="1">{"'Jibu9811 (3)'!$B$1:$J$433"}</definedName>
    <definedName name="광주" localSheetId="9" hidden="1">{"'Jibu9811 (3)'!$B$1:$J$433"}</definedName>
    <definedName name="광주" hidden="1">{"'Jibu9811 (3)'!$B$1:$J$433"}</definedName>
    <definedName name="광주2" localSheetId="10" hidden="1">{"'Jibu9811 (3)'!$B$1:$J$433"}</definedName>
    <definedName name="광주2" localSheetId="9" hidden="1">{"'Jibu9811 (3)'!$B$1:$J$433"}</definedName>
    <definedName name="광주2" hidden="1">{"'Jibu9811 (3)'!$B$1:$J$433"}</definedName>
    <definedName name="광주3" localSheetId="10" hidden="1">{"'Jibu9811 (3)'!$B$1:$J$433"}</definedName>
    <definedName name="광주3" localSheetId="9" hidden="1">{"'Jibu9811 (3)'!$B$1:$J$433"}</definedName>
    <definedName name="광주3" hidden="1">{"'Jibu9811 (3)'!$B$1:$J$433"}</definedName>
    <definedName name="광주공장" hidden="1">#REF!</definedName>
    <definedName name="광주지역미수현황.xlx" localSheetId="10" hidden="1">{"'Jibu9811 (3)'!$B$1:$J$433"}</definedName>
    <definedName name="광주지역미수현황.xlx" localSheetId="9" hidden="1">{"'Jibu9811 (3)'!$B$1:$J$433"}</definedName>
    <definedName name="광주지역미수현황.xlx" hidden="1">{"'Jibu9811 (3)'!$B$1:$J$433"}</definedName>
    <definedName name="광주지점사무실" localSheetId="10" hidden="1">{"'Jibu9811 (3)'!$B$1:$J$433"}</definedName>
    <definedName name="광주지점사무실" localSheetId="9" hidden="1">{"'Jibu9811 (3)'!$B$1:$J$433"}</definedName>
    <definedName name="광주지점사무실" hidden="1">{"'Jibu9811 (3)'!$B$1:$J$433"}</definedName>
    <definedName name="교동토" hidden="1">#REF!</definedName>
    <definedName name="교동토목공사" localSheetId="10" hidden="1">{#N/A,#N/A,FALSE,"이태원철근"}</definedName>
    <definedName name="교동토목공사" localSheetId="9" hidden="1">{#N/A,#N/A,FALSE,"이태원철근"}</definedName>
    <definedName name="교동토목공사" hidden="1">{#N/A,#N/A,FALSE,"이태원철근"}</definedName>
    <definedName name="교육계획" localSheetId="10" hidden="1">{#N/A,#N/A,FALSE,"단축1";#N/A,#N/A,FALSE,"단축2";#N/A,#N/A,FALSE,"단축3";#N/A,#N/A,FALSE,"장축";#N/A,#N/A,FALSE,"4WD"}</definedName>
    <definedName name="교육계획" localSheetId="9" hidden="1">{#N/A,#N/A,FALSE,"단축1";#N/A,#N/A,FALSE,"단축2";#N/A,#N/A,FALSE,"단축3";#N/A,#N/A,FALSE,"장축";#N/A,#N/A,FALSE,"4WD"}</definedName>
    <definedName name="교육계획" hidden="1">{#N/A,#N/A,FALSE,"단축1";#N/A,#N/A,FALSE,"단축2";#N/A,#N/A,FALSE,"단축3";#N/A,#N/A,FALSE,"장축";#N/A,#N/A,FALSE,"4WD"}</definedName>
    <definedName name="구" localSheetId="10" hidden="1">{"'손익현황'!$A$1:$J$29"}</definedName>
    <definedName name="구" localSheetId="9" hidden="1">{"'손익현황'!$A$1:$J$29"}</definedName>
    <definedName name="구" hidden="1">{"'손익현황'!$A$1:$J$29"}</definedName>
    <definedName name="구_1" localSheetId="10" hidden="1">{"'손익현황'!$A$1:$J$29"}</definedName>
    <definedName name="구_1" localSheetId="9" hidden="1">{"'손익현황'!$A$1:$J$29"}</definedName>
    <definedName name="구_1" hidden="1">{"'손익현황'!$A$1:$J$29"}</definedName>
    <definedName name="구미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미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미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미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미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산갑지" hidden="1">#REF!</definedName>
    <definedName name="구조물공" localSheetId="10" hidden="1">{#N/A,#N/A,FALSE,"이정표"}</definedName>
    <definedName name="구조물공" localSheetId="9" hidden="1">{#N/A,#N/A,FALSE,"이정표"}</definedName>
    <definedName name="구조물공" hidden="1">{#N/A,#N/A,FALSE,"이정표"}</definedName>
    <definedName name="구축물임" localSheetId="10" hidden="1">{"'손익현황'!$A$1:$J$29"}</definedName>
    <definedName name="구축물임" localSheetId="9" hidden="1">{"'손익현황'!$A$1:$J$29"}</definedName>
    <definedName name="구축물임" hidden="1">{"'손익현황'!$A$1:$J$29"}</definedName>
    <definedName name="구축물임_1" localSheetId="10" hidden="1">{"'손익현황'!$A$1:$J$29"}</definedName>
    <definedName name="구축물임_1" localSheetId="9" hidden="1">{"'손익현황'!$A$1:$J$29"}</definedName>
    <definedName name="구축물임_1" hidden="1">{"'손익현황'!$A$1:$J$29"}</definedName>
    <definedName name="국공채미수이자" localSheetId="10" hidden="1">{#N/A,#N/A,FALSE,"Aging Summary";#N/A,#N/A,FALSE,"Ratio Analysis";#N/A,#N/A,FALSE,"Test 120 Day Accts";#N/A,#N/A,FALSE,"Tickmarks"}</definedName>
    <definedName name="국공채미수이자" localSheetId="9" hidden="1">{#N/A,#N/A,FALSE,"Aging Summary";#N/A,#N/A,FALSE,"Ratio Analysis";#N/A,#N/A,FALSE,"Test 120 Day Accts";#N/A,#N/A,FALSE,"Tickmarks"}</definedName>
    <definedName name="국공채미수이자" hidden="1">{#N/A,#N/A,FALSE,"Aging Summary";#N/A,#N/A,FALSE,"Ratio Analysis";#N/A,#N/A,FALSE,"Test 120 Day Accts";#N/A,#N/A,FALSE,"Tickmarks"}</definedName>
    <definedName name="국공채미수이자_1" localSheetId="10" hidden="1">{#N/A,#N/A,FALSE,"Aging Summary";#N/A,#N/A,FALSE,"Ratio Analysis";#N/A,#N/A,FALSE,"Test 120 Day Accts";#N/A,#N/A,FALSE,"Tickmarks"}</definedName>
    <definedName name="국공채미수이자_1" localSheetId="9" hidden="1">{#N/A,#N/A,FALSE,"Aging Summary";#N/A,#N/A,FALSE,"Ratio Analysis";#N/A,#N/A,FALSE,"Test 120 Day Accts";#N/A,#N/A,FALSE,"Tickmarks"}</definedName>
    <definedName name="국공채미수이자_1" hidden="1">{#N/A,#N/A,FALSE,"Aging Summary";#N/A,#N/A,FALSE,"Ratio Analysis";#N/A,#N/A,FALSE,"Test 120 Day Accts";#N/A,#N/A,FALSE,"Tickmarks"}</definedName>
    <definedName name="국민연금" hidden="1">#REF!</definedName>
    <definedName name="권태우" hidden="1">#REF!</definedName>
    <definedName name="근거2" localSheetId="10" hidden="1">{#N/A,#N/A,FALSE,"단축1";#N/A,#N/A,FALSE,"단축2";#N/A,#N/A,FALSE,"단축3";#N/A,#N/A,FALSE,"장축";#N/A,#N/A,FALSE,"4WD"}</definedName>
    <definedName name="근거2" localSheetId="9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액" localSheetId="10" hidden="1">{"'Jibu9811 (3)'!$B$1:$J$433"}</definedName>
    <definedName name="금액" localSheetId="9" hidden="1">{"'Jibu9811 (3)'!$B$1:$J$433"}</definedName>
    <definedName name="금액" hidden="1">{"'Jibu9811 (3)'!$B$1:$J$433"}</definedName>
    <definedName name="금월" localSheetId="10" hidden="1">{#N/A,#N/A,TRUE,"Y생산";#N/A,#N/A,TRUE,"Y판매";#N/A,#N/A,TRUE,"Y총물량";#N/A,#N/A,TRUE,"Y능력";#N/A,#N/A,TRUE,"YKD"}</definedName>
    <definedName name="금월" localSheetId="9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형" localSheetId="10" hidden="1">{#N/A,#N/A,FALSE,"단축1";#N/A,#N/A,FALSE,"단축2";#N/A,#N/A,FALSE,"단축3";#N/A,#N/A,FALSE,"장축";#N/A,#N/A,FALSE,"4WD"}</definedName>
    <definedName name="금형" localSheetId="9" hidden="1">{#N/A,#N/A,FALSE,"단축1";#N/A,#N/A,FALSE,"단축2";#N/A,#N/A,FALSE,"단축3";#N/A,#N/A,FALSE,"장축";#N/A,#N/A,FALSE,"4WD"}</definedName>
    <definedName name="금형" hidden="1">{#N/A,#N/A,FALSE,"단축1";#N/A,#N/A,FALSE,"단축2";#N/A,#N/A,FALSE,"단축3";#N/A,#N/A,FALSE,"장축";#N/A,#N/A,FALSE,"4WD"}</definedName>
    <definedName name="금형편성표" localSheetId="10" hidden="1">{#N/A,#N/A,FALSE,"단축1";#N/A,#N/A,FALSE,"단축2";#N/A,#N/A,FALSE,"단축3";#N/A,#N/A,FALSE,"장축";#N/A,#N/A,FALSE,"4WD"}</definedName>
    <definedName name="금형편성표" localSheetId="9" hidden="1">{#N/A,#N/A,FALSE,"단축1";#N/A,#N/A,FALSE,"단축2";#N/A,#N/A,FALSE,"단축3";#N/A,#N/A,FALSE,"장축";#N/A,#N/A,FALSE,"4WD"}</definedName>
    <definedName name="금형편성표" hidden="1">{#N/A,#N/A,FALSE,"단축1";#N/A,#N/A,FALSE,"단축2";#N/A,#N/A,FALSE,"단축3";#N/A,#N/A,FALSE,"장축";#N/A,#N/A,FALSE,"4WD"}</definedName>
    <definedName name="기성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분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분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분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분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분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아모텍" localSheetId="10" hidden="1">{#N/A,#N/A,FALSE,"정공"}</definedName>
    <definedName name="기아모텍" localSheetId="9" hidden="1">{#N/A,#N/A,FALSE,"정공"}</definedName>
    <definedName name="기아모텍" hidden="1">{#N/A,#N/A,FALSE,"정공"}</definedName>
    <definedName name="기아전자" localSheetId="10" hidden="1">{#N/A,#N/A,FALSE,"정공"}</definedName>
    <definedName name="기아전자" localSheetId="9" hidden="1">{#N/A,#N/A,FALSE,"정공"}</definedName>
    <definedName name="기아전자" hidden="1">{#N/A,#N/A,FALSE,"정공"}</definedName>
    <definedName name="기획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획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획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획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획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" hidden="1">#REF!</definedName>
    <definedName name="김_1" localSheetId="10" hidden="1">{#N/A,#N/A,FALSE,"Aging Summary";#N/A,#N/A,FALSE,"Ratio Analysis";#N/A,#N/A,FALSE,"Test 120 Day Accts";#N/A,#N/A,FALSE,"Tickmarks"}</definedName>
    <definedName name="김_1" localSheetId="9" hidden="1">{#N/A,#N/A,FALSE,"Aging Summary";#N/A,#N/A,FALSE,"Ratio Analysis";#N/A,#N/A,FALSE,"Test 120 Day Accts";#N/A,#N/A,FALSE,"Tickmarks"}</definedName>
    <definedName name="김_1" hidden="1">{#N/A,#N/A,FALSE,"Aging Summary";#N/A,#N/A,FALSE,"Ratio Analysis";#N/A,#N/A,FALSE,"Test 120 Day Accts";#N/A,#N/A,FALSE,"Tickmarks"}</definedName>
    <definedName name="김대업" localSheetId="10" hidden="1">{#N/A,#N/A,FALSE,"기술료 비교"}</definedName>
    <definedName name="김대업" localSheetId="9" hidden="1">{#N/A,#N/A,FALSE,"기술료 비교"}</definedName>
    <definedName name="김대업" hidden="1">{#N/A,#N/A,FALSE,"기술료 비교"}</definedName>
    <definedName name="김덕연" localSheetId="10" hidden="1">{"'Jibu9811 (3)'!$B$1:$J$433"}</definedName>
    <definedName name="김덕연" localSheetId="9" hidden="1">{"'Jibu9811 (3)'!$B$1:$J$433"}</definedName>
    <definedName name="김덕연" hidden="1">{"'Jibu9811 (3)'!$B$1:$J$433"}</definedName>
    <definedName name="김영선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철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철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철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철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철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종묵" localSheetId="10" hidden="1">{#N/A,#N/A,FALSE,"기술료 비교"}</definedName>
    <definedName name="김종묵" localSheetId="9" hidden="1">{#N/A,#N/A,FALSE,"기술료 비교"}</definedName>
    <definedName name="김종묵" hidden="1">{#N/A,#N/A,FALSE,"기술료 비교"}</definedName>
    <definedName name="김천사업장" localSheetId="10" hidden="1">{"'Jibu9811 (3)'!$B$1:$J$433"}</definedName>
    <definedName name="김천사업장" localSheetId="9" hidden="1">{"'Jibu9811 (3)'!$B$1:$J$433"}</definedName>
    <definedName name="김천사업장" hidden="1">{"'Jibu9811 (3)'!$B$1:$J$433"}</definedName>
    <definedName name="从" localSheetId="10" hidden="1">{#N/A,#N/A,FALSE,"供料净化车间"}</definedName>
    <definedName name="从" localSheetId="9" hidden="1">{#N/A,#N/A,FALSE,"供料净化车间"}</definedName>
    <definedName name="从" hidden="1">{#N/A,#N/A,FALSE,"供料净化车间"}</definedName>
    <definedName name="从_1" localSheetId="10" hidden="1">{#N/A,#N/A,FALSE,"供料净化车间"}</definedName>
    <definedName name="从_1" localSheetId="9" hidden="1">{#N/A,#N/A,FALSE,"供料净化车间"}</definedName>
    <definedName name="从_1" hidden="1">{#N/A,#N/A,FALSE,"供料净化车间"}</definedName>
    <definedName name="꼬에랑스" localSheetId="10" hidden="1">{"'Jibu9811 (3)'!$B$1:$J$433"}</definedName>
    <definedName name="꼬에랑스" localSheetId="9" hidden="1">{"'Jibu9811 (3)'!$B$1:$J$433"}</definedName>
    <definedName name="꼬에랑스" hidden="1">{"'Jibu9811 (3)'!$B$1:$J$433"}</definedName>
    <definedName name="峨峨阿" localSheetId="10" hidden="1">{#N/A,#N/A,FALSE,"供料净化车间"}</definedName>
    <definedName name="峨峨阿" localSheetId="9" hidden="1">{#N/A,#N/A,FALSE,"供料净化车间"}</definedName>
    <definedName name="峨峨阿" hidden="1">{#N/A,#N/A,FALSE,"供料净化车间"}</definedName>
    <definedName name="峨峨阿_1" localSheetId="10" hidden="1">{#N/A,#N/A,FALSE,"供料净化车间"}</definedName>
    <definedName name="峨峨阿_1" localSheetId="9" hidden="1">{#N/A,#N/A,FALSE,"供料净化车间"}</definedName>
    <definedName name="峨峨阿_1" hidden="1">{#N/A,#N/A,FALSE,"供料净化车间"}</definedName>
    <definedName name="费用" hidden="1">#REF!</definedName>
    <definedName name="关联方" hidden="1">0</definedName>
    <definedName name="関連" localSheetId="10" hidden="1">{"'下期集計（10.27迄・速報値）'!$Q$16"}</definedName>
    <definedName name="関連" localSheetId="9" hidden="1">{"'下期集計（10.27迄・速報値）'!$Q$16"}</definedName>
    <definedName name="関連" hidden="1">{"'下期集計（10.27迄・速報値）'!$Q$16"}</definedName>
    <definedName name="関連_1" localSheetId="10" hidden="1">{"'下期集計（10.27迄・速報値）'!$Q$16"}</definedName>
    <definedName name="関連_1" localSheetId="9" hidden="1">{"'下期集計（10.27迄・速報値）'!$Q$16"}</definedName>
    <definedName name="関連_1" hidden="1">{"'下期集計（10.27迄・速報値）'!$Q$16"}</definedName>
    <definedName name="ㄳㄳㄳㄳ" localSheetId="10" hidden="1">{"'용역비'!$A$4:$C$8"}</definedName>
    <definedName name="ㄳㄳㄳㄳ" localSheetId="9" hidden="1">{"'용역비'!$A$4:$C$8"}</definedName>
    <definedName name="ㄳㄳㄳㄳ" hidden="1">{"'용역비'!$A$4:$C$8"}</definedName>
    <definedName name="ㄳㄳㅅㄷㅅ" localSheetId="1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ㄳㄳㅅㄷㅅ" localSheetId="9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ㄳㄳㅅㄷㅅ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ㄳㄳㅅㄷㅅ_1" localSheetId="1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ㄳㄳㅅㄷㅅ_1" localSheetId="9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ㄳㄳㅅㄷㅅ_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ㄴㄴ" localSheetId="10" hidden="1">{#N/A,#N/A,FALSE,"Aging Summary";#N/A,#N/A,FALSE,"Ratio Analysis";#N/A,#N/A,FALSE,"Test 120 Day Accts";#N/A,#N/A,FALSE,"Tickmarks"}</definedName>
    <definedName name="ㄴㄴ" localSheetId="9" hidden="1">{#N/A,#N/A,FALSE,"Aging Summary";#N/A,#N/A,FALSE,"Ratio Analysis";#N/A,#N/A,FALSE,"Test 120 Day Accts";#N/A,#N/A,FALSE,"Tickmarks"}</definedName>
    <definedName name="ㄴㄴ" hidden="1">{#N/A,#N/A,FALSE,"Aging Summary";#N/A,#N/A,FALSE,"Ratio Analysis";#N/A,#N/A,FALSE,"Test 120 Day Accts";#N/A,#N/A,FALSE,"Tickmarks"}</definedName>
    <definedName name="ㄴㄴ_1" localSheetId="10" hidden="1">{#N/A,#N/A,FALSE,"Sheet1";#N/A,#N/A,FALSE,"기평9607"}</definedName>
    <definedName name="ㄴㄴ_1" localSheetId="9" hidden="1">{#N/A,#N/A,FALSE,"Sheet1";#N/A,#N/A,FALSE,"기평9607"}</definedName>
    <definedName name="ㄴㄴ_1" hidden="1">{#N/A,#N/A,FALSE,"Sheet1";#N/A,#N/A,FALSE,"기평9607"}</definedName>
    <definedName name="ㄴㄴㄴ" localSheetId="10" hidden="1">{"'손익현황'!$A$1:$J$29"}</definedName>
    <definedName name="ㄴㄴㄴ" localSheetId="9" hidden="1">{"'손익현황'!$A$1:$J$29"}</definedName>
    <definedName name="ㄴㄴㄴ" hidden="1">{"'손익현황'!$A$1:$J$29"}</definedName>
    <definedName name="ㄴㄴㄴ_1" localSheetId="10" hidden="1">{"'손익현황'!$A$1:$J$29"}</definedName>
    <definedName name="ㄴㄴㄴ_1" localSheetId="9" hidden="1">{"'손익현황'!$A$1:$J$29"}</definedName>
    <definedName name="ㄴㄴㄴ_1" hidden="1">{"'손익현황'!$A$1:$J$29"}</definedName>
    <definedName name="ㄴ롸ㅣ러ㅏㅣㅁ러ㅣ" localSheetId="10" hidden="1">{"'Jibu9811 (3)'!$B$1:$J$433"}</definedName>
    <definedName name="ㄴ롸ㅣ러ㅏㅣㅁ러ㅣ" localSheetId="9" hidden="1">{"'Jibu9811 (3)'!$B$1:$J$433"}</definedName>
    <definedName name="ㄴ롸ㅣ러ㅏㅣㅁ러ㅣ" hidden="1">{"'Jibu9811 (3)'!$B$1:$J$433"}</definedName>
    <definedName name="ㄴㅅㄱㅓ" hidden="1">#REF!</definedName>
    <definedName name="ㄴㅇㄹ" hidden="1">#REF!</definedName>
    <definedName name="ㄴㅇㄹㅇㄴ" hidden="1">#REF!</definedName>
    <definedName name="ㄴㅇㅀㄴㅇㅀ" hidden="1">#REF!</definedName>
    <definedName name="ㄴㅇㅁ" localSheetId="10" hidden="1">{"'Jibu9811 (3)'!$B$1:$J$433"}</definedName>
    <definedName name="ㄴㅇㅁ" localSheetId="9" hidden="1">{"'Jibu9811 (3)'!$B$1:$J$433"}</definedName>
    <definedName name="ㄴㅇㅁ" hidden="1">{"'Jibu9811 (3)'!$B$1:$J$433"}</definedName>
    <definedName name="ㄴㅇㅇ" localSheetId="10" hidden="1">{#N/A,#N/A,TRUE,"일정"}</definedName>
    <definedName name="ㄴㅇㅇ" localSheetId="9" hidden="1">{#N/A,#N/A,TRUE,"일정"}</definedName>
    <definedName name="ㄴㅇㅇ" hidden="1">{#N/A,#N/A,TRUE,"일정"}</definedName>
    <definedName name="ㄴㅇㅇㄴㄹ" localSheetId="10" hidden="1">{#N/A,#N/A,FALSE,"BS";#N/A,#N/A,FALSE,"PL";#N/A,#N/A,FALSE,"처분";#N/A,#N/A,FALSE,"현금";#N/A,#N/A,FALSE,"매출";#N/A,#N/A,FALSE,"원가";#N/A,#N/A,FALSE,"경영"}</definedName>
    <definedName name="ㄴㅇㅇㄴㄹ" localSheetId="9" hidden="1">{#N/A,#N/A,FALSE,"BS";#N/A,#N/A,FALSE,"PL";#N/A,#N/A,FALSE,"처분";#N/A,#N/A,FALSE,"현금";#N/A,#N/A,FALSE,"매출";#N/A,#N/A,FALSE,"원가";#N/A,#N/A,FALSE,"경영"}</definedName>
    <definedName name="ㄴㅇㅇㄴㄹ" hidden="1">{#N/A,#N/A,FALSE,"BS";#N/A,#N/A,FALSE,"PL";#N/A,#N/A,FALSE,"처분";#N/A,#N/A,FALSE,"현금";#N/A,#N/A,FALSE,"매출";#N/A,#N/A,FALSE,"원가";#N/A,#N/A,FALSE,"경영"}</definedName>
    <definedName name="ㄴㅇㅇㄴㄹ_1" localSheetId="10" hidden="1">{#N/A,#N/A,FALSE,"BS";#N/A,#N/A,FALSE,"PL";#N/A,#N/A,FALSE,"처분";#N/A,#N/A,FALSE,"현금";#N/A,#N/A,FALSE,"매출";#N/A,#N/A,FALSE,"원가";#N/A,#N/A,FALSE,"경영"}</definedName>
    <definedName name="ㄴㅇㅇㄴㄹ_1" localSheetId="9" hidden="1">{#N/A,#N/A,FALSE,"BS";#N/A,#N/A,FALSE,"PL";#N/A,#N/A,FALSE,"처분";#N/A,#N/A,FALSE,"현금";#N/A,#N/A,FALSE,"매출";#N/A,#N/A,FALSE,"원가";#N/A,#N/A,FALSE,"경영"}</definedName>
    <definedName name="ㄴㅇㅇㄴㄹ_1" hidden="1">{#N/A,#N/A,FALSE,"BS";#N/A,#N/A,FALSE,"PL";#N/A,#N/A,FALSE,"처분";#N/A,#N/A,FALSE,"현금";#N/A,#N/A,FALSE,"매출";#N/A,#N/A,FALSE,"원가";#N/A,#N/A,FALSE,"경영"}</definedName>
    <definedName name="ㄴㅇㅎㄴㄹㅇ" hidden="1">#REF!</definedName>
    <definedName name="ㄴ와ㅣㅎㄴㅇ허ㅣ" localSheetId="10" hidden="1">{"'Jibu9811 (3)'!$B$1:$J$433"}</definedName>
    <definedName name="ㄴ와ㅣㅎㄴㅇ허ㅣ" localSheetId="9" hidden="1">{"'Jibu9811 (3)'!$B$1:$J$433"}</definedName>
    <definedName name="ㄴ와ㅣㅎㄴㅇ허ㅣ" hidden="1">{"'Jibu9811 (3)'!$B$1:$J$433"}</definedName>
    <definedName name="나리" localSheetId="10" hidden="1">{#N/A,#N/A,FALSE,"P.C.B"}</definedName>
    <definedName name="나리" localSheetId="9" hidden="1">{#N/A,#N/A,FALSE,"P.C.B"}</definedName>
    <definedName name="나리" hidden="1">{#N/A,#N/A,FALSE,"P.C.B"}</definedName>
    <definedName name="나리2" localSheetId="10" hidden="1">{#N/A,#N/A,FALSE,"P.C.B"}</definedName>
    <definedName name="나리2" localSheetId="9" hidden="1">{#N/A,#N/A,FALSE,"P.C.B"}</definedName>
    <definedName name="나리2" hidden="1">{#N/A,#N/A,FALSE,"P.C.B"}</definedName>
    <definedName name="내역" hidden="1">#REF!</definedName>
    <definedName name="国流" localSheetId="10" hidden="1">{"'现金流量表（全部投资）'!$B$4:$P$23"}</definedName>
    <definedName name="国流" localSheetId="9" hidden="1">{"'现金流量表（全部投资）'!$B$4:$P$23"}</definedName>
    <definedName name="国流" hidden="1">{"'现金流量表（全部投资）'!$B$4:$P$23"}</definedName>
    <definedName name="国流_1" localSheetId="10" hidden="1">{"'现金流量表（全部投资）'!$B$4:$P$23"}</definedName>
    <definedName name="国流_1" localSheetId="9" hidden="1">{"'现金流量表（全部投资）'!$B$4:$P$23"}</definedName>
    <definedName name="国流_1" hidden="1">{"'现金流量表（全部投资）'!$B$4:$P$23"}</definedName>
    <definedName name="너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너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네" localSheetId="10" hidden="1">{#N/A,#N/A,FALSE,"P.C.B"}</definedName>
    <definedName name="네" localSheetId="9" hidden="1">{#N/A,#N/A,FALSE,"P.C.B"}</definedName>
    <definedName name="네" hidden="1">{#N/A,#N/A,FALSE,"P.C.B"}</definedName>
    <definedName name="년제조" hidden="1">#REF!</definedName>
    <definedName name="노무비" localSheetId="10" hidden="1">{#N/A,#N/A,FALSE,"단축1";#N/A,#N/A,FALSE,"단축2";#N/A,#N/A,FALSE,"단축3";#N/A,#N/A,FALSE,"장축";#N/A,#N/A,FALSE,"4WD"}</definedName>
    <definedName name="노무비" localSheetId="9" hidden="1">{#N/A,#N/A,FALSE,"단축1";#N/A,#N/A,FALSE,"단축2";#N/A,#N/A,FALSE,"단축3";#N/A,#N/A,FALSE,"장축";#N/A,#N/A,FALSE,"4WD"}</definedName>
    <definedName name="노무비" hidden="1">{#N/A,#N/A,FALSE,"단축1";#N/A,#N/A,FALSE,"단축2";#N/A,#N/A,FALSE,"단축3";#N/A,#N/A,FALSE,"장축";#N/A,#N/A,FALSE,"4WD"}</definedName>
    <definedName name="解决" localSheetId="10" hidden="1">{"Monthly6Q",#N/A,FALSE,"0614ESL"}</definedName>
    <definedName name="解决" localSheetId="9" hidden="1">{"Monthly6Q",#N/A,FALSE,"0614ESL"}</definedName>
    <definedName name="解决" hidden="1">{"Monthly6Q",#N/A,FALSE,"0614ESL"}</definedName>
    <definedName name="解决_1" localSheetId="10" hidden="1">{"Monthly6Q",#N/A,FALSE,"0614ESL"}</definedName>
    <definedName name="解决_1" localSheetId="9" hidden="1">{"Monthly6Q",#N/A,FALSE,"0614ESL"}</definedName>
    <definedName name="解决_1" hidden="1">{"Monthly6Q",#N/A,FALSE,"0614ESL"}</definedName>
    <definedName name="借款" localSheetId="10" hidden="1">{#N/A,#N/A,FALSE,"970301";#N/A,#N/A,FALSE,"970302";#N/A,#N/A,FALSE,"970303";#N/A,#N/A,FALSE,"970304";#N/A,#N/A,FALSE,"COM1";#N/A,#N/A,FALSE,"COM2"}</definedName>
    <definedName name="借款" localSheetId="9" hidden="1">{#N/A,#N/A,FALSE,"970301";#N/A,#N/A,FALSE,"970302";#N/A,#N/A,FALSE,"970303";#N/A,#N/A,FALSE,"970304";#N/A,#N/A,FALSE,"COM1";#N/A,#N/A,FALSE,"COM2"}</definedName>
    <definedName name="借款" hidden="1">{#N/A,#N/A,FALSE,"970301";#N/A,#N/A,FALSE,"970302";#N/A,#N/A,FALSE,"970303";#N/A,#N/A,FALSE,"970304";#N/A,#N/A,FALSE,"COM1";#N/A,#N/A,FALSE,"COM2"}</definedName>
    <definedName name="借款_1" localSheetId="10" hidden="1">{#N/A,#N/A,FALSE,"970301";#N/A,#N/A,FALSE,"970302";#N/A,#N/A,FALSE,"970303";#N/A,#N/A,FALSE,"970304";#N/A,#N/A,FALSE,"COM1";#N/A,#N/A,FALSE,"COM2"}</definedName>
    <definedName name="借款_1" localSheetId="9" hidden="1">{#N/A,#N/A,FALSE,"970301";#N/A,#N/A,FALSE,"970302";#N/A,#N/A,FALSE,"970303";#N/A,#N/A,FALSE,"970304";#N/A,#N/A,FALSE,"COM1";#N/A,#N/A,FALSE,"COM2"}</definedName>
    <definedName name="借款_1" hidden="1">{#N/A,#N/A,FALSE,"970301";#N/A,#N/A,FALSE,"970302";#N/A,#N/A,FALSE,"970303";#N/A,#N/A,FALSE,"970304";#N/A,#N/A,FALSE,"COM1";#N/A,#N/A,FALSE,"COM2"}</definedName>
    <definedName name="金利体系" localSheetId="10" hidden="1">{"'下期集計（10.27迄・速報値）'!$Q$16"}</definedName>
    <definedName name="金利体系" localSheetId="9" hidden="1">{"'下期集計（10.27迄・速報値）'!$Q$16"}</definedName>
    <definedName name="金利体系" hidden="1">{"'下期集計（10.27迄・速報値）'!$Q$16"}</definedName>
    <definedName name="金利体系_1" localSheetId="10" hidden="1">{"'下期集計（10.27迄・速報値）'!$Q$16"}</definedName>
    <definedName name="金利体系_1" localSheetId="9" hidden="1">{"'下期集計（10.27迄・速報値）'!$Q$16"}</definedName>
    <definedName name="金利体系_1" hidden="1">{"'下期集計（10.27迄・速報値）'!$Q$16"}</definedName>
    <definedName name="就会" localSheetId="10" hidden="1">{"'Demand Units'!$Z$2:$AF$53"}</definedName>
    <definedName name="就会" localSheetId="9" hidden="1">{"'Demand Units'!$Z$2:$AF$53"}</definedName>
    <definedName name="就会" hidden="1">{"'Demand Units'!$Z$2:$AF$53"}</definedName>
    <definedName name="就会_1" localSheetId="10" hidden="1">{"'Demand Units'!$Z$2:$AF$53"}</definedName>
    <definedName name="就会_1" localSheetId="9" hidden="1">{"'Demand Units'!$Z$2:$AF$53"}</definedName>
    <definedName name="就会_1" hidden="1">{"'Demand Units'!$Z$2:$AF$53"}</definedName>
    <definedName name="뉴셀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뉴셀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뉴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뉴셀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뉴셀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뉴셀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苛" localSheetId="10" hidden="1">{"M1sPrint",#N/A,FALSE,"M1s"}</definedName>
    <definedName name="苛" localSheetId="9" hidden="1">{"M1sPrint",#N/A,FALSE,"M1s"}</definedName>
    <definedName name="苛" hidden="1">{"M1sPrint",#N/A,FALSE,"M1s"}</definedName>
    <definedName name="ㄶㄴㄷㄹ렂다ㅣㄹ" localSheetId="10" hidden="1">{"'Jibu9811 (3)'!$B$1:$J$433"}</definedName>
    <definedName name="ㄶㄴㄷㄹ렂다ㅣㄹ" localSheetId="9" hidden="1">{"'Jibu9811 (3)'!$B$1:$J$433"}</definedName>
    <definedName name="ㄶㄴㄷㄹ렂다ㅣㄹ" hidden="1">{"'Jibu9811 (3)'!$B$1:$J$433"}</definedName>
    <definedName name="ㄶㅇ노ㅗㄶ호" localSheetId="10" hidden="1">{#N/A,#N/A,FALSE,"REPORT"}</definedName>
    <definedName name="ㄶㅇ노ㅗㄶ호" localSheetId="9" hidden="1">{#N/A,#N/A,FALSE,"REPORT"}</definedName>
    <definedName name="ㄶㅇ노ㅗㄶ호" hidden="1">{#N/A,#N/A,FALSE,"REPORT"}</definedName>
    <definedName name="ㄷ" localSheetId="10" hidden="1">{#N/A,#N/A,FALSE,"이태원철근"}</definedName>
    <definedName name="ㄷ" localSheetId="9" hidden="1">{#N/A,#N/A,FALSE,"이태원철근"}</definedName>
    <definedName name="ㄷ" hidden="1">{#N/A,#N/A,FALSE,"이태원철근"}</definedName>
    <definedName name="ㄷㄱㄱ" localSheetId="10" hidden="1">{"'Jibu9811 (3)'!$B$1:$J$433"}</definedName>
    <definedName name="ㄷㄱㄱ" localSheetId="9" hidden="1">{"'Jibu9811 (3)'!$B$1:$J$433"}</definedName>
    <definedName name="ㄷㄱㄱ" hidden="1">{"'Jibu9811 (3)'!$B$1:$J$433"}</definedName>
    <definedName name="ㄷㄱㄷㅈㄹㅊㅇ" localSheetId="10" hidden="1">{"'용역비'!$A$4:$C$8"}</definedName>
    <definedName name="ㄷㄱㄷㅈㄹㅊㅇ" localSheetId="9" hidden="1">{"'용역비'!$A$4:$C$8"}</definedName>
    <definedName name="ㄷㄱㄷㅈㄹㅊㅇ" hidden="1">{"'용역비'!$A$4:$C$8"}</definedName>
    <definedName name="ㄷㄳ" localSheetId="10" hidden="1">{#N/A,#N/A,FALSE,"단축1";#N/A,#N/A,FALSE,"단축2";#N/A,#N/A,FALSE,"단축3";#N/A,#N/A,FALSE,"장축";#N/A,#N/A,FALSE,"4WD"}</definedName>
    <definedName name="ㄷㄳ" localSheetId="9" hidden="1">{#N/A,#N/A,FALSE,"단축1";#N/A,#N/A,FALSE,"단축2";#N/A,#N/A,FALSE,"단축3";#N/A,#N/A,FALSE,"장축";#N/A,#N/A,FALSE,"4WD"}</definedName>
    <definedName name="ㄷㄳ" hidden="1">{#N/A,#N/A,FALSE,"단축1";#N/A,#N/A,FALSE,"단축2";#N/A,#N/A,FALSE,"단축3";#N/A,#N/A,FALSE,"장축";#N/A,#N/A,FALSE,"4WD"}</definedName>
    <definedName name="ㄷㄷ_1" localSheetId="10" hidden="1">{#N/A,#N/A,FALSE,"BS";#N/A,#N/A,FALSE,"PL";#N/A,#N/A,FALSE,"처분";#N/A,#N/A,FALSE,"현금";#N/A,#N/A,FALSE,"매출";#N/A,#N/A,FALSE,"원가";#N/A,#N/A,FALSE,"경영"}</definedName>
    <definedName name="ㄷㄷ_1" localSheetId="9" hidden="1">{#N/A,#N/A,FALSE,"BS";#N/A,#N/A,FALSE,"PL";#N/A,#N/A,FALSE,"처분";#N/A,#N/A,FALSE,"현금";#N/A,#N/A,FALSE,"매출";#N/A,#N/A,FALSE,"원가";#N/A,#N/A,FALSE,"경영"}</definedName>
    <definedName name="ㄷㄷ_1" hidden="1">{#N/A,#N/A,FALSE,"BS";#N/A,#N/A,FALSE,"PL";#N/A,#N/A,FALSE,"처분";#N/A,#N/A,FALSE,"현금";#N/A,#N/A,FALSE,"매출";#N/A,#N/A,FALSE,"원가";#N/A,#N/A,FALSE,"경영"}</definedName>
    <definedName name="ㄷㄷㄷ" localSheetId="10" hidden="1">{#N/A,#N/A,FALSE,"UNIT";#N/A,#N/A,FALSE,"UNIT";#N/A,#N/A,FALSE,"계정"}</definedName>
    <definedName name="ㄷㄷㄷ" localSheetId="9" hidden="1">{#N/A,#N/A,FALSE,"UNIT";#N/A,#N/A,FALSE,"UNIT";#N/A,#N/A,FALSE,"계정"}</definedName>
    <definedName name="ㄷㄷㄷ" hidden="1">{#N/A,#N/A,FALSE,"UNIT";#N/A,#N/A,FALSE,"UNIT";#N/A,#N/A,FALSE,"계정"}</definedName>
    <definedName name="ㄷㄷㄷ_1" localSheetId="10" hidden="1">{#N/A,#N/A,FALSE,"UNIT";#N/A,#N/A,FALSE,"UNIT";#N/A,#N/A,FALSE,"계정"}</definedName>
    <definedName name="ㄷㄷㄷ_1" localSheetId="9" hidden="1">{#N/A,#N/A,FALSE,"UNIT";#N/A,#N/A,FALSE,"UNIT";#N/A,#N/A,FALSE,"계정"}</definedName>
    <definedName name="ㄷㄷㄷ_1" hidden="1">{#N/A,#N/A,FALSE,"UNIT";#N/A,#N/A,FALSE,"UNIT";#N/A,#N/A,FALSE,"계정"}</definedName>
    <definedName name="ㄷ랴겋" localSheetId="10" hidden="1">{#N/A,#N/A,FALSE,"구조2"}</definedName>
    <definedName name="ㄷ랴겋" localSheetId="9" hidden="1">{#N/A,#N/A,FALSE,"구조2"}</definedName>
    <definedName name="ㄷ랴겋" hidden="1">{#N/A,#N/A,FALSE,"구조2"}</definedName>
    <definedName name="ㄷㅇ" localSheetId="10" hidden="1">{#N/A,#N/A,TRUE,"Y생산";#N/A,#N/A,TRUE,"Y판매";#N/A,#N/A,TRUE,"Y총물량";#N/A,#N/A,TRUE,"Y능력";#N/A,#N/A,TRUE,"YKD"}</definedName>
    <definedName name="ㄷㅇ" localSheetId="9" hidden="1">{#N/A,#N/A,TRUE,"Y생산";#N/A,#N/A,TRUE,"Y판매";#N/A,#N/A,TRUE,"Y총물량";#N/A,#N/A,TRUE,"Y능력";#N/A,#N/A,TRUE,"YKD"}</definedName>
    <definedName name="ㄷㅇ" hidden="1">{#N/A,#N/A,TRUE,"Y생산";#N/A,#N/A,TRUE,"Y판매";#N/A,#N/A,TRUE,"Y총물량";#N/A,#N/A,TRUE,"Y능력";#N/A,#N/A,TRUE,"YKD"}</definedName>
    <definedName name="ㄷㅎㄱㅎㄱ" localSheetId="10" hidden="1">{"'Jibu9811 (3)'!$B$1:$J$433"}</definedName>
    <definedName name="ㄷㅎㄱㅎㄱ" localSheetId="9" hidden="1">{"'Jibu9811 (3)'!$B$1:$J$433"}</definedName>
    <definedName name="ㄷㅎㄱㅎㄱ" hidden="1">{"'Jibu9811 (3)'!$B$1:$J$433"}</definedName>
    <definedName name="ㄷㅎㄷㄳㄷ공ㄱ" localSheetId="10" hidden="1">{"'Jibu9811 (3)'!$B$1:$J$433"}</definedName>
    <definedName name="ㄷㅎㄷㄳㄷ공ㄱ" localSheetId="9" hidden="1">{"'Jibu9811 (3)'!$B$1:$J$433"}</definedName>
    <definedName name="ㄷㅎㄷㄳㄷ공ㄱ" hidden="1">{"'Jibu9811 (3)'!$B$1:$J$433"}</definedName>
    <definedName name="다다익선" localSheetId="10" hidden="1">{#N/A,#N/A,FALSE,"정공"}</definedName>
    <definedName name="다다익선" localSheetId="9" hidden="1">{#N/A,#N/A,FALSE,"정공"}</definedName>
    <definedName name="다다익선" hidden="1">{#N/A,#N/A,FALSE,"정공"}</definedName>
    <definedName name="다달이" localSheetId="10" hidden="1">{#N/A,#N/A,FALSE,"정공"}</definedName>
    <definedName name="다달이" localSheetId="9" hidden="1">{#N/A,#N/A,FALSE,"정공"}</definedName>
    <definedName name="다달이" hidden="1">{#N/A,#N/A,FALSE,"정공"}</definedName>
    <definedName name="다라니경" localSheetId="10" hidden="1">{#N/A,#N/A,FALSE,"정공"}</definedName>
    <definedName name="다라니경" localSheetId="9" hidden="1">{#N/A,#N/A,FALSE,"정공"}</definedName>
    <definedName name="다라니경" hidden="1">{#N/A,#N/A,FALSE,"정공"}</definedName>
    <definedName name="다라니경을피우자" localSheetId="10" hidden="1">{#N/A,#N/A,FALSE,"정공"}</definedName>
    <definedName name="다라니경을피우자" localSheetId="9" hidden="1">{#N/A,#N/A,FALSE,"정공"}</definedName>
    <definedName name="다라니경을피우자" hidden="1">{#N/A,#N/A,FALSE,"정공"}</definedName>
    <definedName name="단가기준" localSheetId="10" hidden="1">{#N/A,#N/A,TRUE,"Y생산";#N/A,#N/A,TRUE,"Y판매";#N/A,#N/A,TRUE,"Y총물량";#N/A,#N/A,TRUE,"Y능력";#N/A,#N/A,TRUE,"YKD"}</definedName>
    <definedName name="단가기준" localSheetId="9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가대" hidden="1">#REF!</definedName>
    <definedName name="단기" localSheetId="10" hidden="1">{#N/A,#N/A,TRUE,"Y생산";#N/A,#N/A,TRUE,"Y판매";#N/A,#N/A,TRUE,"Y총물량";#N/A,#N/A,TRUE,"Y능력";#N/A,#N/A,TRUE,"YKD"}</definedName>
    <definedName name="단기" localSheetId="9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단기대여금" localSheetId="10" hidden="1">{#N/A,#N/A,TRUE,"Y생산";#N/A,#N/A,TRUE,"Y판매";#N/A,#N/A,TRUE,"Y총물량";#N/A,#N/A,TRUE,"Y능력";#N/A,#N/A,TRUE,"YKD"}</definedName>
    <definedName name="단기대여금" localSheetId="9" hidden="1">{#N/A,#N/A,TRUE,"Y생산";#N/A,#N/A,TRUE,"Y판매";#N/A,#N/A,TRUE,"Y총물량";#N/A,#N/A,TRUE,"Y능력";#N/A,#N/A,TRUE,"YKD"}</definedName>
    <definedName name="단기대여금" hidden="1">{#N/A,#N/A,TRUE,"Y생산";#N/A,#N/A,TRUE,"Y판매";#N/A,#N/A,TRUE,"Y총물량";#N/A,#N/A,TRUE,"Y능력";#N/A,#N/A,TRUE,"YKD"}</definedName>
    <definedName name="단말기" localSheetId="10" hidden="1">{#N/A,#N/A,FALSE,"정공"}</definedName>
    <definedName name="단말기" localSheetId="9" hidden="1">{#N/A,#N/A,FALSE,"정공"}</definedName>
    <definedName name="단말기" hidden="1">{#N/A,#N/A,FALSE,"정공"}</definedName>
    <definedName name="단말기번호" localSheetId="10" hidden="1">{#N/A,#N/A,FALSE,"정공"}</definedName>
    <definedName name="단말기번호" localSheetId="9" hidden="1">{#N/A,#N/A,FALSE,"정공"}</definedName>
    <definedName name="단말기번호" hidden="1">{#N/A,#N/A,FALSE,"정공"}</definedName>
    <definedName name="단알기" localSheetId="10" hidden="1">{#N/A,#N/A,FALSE,"정공"}</definedName>
    <definedName name="단알기" localSheetId="9" hidden="1">{#N/A,#N/A,FALSE,"정공"}</definedName>
    <definedName name="단알기" hidden="1">{#N/A,#N/A,FALSE,"정공"}</definedName>
    <definedName name="단조편성표" localSheetId="10" hidden="1">{#N/A,#N/A,FALSE,"단축1";#N/A,#N/A,FALSE,"단축2";#N/A,#N/A,FALSE,"단축3";#N/A,#N/A,FALSE,"장축";#N/A,#N/A,FALSE,"4WD"}</definedName>
    <definedName name="단조편성표" localSheetId="9" hidden="1">{#N/A,#N/A,FALSE,"단축1";#N/A,#N/A,FALSE,"단축2";#N/A,#N/A,FALSE,"단축3";#N/A,#N/A,FALSE,"장축";#N/A,#N/A,FALSE,"4WD"}</definedName>
    <definedName name="단조편성표" hidden="1">{#N/A,#N/A,FALSE,"단축1";#N/A,#N/A,FALSE,"단축2";#N/A,#N/A,FALSE,"단축3";#N/A,#N/A,FALSE,"장축";#N/A,#N/A,FALSE,"4WD"}</definedName>
    <definedName name="대리님" localSheetId="10" hidden="1">{#N/A,#N/A,FALSE,"정공"}</definedName>
    <definedName name="대리님" localSheetId="9" hidden="1">{#N/A,#N/A,FALSE,"정공"}</definedName>
    <definedName name="대리님" hidden="1">{#N/A,#N/A,FALSE,"정공"}</definedName>
    <definedName name="대방총괄" localSheetId="10" hidden="1">{#N/A,#N/A,FALSE,"단축1";#N/A,#N/A,FALSE,"단축2";#N/A,#N/A,FALSE,"단축3";#N/A,#N/A,FALSE,"장축";#N/A,#N/A,FALSE,"4WD"}</definedName>
    <definedName name="대방총괄" localSheetId="9" hidden="1">{#N/A,#N/A,FALSE,"단축1";#N/A,#N/A,FALSE,"단축2";#N/A,#N/A,FALSE,"단축3";#N/A,#N/A,FALSE,"장축";#N/A,#N/A,FALSE,"4WD"}</definedName>
    <definedName name="대방총괄" hidden="1">{#N/A,#N/A,FALSE,"단축1";#N/A,#N/A,FALSE,"단축2";#N/A,#N/A,FALSE,"단축3";#N/A,#N/A,FALSE,"장축";#N/A,#N/A,FALSE,"4WD"}</definedName>
    <definedName name="대상시트" localSheetId="10" hidden="1">{#N/A,#N/A,FALSE,"정공"}</definedName>
    <definedName name="대상시트" localSheetId="9" hidden="1">{#N/A,#N/A,FALSE,"정공"}</definedName>
    <definedName name="대상시트" hidden="1">{#N/A,#N/A,FALSE,"정공"}</definedName>
    <definedName name="대일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1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1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1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퓨ㅜ허" localSheetId="10" hidden="1">{#N/A,#N/A,FALSE,"구조1"}</definedName>
    <definedName name="대퓨ㅜ허" localSheetId="9" hidden="1">{#N/A,#N/A,FALSE,"구조1"}</definedName>
    <definedName name="대퓨ㅜ허" hidden="1">{#N/A,#N/A,FALSE,"구조1"}</definedName>
    <definedName name="도용" hidden="1">#REF!</definedName>
    <definedName name="독립기초" localSheetId="10" hidden="1">{#N/A,#N/A,FALSE,"기안지";#N/A,#N/A,FALSE,"통신지"}</definedName>
    <definedName name="독립기초" localSheetId="9" hidden="1">{#N/A,#N/A,FALSE,"기안지";#N/A,#N/A,FALSE,"통신지"}</definedName>
    <definedName name="독립기초" hidden="1">{#N/A,#N/A,FALSE,"기안지";#N/A,#N/A,FALSE,"통신지"}</definedName>
    <definedName name="독립기초토공수량산출" localSheetId="10" hidden="1">{#N/A,#N/A,FALSE,"기안지";#N/A,#N/A,FALSE,"통신지"}</definedName>
    <definedName name="독립기초토공수량산출" localSheetId="9" hidden="1">{#N/A,#N/A,FALSE,"기안지";#N/A,#N/A,FALSE,"통신지"}</definedName>
    <definedName name="독립기초토공수량산출" hidden="1">{#N/A,#N/A,FALSE,"기안지";#N/A,#N/A,FALSE,"통신지"}</definedName>
    <definedName name="동력" localSheetId="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력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력성능" localSheetId="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력성능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력성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방" localSheetId="10" hidden="1">{#N/A,#N/A,FALSE,"BS";#N/A,#N/A,FALSE,"PL";#N/A,#N/A,FALSE,"처분";#N/A,#N/A,FALSE,"현금";#N/A,#N/A,FALSE,"매출";#N/A,#N/A,FALSE,"원가";#N/A,#N/A,FALSE,"경영"}</definedName>
    <definedName name="동방" localSheetId="9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_1" localSheetId="10" hidden="1">{#N/A,#N/A,FALSE,"BS";#N/A,#N/A,FALSE,"PL";#N/A,#N/A,FALSE,"처분";#N/A,#N/A,FALSE,"현금";#N/A,#N/A,FALSE,"매출";#N/A,#N/A,FALSE,"원가";#N/A,#N/A,FALSE,"경영"}</definedName>
    <definedName name="동방_1" localSheetId="9" hidden="1">{#N/A,#N/A,FALSE,"BS";#N/A,#N/A,FALSE,"PL";#N/A,#N/A,FALSE,"처분";#N/A,#N/A,FALSE,"현금";#N/A,#N/A,FALSE,"매출";#N/A,#N/A,FALSE,"원가";#N/A,#N/A,FALSE,"경영"}</definedName>
    <definedName name="동방_1" hidden="1">{#N/A,#N/A,FALSE,"BS";#N/A,#N/A,FALSE,"PL";#N/A,#N/A,FALSE,"처분";#N/A,#N/A,FALSE,"현금";#N/A,#N/A,FALSE,"매출";#N/A,#N/A,FALSE,"원가";#N/A,#N/A,FALSE,"경영"}</definedName>
    <definedName name="동방1" localSheetId="1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localSheetId="9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_1" localSheetId="1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_1" localSheetId="9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_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xlnm.Recorder" hidden="1">#REF!</definedName>
    <definedName name="두번째" localSheetId="10" hidden="1">{#N/A,#N/A,FALSE,"정공"}</definedName>
    <definedName name="두번째" localSheetId="9" hidden="1">{#N/A,#N/A,FALSE,"정공"}</definedName>
    <definedName name="두번째" hidden="1">{#N/A,#N/A,FALSE,"정공"}</definedName>
    <definedName name="딜레마" localSheetId="10" hidden="1">{"'Jibu9811 (3)'!$B$1:$J$433"}</definedName>
    <definedName name="딜레마" localSheetId="9" hidden="1">{"'Jibu9811 (3)'!$B$1:$J$433"}</definedName>
    <definedName name="딜레마" hidden="1">{"'Jibu9811 (3)'!$B$1:$J$433"}</definedName>
    <definedName name="年間収支買掛" localSheetId="10" hidden="1">{"'下期集計（10.27迄・速報値）'!$Q$16"}</definedName>
    <definedName name="年間収支買掛" localSheetId="9" hidden="1">{"'下期集計（10.27迄・速報値）'!$Q$16"}</definedName>
    <definedName name="年間収支買掛" hidden="1">{"'下期集計（10.27迄・速報値）'!$Q$16"}</definedName>
    <definedName name="年間収支買掛_1" localSheetId="10" hidden="1">{"'下期集計（10.27迄・速報値）'!$Q$16"}</definedName>
    <definedName name="年間収支買掛_1" localSheetId="9" hidden="1">{"'下期集計（10.27迄・速報値）'!$Q$16"}</definedName>
    <definedName name="年間収支買掛_1" hidden="1">{"'下期集計（10.27迄・速報値）'!$Q$16"}</definedName>
    <definedName name="年間資金収支あ" localSheetId="10" hidden="1">{"'下期集計（10.27迄・速報値）'!$Q$16"}</definedName>
    <definedName name="年間資金収支あ" localSheetId="9" hidden="1">{"'下期集計（10.27迄・速報値）'!$Q$16"}</definedName>
    <definedName name="年間資金収支あ" hidden="1">{"'下期集計（10.27迄・速報値）'!$Q$16"}</definedName>
    <definedName name="年間資金収支あ_1" localSheetId="10" hidden="1">{"'下期集計（10.27迄・速報値）'!$Q$16"}</definedName>
    <definedName name="年間資金収支あ_1" localSheetId="9" hidden="1">{"'下期集計（10.27迄・速報値）'!$Q$16"}</definedName>
    <definedName name="年間資金収支あ_1" hidden="1">{"'下期集計（10.27迄・速報値）'!$Q$16"}</definedName>
    <definedName name="区域0.5367755" hidden="1">#REF!</definedName>
    <definedName name="区域0.5367755_区域" hidden="1">#REF!</definedName>
    <definedName name="区域0.9090828" hidden="1">#REF!</definedName>
    <definedName name="区域0.9090828_区域" hidden="1">#REF!</definedName>
    <definedName name="ㄹㄴ" localSheetId="10" hidden="1">{"'Jibu9811 (3)'!$B$1:$J$433"}</definedName>
    <definedName name="ㄹㄴ" localSheetId="9" hidden="1">{"'Jibu9811 (3)'!$B$1:$J$433"}</definedName>
    <definedName name="ㄹㄴ" hidden="1">{"'Jibu9811 (3)'!$B$1:$J$433"}</definedName>
    <definedName name="ㄹㄴㅇ" localSheetId="10" hidden="1">{"'Jibu9811 (3)'!$B$1:$J$433"}</definedName>
    <definedName name="ㄹㄴㅇ" localSheetId="9" hidden="1">{"'Jibu9811 (3)'!$B$1:$J$433"}</definedName>
    <definedName name="ㄹㄴㅇ" hidden="1">{"'Jibu9811 (3)'!$B$1:$J$433"}</definedName>
    <definedName name="ㄹㄴㅇㄹㄴㅇ" localSheetId="10" hidden="1">{"'Jibu9811 (3)'!$B$1:$J$433"}</definedName>
    <definedName name="ㄹㄴㅇㄹㄴㅇ" localSheetId="9" hidden="1">{"'Jibu9811 (3)'!$B$1:$J$433"}</definedName>
    <definedName name="ㄹㄴㅇㄹㄴㅇ" hidden="1">{"'Jibu9811 (3)'!$B$1:$J$433"}</definedName>
    <definedName name="ㄹㄷ" localSheetId="10" hidden="1">{#N/A,#N/A,FALSE,"기안지";#N/A,#N/A,FALSE,"통신지"}</definedName>
    <definedName name="ㄹㄷ" localSheetId="9" hidden="1">{#N/A,#N/A,FALSE,"기안지";#N/A,#N/A,FALSE,"통신지"}</definedName>
    <definedName name="ㄹㄷ" hidden="1">{#N/A,#N/A,FALSE,"기안지";#N/A,#N/A,FALSE,"통신지"}</definedName>
    <definedName name="ㄹㄷㄱ" localSheetId="10" hidden="1">{"'Jibu9811 (3)'!$B$1:$J$433"}</definedName>
    <definedName name="ㄹㄷㄱ" localSheetId="9" hidden="1">{"'Jibu9811 (3)'!$B$1:$J$433"}</definedName>
    <definedName name="ㄹㄷㄱ" hidden="1">{"'Jibu9811 (3)'!$B$1:$J$433"}</definedName>
    <definedName name="ㄹㄷㅈ" localSheetId="10" hidden="1">{"'Jibu9811 (3)'!$B$1:$J$433"}</definedName>
    <definedName name="ㄹㄷㅈ" localSheetId="9" hidden="1">{"'Jibu9811 (3)'!$B$1:$J$433"}</definedName>
    <definedName name="ㄹㄷㅈ" hidden="1">{"'Jibu9811 (3)'!$B$1:$J$433"}</definedName>
    <definedName name="ㄹㄹㄹ" hidden="1">#REF!</definedName>
    <definedName name="ㄹㄹㄹㄹㄹㄹㄹㄹㄹㄹㄹㄹ" hidden="1">#REF!</definedName>
    <definedName name="ㄹ로ㅓ채패ㅛ해ㅑㅎ" localSheetId="10" hidden="1">{"'Jibu9811 (3)'!$B$1:$J$433"}</definedName>
    <definedName name="ㄹ로ㅓ채패ㅛ해ㅑㅎ" localSheetId="9" hidden="1">{"'Jibu9811 (3)'!$B$1:$J$433"}</definedName>
    <definedName name="ㄹ로ㅓ채패ㅛ해ㅑㅎ" hidden="1">{"'Jibu9811 (3)'!$B$1:$J$433"}</definedName>
    <definedName name="ㄹㅇㄴㄻ" localSheetId="10" hidden="1">{"'Jibu9811 (3)'!$B$1:$J$433"}</definedName>
    <definedName name="ㄹㅇㄴㄻ" localSheetId="9" hidden="1">{"'Jibu9811 (3)'!$B$1:$J$433"}</definedName>
    <definedName name="ㄹㅇㄴㄻ" hidden="1">{"'Jibu9811 (3)'!$B$1:$J$433"}</definedName>
    <definedName name="ㄹㅇㄹㅇㄹ" hidden="1">#REF!</definedName>
    <definedName name="ㄹㅎㄹㅎㅀ" hidden="1">#REF!</definedName>
    <definedName name="라ㅣ" localSheetId="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ㅣ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ㅣ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란다리아" localSheetId="10" hidden="1">{#N/A,#N/A,FALSE,"정공"}</definedName>
    <definedName name="란다리아" localSheetId="9" hidden="1">{#N/A,#N/A,FALSE,"정공"}</definedName>
    <definedName name="란다리아" hidden="1">{#N/A,#N/A,FALSE,"정공"}</definedName>
    <definedName name="日繰06" localSheetId="10" hidden="1">{"'下期集計（10.27迄・速報値）'!$Q$16"}</definedName>
    <definedName name="日繰06" localSheetId="9" hidden="1">{"'下期集計（10.27迄・速報値）'!$Q$16"}</definedName>
    <definedName name="日繰06" hidden="1">{"'下期集計（10.27迄・速報値）'!$Q$16"}</definedName>
    <definedName name="日繰06_1" localSheetId="10" hidden="1">{"'下期集計（10.27迄・速報値）'!$Q$16"}</definedName>
    <definedName name="日繰06_1" localSheetId="9" hidden="1">{"'下期集計（10.27迄・速報値）'!$Q$16"}</definedName>
    <definedName name="日繰06_1" hidden="1">{"'下期集計（10.27迄・速報値）'!$Q$16"}</definedName>
    <definedName name="랴" localSheetId="10" hidden="1">{#N/A,#N/A,FALSE,"기안지";#N/A,#N/A,FALSE,"통신지"}</definedName>
    <definedName name="랴" localSheetId="9" hidden="1">{#N/A,#N/A,FALSE,"기안지";#N/A,#N/A,FALSE,"통신지"}</definedName>
    <definedName name="랴" hidden="1">{#N/A,#N/A,FALSE,"기안지";#N/A,#N/A,FALSE,"통신지"}</definedName>
    <definedName name="러ㅣ러니러니런ㄹㅈㄷㄹ" localSheetId="10" hidden="1">{"'Jibu9811 (3)'!$B$1:$J$433"}</definedName>
    <definedName name="러ㅣ러니러니런ㄹㅈㄷㄹ" localSheetId="9" hidden="1">{"'Jibu9811 (3)'!$B$1:$J$433"}</definedName>
    <definedName name="러ㅣ러니러니런ㄹㅈㄷㄹ" hidden="1">{"'Jibu9811 (3)'!$B$1:$J$433"}</definedName>
    <definedName name="로커커버" localSheetId="10" hidden="1">{#N/A,#N/A,FALSE,"단축1";#N/A,#N/A,FALSE,"단축2";#N/A,#N/A,FALSE,"단축3";#N/A,#N/A,FALSE,"장축";#N/A,#N/A,FALSE,"4WD"}</definedName>
    <definedName name="로커커버" localSheetId="9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生生世世" localSheetId="10" hidden="1">{#N/A,#N/A,FALSE,"供料净化车间"}</definedName>
    <definedName name="生生世世" localSheetId="9" hidden="1">{#N/A,#N/A,FALSE,"供料净化车间"}</definedName>
    <definedName name="生生世世" hidden="1">{#N/A,#N/A,FALSE,"供料净化车间"}</definedName>
    <definedName name="生生世世_1" localSheetId="10" hidden="1">{#N/A,#N/A,FALSE,"供料净化车间"}</definedName>
    <definedName name="生生世世_1" localSheetId="9" hidden="1">{#N/A,#N/A,FALSE,"供料净化车间"}</definedName>
    <definedName name="生生世世_1" hidden="1">{#N/A,#N/A,FALSE,"供料净化车间"}</definedName>
    <definedName name="试验" localSheetId="10" hidden="1">{#N/A,#N/A,FALSE,"OffAdvance";#N/A,#N/A,FALSE,"OffExpRprt";#N/A,#N/A,FALSE,"Travelling";#N/A,#N/A,FALSE,"Entertmnt";#N/A,#N/A,FALSE,"Promotion"}</definedName>
    <definedName name="试验" localSheetId="9" hidden="1">{#N/A,#N/A,FALSE,"OffAdvance";#N/A,#N/A,FALSE,"OffExpRprt";#N/A,#N/A,FALSE,"Travelling";#N/A,#N/A,FALSE,"Entertmnt";#N/A,#N/A,FALSE,"Promotion"}</definedName>
    <definedName name="试验" hidden="1">{#N/A,#N/A,FALSE,"OffAdvance";#N/A,#N/A,FALSE,"OffExpRprt";#N/A,#N/A,FALSE,"Travelling";#N/A,#N/A,FALSE,"Entertmnt";#N/A,#N/A,FALSE,"Promotion"}</definedName>
    <definedName name="试验_1" localSheetId="10" hidden="1">{#N/A,#N/A,FALSE,"OffAdvance";#N/A,#N/A,FALSE,"OffExpRprt";#N/A,#N/A,FALSE,"Travelling";#N/A,#N/A,FALSE,"Entertmnt";#N/A,#N/A,FALSE,"Promotion"}</definedName>
    <definedName name="试验_1" localSheetId="9" hidden="1">{#N/A,#N/A,FALSE,"OffAdvance";#N/A,#N/A,FALSE,"OffExpRprt";#N/A,#N/A,FALSE,"Travelling";#N/A,#N/A,FALSE,"Entertmnt";#N/A,#N/A,FALSE,"Promotion"}</definedName>
    <definedName name="试验_1" hidden="1">{#N/A,#N/A,FALSE,"OffAdvance";#N/A,#N/A,FALSE,"OffExpRprt";#N/A,#N/A,FALSE,"Travelling";#N/A,#N/A,FALSE,"Entertmnt";#N/A,#N/A,FALSE,"Promotion"}</definedName>
    <definedName name="樞紐分析表1.doc" hidden="1">#REF!</definedName>
    <definedName name="樞紐分析表12.doc" hidden="1">#REF!</definedName>
    <definedName name="리오" localSheetId="10" hidden="1">{"'Jibu9811 (3)'!$B$1:$J$433"}</definedName>
    <definedName name="리오" localSheetId="9" hidden="1">{"'Jibu9811 (3)'!$B$1:$J$433"}</definedName>
    <definedName name="리오" hidden="1">{"'Jibu9811 (3)'!$B$1:$J$433"}</definedName>
    <definedName name="링클라인" localSheetId="10" hidden="1">{"'Jibu9811 (3)'!$B$1:$J$433"}</definedName>
    <definedName name="링클라인" localSheetId="9" hidden="1">{"'Jibu9811 (3)'!$B$1:$J$433"}</definedName>
    <definedName name="링클라인" hidden="1">{"'Jibu9811 (3)'!$B$1:$J$433"}</definedName>
    <definedName name="ㄺㄹ" localSheetId="10" hidden="1">{#N/A,#N/A,FALSE,"UNIT";#N/A,#N/A,FALSE,"UNIT";#N/A,#N/A,FALSE,"계정"}</definedName>
    <definedName name="ㄺㄹ" localSheetId="9" hidden="1">{#N/A,#N/A,FALSE,"UNIT";#N/A,#N/A,FALSE,"UNIT";#N/A,#N/A,FALSE,"계정"}</definedName>
    <definedName name="ㄺㄹ" hidden="1">{#N/A,#N/A,FALSE,"UNIT";#N/A,#N/A,FALSE,"UNIT";#N/A,#N/A,FALSE,"계정"}</definedName>
    <definedName name="ㄺㅅ" localSheetId="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ㄺㅅ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ㄺㅅ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ㄻ" localSheetId="10" hidden="1">{#N/A,#N/A,FALSE,"포장2"}</definedName>
    <definedName name="ㄻ" localSheetId="9" hidden="1">{#N/A,#N/A,FALSE,"포장2"}</definedName>
    <definedName name="ㄻ" hidden="1">{#N/A,#N/A,FALSE,"포장2"}</definedName>
    <definedName name="ㄻ뢀ㄴㄹㄹ" localSheetId="10" hidden="1">{"'Jibu9811 (3)'!$B$1:$J$433"}</definedName>
    <definedName name="ㄻ뢀ㄴㄹㄹ" localSheetId="9" hidden="1">{"'Jibu9811 (3)'!$B$1:$J$433"}</definedName>
    <definedName name="ㄻ뢀ㄴㄹㄹ" hidden="1">{"'Jibu9811 (3)'!$B$1:$J$433"}</definedName>
    <definedName name="ㅀ" localSheetId="10" hidden="1">{#N/A,#N/A,TRUE,"토적및재료집계";#N/A,#N/A,TRUE,"토적및재료집계";#N/A,#N/A,TRUE,"단위량"}</definedName>
    <definedName name="ㅀ" localSheetId="9" hidden="1">{#N/A,#N/A,TRUE,"토적및재료집계";#N/A,#N/A,TRUE,"토적및재료집계";#N/A,#N/A,TRUE,"단위량"}</definedName>
    <definedName name="ㅀ" hidden="1">{#N/A,#N/A,TRUE,"토적및재료집계";#N/A,#N/A,TRUE,"토적및재료집계";#N/A,#N/A,TRUE,"단위량"}</definedName>
    <definedName name="ㅁ" localSheetId="10" hidden="1">{#N/A,#N/A,FALSE,"UNIT";#N/A,#N/A,FALSE,"UNIT";#N/A,#N/A,FALSE,"계정"}</definedName>
    <definedName name="ㅁ" localSheetId="9" hidden="1">{#N/A,#N/A,FALSE,"UNIT";#N/A,#N/A,FALSE,"UNIT";#N/A,#N/A,FALSE,"계정"}</definedName>
    <definedName name="ㅁ" hidden="1">{#N/A,#N/A,FALSE,"UNIT";#N/A,#N/A,FALSE,"UNIT";#N/A,#N/A,FALSE,"계정"}</definedName>
    <definedName name="ㅁ_1" localSheetId="10" hidden="1">{#N/A,#N/A,FALSE,"UNIT";#N/A,#N/A,FALSE,"UNIT";#N/A,#N/A,FALSE,"계정"}</definedName>
    <definedName name="ㅁ_1" localSheetId="9" hidden="1">{#N/A,#N/A,FALSE,"UNIT";#N/A,#N/A,FALSE,"UNIT";#N/A,#N/A,FALSE,"계정"}</definedName>
    <definedName name="ㅁ_1" hidden="1">{#N/A,#N/A,FALSE,"UNIT";#N/A,#N/A,FALSE,"UNIT";#N/A,#N/A,FALSE,"계정"}</definedName>
    <definedName name="ㅁㄴ" localSheetId="10" hidden="1">{#N/A,#N/A,FALSE,"UNIT";#N/A,#N/A,FALSE,"UNIT";#N/A,#N/A,FALSE,"계정"}</definedName>
    <definedName name="ㅁㄴ" localSheetId="9" hidden="1">{#N/A,#N/A,FALSE,"UNIT";#N/A,#N/A,FALSE,"UNIT";#N/A,#N/A,FALSE,"계정"}</definedName>
    <definedName name="ㅁㄴ" hidden="1">{#N/A,#N/A,FALSE,"UNIT";#N/A,#N/A,FALSE,"UNIT";#N/A,#N/A,FALSE,"계정"}</definedName>
    <definedName name="ㅁㄴㅁㅇ" hidden="1">#REF!</definedName>
    <definedName name="ㅁㄴㅇ" hidden="1">#REF!</definedName>
    <definedName name="ㅁㄴㅇㄹ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ㄹ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ㄹ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ㄹ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ㄹ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ㄹㅇㄴㄹ" hidden="1">#REF!</definedName>
    <definedName name="ㅁㄴㅇㅁ" hidden="1">#REF!</definedName>
    <definedName name="ㅁㄴㅇㅁㅇㅇㅁ" localSheetId="10" hidden="1">{#N/A,#N/A,FALSE,"Aging Summary";#N/A,#N/A,FALSE,"Ratio Analysis";#N/A,#N/A,FALSE,"Test 120 Day Accts";#N/A,#N/A,FALSE,"Tickmarks"}</definedName>
    <definedName name="ㅁㄴㅇㅁㅇㅇㅁ" localSheetId="9" hidden="1">{#N/A,#N/A,FALSE,"Aging Summary";#N/A,#N/A,FALSE,"Ratio Analysis";#N/A,#N/A,FALSE,"Test 120 Day Accts";#N/A,#N/A,FALSE,"Tickmarks"}</definedName>
    <definedName name="ㅁㄴㅇㅁㅇㅇㅁ" hidden="1">{#N/A,#N/A,FALSE,"Aging Summary";#N/A,#N/A,FALSE,"Ratio Analysis";#N/A,#N/A,FALSE,"Test 120 Day Accts";#N/A,#N/A,FALSE,"Tickmarks"}</definedName>
    <definedName name="ㅁ니러나럼닐" localSheetId="10" hidden="1">{"'Jibu9811 (3)'!$B$1:$J$433"}</definedName>
    <definedName name="ㅁ니러나럼닐" localSheetId="9" hidden="1">{"'Jibu9811 (3)'!$B$1:$J$433"}</definedName>
    <definedName name="ㅁ니러나럼닐" hidden="1">{"'Jibu9811 (3)'!$B$1:$J$433"}</definedName>
    <definedName name="ㅁㄻㄻㄻㄻㄻㄹ15ㄱㅂㄼㄱㄹㄹ" hidden="1">#REF!</definedName>
    <definedName name="ㅁㅁㅁㅁ" localSheetId="10" hidden="1">{#N/A,#N/A,FALSE,"UNIT";#N/A,#N/A,FALSE,"UNIT";#N/A,#N/A,FALSE,"계정"}</definedName>
    <definedName name="ㅁㅁㅁㅁ" localSheetId="9" hidden="1">{#N/A,#N/A,FALSE,"UNIT";#N/A,#N/A,FALSE,"UNIT";#N/A,#N/A,FALSE,"계정"}</definedName>
    <definedName name="ㅁㅁㅁㅁ" hidden="1">{#N/A,#N/A,FALSE,"UNIT";#N/A,#N/A,FALSE,"UNIT";#N/A,#N/A,FALSE,"계정"}</definedName>
    <definedName name="ㅁㅁㅁㅁ_1" localSheetId="10" hidden="1">{#N/A,#N/A,FALSE,"UNIT";#N/A,#N/A,FALSE,"UNIT";#N/A,#N/A,FALSE,"계정"}</definedName>
    <definedName name="ㅁㅁㅁㅁ_1" localSheetId="9" hidden="1">{#N/A,#N/A,FALSE,"UNIT";#N/A,#N/A,FALSE,"UNIT";#N/A,#N/A,FALSE,"계정"}</definedName>
    <definedName name="ㅁㅁㅁㅁ_1" hidden="1">{#N/A,#N/A,FALSE,"UNIT";#N/A,#N/A,FALSE,"UNIT";#N/A,#N/A,FALSE,"계정"}</definedName>
    <definedName name="ㅁㅁㅁㅁㅁ" localSheetId="10" hidden="1">{#N/A,#N/A,FALSE,"UNIT";#N/A,#N/A,FALSE,"UNIT";#N/A,#N/A,FALSE,"계정"}</definedName>
    <definedName name="ㅁㅁㅁㅁㅁ" localSheetId="9" hidden="1">{#N/A,#N/A,FALSE,"UNIT";#N/A,#N/A,FALSE,"UNIT";#N/A,#N/A,FALSE,"계정"}</definedName>
    <definedName name="ㅁㅁㅁㅁㅁ" hidden="1">{#N/A,#N/A,FALSE,"UNIT";#N/A,#N/A,FALSE,"UNIT";#N/A,#N/A,FALSE,"계정"}</definedName>
    <definedName name="ㅁㅁㅁㅁㅁ_1" localSheetId="10" hidden="1">{#N/A,#N/A,FALSE,"UNIT";#N/A,#N/A,FALSE,"UNIT";#N/A,#N/A,FALSE,"계정"}</definedName>
    <definedName name="ㅁㅁㅁㅁㅁ_1" localSheetId="9" hidden="1">{#N/A,#N/A,FALSE,"UNIT";#N/A,#N/A,FALSE,"UNIT";#N/A,#N/A,FALSE,"계정"}</definedName>
    <definedName name="ㅁㅁㅁㅁㅁ_1" hidden="1">{#N/A,#N/A,FALSE,"UNIT";#N/A,#N/A,FALSE,"UNIT";#N/A,#N/A,FALSE,"계정"}</definedName>
    <definedName name="ㅁㅁㅁㅁㅁㅁㅁㅁㅁㅁㅁㅁㅁㅁ" localSheetId="10" hidden="1">{"'용역비'!$A$4:$C$8"}</definedName>
    <definedName name="ㅁㅁㅁㅁㅁㅁㅁㅁㅁㅁㅁㅁㅁㅁ" localSheetId="9" hidden="1">{"'용역비'!$A$4:$C$8"}</definedName>
    <definedName name="ㅁㅁㅁㅁㅁㅁㅁㅁㅁㅁㅁㅁㅁㅁ" hidden="1">{"'용역비'!$A$4:$C$8"}</definedName>
    <definedName name="ㅁㅁㅁㅁㅁㅁㅁㅁㅁㅁㅁㅁㅁㅁㅁㅁㅁㅁㅁㅁㅁ" localSheetId="1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ㅁㅁㅁㅁㅁㅁㅁㅁㅁㅁㅁㅁㅁㅁㅁㅁㅁㅁㅁㅁㅁ" localSheetId="9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ㅁㅁㅁㅁㅁㅁㅁㅁㅁㅁㅁㅁㅁㅁㅁㅁㅁㅁㅁㅁㅁ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ㅁㅁ심힘ㄴㄹ" localSheetId="10" hidden="1">{"'Jibu9811 (3)'!$B$1:$J$433"}</definedName>
    <definedName name="ㅁㅁ심힘ㄴㄹ" localSheetId="9" hidden="1">{"'Jibu9811 (3)'!$B$1:$J$433"}</definedName>
    <definedName name="ㅁㅁ심힘ㄴㄹ" hidden="1">{"'Jibu9811 (3)'!$B$1:$J$433"}</definedName>
    <definedName name="ㅁㅎㅎ" hidden="1">#REF!</definedName>
    <definedName name="마감" localSheetId="10" hidden="1">{#N/A,#N/A,FALSE,"기술료 비교"}</definedName>
    <definedName name="마감" localSheetId="9" hidden="1">{#N/A,#N/A,FALSE,"기술료 비교"}</definedName>
    <definedName name="마감" hidden="1">{#N/A,#N/A,FALSE,"기술료 비교"}</definedName>
    <definedName name="마감공사비A3" hidden="1">#REF!</definedName>
    <definedName name="마케팅계획" localSheetId="10" hidden="1">{#N/A,#N/A,FALSE,"Aging Summary";#N/A,#N/A,FALSE,"Ratio Analysis";#N/A,#N/A,FALSE,"Test 120 Day Accts";#N/A,#N/A,FALSE,"Tickmarks"}</definedName>
    <definedName name="마케팅계획" localSheetId="9" hidden="1">{#N/A,#N/A,FALSE,"Aging Summary";#N/A,#N/A,FALSE,"Ratio Analysis";#N/A,#N/A,FALSE,"Test 120 Day Accts";#N/A,#N/A,FALSE,"Tickmarks"}</definedName>
    <definedName name="마케팅계획" hidden="1">{#N/A,#N/A,FALSE,"Aging Summary";#N/A,#N/A,FALSE,"Ratio Analysis";#N/A,#N/A,FALSE,"Test 120 Day Accts";#N/A,#N/A,FALSE,"Tickmarks"}</definedName>
    <definedName name="매출bogo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10" hidden="1">{#N/A,#N/A,FALSE,"UNIT";#N/A,#N/A,FALSE,"UNIT";#N/A,#N/A,FALSE,"계정"}</definedName>
    <definedName name="매출계획" localSheetId="9" hidden="1">{#N/A,#N/A,FALSE,"UNIT";#N/A,#N/A,FALSE,"UNIT";#N/A,#N/A,FALSE,"계정"}</definedName>
    <definedName name="매출계획" hidden="1">{#N/A,#N/A,FALSE,"UNIT";#N/A,#N/A,FALSE,"UNIT";#N/A,#N/A,FALSE,"계정"}</definedName>
    <definedName name="매출계획2" localSheetId="10" hidden="1">{"'Sheet1'!$A$1:$H$36"}</definedName>
    <definedName name="매출계획2" localSheetId="9" hidden="1">{"'Sheet1'!$A$1:$H$36"}</definedName>
    <definedName name="매출계획2" hidden="1">{"'Sheet1'!$A$1:$H$36"}</definedName>
    <definedName name="매출보고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보고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보고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보고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보고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원가" localSheetId="10" hidden="1">{#N/A,#N/A,FALSE,"Aging Summary";#N/A,#N/A,FALSE,"Ratio Analysis";#N/A,#N/A,FALSE,"Test 120 Day Accts";#N/A,#N/A,FALSE,"Tickmarks"}</definedName>
    <definedName name="매출원가" localSheetId="9" hidden="1">{#N/A,#N/A,FALSE,"Aging Summary";#N/A,#N/A,FALSE,"Ratio Analysis";#N/A,#N/A,FALSE,"Test 120 Day Accts";#N/A,#N/A,FALSE,"Tickmarks"}</definedName>
    <definedName name="매출원가" hidden="1">{#N/A,#N/A,FALSE,"Aging Summary";#N/A,#N/A,FALSE,"Ratio Analysis";#N/A,#N/A,FALSE,"Test 120 Day Accts";#N/A,#N/A,FALSE,"Tickmarks"}</definedName>
    <definedName name="매출원가1" localSheetId="10" hidden="1">{#N/A,#N/A,FALSE,"Aging Summary";#N/A,#N/A,FALSE,"Ratio Analysis";#N/A,#N/A,FALSE,"Test 120 Day Accts";#N/A,#N/A,FALSE,"Tickmarks"}</definedName>
    <definedName name="매출원가1" localSheetId="9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매출조정" localSheetId="10" hidden="1">{"'Jibu9811 (3)'!$B$1:$J$433"}</definedName>
    <definedName name="매출조정" localSheetId="9" hidden="1">{"'Jibu9811 (3)'!$B$1:$J$433"}</definedName>
    <definedName name="매출조정" hidden="1">{"'Jibu9811 (3)'!$B$1:$J$433"}</definedName>
    <definedName name="매출채권_1" localSheetId="10" hidden="1">{#N/A,#N/A,FALSE,"Aging Summary";#N/A,#N/A,FALSE,"Ratio Analysis";#N/A,#N/A,FALSE,"Test 120 Day Accts";#N/A,#N/A,FALSE,"Tickmarks"}</definedName>
    <definedName name="매출채권_1" localSheetId="9" hidden="1">{#N/A,#N/A,FALSE,"Aging Summary";#N/A,#N/A,FALSE,"Ratio Analysis";#N/A,#N/A,FALSE,"Test 120 Day Accts";#N/A,#N/A,FALSE,"Tickmarks"}</definedName>
    <definedName name="매출채권_1" hidden="1">{#N/A,#N/A,FALSE,"Aging Summary";#N/A,#N/A,FALSE,"Ratio Analysis";#N/A,#N/A,FALSE,"Test 120 Day Accts";#N/A,#N/A,FALSE,"Tickmarks"}</definedName>
    <definedName name="매출채권_1_1" localSheetId="10" hidden="1">{#N/A,#N/A,FALSE,"Aging Summary";#N/A,#N/A,FALSE,"Ratio Analysis";#N/A,#N/A,FALSE,"Test 120 Day Accts";#N/A,#N/A,FALSE,"Tickmarks"}</definedName>
    <definedName name="매출채권_1_1" localSheetId="9" hidden="1">{#N/A,#N/A,FALSE,"Aging Summary";#N/A,#N/A,FALSE,"Ratio Analysis";#N/A,#N/A,FALSE,"Test 120 Day Accts";#N/A,#N/A,FALSE,"Tickmarks"}</definedName>
    <definedName name="매출채권_1_1" hidden="1">{#N/A,#N/A,FALSE,"Aging Summary";#N/A,#N/A,FALSE,"Ratio Analysis";#N/A,#N/A,FALSE,"Test 120 Day Accts";#N/A,#N/A,FALSE,"Tickmarks"}</definedName>
    <definedName name="매출채권비율" localSheetId="10" hidden="1">{"'손익현황'!$A$1:$J$29"}</definedName>
    <definedName name="매출채권비율" localSheetId="9" hidden="1">{"'손익현황'!$A$1:$J$29"}</definedName>
    <definedName name="매출채권비율" hidden="1">{"'손익현황'!$A$1:$J$29"}</definedName>
    <definedName name="매출채권비율_1" localSheetId="10" hidden="1">{"'손익현황'!$A$1:$J$29"}</definedName>
    <definedName name="매출채권비율_1" localSheetId="9" hidden="1">{"'손익현황'!$A$1:$J$29"}</definedName>
    <definedName name="매출채권비율_1" hidden="1">{"'손익현황'!$A$1:$J$29"}</definedName>
    <definedName name="매출추1" localSheetId="10" hidden="1">{#N/A,#N/A,FALSE,"정공"}</definedName>
    <definedName name="매출추1" localSheetId="9" hidden="1">{#N/A,#N/A,FALSE,"정공"}</definedName>
    <definedName name="매출추1" hidden="1">{#N/A,#N/A,FALSE,"정공"}</definedName>
    <definedName name="매출추정" localSheetId="10" hidden="1">{#N/A,#N/A,FALSE,"정공"}</definedName>
    <definedName name="매출추정" localSheetId="9" hidden="1">{#N/A,#N/A,FALSE,"정공"}</definedName>
    <definedName name="매출추정" hidden="1">{#N/A,#N/A,FALSE,"정공"}</definedName>
    <definedName name="完美" localSheetId="10" hidden="1">{#N/A,#N/A,FALSE,"Marketing";#N/A,#N/A,FALSE,"Selling";#N/A,#N/A,FALSE,"Promotional";#N/A,#N/A,FALSE,"Advertising"}</definedName>
    <definedName name="完美" localSheetId="9" hidden="1">{#N/A,#N/A,FALSE,"Marketing";#N/A,#N/A,FALSE,"Selling";#N/A,#N/A,FALSE,"Promotional";#N/A,#N/A,FALSE,"Advertising"}</definedName>
    <definedName name="完美" hidden="1">{#N/A,#N/A,FALSE,"Marketing";#N/A,#N/A,FALSE,"Selling";#N/A,#N/A,FALSE,"Promotional";#N/A,#N/A,FALSE,"Advertising"}</definedName>
    <definedName name="完美_1" localSheetId="10" hidden="1">{#N/A,#N/A,FALSE,"Marketing";#N/A,#N/A,FALSE,"Selling";#N/A,#N/A,FALSE,"Promotional";#N/A,#N/A,FALSE,"Advertising"}</definedName>
    <definedName name="完美_1" localSheetId="9" hidden="1">{#N/A,#N/A,FALSE,"Marketing";#N/A,#N/A,FALSE,"Selling";#N/A,#N/A,FALSE,"Promotional";#N/A,#N/A,FALSE,"Advertising"}</definedName>
    <definedName name="完美_1" hidden="1">{#N/A,#N/A,FALSE,"Marketing";#N/A,#N/A,FALSE,"Selling";#N/A,#N/A,FALSE,"Promotional";#N/A,#N/A,FALSE,"Advertising"}</definedName>
    <definedName name="명단2" localSheetId="10" hidden="1">{"'Jibu9811 (3)'!$B$1:$J$433"}</definedName>
    <definedName name="명단2" localSheetId="9" hidden="1">{"'Jibu9811 (3)'!$B$1:$J$433"}</definedName>
    <definedName name="명단2" hidden="1">{"'Jibu9811 (3)'!$B$1:$J$433"}</definedName>
    <definedName name="명단결과" localSheetId="10" hidden="1">{"'Jibu9811 (3)'!$B$1:$J$433"}</definedName>
    <definedName name="명단결과" localSheetId="9" hidden="1">{"'Jibu9811 (3)'!$B$1:$J$433"}</definedName>
    <definedName name="명단결과" hidden="1">{"'Jibu9811 (3)'!$B$1:$J$433"}</definedName>
    <definedName name="모_1" localSheetId="10" hidden="1">{#N/A,#N/A,FALSE,"Aging Summary";#N/A,#N/A,FALSE,"Ratio Analysis";#N/A,#N/A,FALSE,"Test 120 Day Accts";#N/A,#N/A,FALSE,"Tickmarks"}</definedName>
    <definedName name="모_1" localSheetId="9" hidden="1">{#N/A,#N/A,FALSE,"Aging Summary";#N/A,#N/A,FALSE,"Ratio Analysis";#N/A,#N/A,FALSE,"Test 120 Day Accts";#N/A,#N/A,FALSE,"Tickmarks"}</definedName>
    <definedName name="모_1" hidden="1">{#N/A,#N/A,FALSE,"Aging Summary";#N/A,#N/A,FALSE,"Ratio Analysis";#N/A,#N/A,FALSE,"Test 120 Day Accts";#N/A,#N/A,FALSE,"Tickmarks"}</definedName>
    <definedName name="모야" localSheetId="10" hidden="1">{#N/A,#N/A,FALSE,"BS";#N/A,#N/A,FALSE,"PL";#N/A,#N/A,FALSE,"처분";#N/A,#N/A,FALSE,"현금";#N/A,#N/A,FALSE,"매출";#N/A,#N/A,FALSE,"원가";#N/A,#N/A,FALSE,"경영"}</definedName>
    <definedName name="모야" localSheetId="9" hidden="1">{#N/A,#N/A,FALSE,"BS";#N/A,#N/A,FALSE,"PL";#N/A,#N/A,FALSE,"처분";#N/A,#N/A,FALSE,"현금";#N/A,#N/A,FALSE,"매출";#N/A,#N/A,FALSE,"원가";#N/A,#N/A,FALSE,"경영"}</definedName>
    <definedName name="모야" hidden="1">{#N/A,#N/A,FALSE,"BS";#N/A,#N/A,FALSE,"PL";#N/A,#N/A,FALSE,"처분";#N/A,#N/A,FALSE,"현금";#N/A,#N/A,FALSE,"매출";#N/A,#N/A,FALSE,"원가";#N/A,#N/A,FALSE,"경영"}</definedName>
    <definedName name="모야_1" localSheetId="10" hidden="1">{#N/A,#N/A,FALSE,"BS";#N/A,#N/A,FALSE,"PL";#N/A,#N/A,FALSE,"처분";#N/A,#N/A,FALSE,"현금";#N/A,#N/A,FALSE,"매출";#N/A,#N/A,FALSE,"원가";#N/A,#N/A,FALSE,"경영"}</definedName>
    <definedName name="모야_1" localSheetId="9" hidden="1">{#N/A,#N/A,FALSE,"BS";#N/A,#N/A,FALSE,"PL";#N/A,#N/A,FALSE,"처분";#N/A,#N/A,FALSE,"현금";#N/A,#N/A,FALSE,"매출";#N/A,#N/A,FALSE,"원가";#N/A,#N/A,FALSE,"경영"}</definedName>
    <definedName name="모야_1" hidden="1">{#N/A,#N/A,FALSE,"BS";#N/A,#N/A,FALSE,"PL";#N/A,#N/A,FALSE,"처분";#N/A,#N/A,FALSE,"현금";#N/A,#N/A,FALSE,"매출";#N/A,#N/A,FALSE,"원가";#N/A,#N/A,FALSE,"경영"}</definedName>
    <definedName name="목차" localSheetId="10" hidden="1">{#N/A,#N/A,FALSE,"단축1";#N/A,#N/A,FALSE,"단축2";#N/A,#N/A,FALSE,"단축3";#N/A,#N/A,FALSE,"장축";#N/A,#N/A,FALSE,"4WD"}</definedName>
    <definedName name="목차" localSheetId="9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목차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차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차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차2" hidden="1">#REF!</definedName>
    <definedName name="몰라" localSheetId="10" hidden="1">{"'Jibu9811 (3)'!$B$1:$J$433"}</definedName>
    <definedName name="몰라" localSheetId="9" hidden="1">{"'Jibu9811 (3)'!$B$1:$J$433"}</definedName>
    <definedName name="몰라" hidden="1">{"'Jibu9811 (3)'!$B$1:$J$433"}</definedName>
    <definedName name="新目录3" localSheetId="10" hidden="1">{"'Demand Units'!$Z$2:$AF$53"}</definedName>
    <definedName name="新目录3" localSheetId="9" hidden="1">{"'Demand Units'!$Z$2:$AF$53"}</definedName>
    <definedName name="新目录3" hidden="1">{"'Demand Units'!$Z$2:$AF$53"}</definedName>
    <definedName name="新目录3_1" localSheetId="10" hidden="1">{"'Demand Units'!$Z$2:$AF$53"}</definedName>
    <definedName name="新目录3_1" localSheetId="9" hidden="1">{"'Demand Units'!$Z$2:$AF$53"}</definedName>
    <definedName name="新目录3_1" hidden="1">{"'Demand Units'!$Z$2:$AF$53"}</definedName>
    <definedName name="무야" localSheetId="1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무야" localSheetId="9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무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무야_1" localSheetId="1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무야_1" localSheetId="9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무야_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문성수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성수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성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성수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성수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성수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제3" localSheetId="10" hidden="1">{#N/A,#N/A,FALSE,"단축1";#N/A,#N/A,FALSE,"단축2";#N/A,#N/A,FALSE,"단축3";#N/A,#N/A,FALSE,"장축";#N/A,#N/A,FALSE,"4WD"}</definedName>
    <definedName name="문제3" localSheetId="9" hidden="1">{#N/A,#N/A,FALSE,"단축1";#N/A,#N/A,FALSE,"단축2";#N/A,#N/A,FALSE,"단축3";#N/A,#N/A,FALSE,"장축";#N/A,#N/A,FALSE,"4WD"}</definedName>
    <definedName name="문제3" hidden="1">{#N/A,#N/A,FALSE,"단축1";#N/A,#N/A,FALSE,"단축2";#N/A,#N/A,FALSE,"단축3";#N/A,#N/A,FALSE,"장축";#N/A,#N/A,FALSE,"4WD"}</definedName>
    <definedName name="문제점" localSheetId="10" hidden="1">{"'Jibu9811 (3)'!$B$1:$J$433"}</definedName>
    <definedName name="문제점" localSheetId="9" hidden="1">{"'Jibu9811 (3)'!$B$1:$J$433"}</definedName>
    <definedName name="문제점" hidden="1">{"'Jibu9811 (3)'!$B$1:$J$433"}</definedName>
    <definedName name="물" localSheetId="10" hidden="1">{#N/A,#N/A,FALSE,"이태원철근"}</definedName>
    <definedName name="물" localSheetId="9" hidden="1">{#N/A,#N/A,FALSE,"이태원철근"}</definedName>
    <definedName name="물" hidden="1">{#N/A,#N/A,FALSE,"이태원철근"}</definedName>
    <definedName name="물가" localSheetId="10" hidden="1">{#N/A,#N/A,FALSE,"이태원철근"}</definedName>
    <definedName name="물가" localSheetId="9" hidden="1">{#N/A,#N/A,FALSE,"이태원철근"}</definedName>
    <definedName name="물가" hidden="1">{#N/A,#N/A,FALSE,"이태원철근"}</definedName>
    <definedName name="물랴자" localSheetId="10" hidden="1">{#N/A,#N/A,TRUE,"Y생산";#N/A,#N/A,TRUE,"Y판매";#N/A,#N/A,TRUE,"Y총물량";#N/A,#N/A,TRUE,"Y능력";#N/A,#N/A,TRUE,"YKD"}</definedName>
    <definedName name="물랴자" localSheetId="9" hidden="1">{#N/A,#N/A,TRUE,"Y생산";#N/A,#N/A,TRUE,"Y판매";#N/A,#N/A,TRUE,"Y총물량";#N/A,#N/A,TRUE,"Y능력";#N/A,#N/A,TRUE,"YKD"}</definedName>
    <definedName name="물랴자" hidden="1">{#N/A,#N/A,TRUE,"Y생산";#N/A,#N/A,TRUE,"Y판매";#N/A,#N/A,TRUE,"Y총물량";#N/A,#N/A,TRUE,"Y능력";#N/A,#N/A,TRUE,"YKD"}</definedName>
    <definedName name="물량수" localSheetId="10" hidden="1">{#N/A,#N/A,TRUE,"Y생산";#N/A,#N/A,TRUE,"Y판매";#N/A,#N/A,TRUE,"Y총물량";#N/A,#N/A,TRUE,"Y능력";#N/A,#N/A,TRUE,"YKD"}</definedName>
    <definedName name="물량수" localSheetId="9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localSheetId="10" hidden="1">{#N/A,#N/A,TRUE,"Y생산";#N/A,#N/A,TRUE,"Y판매";#N/A,#N/A,TRUE,"Y총물량";#N/A,#N/A,TRUE,"Y능력";#N/A,#N/A,TRUE,"YKD"}</definedName>
    <definedName name="물량수정" localSheetId="9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localSheetId="10" hidden="1">{#N/A,#N/A,TRUE,"Y생산";#N/A,#N/A,TRUE,"Y판매";#N/A,#N/A,TRUE,"Y총물량";#N/A,#N/A,TRUE,"Y능력";#N/A,#N/A,TRUE,"YKD"}</definedName>
    <definedName name="물량수정1" localSheetId="9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localSheetId="10" hidden="1">{#N/A,#N/A,TRUE,"Y생산";#N/A,#N/A,TRUE,"Y판매";#N/A,#N/A,TRUE,"Y총물량";#N/A,#N/A,TRUE,"Y능력";#N/A,#N/A,TRUE,"YKD"}</definedName>
    <definedName name="물량수정2" localSheetId="9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localSheetId="10" hidden="1">{#N/A,#N/A,TRUE,"Y생산";#N/A,#N/A,TRUE,"Y판매";#N/A,#N/A,TRUE,"Y총물량";#N/A,#N/A,TRUE,"Y능력";#N/A,#N/A,TRUE,"YKD"}</definedName>
    <definedName name="물량정" localSheetId="9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localSheetId="10" hidden="1">{#N/A,#N/A,TRUE,"Y생산";#N/A,#N/A,TRUE,"Y판매";#N/A,#N/A,TRUE,"Y총물량";#N/A,#N/A,TRUE,"Y능력";#N/A,#N/A,TRUE,"YKD"}</definedName>
    <definedName name="물량조정" localSheetId="9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localSheetId="10" hidden="1">{#N/A,#N/A,TRUE,"일정"}</definedName>
    <definedName name="물류" localSheetId="9" hidden="1">{#N/A,#N/A,TRUE,"일정"}</definedName>
    <definedName name="물류" hidden="1">{#N/A,#N/A,TRUE,"일정"}</definedName>
    <definedName name="물류혁신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혁신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혁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혁신2" localSheetId="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류혁신2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류혁신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수" localSheetId="10" hidden="1">{#N/A,#N/A,TRUE,"Y생산";#N/A,#N/A,TRUE,"Y판매";#N/A,#N/A,TRUE,"Y총물량";#N/A,#N/A,TRUE,"Y능력";#N/A,#N/A,TRUE,"YKD"}</definedName>
    <definedName name="물수" localSheetId="9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뭐가이태원이야" localSheetId="10" hidden="1">{#N/A,#N/A,FALSE,"이태원철근"}</definedName>
    <definedName name="뭐가이태원이야" localSheetId="9" hidden="1">{#N/A,#N/A,FALSE,"이태원철근"}</definedName>
    <definedName name="뭐가이태원이야" hidden="1">{#N/A,#N/A,FALSE,"이태원철근"}</definedName>
    <definedName name="要処理資産②" localSheetId="10" hidden="1">{"'下期集計（10.27迄・速報値）'!$Q$16"}</definedName>
    <definedName name="要処理資産②" localSheetId="9" hidden="1">{"'下期集計（10.27迄・速報値）'!$Q$16"}</definedName>
    <definedName name="要処理資産②" hidden="1">{"'下期集計（10.27迄・速報値）'!$Q$16"}</definedName>
    <definedName name="要処理資産②_1" localSheetId="10" hidden="1">{"'下期集計（10.27迄・速報値）'!$Q$16"}</definedName>
    <definedName name="要処理資産②_1" localSheetId="9" hidden="1">{"'下期集計（10.27迄・速報値）'!$Q$16"}</definedName>
    <definedName name="要処理資産②_1" hidden="1">{"'下期集計（10.27迄・速報値）'!$Q$16"}</definedName>
    <definedName name="뮤" localSheetId="10" hidden="1">{#N/A,#N/A,FALSE,"기술료 비교"}</definedName>
    <definedName name="뮤" localSheetId="9" hidden="1">{#N/A,#N/A,FALSE,"기술료 비교"}</definedName>
    <definedName name="뮤" hidden="1">{#N/A,#N/A,FALSE,"기술료 비교"}</definedName>
    <definedName name="应手款" localSheetId="10" hidden="1">{#N/A,#N/A,FALSE,"970301";#N/A,#N/A,FALSE,"970302";#N/A,#N/A,FALSE,"970303";#N/A,#N/A,FALSE,"970304";#N/A,#N/A,FALSE,"COM1";#N/A,#N/A,FALSE,"COM2"}</definedName>
    <definedName name="应手款" localSheetId="9" hidden="1">{#N/A,#N/A,FALSE,"970301";#N/A,#N/A,FALSE,"970302";#N/A,#N/A,FALSE,"970303";#N/A,#N/A,FALSE,"970304";#N/A,#N/A,FALSE,"COM1";#N/A,#N/A,FALSE,"COM2"}</definedName>
    <definedName name="应手款" hidden="1">{#N/A,#N/A,FALSE,"970301";#N/A,#N/A,FALSE,"970302";#N/A,#N/A,FALSE,"970303";#N/A,#N/A,FALSE,"970304";#N/A,#N/A,FALSE,"COM1";#N/A,#N/A,FALSE,"COM2"}</definedName>
    <definedName name="应手款_1" localSheetId="10" hidden="1">{#N/A,#N/A,FALSE,"970301";#N/A,#N/A,FALSE,"970302";#N/A,#N/A,FALSE,"970303";#N/A,#N/A,FALSE,"970304";#N/A,#N/A,FALSE,"COM1";#N/A,#N/A,FALSE,"COM2"}</definedName>
    <definedName name="应手款_1" localSheetId="9" hidden="1">{#N/A,#N/A,FALSE,"970301";#N/A,#N/A,FALSE,"970302";#N/A,#N/A,FALSE,"970303";#N/A,#N/A,FALSE,"970304";#N/A,#N/A,FALSE,"COM1";#N/A,#N/A,FALSE,"COM2"}</definedName>
    <definedName name="应手款_1" hidden="1">{#N/A,#N/A,FALSE,"970301";#N/A,#N/A,FALSE,"970302";#N/A,#N/A,FALSE,"970303";#N/A,#N/A,FALSE,"970304";#N/A,#N/A,FALSE,"COM1";#N/A,#N/A,FALSE,"COM2"}</definedName>
    <definedName name="应手款1月" localSheetId="10" hidden="1">{#N/A,#N/A,FALSE,"Marketing";#N/A,#N/A,FALSE,"Selling";#N/A,#N/A,FALSE,"Promotional";#N/A,#N/A,FALSE,"Advertising"}</definedName>
    <definedName name="应手款1月" localSheetId="9" hidden="1">{#N/A,#N/A,FALSE,"Marketing";#N/A,#N/A,FALSE,"Selling";#N/A,#N/A,FALSE,"Promotional";#N/A,#N/A,FALSE,"Advertising"}</definedName>
    <definedName name="应手款1月" hidden="1">{#N/A,#N/A,FALSE,"Marketing";#N/A,#N/A,FALSE,"Selling";#N/A,#N/A,FALSE,"Promotional";#N/A,#N/A,FALSE,"Advertising"}</definedName>
    <definedName name="应手款1月_1" localSheetId="10" hidden="1">{#N/A,#N/A,FALSE,"Marketing";#N/A,#N/A,FALSE,"Selling";#N/A,#N/A,FALSE,"Promotional";#N/A,#N/A,FALSE,"Advertising"}</definedName>
    <definedName name="应手款1月_1" localSheetId="9" hidden="1">{#N/A,#N/A,FALSE,"Marketing";#N/A,#N/A,FALSE,"Selling";#N/A,#N/A,FALSE,"Promotional";#N/A,#N/A,FALSE,"Advertising"}</definedName>
    <definedName name="应手款1月_1" hidden="1">{#N/A,#N/A,FALSE,"Marketing";#N/A,#N/A,FALSE,"Selling";#N/A,#N/A,FALSE,"Promotional";#N/A,#N/A,FALSE,"Advertising"}</definedName>
    <definedName name="므" localSheetId="10" hidden="1">{#N/A,#N/A,TRUE,"일정"}</definedName>
    <definedName name="므" localSheetId="9" hidden="1">{#N/A,#N/A,TRUE,"일정"}</definedName>
    <definedName name="므" hidden="1">{#N/A,#N/A,TRUE,"일정"}</definedName>
    <definedName name="미" localSheetId="10" hidden="1">{#N/A,#N/A,TRUE,"일정"}</definedName>
    <definedName name="미" localSheetId="9" hidden="1">{#N/A,#N/A,TRUE,"일정"}</definedName>
    <definedName name="미" hidden="1">{#N/A,#N/A,TRUE,"일정"}</definedName>
    <definedName name="미금" hidden="1">#REF!</definedName>
    <definedName name="미미미아" localSheetId="10" hidden="1">{#N/A,#N/A,FALSE,"정공"}</definedName>
    <definedName name="미미미아" localSheetId="9" hidden="1">{#N/A,#N/A,FALSE,"정공"}</definedName>
    <definedName name="미미미아" hidden="1">{#N/A,#N/A,FALSE,"정공"}</definedName>
    <definedName name="미석" localSheetId="10" hidden="1">{#N/A,#N/A,FALSE,"정공"}</definedName>
    <definedName name="미석" localSheetId="9" hidden="1">{#N/A,#N/A,FALSE,"정공"}</definedName>
    <definedName name="미석" hidden="1">{#N/A,#N/A,FALSE,"정공"}</definedName>
    <definedName name="미수금" hidden="1">#REF!</definedName>
    <definedName name="미수수익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수수익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수수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수수익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수수익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수수익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승인" localSheetId="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애" localSheetId="10" hidden="1">{#N/A,#N/A,FALSE,"REPORT"}</definedName>
    <definedName name="미애" localSheetId="9" hidden="1">{#N/A,#N/A,FALSE,"REPORT"}</definedName>
    <definedName name="미애" hidden="1">{#N/A,#N/A,FALSE,"REPORT"}</definedName>
    <definedName name="미지급금06" hidden="1">#REF!</definedName>
    <definedName name="미지급비용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지급비용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지급비용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지급비용1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지급비용1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지급비용1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ㅣ하ㅣ미ㅣㅣㄴ" localSheetId="10" hidden="1">{"'Jibu9811 (3)'!$B$1:$J$433"}</definedName>
    <definedName name="미ㅣ하ㅣ미ㅣㅣㄴ" localSheetId="9" hidden="1">{"'Jibu9811 (3)'!$B$1:$J$433"}</definedName>
    <definedName name="미ㅣ하ㅣ미ㅣㅣㄴ" hidden="1">{"'Jibu9811 (3)'!$B$1:$J$433"}</definedName>
    <definedName name="민자사업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" localSheetId="10" hidden="1">{#N/A,#N/A,FALSE,"UNIT";#N/A,#N/A,FALSE,"UNIT";#N/A,#N/A,FALSE,"계정"}</definedName>
    <definedName name="ㅂ" localSheetId="9" hidden="1">{#N/A,#N/A,FALSE,"UNIT";#N/A,#N/A,FALSE,"UNIT";#N/A,#N/A,FALSE,"계정"}</definedName>
    <definedName name="ㅂ" hidden="1">{#N/A,#N/A,FALSE,"UNIT";#N/A,#N/A,FALSE,"UNIT";#N/A,#N/A,FALSE,"계정"}</definedName>
    <definedName name="ㅂ3ㄱ" localSheetId="10" hidden="1">{#N/A,#N/A,FALSE,"BS";#N/A,#N/A,FALSE,"PL";#N/A,#N/A,FALSE,"처분";#N/A,#N/A,FALSE,"현금";#N/A,#N/A,FALSE,"매출";#N/A,#N/A,FALSE,"원가";#N/A,#N/A,FALSE,"경영"}</definedName>
    <definedName name="ㅂ3ㄱ" localSheetId="9" hidden="1">{#N/A,#N/A,FALSE,"BS";#N/A,#N/A,FALSE,"PL";#N/A,#N/A,FALSE,"처분";#N/A,#N/A,FALSE,"현금";#N/A,#N/A,FALSE,"매출";#N/A,#N/A,FALSE,"원가";#N/A,#N/A,FALSE,"경영"}</definedName>
    <definedName name="ㅂ3ㄱ" hidden="1">{#N/A,#N/A,FALSE,"BS";#N/A,#N/A,FALSE,"PL";#N/A,#N/A,FALSE,"처분";#N/A,#N/A,FALSE,"현금";#N/A,#N/A,FALSE,"매출";#N/A,#N/A,FALSE,"원가";#N/A,#N/A,FALSE,"경영"}</definedName>
    <definedName name="ㅂ3ㄱ_1" localSheetId="10" hidden="1">{#N/A,#N/A,FALSE,"BS";#N/A,#N/A,FALSE,"PL";#N/A,#N/A,FALSE,"처분";#N/A,#N/A,FALSE,"현금";#N/A,#N/A,FALSE,"매출";#N/A,#N/A,FALSE,"원가";#N/A,#N/A,FALSE,"경영"}</definedName>
    <definedName name="ㅂ3ㄱ_1" localSheetId="9" hidden="1">{#N/A,#N/A,FALSE,"BS";#N/A,#N/A,FALSE,"PL";#N/A,#N/A,FALSE,"처분";#N/A,#N/A,FALSE,"현금";#N/A,#N/A,FALSE,"매출";#N/A,#N/A,FALSE,"원가";#N/A,#N/A,FALSE,"경영"}</definedName>
    <definedName name="ㅂ3ㄱ_1" hidden="1">{#N/A,#N/A,FALSE,"BS";#N/A,#N/A,FALSE,"PL";#N/A,#N/A,FALSE,"처분";#N/A,#N/A,FALSE,"현금";#N/A,#N/A,FALSE,"매출";#N/A,#N/A,FALSE,"원가";#N/A,#N/A,FALSE,"경영"}</definedName>
    <definedName name="ㅂ갷ㄻ" localSheetId="10" hidden="1">{"'Jibu9811 (3)'!$B$1:$J$433"}</definedName>
    <definedName name="ㅂ갷ㄻ" localSheetId="9" hidden="1">{"'Jibu9811 (3)'!$B$1:$J$433"}</definedName>
    <definedName name="ㅂ갷ㄻ" hidden="1">{"'Jibu9811 (3)'!$B$1:$J$433"}</definedName>
    <definedName name="ㅂㄷㄳㄷㅂㄱ" hidden="1">#REF!</definedName>
    <definedName name="ㅂㄷㅅㅄ" hidden="1">#REF!</definedName>
    <definedName name="ㅂㄷㅈ.ㅂㄷㅂㄷㅂ" localSheetId="10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ㅂㄷㅈ.ㅂㄷㅂㄷㅂ" localSheetId="9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ㅂㄷㅈ.ㅂㄷㅂㄷㅂ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ㅂㅂ" localSheetId="1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ㅂㅂ" localSheetId="9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ㅂㅂ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ㅂㅂㅂ" localSheetId="10" hidden="1">{#N/A,#N/A,TRUE,"일정"}</definedName>
    <definedName name="ㅂㅂㅂ" localSheetId="9" hidden="1">{#N/A,#N/A,TRUE,"일정"}</definedName>
    <definedName name="ㅂㅂㅂ" hidden="1">{#N/A,#N/A,TRUE,"일정"}</definedName>
    <definedName name="ㅂㅂㅂㅂㅂㅂ" localSheetId="10" hidden="1">{"'용역비'!$A$4:$C$8"}</definedName>
    <definedName name="ㅂㅂㅂㅂㅂㅂ" localSheetId="9" hidden="1">{"'용역비'!$A$4:$C$8"}</definedName>
    <definedName name="ㅂㅂㅂㅂㅂㅂ" hidden="1">{"'용역비'!$A$4:$C$8"}</definedName>
    <definedName name="ㅂㅈㄷㅂㅈㄷ" hidden="1">#REF!</definedName>
    <definedName name="바디카밍" localSheetId="10" hidden="1">{"'Jibu9811 (3)'!$B$1:$J$433"}</definedName>
    <definedName name="바디카밍" localSheetId="9" hidden="1">{"'Jibu9811 (3)'!$B$1:$J$433"}</definedName>
    <definedName name="바디카밍" hidden="1">{"'Jibu9811 (3)'!$B$1:$J$433"}</definedName>
    <definedName name="바랑라" localSheetId="10" hidden="1">{#N/A,#N/A,FALSE,"정공"}</definedName>
    <definedName name="바랑라" localSheetId="9" hidden="1">{#N/A,#N/A,FALSE,"정공"}</definedName>
    <definedName name="바랑라" hidden="1">{#N/A,#N/A,FALSE,"정공"}</definedName>
    <definedName name="바바라" localSheetId="10" hidden="1">{#N/A,#N/A,TRUE,"Y생산";#N/A,#N/A,TRUE,"Y판매";#N/A,#N/A,TRUE,"Y총물량";#N/A,#N/A,TRUE,"Y능력";#N/A,#N/A,TRUE,"YKD"}</definedName>
    <definedName name="바바라" localSheetId="9" hidden="1">{#N/A,#N/A,TRUE,"Y생산";#N/A,#N/A,TRUE,"Y판매";#N/A,#N/A,TRUE,"Y총물량";#N/A,#N/A,TRUE,"Y능력";#N/A,#N/A,TRUE,"YKD"}</definedName>
    <definedName name="바바라" hidden="1">{#N/A,#N/A,TRUE,"Y생산";#N/A,#N/A,TRUE,"Y판매";#N/A,#N/A,TRUE,"Y총물량";#N/A,#N/A,TRUE,"Y능력";#N/A,#N/A,TRUE,"YKD"}</definedName>
    <definedName name="바보" localSheetId="10" hidden="1">{#N/A,#N/A,FALSE,"정공"}</definedName>
    <definedName name="바보" localSheetId="9" hidden="1">{#N/A,#N/A,FALSE,"정공"}</definedName>
    <definedName name="바보" hidden="1">{#N/A,#N/A,FALSE,"정공"}</definedName>
    <definedName name="바보상자" localSheetId="10" hidden="1">{#N/A,#N/A,FALSE,"정공"}</definedName>
    <definedName name="바보상자" localSheetId="9" hidden="1">{#N/A,#N/A,FALSE,"정공"}</definedName>
    <definedName name="바보상자" hidden="1">{#N/A,#N/A,FALSE,"정공"}</definedName>
    <definedName name="박남규" localSheetId="10" hidden="1">{#N/A,#N/A,FALSE,"BS";#N/A,#N/A,FALSE,"IS";#N/A,#N/A,FALSE,"결손금처리";#N/A,#N/A,FALSE,"cashflow"}</definedName>
    <definedName name="박남규" localSheetId="9" hidden="1">{#N/A,#N/A,FALSE,"BS";#N/A,#N/A,FALSE,"IS";#N/A,#N/A,FALSE,"결손금처리";#N/A,#N/A,FALSE,"cashflow"}</definedName>
    <definedName name="박남규" hidden="1">{#N/A,#N/A,FALSE,"BS";#N/A,#N/A,FALSE,"IS";#N/A,#N/A,FALSE,"결손금처리";#N/A,#N/A,FALSE,"cashflow"}</definedName>
    <definedName name="박남규_1" localSheetId="10" hidden="1">{#N/A,#N/A,FALSE,"BS";#N/A,#N/A,FALSE,"IS";#N/A,#N/A,FALSE,"결손금처리";#N/A,#N/A,FALSE,"cashflow"}</definedName>
    <definedName name="박남규_1" localSheetId="9" hidden="1">{#N/A,#N/A,FALSE,"BS";#N/A,#N/A,FALSE,"IS";#N/A,#N/A,FALSE,"결손금처리";#N/A,#N/A,FALSE,"cashflow"}</definedName>
    <definedName name="박남규_1" hidden="1">{#N/A,#N/A,FALSE,"BS";#N/A,#N/A,FALSE,"IS";#N/A,#N/A,FALSE,"결손금처리";#N/A,#N/A,FALSE,"cashflow"}</definedName>
    <definedName name="박재영" hidden="1">#REF!</definedName>
    <definedName name="박진만" localSheetId="10" hidden="1">{#N/A,#N/A,FALSE,"단축1";#N/A,#N/A,FALSE,"단축2";#N/A,#N/A,FALSE,"단축3";#N/A,#N/A,FALSE,"장축";#N/A,#N/A,FALSE,"4WD"}</definedName>
    <definedName name="박진만" localSheetId="9" hidden="1">{#N/A,#N/A,FALSE,"단축1";#N/A,#N/A,FALSE,"단축2";#N/A,#N/A,FALSE,"단축3";#N/A,#N/A,FALSE,"장축";#N/A,#N/A,FALSE,"4WD"}</definedName>
    <definedName name="박진만" hidden="1">{#N/A,#N/A,FALSE,"단축1";#N/A,#N/A,FALSE,"단축2";#N/A,#N/A,FALSE,"단축3";#N/A,#N/A,FALSE,"장축";#N/A,#N/A,FALSE,"4WD"}</definedName>
    <definedName name="반기현금흐름표" localSheetId="10" hidden="1">{#N/A,#N/A,FALSE,"BS";#N/A,#N/A,FALSE,"PL";#N/A,#N/A,FALSE,"처분";#N/A,#N/A,FALSE,"현금";#N/A,#N/A,FALSE,"매출";#N/A,#N/A,FALSE,"원가";#N/A,#N/A,FALSE,"경영"}</definedName>
    <definedName name="반기현금흐름표" localSheetId="9" hidden="1">{#N/A,#N/A,FALSE,"BS";#N/A,#N/A,FALSE,"PL";#N/A,#N/A,FALSE,"처분";#N/A,#N/A,FALSE,"현금";#N/A,#N/A,FALSE,"매출";#N/A,#N/A,FALSE,"원가";#N/A,#N/A,FALSE,"경영"}</definedName>
    <definedName name="반기현금흐름표" hidden="1">{#N/A,#N/A,FALSE,"BS";#N/A,#N/A,FALSE,"PL";#N/A,#N/A,FALSE,"처분";#N/A,#N/A,FALSE,"현금";#N/A,#N/A,FALSE,"매출";#N/A,#N/A,FALSE,"원가";#N/A,#N/A,FALSE,"경영"}</definedName>
    <definedName name="반기현금흐름표_1" localSheetId="10" hidden="1">{#N/A,#N/A,FALSE,"BS";#N/A,#N/A,FALSE,"PL";#N/A,#N/A,FALSE,"처분";#N/A,#N/A,FALSE,"현금";#N/A,#N/A,FALSE,"매출";#N/A,#N/A,FALSE,"원가";#N/A,#N/A,FALSE,"경영"}</definedName>
    <definedName name="반기현금흐름표_1" localSheetId="9" hidden="1">{#N/A,#N/A,FALSE,"BS";#N/A,#N/A,FALSE,"PL";#N/A,#N/A,FALSE,"처분";#N/A,#N/A,FALSE,"현금";#N/A,#N/A,FALSE,"매출";#N/A,#N/A,FALSE,"원가";#N/A,#N/A,FALSE,"경영"}</definedName>
    <definedName name="반기현금흐름표_1" hidden="1">{#N/A,#N/A,FALSE,"BS";#N/A,#N/A,FALSE,"PL";#N/A,#N/A,FALSE,"처분";#N/A,#N/A,FALSE,"현금";#N/A,#N/A,FALSE,"매출";#N/A,#N/A,FALSE,"원가";#N/A,#N/A,FALSE,"경영"}</definedName>
    <definedName name="법정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정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정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정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정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변경2" localSheetId="10" hidden="1">{"'Jibu9811 (3)'!$B$1:$J$433"}</definedName>
    <definedName name="변경2" localSheetId="9" hidden="1">{"'Jibu9811 (3)'!$B$1:$J$433"}</definedName>
    <definedName name="변경2" hidden="1">{"'Jibu9811 (3)'!$B$1:$J$433"}</definedName>
    <definedName name="변경건" localSheetId="10" hidden="1">{"'Jibu9811 (3)'!$B$1:$J$433"}</definedName>
    <definedName name="변경건" localSheetId="9" hidden="1">{"'Jibu9811 (3)'!$B$1:$J$433"}</definedName>
    <definedName name="변경건" hidden="1">{"'Jibu9811 (3)'!$B$1:$J$433"}</definedName>
    <definedName name="변경목차" localSheetId="10" hidden="1">{#N/A,#N/A,FALSE,"단축1";#N/A,#N/A,FALSE,"단축2";#N/A,#N/A,FALSE,"단축3";#N/A,#N/A,FALSE,"장축";#N/A,#N/A,FALSE,"4WD"}</definedName>
    <definedName name="변경목차" localSheetId="9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별" localSheetId="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별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병근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병근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병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" localSheetId="10" hidden="1">{#N/A,#N/A,FALSE,"UNIT";#N/A,#N/A,FALSE,"UNIT";#N/A,#N/A,FALSE,"계정"}</definedName>
    <definedName name="보고" localSheetId="9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10" hidden="1">{#N/A,#N/A,FALSE,"UNIT";#N/A,#N/A,FALSE,"UNIT";#N/A,#N/A,FALSE,"계정"}</definedName>
    <definedName name="보고기준" localSheetId="9" hidden="1">{#N/A,#N/A,FALSE,"UNIT";#N/A,#N/A,FALSE,"UNIT";#N/A,#N/A,FALSE,"계정"}</definedName>
    <definedName name="보고기준" hidden="1">{#N/A,#N/A,FALSE,"UNIT";#N/A,#N/A,FALSE,"UNIT";#N/A,#N/A,FALSE,"계정"}</definedName>
    <definedName name="資金" localSheetId="10" hidden="1">{"'下期集計（10.27迄・速報値）'!$Q$16"}</definedName>
    <definedName name="資金" localSheetId="9" hidden="1">{"'下期集計（10.27迄・速報値）'!$Q$16"}</definedName>
    <definedName name="資金" hidden="1">{"'下期集計（10.27迄・速報値）'!$Q$16"}</definedName>
    <definedName name="資金_1" localSheetId="10" hidden="1">{"'下期集計（10.27迄・速報値）'!$Q$16"}</definedName>
    <definedName name="資金_1" localSheetId="9" hidden="1">{"'下期集計（10.27迄・速報値）'!$Q$16"}</definedName>
    <definedName name="資金_1" hidden="1">{"'下期集計（10.27迄・速報値）'!$Q$16"}</definedName>
    <definedName name="总账分录" localSheetId="10" hidden="1">{#N/A,#N/A,FALSE,"OffAdvance";#N/A,#N/A,FALSE,"OffExpRprt";#N/A,#N/A,FALSE,"Travelling";#N/A,#N/A,FALSE,"Entertmnt";#N/A,#N/A,FALSE,"Promotion"}</definedName>
    <definedName name="总账分录" localSheetId="9" hidden="1">{#N/A,#N/A,FALSE,"OffAdvance";#N/A,#N/A,FALSE,"OffExpRprt";#N/A,#N/A,FALSE,"Travelling";#N/A,#N/A,FALSE,"Entertmnt";#N/A,#N/A,FALSE,"Promotion"}</definedName>
    <definedName name="总账分录" hidden="1">{#N/A,#N/A,FALSE,"OffAdvance";#N/A,#N/A,FALSE,"OffExpRprt";#N/A,#N/A,FALSE,"Travelling";#N/A,#N/A,FALSE,"Entertmnt";#N/A,#N/A,FALSE,"Promotion"}</definedName>
    <definedName name="부대건축2" hidden="1">#REF!</definedName>
    <definedName name="부대공사" hidden="1">#REF!</definedName>
    <definedName name="부대원본" localSheetId="10" hidden="1">{#N/A,#N/A,FALSE,"토공2"}</definedName>
    <definedName name="부대원본" localSheetId="9" hidden="1">{#N/A,#N/A,FALSE,"토공2"}</definedName>
    <definedName name="부대원본" hidden="1">{#N/A,#N/A,FALSE,"토공2"}</definedName>
    <definedName name="분" localSheetId="10" hidden="1">{#N/A,#N/A,FALSE,"이태원철근"}</definedName>
    <definedName name="분" localSheetId="9" hidden="1">{#N/A,#N/A,FALSE,"이태원철근"}</definedName>
    <definedName name="분" hidden="1">{#N/A,#N/A,FALSE,"이태원철근"}</definedName>
    <definedName name="분기" localSheetId="10" hidden="1">{"'Jibu9811 (3)'!$B$1:$J$433"}</definedName>
    <definedName name="분기" localSheetId="9" hidden="1">{"'Jibu9811 (3)'!$B$1:$J$433"}</definedName>
    <definedName name="분기" hidden="1">{"'Jibu9811 (3)'!$B$1:$J$433"}</definedName>
    <definedName name="분기별" localSheetId="10" hidden="1">{#N/A,#N/A,TRUE,"Y생산";#N/A,#N/A,TRUE,"Y판매";#N/A,#N/A,TRUE,"Y총물량";#N/A,#N/A,TRUE,"Y능력";#N/A,#N/A,TRUE,"YKD"}</definedName>
    <definedName name="분기별" localSheetId="9" hidden="1">{#N/A,#N/A,TRUE,"Y생산";#N/A,#N/A,TRUE,"Y판매";#N/A,#N/A,TRUE,"Y총물량";#N/A,#N/A,TRUE,"Y능력";#N/A,#N/A,TRUE,"YKD"}</definedName>
    <definedName name="분기별" hidden="1">{#N/A,#N/A,TRUE,"Y생산";#N/A,#N/A,TRUE,"Y판매";#N/A,#N/A,TRUE,"Y총물량";#N/A,#N/A,TRUE,"Y능력";#N/A,#N/A,TRUE,"YKD"}</definedName>
    <definedName name="분당공" hidden="1">#REF!</definedName>
    <definedName name="분당내역서" hidden="1">#REF!</definedName>
    <definedName name="분당물가" hidden="1">#REF!</definedName>
    <definedName name="분당코아" hidden="1">#REF!</definedName>
    <definedName name="분당협조" localSheetId="10" hidden="1">{#N/A,#N/A,FALSE,"이태원철근"}</definedName>
    <definedName name="분당협조" localSheetId="9" hidden="1">{#N/A,#N/A,FALSE,"이태원철근"}</definedName>
    <definedName name="분당협조" hidden="1">{#N/A,#N/A,FALSE,"이태원철근"}</definedName>
    <definedName name="분석4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석4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석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석4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석4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석4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뷰샨" localSheetId="10" hidden="1">{"'Jibu9811 (3)'!$B$1:$J$433"}</definedName>
    <definedName name="뷰샨" localSheetId="9" hidden="1">{"'Jibu9811 (3)'!$B$1:$J$433"}</definedName>
    <definedName name="뷰샨" hidden="1">{"'Jibu9811 (3)'!$B$1:$J$433"}</definedName>
    <definedName name="비2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2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과세" hidden="1">#REF!</definedName>
    <definedName name="비교표1" hidden="1">255</definedName>
    <definedName name="비교표2" hidden="1">#REF!</definedName>
    <definedName name="빈양식" localSheetId="10" hidden="1">{#N/A,#N/A,FALSE,"CCTV"}</definedName>
    <definedName name="빈양식" localSheetId="9" hidden="1">{#N/A,#N/A,FALSE,"CCTV"}</definedName>
    <definedName name="빈양식" hidden="1">{#N/A,#N/A,FALSE,"CCTV"}</definedName>
    <definedName name="ㅅ" localSheetId="10" hidden="1">{#N/A,#N/A,FALSE,"BS";#N/A,#N/A,FALSE,"PL";#N/A,#N/A,FALSE,"처분";#N/A,#N/A,FALSE,"현금";#N/A,#N/A,FALSE,"매출";#N/A,#N/A,FALSE,"원가";#N/A,#N/A,FALSE,"경영"}</definedName>
    <definedName name="ㅅ" localSheetId="9" hidden="1">{#N/A,#N/A,FALSE,"BS";#N/A,#N/A,FALSE,"PL";#N/A,#N/A,FALSE,"처분";#N/A,#N/A,FALSE,"현금";#N/A,#N/A,FALSE,"매출";#N/A,#N/A,FALSE,"원가";#N/A,#N/A,FALSE,"경영"}</definedName>
    <definedName name="ㅅ" hidden="1">{#N/A,#N/A,FALSE,"BS";#N/A,#N/A,FALSE,"PL";#N/A,#N/A,FALSE,"처분";#N/A,#N/A,FALSE,"현금";#N/A,#N/A,FALSE,"매출";#N/A,#N/A,FALSE,"원가";#N/A,#N/A,FALSE,"경영"}</definedName>
    <definedName name="ㅅ54ㅛㄳ" hidden="1">#REF!</definedName>
    <definedName name="ㅅ곣ㅈ궈ㅕ" hidden="1">#REF!</definedName>
    <definedName name="ㅅㅅㅅ" localSheetId="10" hidden="1">{"'손익현황'!$A$1:$J$29"}</definedName>
    <definedName name="ㅅㅅㅅ" localSheetId="9" hidden="1">{"'손익현황'!$A$1:$J$29"}</definedName>
    <definedName name="ㅅㅅㅅ" hidden="1">{"'손익현황'!$A$1:$J$29"}</definedName>
    <definedName name="ㅅㅅㅅ_1" localSheetId="10" hidden="1">{"'손익현황'!$A$1:$J$29"}</definedName>
    <definedName name="ㅅㅅㅅ_1" localSheetId="9" hidden="1">{"'손익현황'!$A$1:$J$29"}</definedName>
    <definedName name="ㅅㅅㅅ_1" hidden="1">{"'손익현황'!$A$1:$J$29"}</definedName>
    <definedName name="ㅅㅅㅅㅅ" localSheetId="10" hidden="1">{#N/A,#N/A,FALSE,"UNIT";#N/A,#N/A,FALSE,"UNIT";#N/A,#N/A,FALSE,"계정"}</definedName>
    <definedName name="ㅅㅅㅅㅅ" localSheetId="9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10" hidden="1">{#N/A,#N/A,FALSE,"UNIT";#N/A,#N/A,FALSE,"UNIT";#N/A,#N/A,FALSE,"계정"}</definedName>
    <definedName name="ㅅㅅㅅㅅㅅㅅㅅ" localSheetId="9" hidden="1">{#N/A,#N/A,FALSE,"UNIT";#N/A,#N/A,FALSE,"UNIT";#N/A,#N/A,FALSE,"계정"}</definedName>
    <definedName name="ㅅㅅㅅㅅㅅㅅㅅ" hidden="1">{#N/A,#N/A,FALSE,"UNIT";#N/A,#N/A,FALSE,"UNIT";#N/A,#N/A,FALSE,"계정"}</definedName>
    <definedName name="ㅅㅎㅎ" localSheetId="10" hidden="1">{"'Jibu9811 (3)'!$B$1:$J$433"}</definedName>
    <definedName name="ㅅㅎㅎ" localSheetId="9" hidden="1">{"'Jibu9811 (3)'!$B$1:$J$433"}</definedName>
    <definedName name="ㅅㅎㅎ" hidden="1">{"'Jibu9811 (3)'!$B$1:$J$433"}</definedName>
    <definedName name="ㅅㅓ" hidden="1">#REF!</definedName>
    <definedName name="사" hidden="1">#REF!</definedName>
    <definedName name="사다함이" localSheetId="10" hidden="1">{#N/A,#N/A,FALSE,"정공"}</definedName>
    <definedName name="사다함이" localSheetId="9" hidden="1">{#N/A,#N/A,FALSE,"정공"}</definedName>
    <definedName name="사다함이" hidden="1">{#N/A,#N/A,FALSE,"정공"}</definedName>
    <definedName name="사망" localSheetId="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망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망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업계획" localSheetId="10" hidden="1">{#N/A,#N/A,FALSE,"기술료 비교"}</definedName>
    <definedName name="사업계획" localSheetId="9" hidden="1">{#N/A,#N/A,FALSE,"기술료 비교"}</definedName>
    <definedName name="사업계획" hidden="1">{#N/A,#N/A,FALSE,"기술료 비교"}</definedName>
    <definedName name="사업추진" localSheetId="10" hidden="1">{#N/A,#N/A,FALSE,"정공"}</definedName>
    <definedName name="사업추진" localSheetId="9" hidden="1">{#N/A,#N/A,FALSE,"정공"}</definedName>
    <definedName name="사업추진" hidden="1">{#N/A,#N/A,FALSE,"정공"}</definedName>
    <definedName name="사업활성" localSheetId="10" hidden="1">{#N/A,#N/A,FALSE,"UNIT";#N/A,#N/A,FALSE,"UNIT";#N/A,#N/A,FALSE,"계정"}</definedName>
    <definedName name="사업활성" localSheetId="9" hidden="1">{#N/A,#N/A,FALSE,"UNIT";#N/A,#N/A,FALSE,"UNIT";#N/A,#N/A,FALSE,"계정"}</definedName>
    <definedName name="사업활성" hidden="1">{#N/A,#N/A,FALSE,"UNIT";#N/A,#N/A,FALSE,"UNIT";#N/A,#N/A,FALSE,"계정"}</definedName>
    <definedName name="사전공" hidden="1">#REF!</definedName>
    <definedName name="사전공사" hidden="1">#REF!</definedName>
    <definedName name="사전신청" hidden="1">#REF!</definedName>
    <definedName name="사진" localSheetId="10" hidden="1">{#N/A,#N/A,FALSE,"단축1";#N/A,#N/A,FALSE,"단축2";#N/A,#N/A,FALSE,"단축3";#N/A,#N/A,FALSE,"장축";#N/A,#N/A,FALSE,"4WD"}</definedName>
    <definedName name="사진" localSheetId="9" hidden="1">{#N/A,#N/A,FALSE,"단축1";#N/A,#N/A,FALSE,"단축2";#N/A,#N/A,FALSE,"단축3";#N/A,#N/A,FALSE,"장축";#N/A,#N/A,FALSE,"4WD"}</definedName>
    <definedName name="사진" hidden="1">{#N/A,#N/A,FALSE,"단축1";#N/A,#N/A,FALSE,"단축2";#N/A,#N/A,FALSE,"단축3";#N/A,#N/A,FALSE,"장축";#N/A,#N/A,FALSE,"4WD"}</definedName>
    <definedName name="사진1" localSheetId="10" hidden="1">{#N/A,#N/A,FALSE,"단축1";#N/A,#N/A,FALSE,"단축2";#N/A,#N/A,FALSE,"단축3";#N/A,#N/A,FALSE,"장축";#N/A,#N/A,FALSE,"4WD"}</definedName>
    <definedName name="사진1" localSheetId="9" hidden="1">{#N/A,#N/A,FALSE,"단축1";#N/A,#N/A,FALSE,"단축2";#N/A,#N/A,FALSE,"단축3";#N/A,#N/A,FALSE,"장축";#N/A,#N/A,FALSE,"4WD"}</definedName>
    <definedName name="사진1" hidden="1">{#N/A,#N/A,FALSE,"단축1";#N/A,#N/A,FALSE,"단축2";#N/A,#N/A,FALSE,"단축3";#N/A,#N/A,FALSE,"장축";#N/A,#N/A,FALSE,"4WD"}</definedName>
    <definedName name="사채명세서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채명세서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채명세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채명세서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채명세서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채명세서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산출내역1" hidden="1">#REF!</definedName>
    <definedName name="삼성" localSheetId="10" hidden="1">{#N/A,#N/A,FALSE,"정공"}</definedName>
    <definedName name="삼성" localSheetId="9" hidden="1">{#N/A,#N/A,FALSE,"정공"}</definedName>
    <definedName name="삼성" hidden="1">{#N/A,#N/A,FALSE,"정공"}</definedName>
    <definedName name="삼성2" localSheetId="10" hidden="1">{#N/A,#N/A,FALSE,"정공"}</definedName>
    <definedName name="삼성2" localSheetId="9" hidden="1">{#N/A,#N/A,FALSE,"정공"}</definedName>
    <definedName name="삼성2" hidden="1">{#N/A,#N/A,FALSE,"정공"}</definedName>
    <definedName name="상로허호" localSheetId="10" hidden="1">{#N/A,#N/A,FALSE,"정공"}</definedName>
    <definedName name="상로허호" localSheetId="9" hidden="1">{#N/A,#N/A,FALSE,"정공"}</definedName>
    <definedName name="상로허호" hidden="1">{#N/A,#N/A,FALSE,"정공"}</definedName>
    <definedName name="상주" localSheetId="10" hidden="1">{"'Jibu9811 (3)'!$B$1:$J$433"}</definedName>
    <definedName name="상주" localSheetId="9" hidden="1">{"'Jibu9811 (3)'!$B$1:$J$433"}</definedName>
    <definedName name="상주" hidden="1">{"'Jibu9811 (3)'!$B$1:$J$433"}</definedName>
    <definedName name="새공통" localSheetId="10" hidden="1">{#N/A,#N/A,FALSE,"이태원철근"}</definedName>
    <definedName name="새공통" localSheetId="9" hidden="1">{#N/A,#N/A,FALSE,"이태원철근"}</definedName>
    <definedName name="새공통" hidden="1">{#N/A,#N/A,FALSE,"이태원철근"}</definedName>
    <definedName name="새로운미지급" localSheetId="10" hidden="1">{#N/A,#N/A,FALSE,"Aging Summary";#N/A,#N/A,FALSE,"Ratio Analysis";#N/A,#N/A,FALSE,"Test 120 Day Accts";#N/A,#N/A,FALSE,"Tickmarks"}</definedName>
    <definedName name="새로운미지급" localSheetId="9" hidden="1">{#N/A,#N/A,FALSE,"Aging Summary";#N/A,#N/A,FALSE,"Ratio Analysis";#N/A,#N/A,FALSE,"Test 120 Day Accts";#N/A,#N/A,FALSE,"Tickmarks"}</definedName>
    <definedName name="새로운미지급" hidden="1">{#N/A,#N/A,FALSE,"Aging Summary";#N/A,#N/A,FALSE,"Ratio Analysis";#N/A,#N/A,FALSE,"Test 120 Day Accts";#N/A,#N/A,FALSE,"Tickmarks"}</definedName>
    <definedName name="새로운미지급_1" localSheetId="10" hidden="1">{#N/A,#N/A,FALSE,"Aging Summary";#N/A,#N/A,FALSE,"Ratio Analysis";#N/A,#N/A,FALSE,"Test 120 Day Accts";#N/A,#N/A,FALSE,"Tickmarks"}</definedName>
    <definedName name="새로운미지급_1" localSheetId="9" hidden="1">{#N/A,#N/A,FALSE,"Aging Summary";#N/A,#N/A,FALSE,"Ratio Analysis";#N/A,#N/A,FALSE,"Test 120 Day Accts";#N/A,#N/A,FALSE,"Tickmarks"}</definedName>
    <definedName name="새로운미지급_1" hidden="1">{#N/A,#N/A,FALSE,"Aging Summary";#N/A,#N/A,FALSE,"Ratio Analysis";#N/A,#N/A,FALSE,"Test 120 Day Accts";#N/A,#N/A,FALSE,"Tickmarks"}</definedName>
    <definedName name="새로이" localSheetId="10" hidden="1">{"'Jibu9811 (3)'!$B$1:$J$433"}</definedName>
    <definedName name="새로이" localSheetId="9" hidden="1">{"'Jibu9811 (3)'!$B$1:$J$433"}</definedName>
    <definedName name="새로이" hidden="1">{"'Jibu9811 (3)'!$B$1:$J$433"}</definedName>
    <definedName name="새파일편집" localSheetId="10" hidden="1">{#N/A,#N/A,FALSE,"정공"}</definedName>
    <definedName name="새파일편집" localSheetId="9" hidden="1">{#N/A,#N/A,FALSE,"정공"}</definedName>
    <definedName name="새파일편집" hidden="1">{#N/A,#N/A,FALSE,"정공"}</definedName>
    <definedName name="생산능력" localSheetId="10" hidden="1">{#N/A,#N/A,FALSE,"정공"}</definedName>
    <definedName name="생산능력" localSheetId="9" hidden="1">{#N/A,#N/A,FALSE,"정공"}</definedName>
    <definedName name="생산능력" hidden="1">{#N/A,#N/A,FALSE,"정공"}</definedName>
    <definedName name="생산품목" localSheetId="10" hidden="1">{#N/A,#N/A,FALSE,"정공"}</definedName>
    <definedName name="생산품목" localSheetId="9" hidden="1">{#N/A,#N/A,FALSE,"정공"}</definedName>
    <definedName name="생산품목" hidden="1">{#N/A,#N/A,FALSE,"정공"}</definedName>
    <definedName name="서" hidden="1">#REF!</definedName>
    <definedName name="서구1" localSheetId="10" hidden="1">{"'Jibu9811 (3)'!$B$1:$J$433"}</definedName>
    <definedName name="서구1" localSheetId="9" hidden="1">{"'Jibu9811 (3)'!$B$1:$J$433"}</definedName>
    <definedName name="서구1" hidden="1">{"'Jibu9811 (3)'!$B$1:$J$433"}</definedName>
    <definedName name="설계2팀" localSheetId="10" hidden="1">{#N/A,#N/A,FALSE,"UNIT";#N/A,#N/A,FALSE,"UNIT";#N/A,#N/A,FALSE,"계정"}</definedName>
    <definedName name="설계2팀" localSheetId="9" hidden="1">{#N/A,#N/A,FALSE,"UNIT";#N/A,#N/A,FALSE,"UNIT";#N/A,#N/A,FALSE,"계정"}</definedName>
    <definedName name="설계2팀" hidden="1">{#N/A,#N/A,FALSE,"UNIT";#N/A,#N/A,FALSE,"UNIT";#N/A,#N/A,FALSE,"계정"}</definedName>
    <definedName name="설계배포" localSheetId="10" hidden="1">{#N/A,#N/A,FALSE,"삼진정공";#N/A,#N/A,FALSE,"영신금속";#N/A,#N/A,FALSE,"태양금속";#N/A,#N/A,FALSE,"진합정공";#N/A,#N/A,FALSE,"코리아";#N/A,#N/A,FALSE,"풍강금속";#N/A,#N/A,FALSE,"선일기계"}</definedName>
    <definedName name="설계배포" localSheetId="9" hidden="1">{#N/A,#N/A,FALSE,"삼진정공";#N/A,#N/A,FALSE,"영신금속";#N/A,#N/A,FALSE,"태양금속";#N/A,#N/A,FALSE,"진합정공";#N/A,#N/A,FALSE,"코리아";#N/A,#N/A,FALSE,"풍강금속";#N/A,#N/A,FALSE,"선일기계"}</definedName>
    <definedName name="설계배포" hidden="1">{#N/A,#N/A,FALSE,"삼진정공";#N/A,#N/A,FALSE,"영신금속";#N/A,#N/A,FALSE,"태양금속";#N/A,#N/A,FALSE,"진합정공";#N/A,#N/A,FALSE,"코리아";#N/A,#N/A,FALSE,"풍강금속";#N/A,#N/A,FALSE,"선일기계"}</definedName>
    <definedName name="설비" localSheetId="10" hidden="1">{#N/A,#N/A,FALSE,"이태원철근"}</definedName>
    <definedName name="설비" localSheetId="9" hidden="1">{#N/A,#N/A,FALSE,"이태원철근"}</definedName>
    <definedName name="설비" hidden="1">{#N/A,#N/A,FALSE,"이태원철근"}</definedName>
    <definedName name="설비투자" localSheetId="10" hidden="1">{#N/A,#N/A,FALSE,"정공"}</definedName>
    <definedName name="설비투자" localSheetId="9" hidden="1">{#N/A,#N/A,FALSE,"정공"}</definedName>
    <definedName name="설비투자" hidden="1">{#N/A,#N/A,FALSE,"정공"}</definedName>
    <definedName name="성" localSheetId="10" hidden="1">{#N/A,#N/A,FALSE,"UNIT";#N/A,#N/A,FALSE,"UNIT";#N/A,#N/A,FALSE,"계정"}</definedName>
    <definedName name="성" localSheetId="9" hidden="1">{#N/A,#N/A,FALSE,"UNIT";#N/A,#N/A,FALSE,"UNIT";#N/A,#N/A,FALSE,"계정"}</definedName>
    <definedName name="성" hidden="1">{#N/A,#N/A,FALSE,"UNIT";#N/A,#N/A,FALSE,"UNIT";#N/A,#N/A,FALSE,"계정"}</definedName>
    <definedName name="성남" localSheetId="10" hidden="1">{"'Jibu9811 (3)'!$B$1:$J$433"}</definedName>
    <definedName name="성남" localSheetId="9" hidden="1">{"'Jibu9811 (3)'!$B$1:$J$433"}</definedName>
    <definedName name="성남" hidden="1">{"'Jibu9811 (3)'!$B$1:$J$433"}</definedName>
    <definedName name="성지안분" localSheetId="10" hidden="1">{"'Jibu9811 (3)'!$B$1:$J$433"}</definedName>
    <definedName name="성지안분" localSheetId="9" hidden="1">{"'Jibu9811 (3)'!$B$1:$J$433"}</definedName>
    <definedName name="성지안분" hidden="1">{"'Jibu9811 (3)'!$B$1:$J$433"}</definedName>
    <definedName name="세무조정계산서2" localSheetId="1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세무조정계산서2" localSheetId="9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세무조정계산서2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세무조정모든양식2" localSheetId="1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세무조정모든양식2" localSheetId="9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세무조정모든양식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세부" localSheetId="10" hidden="1">{"'Jibu9811 (3)'!$B$1:$J$433"}</definedName>
    <definedName name="세부" localSheetId="9" hidden="1">{"'Jibu9811 (3)'!$B$1:$J$433"}</definedName>
    <definedName name="세부" hidden="1">{"'Jibu9811 (3)'!$B$1:$J$433"}</definedName>
    <definedName name="세부근거" localSheetId="10" hidden="1">{"'Jibu9811 (3)'!$B$1:$J$433"}</definedName>
    <definedName name="세부근거" localSheetId="9" hidden="1">{"'Jibu9811 (3)'!$B$1:$J$433"}</definedName>
    <definedName name="세부근거" hidden="1">{"'Jibu9811 (3)'!$B$1:$J$433"}</definedName>
    <definedName name="세부안" hidden="1">#REF!</definedName>
    <definedName name="세부안2" hidden="1">#REF!</definedName>
    <definedName name="세부안3" hidden="1">#REF!</definedName>
    <definedName name="세부일정" localSheetId="10" hidden="1">{#N/A,#N/A,FALSE,"단축1";#N/A,#N/A,FALSE,"단축2";#N/A,#N/A,FALSE,"단축3";#N/A,#N/A,FALSE,"장축";#N/A,#N/A,FALSE,"4WD"}</definedName>
    <definedName name="세부일정" localSheetId="9" hidden="1">{#N/A,#N/A,FALSE,"단축1";#N/A,#N/A,FALSE,"단축2";#N/A,#N/A,FALSE,"단축3";#N/A,#N/A,FALSE,"장축";#N/A,#N/A,FALSE,"4WD"}</definedName>
    <definedName name="세부일정" hidden="1">{#N/A,#N/A,FALSE,"단축1";#N/A,#N/A,FALSE,"단축2";#N/A,#N/A,FALSE,"단축3";#N/A,#N/A,FALSE,"장축";#N/A,#N/A,FALSE,"4WD"}</definedName>
    <definedName name="세부일정.1" localSheetId="10" hidden="1">{#N/A,#N/A,FALSE,"단축1";#N/A,#N/A,FALSE,"단축2";#N/A,#N/A,FALSE,"단축3";#N/A,#N/A,FALSE,"장축";#N/A,#N/A,FALSE,"4WD"}</definedName>
    <definedName name="세부일정.1" localSheetId="9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세연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연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연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연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연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셀리카" hidden="1">#REF!</definedName>
    <definedName name="소요기간" localSheetId="10" hidden="1">{#N/A,#N/A,FALSE,"정공"}</definedName>
    <definedName name="소요기간" localSheetId="9" hidden="1">{#N/A,#N/A,FALSE,"정공"}</definedName>
    <definedName name="소요기간" hidden="1">{#N/A,#N/A,FALSE,"정공"}</definedName>
    <definedName name="소화주철장판" localSheetId="10" hidden="1">{#N/A,#N/A,FALSE,"단축1";#N/A,#N/A,FALSE,"단축2";#N/A,#N/A,FALSE,"단축3";#N/A,#N/A,FALSE,"장축";#N/A,#N/A,FALSE,"4WD"}</definedName>
    <definedName name="소화주철장판" localSheetId="9" hidden="1">{#N/A,#N/A,FALSE,"단축1";#N/A,#N/A,FALSE,"단축2";#N/A,#N/A,FALSE,"단축3";#N/A,#N/A,FALSE,"장축";#N/A,#N/A,FALSE,"4WD"}</definedName>
    <definedName name="소화주철장판" hidden="1">{#N/A,#N/A,FALSE,"단축1";#N/A,#N/A,FALSE,"단축2";#N/A,#N/A,FALSE,"단축3";#N/A,#N/A,FALSE,"장축";#N/A,#N/A,FALSE,"4WD"}</definedName>
    <definedName name="손액계산서" localSheetId="10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손액계산서" localSheetId="9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손액계산서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손액계산서_1" localSheetId="10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손액계산서_1" localSheetId="9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손액계산서_1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손익" localSheetId="10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손익" localSheetId="9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손익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손익3" localSheetId="10" hidden="1">{#N/A,#N/A,FALSE,"UNIT";#N/A,#N/A,FALSE,"UNIT";#N/A,#N/A,FALSE,"계정"}</definedName>
    <definedName name="손익3" localSheetId="9" hidden="1">{#N/A,#N/A,FALSE,"UNIT";#N/A,#N/A,FALSE,"UNIT";#N/A,#N/A,FALSE,"계정"}</definedName>
    <definedName name="손익3" hidden="1">{#N/A,#N/A,FALSE,"UNIT";#N/A,#N/A,FALSE,"UNIT";#N/A,#N/A,FALSE,"계정"}</definedName>
    <definedName name="손익3_1" localSheetId="10" hidden="1">{#N/A,#N/A,FALSE,"UNIT";#N/A,#N/A,FALSE,"UNIT";#N/A,#N/A,FALSE,"계정"}</definedName>
    <definedName name="손익3_1" localSheetId="9" hidden="1">{#N/A,#N/A,FALSE,"UNIT";#N/A,#N/A,FALSE,"UNIT";#N/A,#N/A,FALSE,"계정"}</definedName>
    <definedName name="손익3_1" hidden="1">{#N/A,#N/A,FALSE,"UNIT";#N/A,#N/A,FALSE,"UNIT";#N/A,#N/A,FALSE,"계정"}</definedName>
    <definedName name="손익계산" localSheetId="10" hidden="1">{#N/A,#N/A,FALSE,"정공"}</definedName>
    <definedName name="손익계산" localSheetId="9" hidden="1">{#N/A,#N/A,FALSE,"정공"}</definedName>
    <definedName name="손익계산" hidden="1">{#N/A,#N/A,FALSE,"정공"}</definedName>
    <definedName name="손익예상" localSheetId="10" hidden="1">{#N/A,#N/A,FALSE,"UNIT";#N/A,#N/A,FALSE,"UNIT";#N/A,#N/A,FALSE,"계정"}</definedName>
    <definedName name="손익예상" localSheetId="9" hidden="1">{#N/A,#N/A,FALSE,"UNIT";#N/A,#N/A,FALSE,"UNIT";#N/A,#N/A,FALSE,"계정"}</definedName>
    <definedName name="손익예상" hidden="1">{#N/A,#N/A,FALSE,"UNIT";#N/A,#N/A,FALSE,"UNIT";#N/A,#N/A,FALSE,"계정"}</definedName>
    <definedName name="솔비쥬재고" localSheetId="10" hidden="1">{"'Jibu9811 (3)'!$B$1:$J$433"}</definedName>
    <definedName name="솔비쥬재고" localSheetId="9" hidden="1">{"'Jibu9811 (3)'!$B$1:$J$433"}</definedName>
    <definedName name="솔비쥬재고" hidden="1">{"'Jibu9811 (3)'!$B$1:$J$433"}</definedName>
    <definedName name="솔재고" localSheetId="10" hidden="1">{"'Jibu9811 (3)'!$B$1:$J$433"}</definedName>
    <definedName name="솔재고" localSheetId="9" hidden="1">{"'Jibu9811 (3)'!$B$1:$J$433"}</definedName>
    <definedName name="솔재고" hidden="1">{"'Jibu9811 (3)'!$B$1:$J$433"}</definedName>
    <definedName name="송" localSheetId="10" hidden="1">{#N/A,#N/A,TRUE,"Y생산";#N/A,#N/A,TRUE,"Y판매";#N/A,#N/A,TRUE,"Y총물량";#N/A,#N/A,TRUE,"Y능력";#N/A,#N/A,TRUE,"YKD"}</definedName>
    <definedName name="송" localSheetId="9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년" localSheetId="10" hidden="1">{"'Jibu9811 (3)'!$B$1:$J$433"}</definedName>
    <definedName name="송년" localSheetId="9" hidden="1">{"'Jibu9811 (3)'!$B$1:$J$433"}</definedName>
    <definedName name="송년" hidden="1">{"'Jibu9811 (3)'!$B$1:$J$433"}</definedName>
    <definedName name="송익" localSheetId="10" hidden="1">{#N/A,#N/A,FALSE,"정공"}</definedName>
    <definedName name="송익" localSheetId="9" hidden="1">{#N/A,#N/A,FALSE,"정공"}</definedName>
    <definedName name="송익" hidden="1">{#N/A,#N/A,FALSE,"정공"}</definedName>
    <definedName name="송재동" localSheetId="10" hidden="1">{"'Jibu9811 (3)'!$B$1:$J$433"}</definedName>
    <definedName name="송재동" localSheetId="9" hidden="1">{"'Jibu9811 (3)'!$B$1:$J$433"}</definedName>
    <definedName name="송재동" hidden="1">{"'Jibu9811 (3)'!$B$1:$J$433"}</definedName>
    <definedName name="송창기" localSheetId="10" hidden="1">{#N/A,#N/A,TRUE,"Y생산";#N/A,#N/A,TRUE,"Y판매";#N/A,#N/A,TRUE,"Y총물량";#N/A,#N/A,TRUE,"Y능력";#N/A,#N/A,TRUE,"YKD"}</definedName>
    <definedName name="송창기" localSheetId="9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수량추정" localSheetId="10" hidden="1">{#N/A,#N/A,FALSE,"정공"}</definedName>
    <definedName name="수량추정" localSheetId="9" hidden="1">{#N/A,#N/A,FALSE,"정공"}</definedName>
    <definedName name="수량추정" hidden="1">{#N/A,#N/A,FALSE,"정공"}</definedName>
    <definedName name="수불현황" localSheetId="10" hidden="1">{#N/A,#N/A,FALSE,"정공"}</definedName>
    <definedName name="수불현황" localSheetId="9" hidden="1">{#N/A,#N/A,FALSE,"정공"}</definedName>
    <definedName name="수불현황" hidden="1">{#N/A,#N/A,FALSE,"정공"}</definedName>
    <definedName name="수선비첨부5" localSheetId="10" hidden="1">{#N/A,#N/A,FALSE,"단축1";#N/A,#N/A,FALSE,"단축2";#N/A,#N/A,FALSE,"단축3";#N/A,#N/A,FALSE,"장축";#N/A,#N/A,FALSE,"4WD"}</definedName>
    <definedName name="수선비첨부5" localSheetId="9" hidden="1">{#N/A,#N/A,FALSE,"단축1";#N/A,#N/A,FALSE,"단축2";#N/A,#N/A,FALSE,"단축3";#N/A,#N/A,FALSE,"장축";#N/A,#N/A,FALSE,"4WD"}</definedName>
    <definedName name="수선비첨부5" hidden="1">{#N/A,#N/A,FALSE,"단축1";#N/A,#N/A,FALSE,"단축2";#N/A,#N/A,FALSE,"단축3";#N/A,#N/A,FALSE,"장축";#N/A,#N/A,FALSE,"4WD"}</definedName>
    <definedName name="수요분석최종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요분석최종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요분석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요분석최종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요분석최종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요분석최종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요분석최종본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요분석최종본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요분석최종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요분석최종본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요분석최종본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요분석최종본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익4속" localSheetId="10" hidden="1">{#N/A,#N/A,FALSE,"단축1";#N/A,#N/A,FALSE,"단축2";#N/A,#N/A,FALSE,"단축3";#N/A,#N/A,FALSE,"장축";#N/A,#N/A,FALSE,"4WD"}</definedName>
    <definedName name="수익4속" localSheetId="9" hidden="1">{#N/A,#N/A,FALSE,"단축1";#N/A,#N/A,FALSE,"단축2";#N/A,#N/A,FALSE,"단축3";#N/A,#N/A,FALSE,"장축";#N/A,#N/A,FALSE,"4WD"}</definedName>
    <definedName name="수익4속" hidden="1">{#N/A,#N/A,FALSE,"단축1";#N/A,#N/A,FALSE,"단축2";#N/A,#N/A,FALSE,"단축3";#N/A,#N/A,FALSE,"장축";#N/A,#N/A,FALSE,"4WD"}</definedName>
    <definedName name="수정" localSheetId="10" hidden="1">{"'Jibu9811 (3)'!$B$1:$J$433"}</definedName>
    <definedName name="수정" localSheetId="9" hidden="1">{"'Jibu9811 (3)'!$B$1:$J$433"}</definedName>
    <definedName name="수정" hidden="1">{"'Jibu9811 (3)'!$B$1:$J$433"}</definedName>
    <definedName name="수정1212" localSheetId="10" hidden="1">{"'10_03일자별'!$A$2:$H$31"}</definedName>
    <definedName name="수정1212" localSheetId="9" hidden="1">{"'10_03일자별'!$A$2:$H$31"}</definedName>
    <definedName name="수정1212" hidden="1">{"'10_03일자별'!$A$2:$H$31"}</definedName>
    <definedName name="수정sk가스" localSheetId="1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수정sk가스" localSheetId="9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수정sk가스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수정물량" localSheetId="10" hidden="1">{#N/A,#N/A,TRUE,"Y생산";#N/A,#N/A,TRUE,"Y판매";#N/A,#N/A,TRUE,"Y총물량";#N/A,#N/A,TRUE,"Y능력";#N/A,#N/A,TRUE,"YKD"}</definedName>
    <definedName name="수정물량" localSheetId="9" hidden="1">{#N/A,#N/A,TRUE,"Y생산";#N/A,#N/A,TRUE,"Y판매";#N/A,#N/A,TRUE,"Y총물량";#N/A,#N/A,TRUE,"Y능력";#N/A,#N/A,TRUE,"YKD"}</definedName>
    <definedName name="수정물량" hidden="1">{#N/A,#N/A,TRUE,"Y생산";#N/A,#N/A,TRUE,"Y판매";#N/A,#N/A,TRUE,"Y총물량";#N/A,#N/A,TRUE,"Y능력";#N/A,#N/A,TRUE,"YKD"}</definedName>
    <definedName name="수정사항" localSheetId="10" hidden="1">{"Titles",#N/A,FALSE,"Titles";"Schedule 5",#N/A,FALSE,"Schedule 5";"Schedule 6",#N/A,FALSE,"Schedule 6";"Schedule 7",#N/A,FALSE,"Schedule 7";"Schedule 8",#N/A,FALSE,"Schedule 8";"Schedule 9",#N/A,FALSE,"Schedule 9";"Schedule 10",#N/A,FALSE,"Schedule 10";"schedule 11",#N/A,FALSE,"Schedule 11";"schedule 12",#N/A,FALSE,"Schedule 12";"schedule 13",#N/A,FALSE,"Schedule 13";"schedule 14",#N/A,FALSE,"Schedule 14";"schedule 15",#N/A,FALSE,"Schedule 15"}</definedName>
    <definedName name="수정사항" localSheetId="9" hidden="1">{"Titles",#N/A,FALSE,"Titles";"Schedule 5",#N/A,FALSE,"Schedule 5";"Schedule 6",#N/A,FALSE,"Schedule 6";"Schedule 7",#N/A,FALSE,"Schedule 7";"Schedule 8",#N/A,FALSE,"Schedule 8";"Schedule 9",#N/A,FALSE,"Schedule 9";"Schedule 10",#N/A,FALSE,"Schedule 10";"schedule 11",#N/A,FALSE,"Schedule 11";"schedule 12",#N/A,FALSE,"Schedule 12";"schedule 13",#N/A,FALSE,"Schedule 13";"schedule 14",#N/A,FALSE,"Schedule 14";"schedule 15",#N/A,FALSE,"Schedule 15"}</definedName>
    <definedName name="수정사항" hidden="1">{"Titles",#N/A,FALSE,"Titles";"Schedule 5",#N/A,FALSE,"Schedule 5";"Schedule 6",#N/A,FALSE,"Schedule 6";"Schedule 7",#N/A,FALSE,"Schedule 7";"Schedule 8",#N/A,FALSE,"Schedule 8";"Schedule 9",#N/A,FALSE,"Schedule 9";"Schedule 10",#N/A,FALSE,"Schedule 10";"schedule 11",#N/A,FALSE,"Schedule 11";"schedule 12",#N/A,FALSE,"Schedule 12";"schedule 13",#N/A,FALSE,"Schedule 13";"schedule 14",#N/A,FALSE,"Schedule 14";"schedule 15",#N/A,FALSE,"Schedule 15"}</definedName>
    <definedName name="수정사항_1" localSheetId="10" hidden="1">{"Titles",#N/A,FALSE,"Titles";"Schedule 5",#N/A,FALSE,"Schedule 5";"Schedule 6",#N/A,FALSE,"Schedule 6";"Schedule 7",#N/A,FALSE,"Schedule 7";"Schedule 8",#N/A,FALSE,"Schedule 8";"Schedule 9",#N/A,FALSE,"Schedule 9";"Schedule 10",#N/A,FALSE,"Schedule 10";"schedule 11",#N/A,FALSE,"Schedule 11";"schedule 12",#N/A,FALSE,"Schedule 12";"schedule 13",#N/A,FALSE,"Schedule 13";"schedule 14",#N/A,FALSE,"Schedule 14";"schedule 15",#N/A,FALSE,"Schedule 15"}</definedName>
    <definedName name="수정사항_1" localSheetId="9" hidden="1">{"Titles",#N/A,FALSE,"Titles";"Schedule 5",#N/A,FALSE,"Schedule 5";"Schedule 6",#N/A,FALSE,"Schedule 6";"Schedule 7",#N/A,FALSE,"Schedule 7";"Schedule 8",#N/A,FALSE,"Schedule 8";"Schedule 9",#N/A,FALSE,"Schedule 9";"Schedule 10",#N/A,FALSE,"Schedule 10";"schedule 11",#N/A,FALSE,"Schedule 11";"schedule 12",#N/A,FALSE,"Schedule 12";"schedule 13",#N/A,FALSE,"Schedule 13";"schedule 14",#N/A,FALSE,"Schedule 14";"schedule 15",#N/A,FALSE,"Schedule 15"}</definedName>
    <definedName name="수정사항_1" hidden="1">{"Titles",#N/A,FALSE,"Titles";"Schedule 5",#N/A,FALSE,"Schedule 5";"Schedule 6",#N/A,FALSE,"Schedule 6";"Schedule 7",#N/A,FALSE,"Schedule 7";"Schedule 8",#N/A,FALSE,"Schedule 8";"Schedule 9",#N/A,FALSE,"Schedule 9";"Schedule 10",#N/A,FALSE,"Schedule 10";"schedule 11",#N/A,FALSE,"Schedule 11";"schedule 12",#N/A,FALSE,"Schedule 12";"schedule 13",#N/A,FALSE,"Schedule 13";"schedule 14",#N/A,FALSE,"Schedule 14";"schedule 15",#N/A,FALSE,"Schedule 15"}</definedName>
    <definedName name="수정사항1" localSheetId="10" hidden="1">{#N/A,#N/A,FALSE,"BS";#N/A,#N/A,FALSE,"PL";#N/A,#N/A,FALSE,"처분";#N/A,#N/A,FALSE,"현금";#N/A,#N/A,FALSE,"매출";#N/A,#N/A,FALSE,"원가";#N/A,#N/A,FALSE,"경영"}</definedName>
    <definedName name="수정사항1" localSheetId="9" hidden="1">{#N/A,#N/A,FALSE,"BS";#N/A,#N/A,FALSE,"PL";#N/A,#N/A,FALSE,"처분";#N/A,#N/A,FALSE,"현금";#N/A,#N/A,FALSE,"매출";#N/A,#N/A,FALSE,"원가";#N/A,#N/A,FALSE,"경영"}</definedName>
    <definedName name="수정사항1" hidden="1">{#N/A,#N/A,FALSE,"BS";#N/A,#N/A,FALSE,"PL";#N/A,#N/A,FALSE,"처분";#N/A,#N/A,FALSE,"현금";#N/A,#N/A,FALSE,"매출";#N/A,#N/A,FALSE,"원가";#N/A,#N/A,FALSE,"경영"}</definedName>
    <definedName name="수정사항집계표" hidden="1">#REF!</definedName>
    <definedName name="수출" localSheetId="10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수출" localSheetId="9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수출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수출판촉비총괄" hidden="1">#N/A</definedName>
    <definedName name="시간외근무_인사" hidden="1">#REF!</definedName>
    <definedName name="시산표작성" localSheetId="1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시산표작성" localSheetId="9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시산표작성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시산표작성_1" localSheetId="1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시산표작성_1" localSheetId="9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시산표작성_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시스템" localSheetId="10" hidden="1">{#N/A,#N/A,FALSE,"UNIT";#N/A,#N/A,FALSE,"UNIT";#N/A,#N/A,FALSE,"계정"}</definedName>
    <definedName name="시스템" localSheetId="9" hidden="1">{#N/A,#N/A,FALSE,"UNIT";#N/A,#N/A,FALSE,"UNIT";#N/A,#N/A,FALSE,"계정"}</definedName>
    <definedName name="시스템" hidden="1">{#N/A,#N/A,FALSE,"UNIT";#N/A,#N/A,FALSE,"UNIT";#N/A,#N/A,FALSE,"계정"}</definedName>
    <definedName name="시장동향" localSheetId="10" hidden="1">{#N/A,#N/A,TRUE,"Y생산";#N/A,#N/A,TRUE,"Y판매";#N/A,#N/A,TRUE,"Y총물량";#N/A,#N/A,TRUE,"Y능력";#N/A,#N/A,TRUE,"YKD"}</definedName>
    <definedName name="시장동향" localSheetId="9" hidden="1">{#N/A,#N/A,TRUE,"Y생산";#N/A,#N/A,TRUE,"Y판매";#N/A,#N/A,TRUE,"Y총물량";#N/A,#N/A,TRUE,"Y능력";#N/A,#N/A,TRUE,"YKD"}</definedName>
    <definedName name="시장동향" hidden="1">{#N/A,#N/A,TRUE,"Y생산";#N/A,#N/A,TRUE,"Y판매";#N/A,#N/A,TRUE,"Y총물량";#N/A,#N/A,TRUE,"Y능력";#N/A,#N/A,TRUE,"YKD"}</definedName>
    <definedName name="시책" localSheetId="10" hidden="1">{#N/A,#N/A,FALSE,"단축1";#N/A,#N/A,FALSE,"단축2";#N/A,#N/A,FALSE,"단축3";#N/A,#N/A,FALSE,"장축";#N/A,#N/A,FALSE,"4WD"}</definedName>
    <definedName name="시책" localSheetId="9" hidden="1">{#N/A,#N/A,FALSE,"단축1";#N/A,#N/A,FALSE,"단축2";#N/A,#N/A,FALSE,"단축3";#N/A,#N/A,FALSE,"장축";#N/A,#N/A,FALSE,"4WD"}</definedName>
    <definedName name="시책" hidden="1">{#N/A,#N/A,FALSE,"단축1";#N/A,#N/A,FALSE,"단축2";#N/A,#N/A,FALSE,"단축3";#N/A,#N/A,FALSE,"장축";#N/A,#N/A,FALSE,"4WD"}</definedName>
    <definedName name="시행" localSheetId="10" hidden="1">{#N/A,#N/A,FALSE,"이태원철근"}</definedName>
    <definedName name="시행" localSheetId="9" hidden="1">{#N/A,#N/A,FALSE,"이태원철근"}</definedName>
    <definedName name="시행" hidden="1">{#N/A,#N/A,FALSE,"이태원철근"}</definedName>
    <definedName name="신" localSheetId="10" hidden="1">{"'Jibu9811 (3)'!$B$1:$J$433"}</definedName>
    <definedName name="신" localSheetId="9" hidden="1">{"'Jibu9811 (3)'!$B$1:$J$433"}</definedName>
    <definedName name="신" hidden="1">{"'Jibu9811 (3)'!$B$1:$J$433"}</definedName>
    <definedName name="신AT종합" localSheetId="10" hidden="1">{#N/A,#N/A,FALSE,"단축1";#N/A,#N/A,FALSE,"단축2";#N/A,#N/A,FALSE,"단축3";#N/A,#N/A,FALSE,"장축";#N/A,#N/A,FALSE,"4WD"}</definedName>
    <definedName name="신AT종합" localSheetId="9" hidden="1">{#N/A,#N/A,FALSE,"단축1";#N/A,#N/A,FALSE,"단축2";#N/A,#N/A,FALSE,"단축3";#N/A,#N/A,FALSE,"장축";#N/A,#N/A,FALSE,"4WD"}</definedName>
    <definedName name="신AT종합" hidden="1">{#N/A,#N/A,FALSE,"단축1";#N/A,#N/A,FALSE,"단축2";#N/A,#N/A,FALSE,"단축3";#N/A,#N/A,FALSE,"장축";#N/A,#N/A,FALSE,"4WD"}</definedName>
    <definedName name="신세대종합" localSheetId="10" hidden="1">{#N/A,#N/A,FALSE,"단축1";#N/A,#N/A,FALSE,"단축2";#N/A,#N/A,FALSE,"단축3";#N/A,#N/A,FALSE,"장축";#N/A,#N/A,FALSE,"4WD"}</definedName>
    <definedName name="신세대종합" localSheetId="9" hidden="1">{#N/A,#N/A,FALSE,"단축1";#N/A,#N/A,FALSE,"단축2";#N/A,#N/A,FALSE,"단축3";#N/A,#N/A,FALSE,"장축";#N/A,#N/A,FALSE,"4WD"}</definedName>
    <definedName name="신세대종합" hidden="1">{#N/A,#N/A,FALSE,"단축1";#N/A,#N/A,FALSE,"단축2";#N/A,#N/A,FALSE,"단축3";#N/A,#N/A,FALSE,"장축";#N/A,#N/A,FALSE,"4WD"}</definedName>
    <definedName name="신용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제품" localSheetId="10" hidden="1">{"'Jibu9811 (3)'!$B$1:$J$433"}</definedName>
    <definedName name="신제품" localSheetId="9" hidden="1">{"'Jibu9811 (3)'!$B$1:$J$433"}</definedName>
    <definedName name="신제품" hidden="1">{"'Jibu9811 (3)'!$B$1:$J$433"}</definedName>
    <definedName name="신제품세부내역" localSheetId="10" hidden="1">{"'Jibu9811 (3)'!$B$1:$J$433"}</definedName>
    <definedName name="신제품세부내역" localSheetId="9" hidden="1">{"'Jibu9811 (3)'!$B$1:$J$433"}</definedName>
    <definedName name="신제품세부내역" hidden="1">{"'Jibu9811 (3)'!$B$1:$J$433"}</definedName>
    <definedName name="실시" localSheetId="10" hidden="1">{#N/A,#N/A,FALSE,"단축1";#N/A,#N/A,FALSE,"단축2";#N/A,#N/A,FALSE,"단축3";#N/A,#N/A,FALSE,"장축";#N/A,#N/A,FALSE,"4WD"}</definedName>
    <definedName name="실시" localSheetId="9" hidden="1">{#N/A,#N/A,FALSE,"단축1";#N/A,#N/A,FALSE,"단축2";#N/A,#N/A,FALSE,"단축3";#N/A,#N/A,FALSE,"장축";#N/A,#N/A,FALSE,"4WD"}</definedName>
    <definedName name="실시" hidden="1">{#N/A,#N/A,FALSE,"단축1";#N/A,#N/A,FALSE,"단축2";#N/A,#N/A,FALSE,"단축3";#N/A,#N/A,FALSE,"장축";#N/A,#N/A,FALSE,"4WD"}</definedName>
    <definedName name="실적" localSheetId="10" hidden="1">{"'Jibu9811 (3)'!$B$1:$J$433"}</definedName>
    <definedName name="실적" localSheetId="9" hidden="1">{"'Jibu9811 (3)'!$B$1:$J$433"}</definedName>
    <definedName name="실적" hidden="1">{"'Jibu9811 (3)'!$B$1:$J$433"}</definedName>
    <definedName name="실적3" localSheetId="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실적3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실적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실적4월" localSheetId="10" hidden="1">{#N/A,#N/A,FALSE,"UNIT";#N/A,#N/A,FALSE,"UNIT";#N/A,#N/A,FALSE,"계정"}</definedName>
    <definedName name="실적4월" localSheetId="9" hidden="1">{#N/A,#N/A,FALSE,"UNIT";#N/A,#N/A,FALSE,"UNIT";#N/A,#N/A,FALSE,"계정"}</definedName>
    <definedName name="실적4월" hidden="1">{#N/A,#N/A,FALSE,"UNIT";#N/A,#N/A,FALSE,"UNIT";#N/A,#N/A,FALSE,"계정"}</definedName>
    <definedName name="실적4월_1" localSheetId="10" hidden="1">{#N/A,#N/A,FALSE,"UNIT";#N/A,#N/A,FALSE,"UNIT";#N/A,#N/A,FALSE,"계정"}</definedName>
    <definedName name="실적4월_1" localSheetId="9" hidden="1">{#N/A,#N/A,FALSE,"UNIT";#N/A,#N/A,FALSE,"UNIT";#N/A,#N/A,FALSE,"계정"}</definedName>
    <definedName name="실적4월_1" hidden="1">{#N/A,#N/A,FALSE,"UNIT";#N/A,#N/A,FALSE,"UNIT";#N/A,#N/A,FALSE,"계정"}</definedName>
    <definedName name="실적6월" localSheetId="10" hidden="1">{#N/A,#N/A,FALSE,"UNIT";#N/A,#N/A,FALSE,"UNIT";#N/A,#N/A,FALSE,"계정"}</definedName>
    <definedName name="실적6월" localSheetId="9" hidden="1">{#N/A,#N/A,FALSE,"UNIT";#N/A,#N/A,FALSE,"UNIT";#N/A,#N/A,FALSE,"계정"}</definedName>
    <definedName name="실적6월" hidden="1">{#N/A,#N/A,FALSE,"UNIT";#N/A,#N/A,FALSE,"UNIT";#N/A,#N/A,FALSE,"계정"}</definedName>
    <definedName name="실적6월_1" localSheetId="10" hidden="1">{#N/A,#N/A,FALSE,"UNIT";#N/A,#N/A,FALSE,"UNIT";#N/A,#N/A,FALSE,"계정"}</definedName>
    <definedName name="실적6월_1" localSheetId="9" hidden="1">{#N/A,#N/A,FALSE,"UNIT";#N/A,#N/A,FALSE,"UNIT";#N/A,#N/A,FALSE,"계정"}</definedName>
    <definedName name="실적6월_1" hidden="1">{#N/A,#N/A,FALSE,"UNIT";#N/A,#N/A,FALSE,"UNIT";#N/A,#N/A,FALSE,"계정"}</definedName>
    <definedName name="실행검토" hidden="1">#REF!</definedName>
    <definedName name="실행예상액" hidden="1">#REF!</definedName>
    <definedName name="쌍용클레임분담" localSheetId="10" hidden="1">{#N/A,#N/A,FALSE,"단축1";#N/A,#N/A,FALSE,"단축2";#N/A,#N/A,FALSE,"단축3";#N/A,#N/A,FALSE,"장축";#N/A,#N/A,FALSE,"4WD"}</definedName>
    <definedName name="쌍용클레임분담" localSheetId="9" hidden="1">{#N/A,#N/A,FALSE,"단축1";#N/A,#N/A,FALSE,"단축2";#N/A,#N/A,FALSE,"단축3";#N/A,#N/A,FALSE,"장축";#N/A,#N/A,FALSE,"4WD"}</definedName>
    <definedName name="쌍용클레임분담" hidden="1">{#N/A,#N/A,FALSE,"단축1";#N/A,#N/A,FALSE,"단축2";#N/A,#N/A,FALSE,"단축3";#N/A,#N/A,FALSE,"장축";#N/A,#N/A,FALSE,"4WD"}</definedName>
    <definedName name="ㅇㄴㄹㅇ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ㅇ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ㅇ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ㅇ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ㅇ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ㅇㅇ" localSheetId="10" hidden="1">{#N/A,#N/A,FALSE,"UNIT";#N/A,#N/A,FALSE,"UNIT";#N/A,#N/A,FALSE,"계정"}</definedName>
    <definedName name="ㅇㄴㅇㅇ" localSheetId="9" hidden="1">{#N/A,#N/A,FALSE,"UNIT";#N/A,#N/A,FALSE,"UNIT";#N/A,#N/A,FALSE,"계정"}</definedName>
    <definedName name="ㅇㄴㅇㅇ" hidden="1">{#N/A,#N/A,FALSE,"UNIT";#N/A,#N/A,FALSE,"UNIT";#N/A,#N/A,FALSE,"계정"}</definedName>
    <definedName name="ㅇ누" hidden="1">#REF!</definedName>
    <definedName name="ㅇㄹ니ㅓㄷ" hidden="1">#REF!</definedName>
    <definedName name="ㅇㄹㄹ" hidden="1">#REF!</definedName>
    <definedName name="ㅇㄹㅇㄹ" hidden="1">#REF!</definedName>
    <definedName name="ㅇㄹㅇㄹㅇ" localSheetId="10" hidden="1">{#N/A,#N/A,FALSE,"정공"}</definedName>
    <definedName name="ㅇㄹㅇㄹㅇ" localSheetId="9" hidden="1">{#N/A,#N/A,FALSE,"정공"}</definedName>
    <definedName name="ㅇㄹㅇㄹㅇ" hidden="1">{#N/A,#N/A,FALSE,"정공"}</definedName>
    <definedName name="ㅇㅀ" localSheetId="1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ㅀ" localSheetId="9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ㅀ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ㅀ_1" localSheetId="1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ㅀ_1" localSheetId="9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ㅀ_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ㅀㄹㅇㅁㅎ" hidden="1">#REF!</definedName>
    <definedName name="ㅇㅁㅁㅇㅇㅁㅁㅇㅇ" localSheetId="10" hidden="1">{#N/A,#N/A,FALSE,"Sheet1";#N/A,#N/A,FALSE,"기평9607"}</definedName>
    <definedName name="ㅇㅁㅁㅇㅇㅁㅁㅇㅇ" localSheetId="9" hidden="1">{#N/A,#N/A,FALSE,"Sheet1";#N/A,#N/A,FALSE,"기평9607"}</definedName>
    <definedName name="ㅇㅁㅁㅇㅇㅁㅁㅇㅇ" hidden="1">{#N/A,#N/A,FALSE,"Sheet1";#N/A,#N/A,FALSE,"기평9607"}</definedName>
    <definedName name="ㅇㅁㅇㅁㅇㅁㅇㅁㅇㅁㅇㄴㅁㅇㅁㅇㅇㅁ2434" localSheetId="10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ㅇㅁㅇㅁㅇㅁㅇㅁㅇㅁㅇㄴㅁㅇㅁㅇㅇㅁ2434" localSheetId="9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ㅇㅁㅇㅁㅇㅁㅇㅁㅇㅁㅇㄴㅁㅇㅁㅇㅇㅁ2434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ㅇㅇ" localSheetId="10" hidden="1">{#N/A,#N/A,FALSE,"UNIT";#N/A,#N/A,FALSE,"UNIT";#N/A,#N/A,FALSE,"계정"}</definedName>
    <definedName name="ㅇㅇ" localSheetId="9" hidden="1">{#N/A,#N/A,FALSE,"UNIT";#N/A,#N/A,FALSE,"UNIT";#N/A,#N/A,FALSE,"계정"}</definedName>
    <definedName name="ㅇㅇ" hidden="1">{#N/A,#N/A,FALSE,"UNIT";#N/A,#N/A,FALSE,"UNIT";#N/A,#N/A,FALSE,"계정"}</definedName>
    <definedName name="ㅇㅇ_1" localSheetId="10" hidden="1">{#N/A,#N/A,FALSE,"UNIT";#N/A,#N/A,FALSE,"UNIT";#N/A,#N/A,FALSE,"계정"}</definedName>
    <definedName name="ㅇㅇ_1" localSheetId="9" hidden="1">{#N/A,#N/A,FALSE,"UNIT";#N/A,#N/A,FALSE,"UNIT";#N/A,#N/A,FALSE,"계정"}</definedName>
    <definedName name="ㅇㅇ_1" hidden="1">{#N/A,#N/A,FALSE,"UNIT";#N/A,#N/A,FALSE,"UNIT";#N/A,#N/A,FALSE,"계정"}</definedName>
    <definedName name="ㅇㅇㄹㄹ" localSheetId="10" hidden="1">{#N/A,#N/A,FALSE,"표지";#N/A,#N/A,FALSE,"전제";#N/A,#N/A,FALSE,"손익-자 (2)";#N/A,#N/A,FALSE,"손익-자";#N/A,#N/A,FALSE,"손익-마 (2)";#N/A,#N/A,FALSE,"손익-마";#N/A,#N/A,FALSE,"총손최종"}</definedName>
    <definedName name="ㅇㅇㄹㄹ" localSheetId="9" hidden="1">{#N/A,#N/A,FALSE,"표지";#N/A,#N/A,FALSE,"전제";#N/A,#N/A,FALSE,"손익-자 (2)";#N/A,#N/A,FALSE,"손익-자";#N/A,#N/A,FALSE,"손익-마 (2)";#N/A,#N/A,FALSE,"손익-마";#N/A,#N/A,FALSE,"총손최종"}</definedName>
    <definedName name="ㅇㅇㄹㄹ" hidden="1">{#N/A,#N/A,FALSE,"표지";#N/A,#N/A,FALSE,"전제";#N/A,#N/A,FALSE,"손익-자 (2)";#N/A,#N/A,FALSE,"손익-자";#N/A,#N/A,FALSE,"손익-마 (2)";#N/A,#N/A,FALSE,"손익-마";#N/A,#N/A,FALSE,"총손최종"}</definedName>
    <definedName name="ㅇㅇㄻ" localSheetId="10" hidden="1">{"'Jibu9811 (3)'!$B$1:$J$433"}</definedName>
    <definedName name="ㅇㅇㄻ" localSheetId="9" hidden="1">{"'Jibu9811 (3)'!$B$1:$J$433"}</definedName>
    <definedName name="ㅇㅇㄻ" hidden="1">{"'Jibu9811 (3)'!$B$1:$J$433"}</definedName>
    <definedName name="ㅇㅇㅀ" localSheetId="1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ㅀ" localSheetId="9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ㅀ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ㅀ_1" localSheetId="1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ㅀ_1" localSheetId="9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ㅀ_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ㅇ_1" localSheetId="10" hidden="1">{#N/A,#N/A,FALSE,"정공"}</definedName>
    <definedName name="ㅇㅇㅇ_1" localSheetId="9" hidden="1">{#N/A,#N/A,FALSE,"정공"}</definedName>
    <definedName name="ㅇㅇㅇ_1" hidden="1">{#N/A,#N/A,FALSE,"정공"}</definedName>
    <definedName name="ㅇㅇㅇㅇㅇ" localSheetId="10" hidden="1">{#N/A,#N/A,FALSE,"UNIT";#N/A,#N/A,FALSE,"UNIT";#N/A,#N/A,FALSE,"계정"}</definedName>
    <definedName name="ㅇㅇㅇㅇㅇ" localSheetId="9" hidden="1">{#N/A,#N/A,FALSE,"UNIT";#N/A,#N/A,FALSE,"UNIT";#N/A,#N/A,FALSE,"계정"}</definedName>
    <definedName name="ㅇㅇㅇㅇㅇ" hidden="1">{#N/A,#N/A,FALSE,"UNIT";#N/A,#N/A,FALSE,"UNIT";#N/A,#N/A,FALSE,"계정"}</definedName>
    <definedName name="ㅇㅇㅇㅇㅇ_1" localSheetId="1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ㅇㅇㅇㅇ_1" localSheetId="9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ㅇㅇㅇㅇ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ㅇㅇㅇㅇㅇ" localSheetId="10" hidden="1">{#N/A,#N/A,FALSE,"UNIT";#N/A,#N/A,FALSE,"UNIT";#N/A,#N/A,FALSE,"계정"}</definedName>
    <definedName name="ㅇㅇㅇㅇㅇㅇ" localSheetId="9" hidden="1">{#N/A,#N/A,FALSE,"UNIT";#N/A,#N/A,FALSE,"UNIT";#N/A,#N/A,FALSE,"계정"}</definedName>
    <definedName name="ㅇㅇㅇㅇㅇㅇ" hidden="1">{#N/A,#N/A,FALSE,"UNIT";#N/A,#N/A,FALSE,"UNIT";#N/A,#N/A,FALSE,"계정"}</definedName>
    <definedName name="ㅇㅇㅇㅇㅇㅇㅇㅇㄹㄹㄹㄹ" hidden="1">#REF!</definedName>
    <definedName name="ㅇㅈㅇㄴㅇㅈㅇ" hidden="1">#REF!</definedName>
    <definedName name="ㅇ자" localSheetId="10" hidden="1">{"'Jibu9811 (3)'!$B$1:$J$433"}</definedName>
    <definedName name="ㅇ자" localSheetId="9" hidden="1">{"'Jibu9811 (3)'!$B$1:$J$433"}</definedName>
    <definedName name="ㅇ자" hidden="1">{"'Jibu9811 (3)'!$B$1:$J$433"}</definedName>
    <definedName name="ㅇㅎㄷㄱ" localSheetId="10" hidden="1">{#N/A,#N/A,FALSE,"부대1"}</definedName>
    <definedName name="ㅇㅎㄷㄱ" localSheetId="9" hidden="1">{#N/A,#N/A,FALSE,"부대1"}</definedName>
    <definedName name="ㅇㅎㄷㄱ" hidden="1">{#N/A,#N/A,FALSE,"부대1"}</definedName>
    <definedName name="아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2" localSheetId="10" hidden="1">{"'Jibu9811 (3)'!$B$1:$J$433"}</definedName>
    <definedName name="아2" localSheetId="9" hidden="1">{"'Jibu9811 (3)'!$B$1:$J$433"}</definedName>
    <definedName name="아2" hidden="1">{"'Jibu9811 (3)'!$B$1:$J$433"}</definedName>
    <definedName name="아니면말고" localSheetId="10" hidden="1">{#N/A,#N/A,FALSE,"정공"}</definedName>
    <definedName name="아니면말고" localSheetId="9" hidden="1">{#N/A,#N/A,FALSE,"정공"}</definedName>
    <definedName name="아니면말고" hidden="1">{#N/A,#N/A,FALSE,"정공"}</definedName>
    <definedName name="아니오" localSheetId="10" hidden="1">{#N/A,#N/A,FALSE,"정공"}</definedName>
    <definedName name="아니오" localSheetId="9" hidden="1">{#N/A,#N/A,FALSE,"정공"}</definedName>
    <definedName name="아니오" hidden="1">{#N/A,#N/A,FALSE,"정공"}</definedName>
    <definedName name="아메리카" localSheetId="1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아메리카" localSheetId="9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아메리카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아메리카_1" localSheetId="1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아메리카_1" localSheetId="9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아메리카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아무거나" hidden="1">#REF!</definedName>
    <definedName name="아아아" localSheetId="10" hidden="1">{#N/A,#N/A,FALSE,"정공"}</definedName>
    <definedName name="아아아" localSheetId="9" hidden="1">{#N/A,#N/A,FALSE,"정공"}</definedName>
    <definedName name="아아아" hidden="1">{#N/A,#N/A,FALSE,"정공"}</definedName>
    <definedName name="아아ㅏ" localSheetId="10" hidden="1">{#N/A,#N/A,FALSE,"기안지";#N/A,#N/A,FALSE,"통신지"}</definedName>
    <definedName name="아아ㅏ" localSheetId="9" hidden="1">{#N/A,#N/A,FALSE,"기안지";#N/A,#N/A,FALSE,"통신지"}</definedName>
    <definedName name="아아ㅏ" hidden="1">{#N/A,#N/A,FALSE,"기안지";#N/A,#N/A,FALSE,"통신지"}</definedName>
    <definedName name="아앙" localSheetId="1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아앙" localSheetId="9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아앙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아이" localSheetId="10" hidden="1">{#N/A,#N/A,FALSE,"정공"}</definedName>
    <definedName name="아이" localSheetId="9" hidden="1">{#N/A,#N/A,FALSE,"정공"}</definedName>
    <definedName name="아이" hidden="1">{#N/A,#N/A,FALSE,"정공"}</definedName>
    <definedName name="아ㅏ아아아아아" localSheetId="10" hidden="1">{#N/A,#N/A,FALSE,"UNIT";#N/A,#N/A,FALSE,"UNIT";#N/A,#N/A,FALSE,"계정"}</definedName>
    <definedName name="아ㅏ아아아아아" localSheetId="9" hidden="1">{#N/A,#N/A,FALSE,"UNIT";#N/A,#N/A,FALSE,"UNIT";#N/A,#N/A,FALSE,"계정"}</definedName>
    <definedName name="아ㅏ아아아아아" hidden="1">{#N/A,#N/A,FALSE,"UNIT";#N/A,#N/A,FALSE,"UNIT";#N/A,#N/A,FALSE,"계정"}</definedName>
    <definedName name="아ㅏㅏㄷ" localSheetId="10" hidden="1">{#N/A,#N/A,FALSE,"기안지";#N/A,#N/A,FALSE,"통신지"}</definedName>
    <definedName name="아ㅏㅏㄷ" localSheetId="9" hidden="1">{#N/A,#N/A,FALSE,"기안지";#N/A,#N/A,FALSE,"통신지"}</definedName>
    <definedName name="아ㅏㅏㄷ" hidden="1">{#N/A,#N/A,FALSE,"기안지";#N/A,#N/A,FALSE,"통신지"}</definedName>
    <definedName name="아ㅓ" localSheetId="10" hidden="1">{#N/A,#N/A,FALSE,"기안지";#N/A,#N/A,FALSE,"통신지"}</definedName>
    <definedName name="아ㅓ" localSheetId="9" hidden="1">{#N/A,#N/A,FALSE,"기안지";#N/A,#N/A,FALSE,"통신지"}</definedName>
    <definedName name="아ㅓ" hidden="1">{#N/A,#N/A,FALSE,"기안지";#N/A,#N/A,FALSE,"통신지"}</definedName>
    <definedName name="아ㅓㅁㅂ" localSheetId="10" hidden="1">{#N/A,#N/A,FALSE,"기안지";#N/A,#N/A,FALSE,"통신지"}</definedName>
    <definedName name="아ㅓㅁㅂ" localSheetId="9" hidden="1">{#N/A,#N/A,FALSE,"기안지";#N/A,#N/A,FALSE,"통신지"}</definedName>
    <definedName name="아ㅓㅁㅂ" hidden="1">{#N/A,#N/A,FALSE,"기안지";#N/A,#N/A,FALSE,"통신지"}</definedName>
    <definedName name="안건" localSheetId="10" hidden="1">{#N/A,#N/A,FALSE,"BS";#N/A,#N/A,FALSE,"PL";#N/A,#N/A,FALSE,"처분";#N/A,#N/A,FALSE,"현금";#N/A,#N/A,FALSE,"매출";#N/A,#N/A,FALSE,"원가";#N/A,#N/A,FALSE,"경영"}</definedName>
    <definedName name="안건" localSheetId="9" hidden="1">{#N/A,#N/A,FALSE,"BS";#N/A,#N/A,FALSE,"PL";#N/A,#N/A,FALSE,"처분";#N/A,#N/A,FALSE,"현금";#N/A,#N/A,FALSE,"매출";#N/A,#N/A,FALSE,"원가";#N/A,#N/A,FALSE,"경영"}</definedName>
    <definedName name="안건" hidden="1">{#N/A,#N/A,FALSE,"BS";#N/A,#N/A,FALSE,"PL";#N/A,#N/A,FALSE,"처분";#N/A,#N/A,FALSE,"현금";#N/A,#N/A,FALSE,"매출";#N/A,#N/A,FALSE,"원가";#N/A,#N/A,FALSE,"경영"}</definedName>
    <definedName name="앗서" localSheetId="10" hidden="1">{#N/A,#N/A,FALSE,"정공"}</definedName>
    <definedName name="앗서" localSheetId="9" hidden="1">{#N/A,#N/A,FALSE,"정공"}</definedName>
    <definedName name="앗서" hidden="1">{#N/A,#N/A,FALSE,"정공"}</definedName>
    <definedName name="앙_1" localSheetId="10" hidden="1">{#N/A,#N/A,FALSE,"BS";#N/A,#N/A,FALSE,"PL";#N/A,#N/A,FALSE,"처분";#N/A,#N/A,FALSE,"현금";#N/A,#N/A,FALSE,"매출";#N/A,#N/A,FALSE,"원가";#N/A,#N/A,FALSE,"경영"}</definedName>
    <definedName name="앙_1" localSheetId="9" hidden="1">{#N/A,#N/A,FALSE,"BS";#N/A,#N/A,FALSE,"PL";#N/A,#N/A,FALSE,"처분";#N/A,#N/A,FALSE,"현금";#N/A,#N/A,FALSE,"매출";#N/A,#N/A,FALSE,"원가";#N/A,#N/A,FALSE,"경영"}</definedName>
    <definedName name="앙_1" hidden="1">{#N/A,#N/A,FALSE,"BS";#N/A,#N/A,FALSE,"PL";#N/A,#N/A,FALSE,"처분";#N/A,#N/A,FALSE,"현금";#N/A,#N/A,FALSE,"매출";#N/A,#N/A,FALSE,"원가";#N/A,#N/A,FALSE,"경영"}</definedName>
    <definedName name="앙1" localSheetId="10" hidden="1">{#N/A,#N/A,FALSE,"BS";#N/A,#N/A,FALSE,"PL";#N/A,#N/A,FALSE,"처분";#N/A,#N/A,FALSE,"현금";#N/A,#N/A,FALSE,"매출";#N/A,#N/A,FALSE,"원가";#N/A,#N/A,FALSE,"경영"}</definedName>
    <definedName name="앙1" localSheetId="9" hidden="1">{#N/A,#N/A,FALSE,"BS";#N/A,#N/A,FALSE,"PL";#N/A,#N/A,FALSE,"처분";#N/A,#N/A,FALSE,"현금";#N/A,#N/A,FALSE,"매출";#N/A,#N/A,FALSE,"원가";#N/A,#N/A,FALSE,"경영"}</definedName>
    <definedName name="앙1" hidden="1">{#N/A,#N/A,FALSE,"BS";#N/A,#N/A,FALSE,"PL";#N/A,#N/A,FALSE,"처분";#N/A,#N/A,FALSE,"현금";#N/A,#N/A,FALSE,"매출";#N/A,#N/A,FALSE,"원가";#N/A,#N/A,FALSE,"경영"}</definedName>
    <definedName name="앙1_1" localSheetId="10" hidden="1">{#N/A,#N/A,FALSE,"BS";#N/A,#N/A,FALSE,"PL";#N/A,#N/A,FALSE,"처분";#N/A,#N/A,FALSE,"현금";#N/A,#N/A,FALSE,"매출";#N/A,#N/A,FALSE,"원가";#N/A,#N/A,FALSE,"경영"}</definedName>
    <definedName name="앙1_1" localSheetId="9" hidden="1">{#N/A,#N/A,FALSE,"BS";#N/A,#N/A,FALSE,"PL";#N/A,#N/A,FALSE,"처분";#N/A,#N/A,FALSE,"현금";#N/A,#N/A,FALSE,"매출";#N/A,#N/A,FALSE,"원가";#N/A,#N/A,FALSE,"경영"}</definedName>
    <definedName name="앙1_1" hidden="1">{#N/A,#N/A,FALSE,"BS";#N/A,#N/A,FALSE,"PL";#N/A,#N/A,FALSE,"처분";#N/A,#N/A,FALSE,"현금";#N/A,#N/A,FALSE,"매출";#N/A,#N/A,FALSE,"원가";#N/A,#N/A,FALSE,"경영"}</definedName>
    <definedName name="약정잉자" localSheetId="10" hidden="1">{#N/A,#N/A,FALSE,"정공"}</definedName>
    <definedName name="약정잉자" localSheetId="9" hidden="1">{#N/A,#N/A,FALSE,"정공"}</definedName>
    <definedName name="약정잉자" hidden="1">{#N/A,#N/A,FALSE,"정공"}</definedName>
    <definedName name="양산조직" localSheetId="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양산조직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양산조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양식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식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식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식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식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어쩌라구" localSheetId="10" hidden="1">{#N/A,#N/A,FALSE,"Aging Summary";#N/A,#N/A,FALSE,"Ratio Analysis";#N/A,#N/A,FALSE,"Test 120 Day Accts";#N/A,#N/A,FALSE,"Tickmarks"}</definedName>
    <definedName name="어쩌라구" localSheetId="9" hidden="1">{#N/A,#N/A,FALSE,"Aging Summary";#N/A,#N/A,FALSE,"Ratio Analysis";#N/A,#N/A,FALSE,"Test 120 Day Accts";#N/A,#N/A,FALSE,"Tickmarks"}</definedName>
    <definedName name="어쩌라구" hidden="1">{#N/A,#N/A,FALSE,"Aging Summary";#N/A,#N/A,FALSE,"Ratio Analysis";#N/A,#N/A,FALSE,"Test 120 Day Accts";#N/A,#N/A,FALSE,"Tickmarks"}</definedName>
    <definedName name="어쩌라구_1" localSheetId="10" hidden="1">{#N/A,#N/A,FALSE,"Aging Summary";#N/A,#N/A,FALSE,"Ratio Analysis";#N/A,#N/A,FALSE,"Test 120 Day Accts";#N/A,#N/A,FALSE,"Tickmarks"}</definedName>
    <definedName name="어쩌라구_1" localSheetId="9" hidden="1">{#N/A,#N/A,FALSE,"Aging Summary";#N/A,#N/A,FALSE,"Ratio Analysis";#N/A,#N/A,FALSE,"Test 120 Day Accts";#N/A,#N/A,FALSE,"Tickmarks"}</definedName>
    <definedName name="어쩌라구_1" hidden="1">{#N/A,#N/A,FALSE,"Aging Summary";#N/A,#N/A,FALSE,"Ratio Analysis";#N/A,#N/A,FALSE,"Test 120 Day Accts";#N/A,#N/A,FALSE,"Tickmarks"}</definedName>
    <definedName name="어호" localSheetId="10" hidden="1">{#N/A,#N/A,FALSE,"기안지";#N/A,#N/A,FALSE,"통신지"}</definedName>
    <definedName name="어호" localSheetId="9" hidden="1">{#N/A,#N/A,FALSE,"기안지";#N/A,#N/A,FALSE,"통신지"}</definedName>
    <definedName name="어호" hidden="1">{#N/A,#N/A,FALSE,"기안지";#N/A,#N/A,FALSE,"통신지"}</definedName>
    <definedName name="어ㅑ" localSheetId="10" hidden="1">{#N/A,#N/A,FALSE,"기안지";#N/A,#N/A,FALSE,"통신지"}</definedName>
    <definedName name="어ㅑ" localSheetId="9" hidden="1">{#N/A,#N/A,FALSE,"기안지";#N/A,#N/A,FALSE,"통신지"}</definedName>
    <definedName name="어ㅑ" hidden="1">{#N/A,#N/A,FALSE,"기안지";#N/A,#N/A,FALSE,"통신지"}</definedName>
    <definedName name="없애버림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없애버림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없애버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없애버림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없애버림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없애버림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엏" localSheetId="10" hidden="1">{#N/A,#N/A,FALSE,"기안지";#N/A,#N/A,FALSE,"통신지"}</definedName>
    <definedName name="엏" localSheetId="9" hidden="1">{#N/A,#N/A,FALSE,"기안지";#N/A,#N/A,FALSE,"통신지"}</definedName>
    <definedName name="엏" hidden="1">{#N/A,#N/A,FALSE,"기안지";#N/A,#N/A,FALSE,"통신지"}</definedName>
    <definedName name="여건22" hidden="1">#REF!</definedName>
    <definedName name="여의도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의도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의도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의도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의도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간예상" localSheetId="10" hidden="1">{#N/A,#N/A,FALSE,"UNIT";#N/A,#N/A,FALSE,"UNIT";#N/A,#N/A,FALSE,"계정"}</definedName>
    <definedName name="연간예상" localSheetId="9" hidden="1">{#N/A,#N/A,FALSE,"UNIT";#N/A,#N/A,FALSE,"UNIT";#N/A,#N/A,FALSE,"계정"}</definedName>
    <definedName name="연간예상" hidden="1">{#N/A,#N/A,FALSE,"UNIT";#N/A,#N/A,FALSE,"UNIT";#N/A,#N/A,FALSE,"계정"}</definedName>
    <definedName name="연말손익" localSheetId="10" hidden="1">{#N/A,#N/A,FALSE,"UNIT";#N/A,#N/A,FALSE,"UNIT";#N/A,#N/A,FALSE,"계정"}</definedName>
    <definedName name="연말손익" localSheetId="9" hidden="1">{#N/A,#N/A,FALSE,"UNIT";#N/A,#N/A,FALSE,"UNIT";#N/A,#N/A,FALSE,"계정"}</definedName>
    <definedName name="연말손익" hidden="1">{#N/A,#N/A,FALSE,"UNIT";#N/A,#N/A,FALSE,"UNIT";#N/A,#N/A,FALSE,"계정"}</definedName>
    <definedName name="연습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2" hidden="1">#REF!</definedName>
    <definedName name="연습3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3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3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3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3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주얀" localSheetId="10" hidden="1">{#N/A,#N/A,FALSE,"정공"}</definedName>
    <definedName name="연주얀" localSheetId="9" hidden="1">{#N/A,#N/A,FALSE,"정공"}</definedName>
    <definedName name="연주얀" hidden="1">{#N/A,#N/A,FALSE,"정공"}</definedName>
    <definedName name="열세항목" localSheetId="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열세항목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열세항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열처리" localSheetId="10" hidden="1">{#N/A,#N/A,FALSE,"단축1";#N/A,#N/A,FALSE,"단축2";#N/A,#N/A,FALSE,"단축3";#N/A,#N/A,FALSE,"장축";#N/A,#N/A,FALSE,"4WD"}</definedName>
    <definedName name="열처리" localSheetId="9" hidden="1">{#N/A,#N/A,FALSE,"단축1";#N/A,#N/A,FALSE,"단축2";#N/A,#N/A,FALSE,"단축3";#N/A,#N/A,FALSE,"장축";#N/A,#N/A,FALSE,"4WD"}</definedName>
    <definedName name="열처리" hidden="1">{#N/A,#N/A,FALSE,"단축1";#N/A,#N/A,FALSE,"단축2";#N/A,#N/A,FALSE,"단축3";#N/A,#N/A,FALSE,"장축";#N/A,#N/A,FALSE,"4WD"}</definedName>
    <definedName name="영2" localSheetId="1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영2" localSheetId="9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영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영2_1" localSheetId="1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영2_1" localSheetId="9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영2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영업" localSheetId="10" hidden="1">{#N/A,#N/A,FALSE,"P.C.B"}</definedName>
    <definedName name="영업" localSheetId="9" hidden="1">{#N/A,#N/A,FALSE,"P.C.B"}</definedName>
    <definedName name="영업" hidden="1">{#N/A,#N/A,FALSE,"P.C.B"}</definedName>
    <definedName name="영업권" localSheetId="10" hidden="1">{#N/A,#N/A,FALSE,"BS";#N/A,#N/A,FALSE,"PL";#N/A,#N/A,FALSE,"처분";#N/A,#N/A,FALSE,"현금";#N/A,#N/A,FALSE,"매출";#N/A,#N/A,FALSE,"원가";#N/A,#N/A,FALSE,"경영"}</definedName>
    <definedName name="영업권" localSheetId="9" hidden="1">{#N/A,#N/A,FALSE,"BS";#N/A,#N/A,FALSE,"PL";#N/A,#N/A,FALSE,"처분";#N/A,#N/A,FALSE,"현금";#N/A,#N/A,FALSE,"매출";#N/A,#N/A,FALSE,"원가";#N/A,#N/A,FALSE,"경영"}</definedName>
    <definedName name="영업권" hidden="1">{#N/A,#N/A,FALSE,"BS";#N/A,#N/A,FALSE,"PL";#N/A,#N/A,FALSE,"처분";#N/A,#N/A,FALSE,"현금";#N/A,#N/A,FALSE,"매출";#N/A,#N/A,FALSE,"원가";#N/A,#N/A,FALSE,"경영"}</definedName>
    <definedName name="영업권_1" localSheetId="10" hidden="1">{#N/A,#N/A,FALSE,"BS";#N/A,#N/A,FALSE,"PL";#N/A,#N/A,FALSE,"처분";#N/A,#N/A,FALSE,"현금";#N/A,#N/A,FALSE,"매출";#N/A,#N/A,FALSE,"원가";#N/A,#N/A,FALSE,"경영"}</definedName>
    <definedName name="영업권_1" localSheetId="9" hidden="1">{#N/A,#N/A,FALSE,"BS";#N/A,#N/A,FALSE,"PL";#N/A,#N/A,FALSE,"처분";#N/A,#N/A,FALSE,"현금";#N/A,#N/A,FALSE,"매출";#N/A,#N/A,FALSE,"원가";#N/A,#N/A,FALSE,"경영"}</definedName>
    <definedName name="영업권_1" hidden="1">{#N/A,#N/A,FALSE,"BS";#N/A,#N/A,FALSE,"PL";#N/A,#N/A,FALSE,"처분";#N/A,#N/A,FALSE,"현금";#N/A,#N/A,FALSE,"매출";#N/A,#N/A,FALSE,"원가";#N/A,#N/A,FALSE,"경영"}</definedName>
    <definedName name="영업수익" localSheetId="1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영업수익" localSheetId="9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영업수익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영업수익_1" localSheetId="1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영업수익_1" localSheetId="9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영업수익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영업외수익" localSheetId="1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영업외수익" localSheetId="9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영업외수익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영업외수익_1" localSheetId="1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영업외수익_1" localSheetId="9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영업외수익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예산세부내역" localSheetId="10" hidden="1">{"'Jibu9811 (3)'!$B$1:$J$433"}</definedName>
    <definedName name="예산세부내역" localSheetId="9" hidden="1">{"'Jibu9811 (3)'!$B$1:$J$433"}</definedName>
    <definedName name="예산세부내역" hidden="1">{"'Jibu9811 (3)'!$B$1:$J$433"}</definedName>
    <definedName name="예상내역" localSheetId="10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예상내역" localSheetId="9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예상내역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예실대비_Duplicated" hidden="1">#REF!</definedName>
    <definedName name="예적금미수수익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예적금미수수익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예적금미수수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예적금미수수익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예적금미수수익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예적금미수수익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예치보증금" localSheetId="10" hidden="1">{"'분양원가'!$B$1:$F$113"}</definedName>
    <definedName name="예치보증금" localSheetId="9" hidden="1">{"'분양원가'!$B$1:$F$113"}</definedName>
    <definedName name="예치보증금" hidden="1">{"'분양원가'!$B$1:$F$113"}</definedName>
    <definedName name="오" localSheetId="10" hidden="1">{#N/A,#N/A,FALSE,"UNIT";#N/A,#N/A,FALSE,"UNIT";#N/A,#N/A,FALSE,"계정"}</definedName>
    <definedName name="오" localSheetId="9" hidden="1">{#N/A,#N/A,FALSE,"UNIT";#N/A,#N/A,FALSE,"UNIT";#N/A,#N/A,FALSE,"계정"}</definedName>
    <definedName name="오" hidden="1">{#N/A,#N/A,FALSE,"UNIT";#N/A,#N/A,FALSE,"UNIT";#N/A,#N/A,FALSE,"계정"}</definedName>
    <definedName name="오." localSheetId="10" hidden="1">{#N/A,#N/A,FALSE,"UNIT";#N/A,#N/A,FALSE,"UNIT";#N/A,#N/A,FALSE,"계정"}</definedName>
    <definedName name="오." localSheetId="9" hidden="1">{#N/A,#N/A,FALSE,"UNIT";#N/A,#N/A,FALSE,"UNIT";#N/A,#N/A,FALSE,"계정"}</definedName>
    <definedName name="오." hidden="1">{#N/A,#N/A,FALSE,"UNIT";#N/A,#N/A,FALSE,"UNIT";#N/A,#N/A,FALSE,"계정"}</definedName>
    <definedName name="오.." localSheetId="10" hidden="1">{#N/A,#N/A,FALSE,"UNIT";#N/A,#N/A,FALSE,"UNIT";#N/A,#N/A,FALSE,"계정"}</definedName>
    <definedName name="오.." localSheetId="9" hidden="1">{#N/A,#N/A,FALSE,"UNIT";#N/A,#N/A,FALSE,"UNIT";#N/A,#N/A,FALSE,"계정"}</definedName>
    <definedName name="오.." hidden="1">{#N/A,#N/A,FALSE,"UNIT";#N/A,#N/A,FALSE,"UNIT";#N/A,#N/A,FALSE,"계정"}</definedName>
    <definedName name="오.._1" localSheetId="10" hidden="1">{#N/A,#N/A,FALSE,"UNIT";#N/A,#N/A,FALSE,"UNIT";#N/A,#N/A,FALSE,"계정"}</definedName>
    <definedName name="오.._1" localSheetId="9" hidden="1">{#N/A,#N/A,FALSE,"UNIT";#N/A,#N/A,FALSE,"UNIT";#N/A,#N/A,FALSE,"계정"}</definedName>
    <definedName name="오.._1" hidden="1">{#N/A,#N/A,FALSE,"UNIT";#N/A,#N/A,FALSE,"UNIT";#N/A,#N/A,FALSE,"계정"}</definedName>
    <definedName name="오._1" localSheetId="10" hidden="1">{#N/A,#N/A,FALSE,"UNIT";#N/A,#N/A,FALSE,"UNIT";#N/A,#N/A,FALSE,"계정"}</definedName>
    <definedName name="오._1" localSheetId="9" hidden="1">{#N/A,#N/A,FALSE,"UNIT";#N/A,#N/A,FALSE,"UNIT";#N/A,#N/A,FALSE,"계정"}</definedName>
    <definedName name="오._1" hidden="1">{#N/A,#N/A,FALSE,"UNIT";#N/A,#N/A,FALSE,"UNIT";#N/A,#N/A,FALSE,"계정"}</definedName>
    <definedName name="오_1" localSheetId="10" hidden="1">{#N/A,#N/A,FALSE,"UNIT";#N/A,#N/A,FALSE,"UNIT";#N/A,#N/A,FALSE,"계정"}</definedName>
    <definedName name="오_1" localSheetId="9" hidden="1">{#N/A,#N/A,FALSE,"UNIT";#N/A,#N/A,FALSE,"UNIT";#N/A,#N/A,FALSE,"계정"}</definedName>
    <definedName name="오_1" hidden="1">{#N/A,#N/A,FALSE,"UNIT";#N/A,#N/A,FALSE,"UNIT";#N/A,#N/A,FALSE,"계정"}</definedName>
    <definedName name="오빠" localSheetId="10" hidden="1">{"'Jibu9811 (3)'!$B$1:$J$433"}</definedName>
    <definedName name="오빠" localSheetId="9" hidden="1">{"'Jibu9811 (3)'!$B$1:$J$433"}</definedName>
    <definedName name="오빠" hidden="1">{"'Jibu9811 (3)'!$B$1:$J$433"}</definedName>
    <definedName name="오성협" localSheetId="10" hidden="1">{#N/A,#N/A,TRUE,"Y생산";#N/A,#N/A,TRUE,"Y판매";#N/A,#N/A,TRUE,"Y총물량";#N/A,#N/A,TRUE,"Y능력";#N/A,#N/A,TRUE,"YKD"}</definedName>
    <definedName name="오성협" localSheetId="9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오수토공" localSheetId="10" hidden="1">{#N/A,#N/A,FALSE,"기안지";#N/A,#N/A,FALSE,"통신지"}</definedName>
    <definedName name="오수토공" localSheetId="9" hidden="1">{#N/A,#N/A,FALSE,"기안지";#N/A,#N/A,FALSE,"통신지"}</definedName>
    <definedName name="오수토공" hidden="1">{#N/A,#N/A,FALSE,"기안지";#N/A,#N/A,FALSE,"통신지"}</definedName>
    <definedName name="옥외공사" localSheetId="10" hidden="1">{#N/A,#N/A,FALSE,"이태원철근"}</definedName>
    <definedName name="옥외공사" localSheetId="9" hidden="1">{#N/A,#N/A,FALSE,"이태원철근"}</definedName>
    <definedName name="옥외공사" hidden="1">{#N/A,#N/A,FALSE,"이태원철근"}</definedName>
    <definedName name="옥외대비" localSheetId="10" hidden="1">{#N/A,#N/A,FALSE,"이태원철근"}</definedName>
    <definedName name="옥외대비" localSheetId="9" hidden="1">{#N/A,#N/A,FALSE,"이태원철근"}</definedName>
    <definedName name="옥외대비" hidden="1">{#N/A,#N/A,FALSE,"이태원철근"}</definedName>
    <definedName name="완성" localSheetId="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완성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완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완성차물류비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완성차물류비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완성차물류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왜이래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러지" localSheetId="10" hidden="1">{#N/A,#N/A,FALSE,"BS";#N/A,#N/A,FALSE,"PL";#N/A,#N/A,FALSE,"처분";#N/A,#N/A,FALSE,"현금";#N/A,#N/A,FALSE,"매출";#N/A,#N/A,FALSE,"원가";#N/A,#N/A,FALSE,"경영"}</definedName>
    <definedName name="왜이러지" localSheetId="9" hidden="1">{#N/A,#N/A,FALSE,"BS";#N/A,#N/A,FALSE,"PL";#N/A,#N/A,FALSE,"처분";#N/A,#N/A,FALSE,"현금";#N/A,#N/A,FALSE,"매출";#N/A,#N/A,FALSE,"원가";#N/A,#N/A,FALSE,"경영"}</definedName>
    <definedName name="왜이러지" hidden="1">{#N/A,#N/A,FALSE,"BS";#N/A,#N/A,FALSE,"PL";#N/A,#N/A,FALSE,"처분";#N/A,#N/A,FALSE,"현금";#N/A,#N/A,FALSE,"매출";#N/A,#N/A,FALSE,"원가";#N/A,#N/A,FALSE,"경영"}</definedName>
    <definedName name="왜이러지_1" localSheetId="10" hidden="1">{#N/A,#N/A,FALSE,"BS";#N/A,#N/A,FALSE,"PL";#N/A,#N/A,FALSE,"처분";#N/A,#N/A,FALSE,"현금";#N/A,#N/A,FALSE,"매출";#N/A,#N/A,FALSE,"원가";#N/A,#N/A,FALSE,"경영"}</definedName>
    <definedName name="왜이러지_1" localSheetId="9" hidden="1">{#N/A,#N/A,FALSE,"BS";#N/A,#N/A,FALSE,"PL";#N/A,#N/A,FALSE,"처분";#N/A,#N/A,FALSE,"현금";#N/A,#N/A,FALSE,"매출";#N/A,#N/A,FALSE,"원가";#N/A,#N/A,FALSE,"경영"}</definedName>
    <definedName name="왜이러지_1" hidden="1">{#N/A,#N/A,FALSE,"BS";#N/A,#N/A,FALSE,"PL";#N/A,#N/A,FALSE,"처분";#N/A,#N/A,FALSE,"현금";#N/A,#N/A,FALSE,"매출";#N/A,#N/A,FALSE,"원가";#N/A,#N/A,FALSE,"경영"}</definedName>
    <definedName name="요약" localSheetId="10" hidden="1">{#N/A,#N/A,FALSE,"정공"}</definedName>
    <definedName name="요약" localSheetId="9" hidden="1">{#N/A,#N/A,FALSE,"정공"}</definedName>
    <definedName name="요약" hidden="1">{#N/A,#N/A,FALSE,"정공"}</definedName>
    <definedName name="요약3" localSheetId="10" hidden="1">{#N/A,#N/A,FALSE,"정공"}</definedName>
    <definedName name="요약3" localSheetId="9" hidden="1">{#N/A,#N/A,FALSE,"정공"}</definedName>
    <definedName name="요약3" hidden="1">{#N/A,#N/A,FALSE,"정공"}</definedName>
    <definedName name="용" localSheetId="10" hidden="1">{#N/A,#N/A,FALSE,"P.C.B"}</definedName>
    <definedName name="용" localSheetId="9" hidden="1">{#N/A,#N/A,FALSE,"P.C.B"}</definedName>
    <definedName name="용" hidden="1">{#N/A,#N/A,FALSE,"P.C.B"}</definedName>
    <definedName name="우리" localSheetId="10" hidden="1">{#N/A,#N/A,FALSE,"P.C.B"}</definedName>
    <definedName name="우리" localSheetId="9" hidden="1">{#N/A,#N/A,FALSE,"P.C.B"}</definedName>
    <definedName name="우리" hidden="1">{#N/A,#N/A,FALSE,"P.C.B"}</definedName>
    <definedName name="울산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울산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울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울산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울산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울산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가관리라" localSheetId="10" hidden="1">{#N/A,#N/A,FALSE,"정공"}</definedName>
    <definedName name="원가관리라" localSheetId="9" hidden="1">{#N/A,#N/A,FALSE,"정공"}</definedName>
    <definedName name="원가관리라" hidden="1">{#N/A,#N/A,FALSE,"정공"}</definedName>
    <definedName name="원가적용" localSheetId="10" hidden="1">{#N/A,#N/A,FALSE,"정공"}</definedName>
    <definedName name="원가적용" localSheetId="9" hidden="1">{#N/A,#N/A,FALSE,"정공"}</definedName>
    <definedName name="원가적용" hidden="1">{#N/A,#N/A,FALSE,"정공"}</definedName>
    <definedName name="원재료생산현황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재료생산현황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재료생산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재료생산현황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재료생산현황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재료생산현황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월드건설" localSheetId="10" hidden="1">{#N/A,#N/A,FALSE,"이태원철근"}</definedName>
    <definedName name="월드건설" localSheetId="9" hidden="1">{#N/A,#N/A,FALSE,"이태원철근"}</definedName>
    <definedName name="월드건설" hidden="1">{#N/A,#N/A,FALSE,"이태원철근"}</definedName>
    <definedName name="월별목" localSheetId="10" hidden="1">{"'Jibu9811 (3)'!$B$1:$J$433"}</definedName>
    <definedName name="월별목" localSheetId="9" hidden="1">{"'Jibu9811 (3)'!$B$1:$J$433"}</definedName>
    <definedName name="월별목" hidden="1">{"'Jibu9811 (3)'!$B$1:$J$433"}</definedName>
    <definedName name="유가" localSheetId="10" hidden="1">{#N/A,#N/A,FALSE,"BS";#N/A,#N/A,FALSE,"PL";#N/A,#N/A,FALSE,"처분";#N/A,#N/A,FALSE,"현금";#N/A,#N/A,FALSE,"매출";#N/A,#N/A,FALSE,"원가";#N/A,#N/A,FALSE,"경영"}</definedName>
    <definedName name="유가" localSheetId="9" hidden="1">{#N/A,#N/A,FALSE,"BS";#N/A,#N/A,FALSE,"PL";#N/A,#N/A,FALSE,"처분";#N/A,#N/A,FALSE,"현금";#N/A,#N/A,FALSE,"매출";#N/A,#N/A,FALSE,"원가";#N/A,#N/A,FALSE,"경영"}</definedName>
    <definedName name="유가" hidden="1">{#N/A,#N/A,FALSE,"BS";#N/A,#N/A,FALSE,"PL";#N/A,#N/A,FALSE,"처분";#N/A,#N/A,FALSE,"현금";#N/A,#N/A,FALSE,"매출";#N/A,#N/A,FALSE,"원가";#N/A,#N/A,FALSE,"경영"}</definedName>
    <definedName name="유동성장기부채" localSheetId="10" hidden="1">{#N/A,#N/A,FALSE,"BS";#N/A,#N/A,FALSE,"PL";#N/A,#N/A,FALSE,"처분";#N/A,#N/A,FALSE,"현금";#N/A,#N/A,FALSE,"매출";#N/A,#N/A,FALSE,"원가";#N/A,#N/A,FALSE,"경영"}</definedName>
    <definedName name="유동성장기부채" localSheetId="9" hidden="1">{#N/A,#N/A,FALSE,"BS";#N/A,#N/A,FALSE,"PL";#N/A,#N/A,FALSE,"처분";#N/A,#N/A,FALSE,"현금";#N/A,#N/A,FALSE,"매출";#N/A,#N/A,FALSE,"원가";#N/A,#N/A,FALSE,"경영"}</definedName>
    <definedName name="유동성장기부채" hidden="1">{#N/A,#N/A,FALSE,"BS";#N/A,#N/A,FALSE,"PL";#N/A,#N/A,FALSE,"처분";#N/A,#N/A,FALSE,"현금";#N/A,#N/A,FALSE,"매출";#N/A,#N/A,FALSE,"원가";#N/A,#N/A,FALSE,"경영"}</definedName>
    <definedName name="유동성장기부채_1" localSheetId="10" hidden="1">{#N/A,#N/A,FALSE,"BS";#N/A,#N/A,FALSE,"PL";#N/A,#N/A,FALSE,"처분";#N/A,#N/A,FALSE,"현금";#N/A,#N/A,FALSE,"매출";#N/A,#N/A,FALSE,"원가";#N/A,#N/A,FALSE,"경영"}</definedName>
    <definedName name="유동성장기부채_1" localSheetId="9" hidden="1">{#N/A,#N/A,FALSE,"BS";#N/A,#N/A,FALSE,"PL";#N/A,#N/A,FALSE,"처분";#N/A,#N/A,FALSE,"현금";#N/A,#N/A,FALSE,"매출";#N/A,#N/A,FALSE,"원가";#N/A,#N/A,FALSE,"경영"}</definedName>
    <definedName name="유동성장기부채_1" hidden="1">{#N/A,#N/A,FALSE,"BS";#N/A,#N/A,FALSE,"PL";#N/A,#N/A,FALSE,"처분";#N/A,#N/A,FALSE,"현금";#N/A,#N/A,FALSE,"매출";#N/A,#N/A,FALSE,"원가";#N/A,#N/A,FALSE,"경영"}</definedName>
    <definedName name="유승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주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주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주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주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주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형자산명세" localSheetId="1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유형자산명세" localSheetId="9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유형자산명세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유형자산명세_1" localSheetId="1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유형자산명세_1" localSheetId="9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유형자산명세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유화처분" localSheetId="10" hidden="1">{#N/A,#N/A,FALSE,"매출이익"}</definedName>
    <definedName name="유화처분" localSheetId="9" hidden="1">{#N/A,#N/A,FALSE,"매출이익"}</definedName>
    <definedName name="유화처분" hidden="1">{#N/A,#N/A,FALSE,"매출이익"}</definedName>
    <definedName name="윤소원" localSheetId="10" hidden="1">{"'Jibu9811 (3)'!$B$1:$J$433"}</definedName>
    <definedName name="윤소원" localSheetId="9" hidden="1">{"'Jibu9811 (3)'!$B$1:$J$433"}</definedName>
    <definedName name="윤소원" hidden="1">{"'Jibu9811 (3)'!$B$1:$J$433"}</definedName>
    <definedName name="윤정문" hidden="1">#REF!</definedName>
    <definedName name="이근우" localSheetId="10" hidden="1">{#N/A,#N/A,FALSE,"BS";#N/A,#N/A,FALSE,"PL";#N/A,#N/A,FALSE,"처분";#N/A,#N/A,FALSE,"현금";#N/A,#N/A,FALSE,"매출";#N/A,#N/A,FALSE,"원가";#N/A,#N/A,FALSE,"경영"}</definedName>
    <definedName name="이근우" localSheetId="9" hidden="1">{#N/A,#N/A,FALSE,"BS";#N/A,#N/A,FALSE,"PL";#N/A,#N/A,FALSE,"처분";#N/A,#N/A,FALSE,"현금";#N/A,#N/A,FALSE,"매출";#N/A,#N/A,FALSE,"원가";#N/A,#N/A,FALSE,"경영"}</definedName>
    <definedName name="이근우" hidden="1">{#N/A,#N/A,FALSE,"BS";#N/A,#N/A,FALSE,"PL";#N/A,#N/A,FALSE,"처분";#N/A,#N/A,FALSE,"현금";#N/A,#N/A,FALSE,"매출";#N/A,#N/A,FALSE,"원가";#N/A,#N/A,FALSE,"경영"}</definedName>
    <definedName name="이병화" localSheetId="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병화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병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소" hidden="1">#REF!</definedName>
    <definedName name="이소영" hidden="1">#REF!</definedName>
    <definedName name="이슈" localSheetId="10" hidden="1">{#N/A,#N/A,TRUE,"일정"}</definedName>
    <definedName name="이슈" localSheetId="9" hidden="1">{#N/A,#N/A,TRUE,"일정"}</definedName>
    <definedName name="이슈" hidden="1">{#N/A,#N/A,TRUE,"일정"}</definedName>
    <definedName name="이이잉" hidden="1">#REF!</definedName>
    <definedName name="이익잉여금처분계산서" localSheetId="10" hidden="1">{#N/A,#N/A,FALSE,"현장 NCR 분석";#N/A,#N/A,FALSE,"현장품질감사";#N/A,#N/A,FALSE,"현장품질감사"}</definedName>
    <definedName name="이익잉여금처분계산서" localSheetId="9" hidden="1">{#N/A,#N/A,FALSE,"현장 NCR 분석";#N/A,#N/A,FALSE,"현장품질감사";#N/A,#N/A,FALSE,"현장품질감사"}</definedName>
    <definedName name="이익잉여금처분계산서" hidden="1">{#N/A,#N/A,FALSE,"현장 NCR 분석";#N/A,#N/A,FALSE,"현장품질감사";#N/A,#N/A,FALSE,"현장품질감사"}</definedName>
    <definedName name="이익잉여금처분계산서_1" localSheetId="10" hidden="1">{#N/A,#N/A,FALSE,"현장 NCR 분석";#N/A,#N/A,FALSE,"현장품질감사";#N/A,#N/A,FALSE,"현장품질감사"}</definedName>
    <definedName name="이익잉여금처분계산서_1" localSheetId="9" hidden="1">{#N/A,#N/A,FALSE,"현장 NCR 분석";#N/A,#N/A,FALSE,"현장품질감사";#N/A,#N/A,FALSE,"현장품질감사"}</definedName>
    <definedName name="이익잉여금처분계산서_1" hidden="1">{#N/A,#N/A,FALSE,"현장 NCR 분석";#N/A,#N/A,FALSE,"현장품질감사";#N/A,#N/A,FALSE,"현장품질감사"}</definedName>
    <definedName name="인력계획2" hidden="1">#REF!</definedName>
    <definedName name="인사" hidden="1">#REF!</definedName>
    <definedName name="인사팀" hidden="1">#REF!</definedName>
    <definedName name="인원계획_담당포함" hidden="1">#REF!</definedName>
    <definedName name="인원현황2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2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2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2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2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3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3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3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3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3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산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산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산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산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산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자별" localSheetId="10" hidden="1">{#N/A,#N/A,TRUE,"Y생산";#N/A,#N/A,TRUE,"Y판매";#N/A,#N/A,TRUE,"Y총물량";#N/A,#N/A,TRUE,"Y능력";#N/A,#N/A,TRUE,"YKD"}</definedName>
    <definedName name="일자별" localSheetId="9" hidden="1">{#N/A,#N/A,TRUE,"Y생산";#N/A,#N/A,TRUE,"Y판매";#N/A,#N/A,TRUE,"Y총물량";#N/A,#N/A,TRUE,"Y능력";#N/A,#N/A,TRUE,"YKD"}</definedName>
    <definedName name="일자별" hidden="1">{#N/A,#N/A,TRUE,"Y생산";#N/A,#N/A,TRUE,"Y판매";#N/A,#N/A,TRUE,"Y총물량";#N/A,#N/A,TRUE,"Y능력";#N/A,#N/A,TRUE,"YKD"}</definedName>
    <definedName name="일자별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자별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자별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진" localSheetId="10" hidden="1">{#N/A,#N/A,FALSE,"BS";#N/A,#N/A,FALSE,"PL";#N/A,#N/A,FALSE,"처분";#N/A,#N/A,FALSE,"현금";#N/A,#N/A,FALSE,"매출";#N/A,#N/A,FALSE,"원가";#N/A,#N/A,FALSE,"경영"}</definedName>
    <definedName name="일진" localSheetId="9" hidden="1">{#N/A,#N/A,FALSE,"BS";#N/A,#N/A,FALSE,"PL";#N/A,#N/A,FALSE,"처분";#N/A,#N/A,FALSE,"현금";#N/A,#N/A,FALSE,"매출";#N/A,#N/A,FALSE,"원가";#N/A,#N/A,FALSE,"경영"}</definedName>
    <definedName name="일진" hidden="1">{#N/A,#N/A,FALSE,"BS";#N/A,#N/A,FALSE,"PL";#N/A,#N/A,FALSE,"처분";#N/A,#N/A,FALSE,"현금";#N/A,#N/A,FALSE,"매출";#N/A,#N/A,FALSE,"원가";#N/A,#N/A,FALSE,"경영"}</definedName>
    <definedName name="일진_1" localSheetId="10" hidden="1">{#N/A,#N/A,FALSE,"BS";#N/A,#N/A,FALSE,"PL";#N/A,#N/A,FALSE,"처분";#N/A,#N/A,FALSE,"현금";#N/A,#N/A,FALSE,"매출";#N/A,#N/A,FALSE,"원가";#N/A,#N/A,FALSE,"경영"}</definedName>
    <definedName name="일진_1" localSheetId="9" hidden="1">{#N/A,#N/A,FALSE,"BS";#N/A,#N/A,FALSE,"PL";#N/A,#N/A,FALSE,"처분";#N/A,#N/A,FALSE,"현금";#N/A,#N/A,FALSE,"매출";#N/A,#N/A,FALSE,"원가";#N/A,#N/A,FALSE,"경영"}</definedName>
    <definedName name="일진_1" hidden="1">{#N/A,#N/A,FALSE,"BS";#N/A,#N/A,FALSE,"PL";#N/A,#N/A,FALSE,"처분";#N/A,#N/A,FALSE,"현금";#N/A,#N/A,FALSE,"매출";#N/A,#N/A,FALSE,"원가";#N/A,#N/A,FALSE,"경영"}</definedName>
    <definedName name="일진1" localSheetId="1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일진1" localSheetId="9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일진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일진1_1" localSheetId="1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일진1_1" localSheetId="9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일진1_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일진2" localSheetId="1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일진2" localSheetId="9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일진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일진2_1" localSheetId="1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일진2_1" localSheetId="9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일진2_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임대보증금" localSheetId="10" hidden="1">{#N/A,#N/A,FALSE,"BS";#N/A,#N/A,FALSE,"PL";#N/A,#N/A,FALSE,"처분";#N/A,#N/A,FALSE,"현금";#N/A,#N/A,FALSE,"매출";#N/A,#N/A,FALSE,"원가";#N/A,#N/A,FALSE,"경영"}</definedName>
    <definedName name="임대보증금" localSheetId="9" hidden="1">{#N/A,#N/A,FALSE,"BS";#N/A,#N/A,FALSE,"PL";#N/A,#N/A,FALSE,"처분";#N/A,#N/A,FALSE,"현금";#N/A,#N/A,FALSE,"매출";#N/A,#N/A,FALSE,"원가";#N/A,#N/A,FALSE,"경영"}</definedName>
    <definedName name="임대보증금" hidden="1">{#N/A,#N/A,FALSE,"BS";#N/A,#N/A,FALSE,"PL";#N/A,#N/A,FALSE,"처분";#N/A,#N/A,FALSE,"현금";#N/A,#N/A,FALSE,"매출";#N/A,#N/A,FALSE,"원가";#N/A,#N/A,FALSE,"경영"}</definedName>
    <definedName name="임동원" localSheetId="10" hidden="1">{#N/A,#N/A,FALSE,"정공"}</definedName>
    <definedName name="임동원" localSheetId="9" hidden="1">{#N/A,#N/A,FALSE,"정공"}</definedName>
    <definedName name="임동원" hidden="1">{#N/A,#N/A,FALSE,"정공"}</definedName>
    <definedName name="임차2" localSheetId="10" hidden="1">{"'분양원가'!$B$1:$F$113"}</definedName>
    <definedName name="임차2" localSheetId="9" hidden="1">{"'분양원가'!$B$1:$F$113"}</definedName>
    <definedName name="임차2" hidden="1">{"'분양원가'!$B$1:$F$113"}</definedName>
    <definedName name="잉여금" localSheetId="1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잉여금" localSheetId="9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잉여금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ㅈ_1" localSheetId="10" hidden="1">{#N/A,#N/A,FALSE,"BS";#N/A,#N/A,FALSE,"PL";#N/A,#N/A,FALSE,"처분";#N/A,#N/A,FALSE,"현금";#N/A,#N/A,FALSE,"매출";#N/A,#N/A,FALSE,"원가";#N/A,#N/A,FALSE,"경영"}</definedName>
    <definedName name="ㅈ_1" localSheetId="9" hidden="1">{#N/A,#N/A,FALSE,"BS";#N/A,#N/A,FALSE,"PL";#N/A,#N/A,FALSE,"처분";#N/A,#N/A,FALSE,"현금";#N/A,#N/A,FALSE,"매출";#N/A,#N/A,FALSE,"원가";#N/A,#N/A,FALSE,"경영"}</definedName>
    <definedName name="ㅈ_1" hidden="1">{#N/A,#N/A,FALSE,"BS";#N/A,#N/A,FALSE,"PL";#N/A,#N/A,FALSE,"처분";#N/A,#N/A,FALSE,"현금";#N/A,#N/A,FALSE,"매출";#N/A,#N/A,FALSE,"원가";#N/A,#N/A,FALSE,"경영"}</definedName>
    <definedName name="ㅈㄷㄱㄷㄱㄷ" localSheetId="10" hidden="1">{"'용역비'!$A$4:$C$8"}</definedName>
    <definedName name="ㅈㄷㄱㄷㄱㄷ" localSheetId="9" hidden="1">{"'용역비'!$A$4:$C$8"}</definedName>
    <definedName name="ㅈㄷㄱㄷㄱㄷ" hidden="1">{"'용역비'!$A$4:$C$8"}</definedName>
    <definedName name="ㅈㄷㄱㄷㄱ호ㅗ" localSheetId="10" hidden="1">{"'Jibu9811 (3)'!$B$1:$J$433"}</definedName>
    <definedName name="ㅈㄷㄱㄷㄱ호ㅗ" localSheetId="9" hidden="1">{"'Jibu9811 (3)'!$B$1:$J$433"}</definedName>
    <definedName name="ㅈㄷㄱㄷㄱ호ㅗ" hidden="1">{"'Jibu9811 (3)'!$B$1:$J$433"}</definedName>
    <definedName name="ㅈㅂㄷ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ㅂㄷ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ㅂ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ㅂㄷ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ㅂㄷ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ㅂㄷ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" localSheetId="10" hidden="1">{#N/A,#N/A,FALSE,"UNIT";#N/A,#N/A,FALSE,"UNIT";#N/A,#N/A,FALSE,"계정"}</definedName>
    <definedName name="자" localSheetId="9" hidden="1">{#N/A,#N/A,FALSE,"UNIT";#N/A,#N/A,FALSE,"UNIT";#N/A,#N/A,FALSE,"계정"}</definedName>
    <definedName name="자" hidden="1">{#N/A,#N/A,FALSE,"UNIT";#N/A,#N/A,FALSE,"UNIT";#N/A,#N/A,FALSE,"계정"}</definedName>
    <definedName name="자." localSheetId="10" hidden="1">{#N/A,#N/A,FALSE,"UNIT";#N/A,#N/A,FALSE,"UNIT";#N/A,#N/A,FALSE,"계정"}</definedName>
    <definedName name="자." localSheetId="9" hidden="1">{#N/A,#N/A,FALSE,"UNIT";#N/A,#N/A,FALSE,"UNIT";#N/A,#N/A,FALSE,"계정"}</definedName>
    <definedName name="자." hidden="1">{#N/A,#N/A,FALSE,"UNIT";#N/A,#N/A,FALSE,"UNIT";#N/A,#N/A,FALSE,"계정"}</definedName>
    <definedName name="자.." localSheetId="10" hidden="1">{#N/A,#N/A,FALSE,"UNIT";#N/A,#N/A,FALSE,"UNIT";#N/A,#N/A,FALSE,"계정"}</definedName>
    <definedName name="자.." localSheetId="9" hidden="1">{#N/A,#N/A,FALSE,"UNIT";#N/A,#N/A,FALSE,"UNIT";#N/A,#N/A,FALSE,"계정"}</definedName>
    <definedName name="자.." hidden="1">{#N/A,#N/A,FALSE,"UNIT";#N/A,#N/A,FALSE,"UNIT";#N/A,#N/A,FALSE,"계정"}</definedName>
    <definedName name="자.._1" localSheetId="10" hidden="1">{#N/A,#N/A,FALSE,"UNIT";#N/A,#N/A,FALSE,"UNIT";#N/A,#N/A,FALSE,"계정"}</definedName>
    <definedName name="자.._1" localSheetId="9" hidden="1">{#N/A,#N/A,FALSE,"UNIT";#N/A,#N/A,FALSE,"UNIT";#N/A,#N/A,FALSE,"계정"}</definedName>
    <definedName name="자.._1" hidden="1">{#N/A,#N/A,FALSE,"UNIT";#N/A,#N/A,FALSE,"UNIT";#N/A,#N/A,FALSE,"계정"}</definedName>
    <definedName name="자._1" localSheetId="10" hidden="1">{#N/A,#N/A,FALSE,"UNIT";#N/A,#N/A,FALSE,"UNIT";#N/A,#N/A,FALSE,"계정"}</definedName>
    <definedName name="자._1" localSheetId="9" hidden="1">{#N/A,#N/A,FALSE,"UNIT";#N/A,#N/A,FALSE,"UNIT";#N/A,#N/A,FALSE,"계정"}</definedName>
    <definedName name="자._1" hidden="1">{#N/A,#N/A,FALSE,"UNIT";#N/A,#N/A,FALSE,"UNIT";#N/A,#N/A,FALSE,"계정"}</definedName>
    <definedName name="자_1" localSheetId="10" hidden="1">{#N/A,#N/A,FALSE,"UNIT";#N/A,#N/A,FALSE,"UNIT";#N/A,#N/A,FALSE,"계정"}</definedName>
    <definedName name="자_1" localSheetId="9" hidden="1">{#N/A,#N/A,FALSE,"UNIT";#N/A,#N/A,FALSE,"UNIT";#N/A,#N/A,FALSE,"계정"}</definedName>
    <definedName name="자_1" hidden="1">{#N/A,#N/A,FALSE,"UNIT";#N/A,#N/A,FALSE,"UNIT";#N/A,#N/A,FALSE,"계정"}</definedName>
    <definedName name="자본금" localSheetId="10" hidden="1">{#N/A,#N/A,FALSE,"정공"}</definedName>
    <definedName name="자본금" localSheetId="9" hidden="1">{#N/A,#N/A,FALSE,"정공"}</definedName>
    <definedName name="자본금" hidden="1">{#N/A,#N/A,FALSE,"정공"}</definedName>
    <definedName name="자본반기" hidden="1">#REF!</definedName>
    <definedName name="자연" localSheetId="10" hidden="1">{#N/A,#N/A,FALSE,"UNIT";#N/A,#N/A,FALSE,"UNIT";#N/A,#N/A,FALSE,"계정"}</definedName>
    <definedName name="자연" localSheetId="9" hidden="1">{#N/A,#N/A,FALSE,"UNIT";#N/A,#N/A,FALSE,"UNIT";#N/A,#N/A,FALSE,"계정"}</definedName>
    <definedName name="자연" hidden="1">{#N/A,#N/A,FALSE,"UNIT";#N/A,#N/A,FALSE,"UNIT";#N/A,#N/A,FALSE,"계정"}</definedName>
    <definedName name="자회사" hidden="1">#REF!</definedName>
    <definedName name="작성조서" localSheetId="10" hidden="1">{#N/A,#N/A,FALSE,"BS";#N/A,#N/A,FALSE,"PL";#N/A,#N/A,FALSE,"처분";#N/A,#N/A,FALSE,"현금";#N/A,#N/A,FALSE,"매출";#N/A,#N/A,FALSE,"원가";#N/A,#N/A,FALSE,"경영"}</definedName>
    <definedName name="작성조서" localSheetId="9" hidden="1">{#N/A,#N/A,FALSE,"BS";#N/A,#N/A,FALSE,"PL";#N/A,#N/A,FALSE,"처분";#N/A,#N/A,FALSE,"현금";#N/A,#N/A,FALSE,"매출";#N/A,#N/A,FALSE,"원가";#N/A,#N/A,FALSE,"경영"}</definedName>
    <definedName name="작성조서" hidden="1">{#N/A,#N/A,FALSE,"BS";#N/A,#N/A,FALSE,"PL";#N/A,#N/A,FALSE,"처분";#N/A,#N/A,FALSE,"현금";#N/A,#N/A,FALSE,"매출";#N/A,#N/A,FALSE,"원가";#N/A,#N/A,FALSE,"경영"}</definedName>
    <definedName name="잔다르크" localSheetId="10" hidden="1">{#N/A,#N/A,FALSE,"정공"}</definedName>
    <definedName name="잔다르크" localSheetId="9" hidden="1">{#N/A,#N/A,FALSE,"정공"}</definedName>
    <definedName name="잔다르크" hidden="1">{#N/A,#N/A,FALSE,"정공"}</definedName>
    <definedName name="잔양" localSheetId="10" hidden="1">{#N/A,#N/A,FALSE,"P.C.B"}</definedName>
    <definedName name="잔양" localSheetId="9" hidden="1">{#N/A,#N/A,FALSE,"P.C.B"}</definedName>
    <definedName name="잔양" hidden="1">{#N/A,#N/A,FALSE,"P.C.B"}</definedName>
    <definedName name="잔존" localSheetId="10" hidden="1">{#N/A,#N/A,FALSE,"단축1";#N/A,#N/A,FALSE,"단축2";#N/A,#N/A,FALSE,"단축3";#N/A,#N/A,FALSE,"장축";#N/A,#N/A,FALSE,"4WD"}</definedName>
    <definedName name="잔존" localSheetId="9" hidden="1">{#N/A,#N/A,FALSE,"단축1";#N/A,#N/A,FALSE,"단축2";#N/A,#N/A,FALSE,"단축3";#N/A,#N/A,FALSE,"장축";#N/A,#N/A,FALSE,"4WD"}</definedName>
    <definedName name="잔존" hidden="1">{#N/A,#N/A,FALSE,"단축1";#N/A,#N/A,FALSE,"단축2";#N/A,#N/A,FALSE,"단축3";#N/A,#N/A,FALSE,"장축";#N/A,#N/A,FALSE,"4WD"}</definedName>
    <definedName name="장VP" localSheetId="10" hidden="1">{#N/A,#N/A,FALSE,"UNIT";#N/A,#N/A,FALSE,"UNIT";#N/A,#N/A,FALSE,"계정"}</definedName>
    <definedName name="장VP" localSheetId="9" hidden="1">{#N/A,#N/A,FALSE,"UNIT";#N/A,#N/A,FALSE,"UNIT";#N/A,#N/A,FALSE,"계정"}</definedName>
    <definedName name="장VP" hidden="1">{#N/A,#N/A,FALSE,"UNIT";#N/A,#N/A,FALSE,"UNIT";#N/A,#N/A,FALSE,"계정"}</definedName>
    <definedName name="재" localSheetId="10" hidden="1">{#N/A,#N/A,FALSE,"UNIT";#N/A,#N/A,FALSE,"UNIT";#N/A,#N/A,FALSE,"계정"}</definedName>
    <definedName name="재" localSheetId="9" hidden="1">{#N/A,#N/A,FALSE,"UNIT";#N/A,#N/A,FALSE,"UNIT";#N/A,#N/A,FALSE,"계정"}</definedName>
    <definedName name="재" hidden="1">{#N/A,#N/A,FALSE,"UNIT";#N/A,#N/A,FALSE,"UNIT";#N/A,#N/A,FALSE,"계정"}</definedName>
    <definedName name="재가ㅗㄹ" localSheetId="10" hidden="1">{#N/A,#N/A,FALSE,"배수1"}</definedName>
    <definedName name="재가ㅗㄹ" localSheetId="9" hidden="1">{#N/A,#N/A,FALSE,"배수1"}</definedName>
    <definedName name="재가ㅗㄹ" hidden="1">{#N/A,#N/A,FALSE,"배수1"}</definedName>
    <definedName name="재고" localSheetId="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재고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재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재고자산이자최종" localSheetId="10" hidden="1">{"'분양원가'!$B$1:$F$113"}</definedName>
    <definedName name="재고자산이자최종" localSheetId="9" hidden="1">{"'분양원가'!$B$1:$F$113"}</definedName>
    <definedName name="재고자산이자최종" hidden="1">{"'분양원가'!$B$1:$F$113"}</definedName>
    <definedName name="재무" hidden="1">#REF!</definedName>
    <definedName name="재무제표" localSheetId="1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재무제표" localSheetId="9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재무제표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재무제표_1" localSheetId="1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재무제표_1" localSheetId="9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재무제표_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재쟏" localSheetId="10" hidden="1">{#N/A,#N/A,FALSE,"배수2"}</definedName>
    <definedName name="재쟏" localSheetId="9" hidden="1">{#N/A,#N/A,FALSE,"배수2"}</definedName>
    <definedName name="재쟏" hidden="1">{#N/A,#N/A,FALSE,"배수2"}</definedName>
    <definedName name="재ㅔㅈ하" localSheetId="10" hidden="1">{#N/A,#N/A,FALSE,"부대1"}</definedName>
    <definedName name="재ㅔㅈ하" localSheetId="9" hidden="1">{#N/A,#N/A,FALSE,"부대1"}</definedName>
    <definedName name="재ㅔㅈ하" hidden="1">{#N/A,#N/A,FALSE,"부대1"}</definedName>
    <definedName name="저" localSheetId="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저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저저" localSheetId="10" hidden="1">{#N/A,#N/A,FALSE,"UNIT";#N/A,#N/A,FALSE,"UNIT";#N/A,#N/A,FALSE,"계정"}</definedName>
    <definedName name="저저" localSheetId="9" hidden="1">{#N/A,#N/A,FALSE,"UNIT";#N/A,#N/A,FALSE,"UNIT";#N/A,#N/A,FALSE,"계정"}</definedName>
    <definedName name="저저" hidden="1">{#N/A,#N/A,FALSE,"UNIT";#N/A,#N/A,FALSE,"UNIT";#N/A,#N/A,FALSE,"계정"}</definedName>
    <definedName name="저저_1" localSheetId="10" hidden="1">{#N/A,#N/A,FALSE,"UNIT";#N/A,#N/A,FALSE,"UNIT";#N/A,#N/A,FALSE,"계정"}</definedName>
    <definedName name="저저_1" localSheetId="9" hidden="1">{#N/A,#N/A,FALSE,"UNIT";#N/A,#N/A,FALSE,"UNIT";#N/A,#N/A,FALSE,"계정"}</definedName>
    <definedName name="저저_1" hidden="1">{#N/A,#N/A,FALSE,"UNIT";#N/A,#N/A,FALSE,"UNIT";#N/A,#N/A,FALSE,"계정"}</definedName>
    <definedName name="전2" localSheetId="10" hidden="1">{#N/A,#N/A,FALSE,"정공"}</definedName>
    <definedName name="전2" localSheetId="9" hidden="1">{#N/A,#N/A,FALSE,"정공"}</definedName>
    <definedName name="전2" hidden="1">{#N/A,#N/A,FALSE,"정공"}</definedName>
    <definedName name="전략" localSheetId="10" hidden="1">{"'Jibu9811 (3)'!$B$1:$J$433"}</definedName>
    <definedName name="전략" localSheetId="9" hidden="1">{"'Jibu9811 (3)'!$B$1:$J$433"}</definedName>
    <definedName name="전략" hidden="1">{"'Jibu9811 (3)'!$B$1:$J$433"}</definedName>
    <definedName name="전략2" localSheetId="10" hidden="1">{#N/A,#N/A,FALSE,"정공"}</definedName>
    <definedName name="전략2" localSheetId="9" hidden="1">{#N/A,#N/A,FALSE,"정공"}</definedName>
    <definedName name="전략2" hidden="1">{#N/A,#N/A,FALSE,"정공"}</definedName>
    <definedName name="전략투" localSheetId="10" hidden="1">{#N/A,#N/A,FALSE,"정공"}</definedName>
    <definedName name="전략투" localSheetId="9" hidden="1">{#N/A,#N/A,FALSE,"정공"}</definedName>
    <definedName name="전략투" hidden="1">{#N/A,#N/A,FALSE,"정공"}</definedName>
    <definedName name="전사교육계획" localSheetId="1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전사교육계획" localSheetId="9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전사교육계획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전사교육계획1" localSheetId="1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전사교육계획1" localSheetId="9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전사교육계획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전자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자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자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자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자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장설계" localSheetId="10" hidden="1">{#N/A,#N/A,FALSE,"불량현황";#N/A,#N/A,FALSE,"표면처리업체별";#N/A,#N/A,FALSE,"사양별";#N/A,#N/A,FALSE,"제작업체별";#N/A,#N/A,FALSE,"업체주소";#N/A,#N/A,FALSE,"장착부위";#N/A,#N/A,FALSE,"V-100표면현황 (2)"}</definedName>
    <definedName name="전장설계" localSheetId="9" hidden="1">{#N/A,#N/A,FALSE,"불량현황";#N/A,#N/A,FALSE,"표면처리업체별";#N/A,#N/A,FALSE,"사양별";#N/A,#N/A,FALSE,"제작업체별";#N/A,#N/A,FALSE,"업체주소";#N/A,#N/A,FALSE,"장착부위";#N/A,#N/A,FALSE,"V-100표면현황 (2)"}</definedName>
    <definedName name="전장설계" hidden="1">{#N/A,#N/A,FALSE,"불량현황";#N/A,#N/A,FALSE,"표면처리업체별";#N/A,#N/A,FALSE,"사양별";#N/A,#N/A,FALSE,"제작업체별";#N/A,#N/A,FALSE,"업체주소";#N/A,#N/A,FALSE,"장착부위";#N/A,#N/A,FALSE,"V-100표면현황 (2)"}</definedName>
    <definedName name="전주" localSheetId="10" hidden="1">{"'Jibu9811 (3)'!$B$1:$J$433"}</definedName>
    <definedName name="전주" localSheetId="9" hidden="1">{"'Jibu9811 (3)'!$B$1:$J$433"}</definedName>
    <definedName name="전주" hidden="1">{"'Jibu9811 (3)'!$B$1:$J$433"}</definedName>
    <definedName name="전주2" localSheetId="10" hidden="1">{"'Jibu9811 (3)'!$B$1:$J$433"}</definedName>
    <definedName name="전주2" localSheetId="9" hidden="1">{"'Jibu9811 (3)'!$B$1:$J$433"}</definedName>
    <definedName name="전주2" hidden="1">{"'Jibu9811 (3)'!$B$1:$J$433"}</definedName>
    <definedName name="전차종" localSheetId="10" hidden="1">{#N/A,#N/A,FALSE,"표지";#N/A,#N/A,FALSE,"전제";#N/A,#N/A,FALSE,"대당";#N/A,#N/A,FALSE,"가공비";#N/A,#N/A,FALSE,"재료비";#N/A,#N/A,FALSE,"손익"}</definedName>
    <definedName name="전차종" localSheetId="9" hidden="1">{#N/A,#N/A,FALSE,"표지";#N/A,#N/A,FALSE,"전제";#N/A,#N/A,FALSE,"대당";#N/A,#N/A,FALSE,"가공비";#N/A,#N/A,FALSE,"재료비";#N/A,#N/A,FALSE,"손익"}</definedName>
    <definedName name="전차종" hidden="1">{#N/A,#N/A,FALSE,"표지";#N/A,#N/A,FALSE,"전제";#N/A,#N/A,FALSE,"대당";#N/A,#N/A,FALSE,"가공비";#N/A,#N/A,FALSE,"재료비";#N/A,#N/A,FALSE,"손익"}</definedName>
    <definedName name="전철" hidden="1">0</definedName>
    <definedName name="전화가입권" localSheetId="10" hidden="1">{#N/A,#N/A,FALSE,"정공"}</definedName>
    <definedName name="전화가입권" localSheetId="9" hidden="1">{#N/A,#N/A,FALSE,"정공"}</definedName>
    <definedName name="전화가입권" hidden="1">{#N/A,#N/A,FALSE,"정공"}</definedName>
    <definedName name="절" hidden="1">#REF!</definedName>
    <definedName name="정" localSheetId="10" hidden="1">{#N/A,#N/A,FALSE,"UNIT";#N/A,#N/A,FALSE,"UNIT";#N/A,#N/A,FALSE,"계정"}</definedName>
    <definedName name="정" localSheetId="9" hidden="1">{#N/A,#N/A,FALSE,"UNIT";#N/A,#N/A,FALSE,"UNIT";#N/A,#N/A,FALSE,"계정"}</definedName>
    <definedName name="정" hidden="1">{#N/A,#N/A,FALSE,"UNIT";#N/A,#N/A,FALSE,"UNIT";#N/A,#N/A,FALSE,"계정"}</definedName>
    <definedName name="정_1" localSheetId="10" hidden="1">{#N/A,#N/A,FALSE,"UNIT";#N/A,#N/A,FALSE,"UNIT";#N/A,#N/A,FALSE,"계정"}</definedName>
    <definedName name="정_1" localSheetId="9" hidden="1">{#N/A,#N/A,FALSE,"UNIT";#N/A,#N/A,FALSE,"UNIT";#N/A,#N/A,FALSE,"계정"}</definedName>
    <definedName name="정_1" hidden="1">{#N/A,#N/A,FALSE,"UNIT";#N/A,#N/A,FALSE,"UNIT";#N/A,#N/A,FALSE,"계정"}</definedName>
    <definedName name="정문" localSheetId="10" hidden="1">{#N/A,#N/A,FALSE,"UNIT";#N/A,#N/A,FALSE,"UNIT";#N/A,#N/A,FALSE,"계정"}</definedName>
    <definedName name="정문" localSheetId="9" hidden="1">{#N/A,#N/A,FALSE,"UNIT";#N/A,#N/A,FALSE,"UNIT";#N/A,#N/A,FALSE,"계정"}</definedName>
    <definedName name="정문" hidden="1">{#N/A,#N/A,FALSE,"UNIT";#N/A,#N/A,FALSE,"UNIT";#N/A,#N/A,FALSE,"계정"}</definedName>
    <definedName name="정문_1" localSheetId="10" hidden="1">{#N/A,#N/A,FALSE,"UNIT";#N/A,#N/A,FALSE,"UNIT";#N/A,#N/A,FALSE,"계정"}</definedName>
    <definedName name="정문_1" localSheetId="9" hidden="1">{#N/A,#N/A,FALSE,"UNIT";#N/A,#N/A,FALSE,"UNIT";#N/A,#N/A,FALSE,"계정"}</definedName>
    <definedName name="정문_1" hidden="1">{#N/A,#N/A,FALSE,"UNIT";#N/A,#N/A,FALSE,"UNIT";#N/A,#N/A,FALSE,"계정"}</definedName>
    <definedName name="정문식" localSheetId="10" hidden="1">{#N/A,#N/A,FALSE,"UNIT";#N/A,#N/A,FALSE,"UNIT";#N/A,#N/A,FALSE,"계정"}</definedName>
    <definedName name="정문식" localSheetId="9" hidden="1">{#N/A,#N/A,FALSE,"UNIT";#N/A,#N/A,FALSE,"UNIT";#N/A,#N/A,FALSE,"계정"}</definedName>
    <definedName name="정문식" hidden="1">{#N/A,#N/A,FALSE,"UNIT";#N/A,#N/A,FALSE,"UNIT";#N/A,#N/A,FALSE,"계정"}</definedName>
    <definedName name="정문식_1" localSheetId="10" hidden="1">{#N/A,#N/A,FALSE,"UNIT";#N/A,#N/A,FALSE,"UNIT";#N/A,#N/A,FALSE,"계정"}</definedName>
    <definedName name="정문식_1" localSheetId="9" hidden="1">{#N/A,#N/A,FALSE,"UNIT";#N/A,#N/A,FALSE,"UNIT";#N/A,#N/A,FALSE,"계정"}</definedName>
    <definedName name="정문식_1" hidden="1">{#N/A,#N/A,FALSE,"UNIT";#N/A,#N/A,FALSE,"UNIT";#N/A,#N/A,FALSE,"계정"}</definedName>
    <definedName name="정미아" localSheetId="10" hidden="1">{#N/A,#N/A,FALSE,"BS";#N/A,#N/A,FALSE,"PL";#N/A,#N/A,FALSE,"처분";#N/A,#N/A,FALSE,"현금";#N/A,#N/A,FALSE,"매출";#N/A,#N/A,FALSE,"원가";#N/A,#N/A,FALSE,"경영"}</definedName>
    <definedName name="정미아" localSheetId="9" hidden="1">{#N/A,#N/A,FALSE,"BS";#N/A,#N/A,FALSE,"PL";#N/A,#N/A,FALSE,"처분";#N/A,#N/A,FALSE,"현금";#N/A,#N/A,FALSE,"매출";#N/A,#N/A,FALSE,"원가";#N/A,#N/A,FALSE,"경영"}</definedName>
    <definedName name="정미아" hidden="1">{#N/A,#N/A,FALSE,"BS";#N/A,#N/A,FALSE,"PL";#N/A,#N/A,FALSE,"처분";#N/A,#N/A,FALSE,"현금";#N/A,#N/A,FALSE,"매출";#N/A,#N/A,FALSE,"원가";#N/A,#N/A,FALSE,"경영"}</definedName>
    <definedName name="정봉용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봉용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봉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봉용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봉용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봉용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비대수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확정" hidden="1">#REF!</definedName>
    <definedName name="정산표" localSheetId="10" hidden="1">{#N/A,#N/A,FALSE,"BS";#N/A,#N/A,FALSE,"PL";#N/A,#N/A,FALSE,"처분";#N/A,#N/A,FALSE,"현금";#N/A,#N/A,FALSE,"매출";#N/A,#N/A,FALSE,"원가";#N/A,#N/A,FALSE,"경영"}</definedName>
    <definedName name="정산표" localSheetId="9" hidden="1">{#N/A,#N/A,FALSE,"BS";#N/A,#N/A,FALSE,"PL";#N/A,#N/A,FALSE,"처분";#N/A,#N/A,FALSE,"현금";#N/A,#N/A,FALSE,"매출";#N/A,#N/A,FALSE,"원가";#N/A,#N/A,FALSE,"경영"}</definedName>
    <definedName name="정산표" hidden="1">{#N/A,#N/A,FALSE,"BS";#N/A,#N/A,FALSE,"PL";#N/A,#N/A,FALSE,"처분";#N/A,#N/A,FALSE,"현금";#N/A,#N/A,FALSE,"매출";#N/A,#N/A,FALSE,"원가";#N/A,#N/A,FALSE,"경영"}</definedName>
    <definedName name="정수용" localSheetId="10" hidden="1">{#N/A,#N/A,TRUE,"Y생산";#N/A,#N/A,TRUE,"Y판매";#N/A,#N/A,TRUE,"Y총물량";#N/A,#N/A,TRUE,"Y능력";#N/A,#N/A,TRUE,"YKD"}</definedName>
    <definedName name="정수용" localSheetId="9" hidden="1">{#N/A,#N/A,TRUE,"Y생산";#N/A,#N/A,TRUE,"Y판매";#N/A,#N/A,TRUE,"Y총물량";#N/A,#N/A,TRUE,"Y능력";#N/A,#N/A,TRUE,"YKD"}</definedName>
    <definedName name="정수용" hidden="1">{#N/A,#N/A,TRUE,"Y생산";#N/A,#N/A,TRUE,"Y판매";#N/A,#N/A,TRUE,"Y총물량";#N/A,#N/A,TRUE,"Y능력";#N/A,#N/A,TRUE,"YKD"}</definedName>
    <definedName name="정인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보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보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보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보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보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종" localSheetId="10" hidden="1">{"'Jibu9811 (3)'!$B$1:$J$433"}</definedName>
    <definedName name="정종" localSheetId="9" hidden="1">{"'Jibu9811 (3)'!$B$1:$J$433"}</definedName>
    <definedName name="정종" hidden="1">{"'Jibu9811 (3)'!$B$1:$J$433"}</definedName>
    <definedName name="정종구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종구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종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종구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종구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종구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1안" localSheetId="10" hidden="1">{#N/A,#N/A,TRUE,"매출진척-1";#N/A,#N/A,TRUE,"매출진척-2";#N/A,#N/A,TRUE,"제품실적";#N/A,#N/A,TRUE,"RAC";#N/A,#N/A,TRUE,"PAC ";#N/A,#N/A,TRUE,"재고현황";#N/A,#N/A,TRUE,"공지사항"}</definedName>
    <definedName name="제1안" localSheetId="9" hidden="1">{#N/A,#N/A,TRUE,"매출진척-1";#N/A,#N/A,TRUE,"매출진척-2";#N/A,#N/A,TRUE,"제품실적";#N/A,#N/A,TRUE,"RAC";#N/A,#N/A,TRUE,"PAC ";#N/A,#N/A,TRUE,"재고현황";#N/A,#N/A,TRUE,"공지사항"}</definedName>
    <definedName name="제1안" hidden="1">{#N/A,#N/A,TRUE,"매출진척-1";#N/A,#N/A,TRUE,"매출진척-2";#N/A,#N/A,TRUE,"제품실적";#N/A,#N/A,TRUE,"RAC";#N/A,#N/A,TRUE,"PAC ";#N/A,#N/A,TRUE,"재고현황";#N/A,#N/A,TRUE,"공지사항"}</definedName>
    <definedName name="제1안_1" localSheetId="10" hidden="1">{#N/A,#N/A,TRUE,"매출진척-1";#N/A,#N/A,TRUE,"매출진척-2";#N/A,#N/A,TRUE,"제품실적";#N/A,#N/A,TRUE,"RAC";#N/A,#N/A,TRUE,"PAC ";#N/A,#N/A,TRUE,"재고현황";#N/A,#N/A,TRUE,"공지사항"}</definedName>
    <definedName name="제1안_1" localSheetId="9" hidden="1">{#N/A,#N/A,TRUE,"매출진척-1";#N/A,#N/A,TRUE,"매출진척-2";#N/A,#N/A,TRUE,"제품실적";#N/A,#N/A,TRUE,"RAC";#N/A,#N/A,TRUE,"PAC ";#N/A,#N/A,TRUE,"재고현황";#N/A,#N/A,TRUE,"공지사항"}</definedName>
    <definedName name="제1안_1" hidden="1">{#N/A,#N/A,TRUE,"매출진척-1";#N/A,#N/A,TRUE,"매출진척-2";#N/A,#N/A,TRUE,"제품실적";#N/A,#N/A,TRUE,"RAC";#N/A,#N/A,TRUE,"PAC ";#N/A,#N/A,TRUE,"재고현황";#N/A,#N/A,TRUE,"공지사항"}</definedName>
    <definedName name="제품구성" localSheetId="10" hidden="1">{"'Jibu9811 (3)'!$B$1:$J$433"}</definedName>
    <definedName name="제품구성" localSheetId="9" hidden="1">{"'Jibu9811 (3)'!$B$1:$J$433"}</definedName>
    <definedName name="제품구성" hidden="1">{"'Jibu9811 (3)'!$B$1:$J$433"}</definedName>
    <definedName name="제품별사업전략" localSheetId="10" hidden="1">{#N/A,#N/A,FALSE,"UNIT";#N/A,#N/A,FALSE,"UNIT";#N/A,#N/A,FALSE,"계정"}</definedName>
    <definedName name="제품별사업전략" localSheetId="9" hidden="1">{#N/A,#N/A,FALSE,"UNIT";#N/A,#N/A,FALSE,"UNIT";#N/A,#N/A,FALSE,"계정"}</definedName>
    <definedName name="제품별사업전략" hidden="1">{#N/A,#N/A,FALSE,"UNIT";#N/A,#N/A,FALSE,"UNIT";#N/A,#N/A,FALSE,"계정"}</definedName>
    <definedName name="조립" localSheetId="10" hidden="1">{#N/A,#N/A,FALSE,"단축1";#N/A,#N/A,FALSE,"단축2";#N/A,#N/A,FALSE,"단축3";#N/A,#N/A,FALSE,"장축";#N/A,#N/A,FALSE,"4WD"}</definedName>
    <definedName name="조립" localSheetId="9" hidden="1">{#N/A,#N/A,FALSE,"단축1";#N/A,#N/A,FALSE,"단축2";#N/A,#N/A,FALSE,"단축3";#N/A,#N/A,FALSE,"장축";#N/A,#N/A,FALSE,"4WD"}</definedName>
    <definedName name="조립" hidden="1">{#N/A,#N/A,FALSE,"단축1";#N/A,#N/A,FALSE,"단축2";#N/A,#N/A,FALSE,"단축3";#N/A,#N/A,FALSE,"장축";#N/A,#N/A,FALSE,"4WD"}</definedName>
    <definedName name="조정" localSheetId="10" hidden="1">{"'Jibu9811 (3)'!$B$1:$J$433"}</definedName>
    <definedName name="조정" localSheetId="9" hidden="1">{"'Jibu9811 (3)'!$B$1:$J$433"}</definedName>
    <definedName name="조정" hidden="1">{"'Jibu9811 (3)'!$B$1:$J$433"}</definedName>
    <definedName name="조정후손익" localSheetId="10" hidden="1">{#N/A,#N/A,FALSE,"정공"}</definedName>
    <definedName name="조정후손익" localSheetId="9" hidden="1">{#N/A,#N/A,FALSE,"정공"}</definedName>
    <definedName name="조정후손익" hidden="1">{#N/A,#N/A,FALSE,"정공"}</definedName>
    <definedName name="조직1" localSheetId="10" hidden="1">{#N/A,#N/A,FALSE,"정공"}</definedName>
    <definedName name="조직1" localSheetId="9" hidden="1">{#N/A,#N/A,FALSE,"정공"}</definedName>
    <definedName name="조직1" hidden="1">{#N/A,#N/A,FALSE,"정공"}</definedName>
    <definedName name="조직3" localSheetId="10" hidden="1">{#N/A,#N/A,FALSE,"정공"}</definedName>
    <definedName name="조직3" localSheetId="9" hidden="1">{#N/A,#N/A,FALSE,"정공"}</definedName>
    <definedName name="조직3" hidden="1">{#N/A,#N/A,FALSE,"정공"}</definedName>
    <definedName name="조치" localSheetId="10" hidden="1">{#N/A,#N/A,FALSE,"단축1";#N/A,#N/A,FALSE,"단축2";#N/A,#N/A,FALSE,"단축3";#N/A,#N/A,FALSE,"장축";#N/A,#N/A,FALSE,"4WD"}</definedName>
    <definedName name="조치" localSheetId="9" hidden="1">{#N/A,#N/A,FALSE,"단축1";#N/A,#N/A,FALSE,"단축2";#N/A,#N/A,FALSE,"단축3";#N/A,#N/A,FALSE,"장축";#N/A,#N/A,FALSE,"4WD"}</definedName>
    <definedName name="조치" hidden="1">{#N/A,#N/A,FALSE,"단축1";#N/A,#N/A,FALSE,"단축2";#N/A,#N/A,FALSE,"단축3";#N/A,#N/A,FALSE,"장축";#N/A,#N/A,FALSE,"4WD"}</definedName>
    <definedName name="종합2" localSheetId="10" hidden="1">{#N/A,#N/A,FALSE,"정공"}</definedName>
    <definedName name="종합2" localSheetId="9" hidden="1">{#N/A,#N/A,FALSE,"정공"}</definedName>
    <definedName name="종합2" hidden="1">{#N/A,#N/A,FALSE,"정공"}</definedName>
    <definedName name="종합미래2" localSheetId="10" hidden="1">{#N/A,#N/A,FALSE,"정공"}</definedName>
    <definedName name="종합미래2" localSheetId="9" hidden="1">{#N/A,#N/A,FALSE,"정공"}</definedName>
    <definedName name="종합미래2" hidden="1">{#N/A,#N/A,FALSE,"정공"}</definedName>
    <definedName name="종합어음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어음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어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어음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어음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어음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요업무2" localSheetId="10" hidden="1">{#N/A,#N/A,TRUE,"Y생산";#N/A,#N/A,TRUE,"Y판매";#N/A,#N/A,TRUE,"Y총물량";#N/A,#N/A,TRUE,"Y능력";#N/A,#N/A,TRUE,"YKD"}</definedName>
    <definedName name="주요업무2" localSheetId="9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10" hidden="1">{#N/A,#N/A,TRUE,"Y생산";#N/A,#N/A,TRUE,"Y판매";#N/A,#N/A,TRUE,"Y총물량";#N/A,#N/A,TRUE,"Y능력";#N/A,#N/A,TRUE,"YKD"}</definedName>
    <definedName name="주요업무3" localSheetId="9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차계획" localSheetId="10" hidden="1">{#N/A,#N/A,FALSE,"UNIT";#N/A,#N/A,FALSE,"UNIT";#N/A,#N/A,FALSE,"계정"}</definedName>
    <definedName name="주차계획" localSheetId="9" hidden="1">{#N/A,#N/A,FALSE,"UNIT";#N/A,#N/A,FALSE,"UNIT";#N/A,#N/A,FALSE,"계정"}</definedName>
    <definedName name="주차계획" hidden="1">{#N/A,#N/A,FALSE,"UNIT";#N/A,#N/A,FALSE,"UNIT";#N/A,#N/A,FALSE,"계정"}</definedName>
    <definedName name="주차계획_1" localSheetId="10" hidden="1">{#N/A,#N/A,FALSE,"UNIT";#N/A,#N/A,FALSE,"UNIT";#N/A,#N/A,FALSE,"계정"}</definedName>
    <definedName name="주차계획_1" localSheetId="9" hidden="1">{#N/A,#N/A,FALSE,"UNIT";#N/A,#N/A,FALSE,"UNIT";#N/A,#N/A,FALSE,"계정"}</definedName>
    <definedName name="주차계획_1" hidden="1">{#N/A,#N/A,FALSE,"UNIT";#N/A,#N/A,FALSE,"UNIT";#N/A,#N/A,FALSE,"계정"}</definedName>
    <definedName name="준" localSheetId="10" hidden="1">{#N/A,#N/A,FALSE,"Aging Summary";#N/A,#N/A,FALSE,"Ratio Analysis";#N/A,#N/A,FALSE,"Test 120 Day Accts";#N/A,#N/A,FALSE,"Tickmarks"}</definedName>
    <definedName name="준" localSheetId="9" hidden="1">{#N/A,#N/A,FALSE,"Aging Summary";#N/A,#N/A,FALSE,"Ratio Analysis";#N/A,#N/A,FALSE,"Test 120 Day Accts";#N/A,#N/A,FALSE,"Tickmarks"}</definedName>
    <definedName name="준" hidden="1">{#N/A,#N/A,FALSE,"Aging Summary";#N/A,#N/A,FALSE,"Ratio Analysis";#N/A,#N/A,FALSE,"Test 120 Day Accts";#N/A,#N/A,FALSE,"Tickmarks"}</definedName>
    <definedName name="준_1" localSheetId="10" hidden="1">{#N/A,#N/A,FALSE,"Aging Summary";#N/A,#N/A,FALSE,"Ratio Analysis";#N/A,#N/A,FALSE,"Test 120 Day Accts";#N/A,#N/A,FALSE,"Tickmarks"}</definedName>
    <definedName name="준_1" localSheetId="9" hidden="1">{#N/A,#N/A,FALSE,"Aging Summary";#N/A,#N/A,FALSE,"Ratio Analysis";#N/A,#N/A,FALSE,"Test 120 Day Accts";#N/A,#N/A,FALSE,"Tickmarks"}</definedName>
    <definedName name="준_1" hidden="1">{#N/A,#N/A,FALSE,"Aging Summary";#N/A,#N/A,FALSE,"Ratio Analysis";#N/A,#N/A,FALSE,"Test 120 Day Accts";#N/A,#N/A,FALSE,"Tickmarks"}</definedName>
    <definedName name="중간요약" localSheetId="10" hidden="1">{#N/A,#N/A,FALSE,"BS";#N/A,#N/A,FALSE,"PL";#N/A,#N/A,FALSE,"처분";#N/A,#N/A,FALSE,"현금";#N/A,#N/A,FALSE,"매출";#N/A,#N/A,FALSE,"원가";#N/A,#N/A,FALSE,"경영"}</definedName>
    <definedName name="중간요약" localSheetId="9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기" localSheetId="10" hidden="1">{#N/A,#N/A,FALSE,"정공"}</definedName>
    <definedName name="중기" localSheetId="9" hidden="1">{#N/A,#N/A,FALSE,"정공"}</definedName>
    <definedName name="중기" hidden="1">{#N/A,#N/A,FALSE,"정공"}</definedName>
    <definedName name="중앙" localSheetId="10" hidden="1">{#N/A,#N/A,FALSE,"단축1";#N/A,#N/A,FALSE,"단축2";#N/A,#N/A,FALSE,"단축3";#N/A,#N/A,FALSE,"장축";#N/A,#N/A,FALSE,"4WD"}</definedName>
    <definedName name="중앙" localSheetId="9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중점추진" localSheetId="10" hidden="1">{#N/A,#N/A,TRUE,"일정"}</definedName>
    <definedName name="중점추진" localSheetId="9" hidden="1">{#N/A,#N/A,TRUE,"일정"}</definedName>
    <definedName name="중점추진" hidden="1">{#N/A,#N/A,TRUE,"일정"}</definedName>
    <definedName name="중표지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5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5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" localSheetId="10" hidden="1">{#N/A,#N/A,TRUE,"Y생산";#N/A,#N/A,TRUE,"Y판매";#N/A,#N/A,TRUE,"Y총물량";#N/A,#N/A,TRUE,"Y능력";#N/A,#N/A,TRUE,"YKD"}</definedName>
    <definedName name="지" localSheetId="9" hidden="1">{#N/A,#N/A,TRUE,"Y생산";#N/A,#N/A,TRUE,"Y판매";#N/A,#N/A,TRUE,"Y총물량";#N/A,#N/A,TRUE,"Y능력";#N/A,#N/A,TRUE,"YKD"}</definedName>
    <definedName name="지" hidden="1">{#N/A,#N/A,TRUE,"Y생산";#N/A,#N/A,TRUE,"Y판매";#N/A,#N/A,TRUE,"Y총물량";#N/A,#N/A,TRUE,"Y능력";#N/A,#N/A,TRUE,"YKD"}</definedName>
    <definedName name="지도" localSheetId="10" hidden="1">{"'Jibu9811 (3)'!$B$1:$J$433"}</definedName>
    <definedName name="지도" localSheetId="9" hidden="1">{"'Jibu9811 (3)'!$B$1:$J$433"}</definedName>
    <definedName name="지도" hidden="1">{"'Jibu9811 (3)'!$B$1:$J$433"}</definedName>
    <definedName name="지방1" localSheetId="10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지방1" localSheetId="9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지방1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지부실적" localSheetId="10" hidden="1">{"'Jibu9811 (3)'!$B$1:$J$433"}</definedName>
    <definedName name="지부실적" localSheetId="9" hidden="1">{"'Jibu9811 (3)'!$B$1:$J$433"}</definedName>
    <definedName name="지부실적" hidden="1">{"'Jibu9811 (3)'!$B$1:$J$433"}</definedName>
    <definedName name="지부와실적" localSheetId="10" hidden="1">{"'Jibu9811 (3)'!$B$1:$J$433"}</definedName>
    <definedName name="지부와실적" localSheetId="9" hidden="1">{"'Jibu9811 (3)'!$B$1:$J$433"}</definedName>
    <definedName name="지부와실적" hidden="1">{"'Jibu9811 (3)'!$B$1:$J$433"}</definedName>
    <definedName name="지점제시기준" localSheetId="10" hidden="1">{"'Jibu9811 (3)'!$B$1:$J$433"}</definedName>
    <definedName name="지점제시기준" localSheetId="9" hidden="1">{"'Jibu9811 (3)'!$B$1:$J$433"}</definedName>
    <definedName name="지점제시기준" hidden="1">{"'Jibu9811 (3)'!$B$1:$J$433"}</definedName>
    <definedName name="직급공정" hidden="1">#REF!</definedName>
    <definedName name="직매54P" localSheetId="10" hidden="1">{#N/A,#N/A,TRUE,"토적및재료집계";#N/A,#N/A,TRUE,"토적및재료집계";#N/A,#N/A,TRUE,"단위량"}</definedName>
    <definedName name="직매54P" localSheetId="9" hidden="1">{#N/A,#N/A,TRUE,"토적및재료집계";#N/A,#N/A,TRUE,"토적및재료집계";#N/A,#N/A,TRUE,"단위량"}</definedName>
    <definedName name="직매54P" hidden="1">{#N/A,#N/A,TRUE,"토적및재료집계";#N/A,#N/A,TRUE,"토적및재료집계";#N/A,#N/A,TRUE,"단위량"}</definedName>
    <definedName name="진" localSheetId="10" hidden="1">{#N/A,#N/A,FALSE,"UNIT";#N/A,#N/A,FALSE,"UNIT";#N/A,#N/A,FALSE,"계정"}</definedName>
    <definedName name="진" localSheetId="9" hidden="1">{#N/A,#N/A,FALSE,"UNIT";#N/A,#N/A,FALSE,"UNIT";#N/A,#N/A,FALSE,"계정"}</definedName>
    <definedName name="진" hidden="1">{#N/A,#N/A,FALSE,"UNIT";#N/A,#N/A,FALSE,"UNIT";#N/A,#N/A,FALSE,"계정"}</definedName>
    <definedName name="진단표" localSheetId="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진단표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진단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진자" localSheetId="10" hidden="1">{"'Jibu9811 (3)'!$B$1:$J$433"}</definedName>
    <definedName name="진자" localSheetId="9" hidden="1">{"'Jibu9811 (3)'!$B$1:$J$433"}</definedName>
    <definedName name="진자" hidden="1">{"'Jibu9811 (3)'!$B$1:$J$433"}</definedName>
    <definedName name="진짜" localSheetId="10" hidden="1">{"'Jibu9811 (3)'!$B$1:$J$433"}</definedName>
    <definedName name="진짜" localSheetId="9" hidden="1">{"'Jibu9811 (3)'!$B$1:$J$433"}</definedName>
    <definedName name="진짜" hidden="1">{"'Jibu9811 (3)'!$B$1:$J$433"}</definedName>
    <definedName name="진짜연습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연습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연습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연습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연습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집" hidden="1">#REF!</definedName>
    <definedName name="ㅊ" localSheetId="10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ㅊ" localSheetId="9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ㅊ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ㅊㅂㄷ" localSheetId="10" hidden="1">{#N/A,#N/A,FALSE,"기안지";#N/A,#N/A,FALSE,"통신지"}</definedName>
    <definedName name="ㅊㅂㄷ" localSheetId="9" hidden="1">{#N/A,#N/A,FALSE,"기안지";#N/A,#N/A,FALSE,"통신지"}</definedName>
    <definedName name="ㅊㅂㄷ" hidden="1">{#N/A,#N/A,FALSE,"기안지";#N/A,#N/A,FALSE,"통신지"}</definedName>
    <definedName name="ㅊㅇ" localSheetId="10" hidden="1">{#N/A,#N/A,FALSE,"기안지";#N/A,#N/A,FALSE,"통신지"}</definedName>
    <definedName name="ㅊㅇ" localSheetId="9" hidden="1">{#N/A,#N/A,FALSE,"기안지";#N/A,#N/A,FALSE,"통신지"}</definedName>
    <definedName name="ㅊㅇ" hidden="1">{#N/A,#N/A,FALSE,"기안지";#N/A,#N/A,FALSE,"통신지"}</definedName>
    <definedName name="ㅊㅊㅊㅊㅊ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ㅊㅊㅊㅊ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ㅊㅊㅊㅊ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." localSheetId="10" hidden="1">{#N/A,#N/A,FALSE,"UNIT";#N/A,#N/A,FALSE,"UNIT";#N/A,#N/A,FALSE,"계정"}</definedName>
    <definedName name="차." localSheetId="9" hidden="1">{#N/A,#N/A,FALSE,"UNIT";#N/A,#N/A,FALSE,"UNIT";#N/A,#N/A,FALSE,"계정"}</definedName>
    <definedName name="차." hidden="1">{#N/A,#N/A,FALSE,"UNIT";#N/A,#N/A,FALSE,"UNIT";#N/A,#N/A,FALSE,"계정"}</definedName>
    <definedName name="차._1" localSheetId="10" hidden="1">{#N/A,#N/A,FALSE,"UNIT";#N/A,#N/A,FALSE,"UNIT";#N/A,#N/A,FALSE,"계정"}</definedName>
    <definedName name="차._1" localSheetId="9" hidden="1">{#N/A,#N/A,FALSE,"UNIT";#N/A,#N/A,FALSE,"UNIT";#N/A,#N/A,FALSE,"계정"}</definedName>
    <definedName name="차._1" hidden="1">{#N/A,#N/A,FALSE,"UNIT";#N/A,#N/A,FALSE,"UNIT";#N/A,#N/A,FALSE,"계정"}</definedName>
    <definedName name="차댱" localSheetId="10" hidden="1">{#N/A,#N/A,FALSE,"기안지";#N/A,#N/A,FALSE,"통신지"}</definedName>
    <definedName name="차댱" localSheetId="9" hidden="1">{#N/A,#N/A,FALSE,"기안지";#N/A,#N/A,FALSE,"통신지"}</definedName>
    <definedName name="차댱" hidden="1">{#N/A,#N/A,FALSE,"기안지";#N/A,#N/A,FALSE,"통신지"}</definedName>
    <definedName name="차량SVC" localSheetId="10" hidden="1">{#N/A,#N/A,FALSE,"UNIT";#N/A,#N/A,FALSE,"UNIT";#N/A,#N/A,FALSE,"계정"}</definedName>
    <definedName name="차량SVC" localSheetId="9" hidden="1">{#N/A,#N/A,FALSE,"UNIT";#N/A,#N/A,FALSE,"UNIT";#N/A,#N/A,FALSE,"계정"}</definedName>
    <definedName name="차량SVC" hidden="1">{#N/A,#N/A,FALSE,"UNIT";#N/A,#N/A,FALSE,"UNIT";#N/A,#N/A,FALSE,"계정"}</definedName>
    <definedName name="차량SVC_1" localSheetId="10" hidden="1">{#N/A,#N/A,FALSE,"UNIT";#N/A,#N/A,FALSE,"UNIT";#N/A,#N/A,FALSE,"계정"}</definedName>
    <definedName name="차량SVC_1" localSheetId="9" hidden="1">{#N/A,#N/A,FALSE,"UNIT";#N/A,#N/A,FALSE,"UNIT";#N/A,#N/A,FALSE,"계정"}</definedName>
    <definedName name="차량SVC_1" hidden="1">{#N/A,#N/A,FALSE,"UNIT";#N/A,#N/A,FALSE,"UNIT";#N/A,#N/A,FALSE,"계정"}</definedName>
    <definedName name="차종별기본생산계획" localSheetId="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종별기본생산계획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종별기본생산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트" localSheetId="10" hidden="1">{#N/A,#N/A,FALSE,"정공"}</definedName>
    <definedName name="차트" localSheetId="9" hidden="1">{#N/A,#N/A,FALSE,"정공"}</definedName>
    <definedName name="차트" hidden="1">{#N/A,#N/A,FALSE,"정공"}</definedName>
    <definedName name="차ㅏㅈ" localSheetId="10" hidden="1">{#N/A,#N/A,FALSE,"기안지";#N/A,#N/A,FALSE,"통신지"}</definedName>
    <definedName name="차ㅏㅈ" localSheetId="9" hidden="1">{#N/A,#N/A,FALSE,"기안지";#N/A,#N/A,FALSE,"통신지"}</definedName>
    <definedName name="차ㅏㅈ" hidden="1">{#N/A,#N/A,FALSE,"기안지";#N/A,#N/A,FALSE,"통신지"}</definedName>
    <definedName name="차ㅏㅊ" localSheetId="10" hidden="1">{#N/A,#N/A,FALSE,"기안지";#N/A,#N/A,FALSE,"통신지"}</definedName>
    <definedName name="차ㅏㅊ" localSheetId="9" hidden="1">{#N/A,#N/A,FALSE,"기안지";#N/A,#N/A,FALSE,"통신지"}</definedName>
    <definedName name="차ㅏㅊ" hidden="1">{#N/A,#N/A,FALSE,"기안지";#N/A,#N/A,FALSE,"통신지"}</definedName>
    <definedName name="차ㅏㅓ허" localSheetId="10" hidden="1">{#N/A,#N/A,FALSE,"기안지";#N/A,#N/A,FALSE,"통신지"}</definedName>
    <definedName name="차ㅏㅓ허" localSheetId="9" hidden="1">{#N/A,#N/A,FALSE,"기안지";#N/A,#N/A,FALSE,"통신지"}</definedName>
    <definedName name="차ㅏㅓ허" hidden="1">{#N/A,#N/A,FALSE,"기안지";#N/A,#N/A,FALSE,"통신지"}</definedName>
    <definedName name="참고_1" localSheetId="10" hidden="1">{#N/A,#N/A,FALSE,"BS";#N/A,#N/A,FALSE,"PL";#N/A,#N/A,FALSE,"처분";#N/A,#N/A,FALSE,"현금";#N/A,#N/A,FALSE,"매출";#N/A,#N/A,FALSE,"원가";#N/A,#N/A,FALSE,"경영"}</definedName>
    <definedName name="참고_1" localSheetId="9" hidden="1">{#N/A,#N/A,FALSE,"BS";#N/A,#N/A,FALSE,"PL";#N/A,#N/A,FALSE,"처분";#N/A,#N/A,FALSE,"현금";#N/A,#N/A,FALSE,"매출";#N/A,#N/A,FALSE,"원가";#N/A,#N/A,FALSE,"경영"}</definedName>
    <definedName name="참고_1" hidden="1">{#N/A,#N/A,FALSE,"BS";#N/A,#N/A,FALSE,"PL";#N/A,#N/A,FALSE,"처분";#N/A,#N/A,FALSE,"현금";#N/A,#N/A,FALSE,"매출";#N/A,#N/A,FALSE,"원가";#N/A,#N/A,FALSE,"경영"}</definedName>
    <definedName name="챠뎌" localSheetId="10" hidden="1">{#N/A,#N/A,FALSE,"기안지";#N/A,#N/A,FALSE,"통신지"}</definedName>
    <definedName name="챠뎌" localSheetId="9" hidden="1">{#N/A,#N/A,FALSE,"기안지";#N/A,#N/A,FALSE,"통신지"}</definedName>
    <definedName name="챠뎌" hidden="1">{#N/A,#N/A,FALSE,"기안지";#N/A,#N/A,FALSE,"통신지"}</definedName>
    <definedName name="처" localSheetId="10" hidden="1">{#N/A,#N/A,FALSE,"기안지";#N/A,#N/A,FALSE,"통신지"}</definedName>
    <definedName name="처" localSheetId="9" hidden="1">{#N/A,#N/A,FALSE,"기안지";#N/A,#N/A,FALSE,"통신지"}</definedName>
    <definedName name="처" hidden="1">{#N/A,#N/A,FALSE,"기안지";#N/A,#N/A,FALSE,"통신지"}</definedName>
    <definedName name="처아아" localSheetId="10" hidden="1">{#N/A,#N/A,FALSE,"기안지";#N/A,#N/A,FALSE,"통신지"}</definedName>
    <definedName name="처아아" localSheetId="9" hidden="1">{#N/A,#N/A,FALSE,"기안지";#N/A,#N/A,FALSE,"통신지"}</definedName>
    <definedName name="처아아" hidden="1">{#N/A,#N/A,FALSE,"기안지";#N/A,#N/A,FALSE,"통신지"}</definedName>
    <definedName name="처장신규" localSheetId="10" hidden="1">{"'Jibu9811 (3)'!$B$1:$J$433"}</definedName>
    <definedName name="처장신규" localSheetId="9" hidden="1">{"'Jibu9811 (3)'!$B$1:$J$433"}</definedName>
    <definedName name="처장신규" hidden="1">{"'Jibu9811 (3)'!$B$1:$J$433"}</definedName>
    <definedName name="처ㅏㅐㄷㄱ" localSheetId="10" hidden="1">{#N/A,#N/A,FALSE,"기안지";#N/A,#N/A,FALSE,"통신지"}</definedName>
    <definedName name="처ㅏㅐㄷㄱ" localSheetId="9" hidden="1">{#N/A,#N/A,FALSE,"기안지";#N/A,#N/A,FALSE,"통신지"}</definedName>
    <definedName name="처ㅏㅐㄷㄱ" hidden="1">{#N/A,#N/A,FALSE,"기안지";#N/A,#N/A,FALSE,"통신지"}</definedName>
    <definedName name="처ㅑㄷㄱ" localSheetId="10" hidden="1">{#N/A,#N/A,FALSE,"기안지";#N/A,#N/A,FALSE,"통신지"}</definedName>
    <definedName name="처ㅑㄷㄱ" localSheetId="9" hidden="1">{#N/A,#N/A,FALSE,"기안지";#N/A,#N/A,FALSE,"통신지"}</definedName>
    <definedName name="처ㅑㄷㄱ" hidden="1">{#N/A,#N/A,FALSE,"기안지";#N/A,#N/A,FALSE,"통신지"}</definedName>
    <definedName name="처ㅓ" localSheetId="10" hidden="1">{#N/A,#N/A,FALSE,"기안지";#N/A,#N/A,FALSE,"통신지"}</definedName>
    <definedName name="처ㅓ" localSheetId="9" hidden="1">{#N/A,#N/A,FALSE,"기안지";#N/A,#N/A,FALSE,"통신지"}</definedName>
    <definedName name="처ㅓ" hidden="1">{#N/A,#N/A,FALSE,"기안지";#N/A,#N/A,FALSE,"통신지"}</definedName>
    <definedName name="처ㅓㅓㅇ" localSheetId="10" hidden="1">{#N/A,#N/A,FALSE,"기안지";#N/A,#N/A,FALSE,"통신지"}</definedName>
    <definedName name="처ㅓㅓㅇ" localSheetId="9" hidden="1">{#N/A,#N/A,FALSE,"기안지";#N/A,#N/A,FALSE,"통신지"}</definedName>
    <definedName name="처ㅓㅓㅇ" hidden="1">{#N/A,#N/A,FALSE,"기안지";#N/A,#N/A,FALSE,"통신지"}</definedName>
    <definedName name="철호" localSheetId="10" hidden="1">{"'Jibu9811 (3)'!$B$1:$J$433"}</definedName>
    <definedName name="철호" localSheetId="9" hidden="1">{"'Jibu9811 (3)'!$B$1:$J$433"}</definedName>
    <definedName name="철호" hidden="1">{"'Jibu9811 (3)'!$B$1:$J$433"}</definedName>
    <definedName name="첨부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첨부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첨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첫장" localSheetId="10" hidden="1">{"'용역비'!$A$4:$C$8"}</definedName>
    <definedName name="첫장" localSheetId="9" hidden="1">{"'용역비'!$A$4:$C$8"}</definedName>
    <definedName name="첫장" hidden="1">{"'용역비'!$A$4:$C$8"}</definedName>
    <definedName name="첫장1" localSheetId="10" hidden="1">{"'용역비'!$A$4:$C$8"}</definedName>
    <definedName name="첫장1" localSheetId="9" hidden="1">{"'용역비'!$A$4:$C$8"}</definedName>
    <definedName name="첫장1" hidden="1">{"'용역비'!$A$4:$C$8"}</definedName>
    <definedName name="총공" localSheetId="10" hidden="1">{#N/A,#N/A,FALSE,"운반시간"}</definedName>
    <definedName name="총공" localSheetId="9" hidden="1">{#N/A,#N/A,FALSE,"운반시간"}</definedName>
    <definedName name="총공" hidden="1">{#N/A,#N/A,FALSE,"운반시간"}</definedName>
    <definedName name="총괄_신세대" localSheetId="10" hidden="1">{#N/A,#N/A,FALSE,"정공"}</definedName>
    <definedName name="총괄_신세대" localSheetId="9" hidden="1">{#N/A,#N/A,FALSE,"정공"}</definedName>
    <definedName name="총괄_신세대" hidden="1">{#N/A,#N/A,FALSE,"정공"}</definedName>
    <definedName name="총괄표0" hidden="1">#REF!</definedName>
    <definedName name="총무" localSheetId="10" hidden="1">{#N/A,#N/A,FALSE,"P.C.B"}</definedName>
    <definedName name="총무" localSheetId="9" hidden="1">{#N/A,#N/A,FALSE,"P.C.B"}</definedName>
    <definedName name="총무" hidden="1">{#N/A,#N/A,FALSE,"P.C.B"}</definedName>
    <definedName name="최영" localSheetId="10" hidden="1">{#N/A,#N/A,FALSE,"정공"}</definedName>
    <definedName name="최영" localSheetId="9" hidden="1">{#N/A,#N/A,FALSE,"정공"}</definedName>
    <definedName name="최영" hidden="1">{#N/A,#N/A,FALSE,"정공"}</definedName>
    <definedName name="최종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임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임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임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임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임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입니다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입니다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입니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입니다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입니다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입니다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대차" localSheetId="10" hidden="1">{#N/A,#N/A,FALSE,"BS";#N/A,#N/A,FALSE,"PL";#N/A,#N/A,FALSE,"처분";#N/A,#N/A,FALSE,"현금";#N/A,#N/A,FALSE,"매출";#N/A,#N/A,FALSE,"원가";#N/A,#N/A,FALSE,"경영"}</definedName>
    <definedName name="추정대차" localSheetId="9" hidden="1">{#N/A,#N/A,FALSE,"BS";#N/A,#N/A,FALSE,"PL";#N/A,#N/A,FALSE,"처분";#N/A,#N/A,FALSE,"현금";#N/A,#N/A,FALSE,"매출";#N/A,#N/A,FALSE,"원가";#N/A,#N/A,FALSE,"경영"}</definedName>
    <definedName name="추정대차" hidden="1">{#N/A,#N/A,FALSE,"BS";#N/A,#N/A,FALSE,"PL";#N/A,#N/A,FALSE,"처분";#N/A,#N/A,FALSE,"현금";#N/A,#N/A,FALSE,"매출";#N/A,#N/A,FALSE,"원가";#N/A,#N/A,FALSE,"경영"}</definedName>
    <definedName name="추정대차_1" localSheetId="10" hidden="1">{#N/A,#N/A,FALSE,"BS";#N/A,#N/A,FALSE,"PL";#N/A,#N/A,FALSE,"처분";#N/A,#N/A,FALSE,"현금";#N/A,#N/A,FALSE,"매출";#N/A,#N/A,FALSE,"원가";#N/A,#N/A,FALSE,"경영"}</definedName>
    <definedName name="추정대차_1" localSheetId="9" hidden="1">{#N/A,#N/A,FALSE,"BS";#N/A,#N/A,FALSE,"PL";#N/A,#N/A,FALSE,"처분";#N/A,#N/A,FALSE,"현금";#N/A,#N/A,FALSE,"매출";#N/A,#N/A,FALSE,"원가";#N/A,#N/A,FALSE,"경영"}</definedName>
    <definedName name="추정대차_1" hidden="1">{#N/A,#N/A,FALSE,"BS";#N/A,#N/A,FALSE,"PL";#N/A,#N/A,FALSE,"처분";#N/A,#N/A,FALSE,"현금";#N/A,#N/A,FALSE,"매출";#N/A,#N/A,FALSE,"원가";#N/A,#N/A,FALSE,"경영"}</definedName>
    <definedName name="추정작성기준" hidden="1">#REF!</definedName>
    <definedName name="추진" localSheetId="10" hidden="1">{#N/A,#N/A,FALSE,"정공"}</definedName>
    <definedName name="추진" localSheetId="9" hidden="1">{#N/A,#N/A,FALSE,"정공"}</definedName>
    <definedName name="추진" hidden="1">{#N/A,#N/A,FALSE,"정공"}</definedName>
    <definedName name="추진방안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방안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전략" localSheetId="10" hidden="1">{#N/A,#N/A,FALSE,"정공"}</definedName>
    <definedName name="추진전략" localSheetId="9" hidden="1">{#N/A,#N/A,FALSE,"정공"}</definedName>
    <definedName name="추진전략" hidden="1">{#N/A,#N/A,FALSE,"정공"}</definedName>
    <definedName name="ㅋ" localSheetId="10" hidden="1">{#N/A,#N/A,FALSE,"UNIT";#N/A,#N/A,FALSE,"UNIT";#N/A,#N/A,FALSE,"계정"}</definedName>
    <definedName name="ㅋ" localSheetId="9" hidden="1">{#N/A,#N/A,FALSE,"UNIT";#N/A,#N/A,FALSE,"UNIT";#N/A,#N/A,FALSE,"계정"}</definedName>
    <definedName name="ㅋ" hidden="1">{#N/A,#N/A,FALSE,"UNIT";#N/A,#N/A,FALSE,"UNIT";#N/A,#N/A,FALSE,"계정"}</definedName>
    <definedName name="ㅋㅋ" localSheetId="10" hidden="1">{"'Jibu9811 (3)'!$B$1:$J$433"}</definedName>
    <definedName name="ㅋㅋ" localSheetId="9" hidden="1">{"'Jibu9811 (3)'!$B$1:$J$433"}</definedName>
    <definedName name="ㅋㅋ" hidden="1">{"'Jibu9811 (3)'!$B$1:$J$433"}</definedName>
    <definedName name="ㅋㅋㅋ" localSheetId="10" hidden="1">{"'Jibu9811 (3)'!$B$1:$J$433"}</definedName>
    <definedName name="ㅋㅋㅋ" localSheetId="9" hidden="1">{"'Jibu9811 (3)'!$B$1:$J$433"}</definedName>
    <definedName name="ㅋㅋㅋ" hidden="1">{"'Jibu9811 (3)'!$B$1:$J$433"}</definedName>
    <definedName name="ㅋㅍㅋㅍㅋㅍㅋㅌㅍㅎㅁㅎㅁㅎㅁㅎㅁㅎㅎㅁㅎ" hidden="1">#REF!</definedName>
    <definedName name="ㅋㅍㅌㅍㅋㅌㅍㅍㅌㅋㅍㅍㅋㅍㅋㅍㅍㅋ" hidden="1">#REF!</definedName>
    <definedName name="케이블간지" localSheetId="10" hidden="1">{#N/A,#N/A,TRUE,"토적및재료집계";#N/A,#N/A,TRUE,"토적및재료집계";#N/A,#N/A,TRUE,"단위량"}</definedName>
    <definedName name="케이블간지" localSheetId="9" hidden="1">{#N/A,#N/A,TRUE,"토적및재료집계";#N/A,#N/A,TRUE,"토적및재료집계";#N/A,#N/A,TRUE,"단위량"}</definedName>
    <definedName name="케이블간지" hidden="1">{#N/A,#N/A,TRUE,"토적및재료집계";#N/A,#N/A,TRUE,"토적및재료집계";#N/A,#N/A,TRUE,"단위량"}</definedName>
    <definedName name="키니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키니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키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키치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키치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키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" localSheetId="10" hidden="1">{#N/A,#N/A,FALSE,"UNIT";#N/A,#N/A,FALSE,"UNIT";#N/A,#N/A,FALSE,"계정"}</definedName>
    <definedName name="ㅌ" localSheetId="9" hidden="1">{#N/A,#N/A,FALSE,"UNIT";#N/A,#N/A,FALSE,"UNIT";#N/A,#N/A,FALSE,"계정"}</definedName>
    <definedName name="ㅌ" hidden="1">{#N/A,#N/A,FALSE,"UNIT";#N/A,#N/A,FALSE,"UNIT";#N/A,#N/A,FALSE,"계정"}</definedName>
    <definedName name="ㅌㄴㅇ" localSheetId="10" hidden="1">{#N/A,#N/A,FALSE,"단축1";#N/A,#N/A,FALSE,"단축2";#N/A,#N/A,FALSE,"단축3";#N/A,#N/A,FALSE,"장축";#N/A,#N/A,FALSE,"4WD"}</definedName>
    <definedName name="ㅌㄴㅇ" localSheetId="9" hidden="1">{#N/A,#N/A,FALSE,"단축1";#N/A,#N/A,FALSE,"단축2";#N/A,#N/A,FALSE,"단축3";#N/A,#N/A,FALSE,"장축";#N/A,#N/A,FALSE,"4WD"}</definedName>
    <definedName name="ㅌㄴㅇ" hidden="1">{#N/A,#N/A,FALSE,"단축1";#N/A,#N/A,FALSE,"단축2";#N/A,#N/A,FALSE,"단축3";#N/A,#N/A,FALSE,"장축";#N/A,#N/A,FALSE,"4WD"}</definedName>
    <definedName name="ㅌㅌㅌ" localSheetId="10" hidden="1">{#N/A,#N/A,TRUE,"일정"}</definedName>
    <definedName name="ㅌㅌㅌ" localSheetId="9" hidden="1">{#N/A,#N/A,TRUE,"일정"}</definedName>
    <definedName name="ㅌㅌㅌ" hidden="1">{#N/A,#N/A,TRUE,"일정"}</definedName>
    <definedName name="타" localSheetId="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타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타디" localSheetId="1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타디" localSheetId="9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타디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터널" localSheetId="10" hidden="1">{#N/A,#N/A,FALSE,"부대1"}</definedName>
    <definedName name="터널" localSheetId="9" hidden="1">{#N/A,#N/A,FALSE,"부대1"}</definedName>
    <definedName name="터널" hidden="1">{#N/A,#N/A,FALSE,"부대1"}</definedName>
    <definedName name="토목공사" localSheetId="10" hidden="1">{#N/A,#N/A,FALSE,"이태원철근"}</definedName>
    <definedName name="토목공사" localSheetId="9" hidden="1">{#N/A,#N/A,FALSE,"이태원철근"}</definedName>
    <definedName name="토목공사" hidden="1">{#N/A,#N/A,FALSE,"이태원철근"}</definedName>
    <definedName name="토목공사강릉" hidden="1">#REF!</definedName>
    <definedName name="토목설계" localSheetId="10" hidden="1">{#N/A,#N/A,FALSE,"골재소요량";#N/A,#N/A,FALSE,"골재소요량"}</definedName>
    <definedName name="토목설계" localSheetId="9" hidden="1">{#N/A,#N/A,FALSE,"골재소요량";#N/A,#N/A,FALSE,"골재소요량"}</definedName>
    <definedName name="토목설계" hidden="1">{#N/A,#N/A,FALSE,"골재소요량";#N/A,#N/A,FALSE,"골재소요량"}</definedName>
    <definedName name="토목실견적" localSheetId="10" hidden="1">{#N/A,#N/A,FALSE,"이태원철근"}</definedName>
    <definedName name="토목실견적" localSheetId="9" hidden="1">{#N/A,#N/A,FALSE,"이태원철근"}</definedName>
    <definedName name="토목실견적" hidden="1">{#N/A,#N/A,FALSE,"이태원철근"}</definedName>
    <definedName name="토용임" localSheetId="10" hidden="1">{"'Jibu9811 (3)'!$B$1:$J$433"}</definedName>
    <definedName name="토용임" localSheetId="9" hidden="1">{"'Jibu9811 (3)'!$B$1:$J$433"}</definedName>
    <definedName name="토용임" hidden="1">{"'Jibu9811 (3)'!$B$1:$J$433"}</definedName>
    <definedName name="통합" localSheetId="10" hidden="1">{"'Jibu9811 (3)'!$B$1:$J$433"}</definedName>
    <definedName name="통합" localSheetId="9" hidden="1">{"'Jibu9811 (3)'!$B$1:$J$433"}</definedName>
    <definedName name="통합" hidden="1">{"'Jibu9811 (3)'!$B$1:$J$433"}</definedName>
    <definedName name="투자" localSheetId="10" hidden="1">{#N/A,#N/A,FALSE,"삼진정공";#N/A,#N/A,FALSE,"영신금속";#N/A,#N/A,FALSE,"태양금속";#N/A,#N/A,FALSE,"진합정공";#N/A,#N/A,FALSE,"코리아";#N/A,#N/A,FALSE,"풍강금속";#N/A,#N/A,FALSE,"선일기계"}</definedName>
    <definedName name="투자" localSheetId="9" hidden="1">{#N/A,#N/A,FALSE,"삼진정공";#N/A,#N/A,FALSE,"영신금속";#N/A,#N/A,FALSE,"태양금속";#N/A,#N/A,FALSE,"진합정공";#N/A,#N/A,FALSE,"코리아";#N/A,#N/A,FALSE,"풍강금속";#N/A,#N/A,FALSE,"선일기계"}</definedName>
    <definedName name="투자" hidden="1">{#N/A,#N/A,FALSE,"삼진정공";#N/A,#N/A,FALSE,"영신금속";#N/A,#N/A,FALSE,"태양금속";#N/A,#N/A,FALSE,"진합정공";#N/A,#N/A,FALSE,"코리아";#N/A,#N/A,FALSE,"풍강금속";#N/A,#N/A,FALSE,"선일기계"}</definedName>
    <definedName name="투자CONC.182억" localSheetId="10" hidden="1">{#N/A,#N/A,FALSE,"단축1";#N/A,#N/A,FALSE,"단축2";#N/A,#N/A,FALSE,"단축3";#N/A,#N/A,FALSE,"장축";#N/A,#N/A,FALSE,"4WD"}</definedName>
    <definedName name="투자CONC.182억" localSheetId="9" hidden="1">{#N/A,#N/A,FALSE,"단축1";#N/A,#N/A,FALSE,"단축2";#N/A,#N/A,FALSE,"단축3";#N/A,#N/A,FALSE,"장축";#N/A,#N/A,FALSE,"4WD"}</definedName>
    <definedName name="투자CONC.182억" hidden="1">{#N/A,#N/A,FALSE,"단축1";#N/A,#N/A,FALSE,"단축2";#N/A,#N/A,FALSE,"단축3";#N/A,#N/A,FALSE,"장축";#N/A,#N/A,FALSE,"4WD"}</definedName>
    <definedName name="투자TOT" localSheetId="10" hidden="1">{#N/A,#N/A,FALSE,"Aging Summary";#N/A,#N/A,FALSE,"Ratio Analysis";#N/A,#N/A,FALSE,"Test 120 Day Accts";#N/A,#N/A,FALSE,"Tickmarks"}</definedName>
    <definedName name="투자TOT" localSheetId="9" hidden="1">{#N/A,#N/A,FALSE,"Aging Summary";#N/A,#N/A,FALSE,"Ratio Analysis";#N/A,#N/A,FALSE,"Test 120 Day Accts";#N/A,#N/A,FALSE,"Tickmarks"}</definedName>
    <definedName name="투자TOT" hidden="1">{#N/A,#N/A,FALSE,"Aging Summary";#N/A,#N/A,FALSE,"Ratio Analysis";#N/A,#N/A,FALSE,"Test 120 Day Accts";#N/A,#N/A,FALSE,"Tickmarks"}</definedName>
    <definedName name="투자계획1" localSheetId="10" hidden="1">{#N/A,#N/A,FALSE,"UNIT";#N/A,#N/A,FALSE,"UNIT";#N/A,#N/A,FALSE,"계정"}</definedName>
    <definedName name="투자계획1" localSheetId="9" hidden="1">{#N/A,#N/A,FALSE,"UNIT";#N/A,#N/A,FALSE,"UNIT";#N/A,#N/A,FALSE,"계정"}</definedName>
    <definedName name="투자계획1" hidden="1">{#N/A,#N/A,FALSE,"UNIT";#N/A,#N/A,FALSE,"UNIT";#N/A,#N/A,FALSE,"계정"}</definedName>
    <definedName name="투자비비교" localSheetId="10" hidden="1">{#N/A,#N/A,FALSE,"단축1";#N/A,#N/A,FALSE,"단축2";#N/A,#N/A,FALSE,"단축3";#N/A,#N/A,FALSE,"장축";#N/A,#N/A,FALSE,"4WD"}</definedName>
    <definedName name="투자비비교" localSheetId="9" hidden="1">{#N/A,#N/A,FALSE,"단축1";#N/A,#N/A,FALSE,"단축2";#N/A,#N/A,FALSE,"단축3";#N/A,#N/A,FALSE,"장축";#N/A,#N/A,FALSE,"4WD"}</definedName>
    <definedName name="투자비비교" hidden="1">{#N/A,#N/A,FALSE,"단축1";#N/A,#N/A,FALSE,"단축2";#N/A,#N/A,FALSE,"단축3";#N/A,#N/A,FALSE,"장축";#N/A,#N/A,FALSE,"4WD"}</definedName>
    <definedName name="특근" localSheetId="10" hidden="1">{#N/A,#N/A,FALSE,"단축1";#N/A,#N/A,FALSE,"단축2";#N/A,#N/A,FALSE,"단축3";#N/A,#N/A,FALSE,"장축";#N/A,#N/A,FALSE,"4WD"}</definedName>
    <definedName name="특근" localSheetId="9" hidden="1">{#N/A,#N/A,FALSE,"단축1";#N/A,#N/A,FALSE,"단축2";#N/A,#N/A,FALSE,"단축3";#N/A,#N/A,FALSE,"장축";#N/A,#N/A,FALSE,"4WD"}</definedName>
    <definedName name="특근" hidden="1">{#N/A,#N/A,FALSE,"단축1";#N/A,#N/A,FALSE,"단축2";#N/A,#N/A,FALSE,"단축3";#N/A,#N/A,FALSE,"장축";#N/A,#N/A,FALSE,"4WD"}</definedName>
    <definedName name="팀목표" localSheetId="1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팀목표" localSheetId="9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팀목표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팀목표6" localSheetId="1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팀목표6" localSheetId="9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팀목표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팀별계획" localSheetId="10" hidden="1">{#N/A,#N/A,FALSE,"UNIT";#N/A,#N/A,FALSE,"UNIT";#N/A,#N/A,FALSE,"계정"}</definedName>
    <definedName name="팀별계획" localSheetId="9" hidden="1">{#N/A,#N/A,FALSE,"UNIT";#N/A,#N/A,FALSE,"UNIT";#N/A,#N/A,FALSE,"계정"}</definedName>
    <definedName name="팀별계획" hidden="1">{#N/A,#N/A,FALSE,"UNIT";#N/A,#N/A,FALSE,"UNIT";#N/A,#N/A,FALSE,"계정"}</definedName>
    <definedName name="팀별계획_1" localSheetId="10" hidden="1">{#N/A,#N/A,FALSE,"UNIT";#N/A,#N/A,FALSE,"UNIT";#N/A,#N/A,FALSE,"계정"}</definedName>
    <definedName name="팀별계획_1" localSheetId="9" hidden="1">{#N/A,#N/A,FALSE,"UNIT";#N/A,#N/A,FALSE,"UNIT";#N/A,#N/A,FALSE,"계정"}</definedName>
    <definedName name="팀별계획_1" hidden="1">{#N/A,#N/A,FALSE,"UNIT";#N/A,#N/A,FALSE,"UNIT";#N/A,#N/A,FALSE,"계정"}</definedName>
    <definedName name="팀에분석" localSheetId="10" hidden="1">{"'Jibu9811 (3)'!$B$1:$J$433"}</definedName>
    <definedName name="팀에분석" localSheetId="9" hidden="1">{"'Jibu9811 (3)'!$B$1:$J$433"}</definedName>
    <definedName name="팀에분석" hidden="1">{"'Jibu9811 (3)'!$B$1:$J$433"}</definedName>
    <definedName name="팀장" localSheetId="10" hidden="1">{"'Jibu9811 (3)'!$B$1:$J$433"}</definedName>
    <definedName name="팀장" localSheetId="9" hidden="1">{"'Jibu9811 (3)'!$B$1:$J$433"}</definedName>
    <definedName name="팀장" hidden="1">{"'Jibu9811 (3)'!$B$1:$J$433"}</definedName>
    <definedName name="ㅍ" localSheetId="10" hidden="1">{#N/A,#N/A,FALSE,"UNIT";#N/A,#N/A,FALSE,"UNIT";#N/A,#N/A,FALSE,"계정"}</definedName>
    <definedName name="ㅍ" localSheetId="9" hidden="1">{#N/A,#N/A,FALSE,"UNIT";#N/A,#N/A,FALSE,"UNIT";#N/A,#N/A,FALSE,"계정"}</definedName>
    <definedName name="ㅍ" hidden="1">{#N/A,#N/A,FALSE,"UNIT";#N/A,#N/A,FALSE,"UNIT";#N/A,#N/A,FALSE,"계정"}</definedName>
    <definedName name="ㅍ르ㅜ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ㅍ르ㅜ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ㅍ르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ㅍㅍ" localSheetId="10" hidden="1">{#N/A,#N/A,TRUE,"토적및재료집계";#N/A,#N/A,TRUE,"토적및재료집계";#N/A,#N/A,TRUE,"단위량"}</definedName>
    <definedName name="ㅍㅍ" localSheetId="9" hidden="1">{#N/A,#N/A,TRUE,"토적및재료집계";#N/A,#N/A,TRUE,"토적및재료집계";#N/A,#N/A,TRUE,"단위량"}</definedName>
    <definedName name="ㅍㅍ" hidden="1">{#N/A,#N/A,TRUE,"토적및재료집계";#N/A,#N/A,TRUE,"토적및재료집계";#N/A,#N/A,TRUE,"단위량"}</definedName>
    <definedName name="ㅍㅍㅍㅍ" localSheetId="10" hidden="1">{#N/A,#N/A,FALSE,"UNIT";#N/A,#N/A,FALSE,"UNIT";#N/A,#N/A,FALSE,"계정"}</definedName>
    <definedName name="ㅍㅍㅍㅍ" localSheetId="9" hidden="1">{#N/A,#N/A,FALSE,"UNIT";#N/A,#N/A,FALSE,"UNIT";#N/A,#N/A,FALSE,"계정"}</definedName>
    <definedName name="ㅍㅍㅍㅍ" hidden="1">{#N/A,#N/A,FALSE,"UNIT";#N/A,#N/A,FALSE,"UNIT";#N/A,#N/A,FALSE,"계정"}</definedName>
    <definedName name="ㅍㅎㄴㄷㅇㅎㄽㄴㄷㅎ" localSheetId="10" hidden="1">{"'Jibu9811 (3)'!$B$1:$J$433"}</definedName>
    <definedName name="ㅍㅎㄴㄷㅇㅎㄽㄴㄷㅎ" localSheetId="9" hidden="1">{"'Jibu9811 (3)'!$B$1:$J$433"}</definedName>
    <definedName name="ㅍㅎㄴㄷㅇㅎㄽㄴㄷㅎ" hidden="1">{"'Jibu9811 (3)'!$B$1:$J$433"}</definedName>
    <definedName name="파일산출3" hidden="1">#REF!</definedName>
    <definedName name="파해가호" localSheetId="10" hidden="1">{#N/A,#N/A,FALSE,"포장1";#N/A,#N/A,FALSE,"포장1"}</definedName>
    <definedName name="파해가호" localSheetId="9" hidden="1">{#N/A,#N/A,FALSE,"포장1";#N/A,#N/A,FALSE,"포장1"}</definedName>
    <definedName name="파해가호" hidden="1">{#N/A,#N/A,FALSE,"포장1";#N/A,#N/A,FALSE,"포장1"}</definedName>
    <definedName name="판교사업" hidden="1">#REF!</definedName>
    <definedName name="판도라상자" localSheetId="10" hidden="1">{#N/A,#N/A,FALSE,"정공"}</definedName>
    <definedName name="판도라상자" localSheetId="9" hidden="1">{#N/A,#N/A,FALSE,"정공"}</definedName>
    <definedName name="판도라상자" hidden="1">{#N/A,#N/A,FALSE,"정공"}</definedName>
    <definedName name="판매보증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촉지원적립금" localSheetId="10" hidden="1">{#N/A,#N/A,TRUE,"매출진척-1";#N/A,#N/A,TRUE,"매출진척-2";#N/A,#N/A,TRUE,"제품실적";#N/A,#N/A,TRUE,"RAC";#N/A,#N/A,TRUE,"PAC ";#N/A,#N/A,TRUE,"재고현황";#N/A,#N/A,TRUE,"공지사항"}</definedName>
    <definedName name="판촉지원적립금" localSheetId="9" hidden="1">{#N/A,#N/A,TRUE,"매출진척-1";#N/A,#N/A,TRUE,"매출진척-2";#N/A,#N/A,TRUE,"제품실적";#N/A,#N/A,TRUE,"RAC";#N/A,#N/A,TRUE,"PAC ";#N/A,#N/A,TRUE,"재고현황";#N/A,#N/A,TRUE,"공지사항"}</definedName>
    <definedName name="판촉지원적립금" hidden="1">{#N/A,#N/A,TRUE,"매출진척-1";#N/A,#N/A,TRUE,"매출진척-2";#N/A,#N/A,TRUE,"제품실적";#N/A,#N/A,TRUE,"RAC";#N/A,#N/A,TRUE,"PAC ";#N/A,#N/A,TRUE,"재고현황";#N/A,#N/A,TRUE,"공지사항"}</definedName>
    <definedName name="판촉지원적립금_1" localSheetId="10" hidden="1">{#N/A,#N/A,TRUE,"매출진척-1";#N/A,#N/A,TRUE,"매출진척-2";#N/A,#N/A,TRUE,"제품실적";#N/A,#N/A,TRUE,"RAC";#N/A,#N/A,TRUE,"PAC ";#N/A,#N/A,TRUE,"재고현황";#N/A,#N/A,TRUE,"공지사항"}</definedName>
    <definedName name="판촉지원적립금_1" localSheetId="9" hidden="1">{#N/A,#N/A,TRUE,"매출진척-1";#N/A,#N/A,TRUE,"매출진척-2";#N/A,#N/A,TRUE,"제품실적";#N/A,#N/A,TRUE,"RAC";#N/A,#N/A,TRUE,"PAC ";#N/A,#N/A,TRUE,"재고현황";#N/A,#N/A,TRUE,"공지사항"}</definedName>
    <definedName name="판촉지원적립금_1" hidden="1">{#N/A,#N/A,TRUE,"매출진척-1";#N/A,#N/A,TRUE,"매출진척-2";#N/A,#N/A,TRUE,"제품실적";#N/A,#N/A,TRUE,"RAC";#N/A,#N/A,TRUE,"PAC ";#N/A,#N/A,TRUE,"재고현황";#N/A,#N/A,TRUE,"공지사항"}</definedName>
    <definedName name="팔레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팔레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팔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팔레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팔레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팔레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퍼ㅏㅂ" localSheetId="10" hidden="1">{#N/A,#N/A,FALSE,"기안지";#N/A,#N/A,FALSE,"통신지"}</definedName>
    <definedName name="퍼ㅏㅂ" localSheetId="9" hidden="1">{#N/A,#N/A,FALSE,"기안지";#N/A,#N/A,FALSE,"통신지"}</definedName>
    <definedName name="퍼ㅏㅂ" hidden="1">{#N/A,#N/A,FALSE,"기안지";#N/A,#N/A,FALSE,"통신지"}</definedName>
    <definedName name="퍼ㅓㅇ" localSheetId="10" hidden="1">{#N/A,#N/A,FALSE,"기안지";#N/A,#N/A,FALSE,"통신지"}</definedName>
    <definedName name="퍼ㅓㅇ" localSheetId="9" hidden="1">{#N/A,#N/A,FALSE,"기안지";#N/A,#N/A,FALSE,"통신지"}</definedName>
    <definedName name="퍼ㅓㅇ" hidden="1">{#N/A,#N/A,FALSE,"기안지";#N/A,#N/A,FALSE,"통신지"}</definedName>
    <definedName name="평가종합" localSheetId="10" hidden="1">{#N/A,#N/A,FALSE,"단축1";#N/A,#N/A,FALSE,"단축2";#N/A,#N/A,FALSE,"단축3";#N/A,#N/A,FALSE,"장축";#N/A,#N/A,FALSE,"4WD"}</definedName>
    <definedName name="평가종합" localSheetId="9" hidden="1">{#N/A,#N/A,FALSE,"단축1";#N/A,#N/A,FALSE,"단축2";#N/A,#N/A,FALSE,"단축3";#N/A,#N/A,FALSE,"장축";#N/A,#N/A,FALSE,"4WD"}</definedName>
    <definedName name="평가종합" hidden="1">{#N/A,#N/A,FALSE,"단축1";#N/A,#N/A,FALSE,"단축2";#N/A,#N/A,FALSE,"단축3";#N/A,#N/A,FALSE,"장축";#N/A,#N/A,FALSE,"4WD"}</definedName>
    <definedName name="평균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평균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평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_2" localSheetId="10" hidden="1">{#N/A,#N/A,FALSE,"P.C.B"}</definedName>
    <definedName name="표_2" localSheetId="9" hidden="1">{#N/A,#N/A,FALSE,"P.C.B"}</definedName>
    <definedName name="표_2" hidden="1">{#N/A,#N/A,FALSE,"P.C.B"}</definedName>
    <definedName name="표1" localSheetId="10" hidden="1">{#N/A,#N/A,FALSE,"P.C.B"}</definedName>
    <definedName name="표1" localSheetId="9" hidden="1">{#N/A,#N/A,FALSE,"P.C.B"}</definedName>
    <definedName name="표1" hidden="1">{#N/A,#N/A,FALSE,"P.C.B"}</definedName>
    <definedName name="표지2" hidden="1">#REF!</definedName>
    <definedName name="표표표" localSheetId="10" hidden="1">{#N/A,#N/A,FALSE,"P.C.B"}</definedName>
    <definedName name="표표표" localSheetId="9" hidden="1">{#N/A,#N/A,FALSE,"P.C.B"}</definedName>
    <definedName name="표표표" hidden="1">{#N/A,#N/A,FALSE,"P.C.B"}</definedName>
    <definedName name="품" localSheetId="10" hidden="1">{#N/A,#N/A,TRUE,"Y생산";#N/A,#N/A,TRUE,"Y판매";#N/A,#N/A,TRUE,"Y총물량";#N/A,#N/A,TRUE,"Y능력";#N/A,#N/A,TRUE,"YKD"}</definedName>
    <definedName name="품" localSheetId="9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풍납동" hidden="1">#REF!</definedName>
    <definedName name="풍납동아파트" hidden="1">#REF!</definedName>
    <definedName name="퓾ㄴ" localSheetId="10" hidden="1">{#N/A,#N/A,FALSE,"기안지";#N/A,#N/A,FALSE,"통신지"}</definedName>
    <definedName name="퓾ㄴ" localSheetId="9" hidden="1">{#N/A,#N/A,FALSE,"기안지";#N/A,#N/A,FALSE,"통신지"}</definedName>
    <definedName name="퓾ㄴ" hidden="1">{#N/A,#N/A,FALSE,"기안지";#N/A,#N/A,FALSE,"통신지"}</definedName>
    <definedName name="프로내용_4월" hidden="1">#REF!</definedName>
    <definedName name="플러스" localSheetId="1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플러스" localSheetId="9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플러스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피로티" localSheetId="10" hidden="1">{#N/A,#N/A,FALSE,"이태원철근"}</definedName>
    <definedName name="피로티" localSheetId="9" hidden="1">{#N/A,#N/A,FALSE,"이태원철근"}</definedName>
    <definedName name="피로티" hidden="1">{#N/A,#N/A,FALSE,"이태원철근"}</definedName>
    <definedName name="피로티1" localSheetId="10" hidden="1">{#N/A,#N/A,FALSE,"이태원철근"}</definedName>
    <definedName name="피로티1" localSheetId="9" hidden="1">{#N/A,#N/A,FALSE,"이태원철근"}</definedName>
    <definedName name="피로티1" hidden="1">{#N/A,#N/A,FALSE,"이태원철근"}</definedName>
    <definedName name="ㅎ" localSheetId="10" hidden="1">{#N/A,#N/A,FALSE,"기안지";#N/A,#N/A,FALSE,"통신지"}</definedName>
    <definedName name="ㅎ" localSheetId="9" hidden="1">{#N/A,#N/A,FALSE,"기안지";#N/A,#N/A,FALSE,"통신지"}</definedName>
    <definedName name="ㅎ" hidden="1">{#N/A,#N/A,FALSE,"기안지";#N/A,#N/A,FALSE,"통신지"}</definedName>
    <definedName name="ㅎ5ㄱㅎ" localSheetId="10" hidden="1">{"'Jibu9811 (3)'!$B$1:$J$433"}</definedName>
    <definedName name="ㅎ5ㄱㅎ" localSheetId="9" hidden="1">{"'Jibu9811 (3)'!$B$1:$J$433"}</definedName>
    <definedName name="ㅎ5ㄱㅎ" hidden="1">{"'Jibu9811 (3)'!$B$1:$J$433"}</definedName>
    <definedName name="ㅎㄱㄱ" localSheetId="10" hidden="1">{"'Jibu9811 (3)'!$B$1:$J$433"}</definedName>
    <definedName name="ㅎㄱㄱ" localSheetId="9" hidden="1">{"'Jibu9811 (3)'!$B$1:$J$433"}</definedName>
    <definedName name="ㅎㄱㄱ" hidden="1">{"'Jibu9811 (3)'!$B$1:$J$433"}</definedName>
    <definedName name="ㅎㄱㄱㄱ" localSheetId="10" hidden="1">{"'Jibu9811 (3)'!$B$1:$J$433"}</definedName>
    <definedName name="ㅎㄱㄱㄱ" localSheetId="9" hidden="1">{"'Jibu9811 (3)'!$B$1:$J$433"}</definedName>
    <definedName name="ㅎㄱㄱㄱ" hidden="1">{"'Jibu9811 (3)'!$B$1:$J$433"}</definedName>
    <definedName name="ㅎㄴ" localSheetId="10" hidden="1">{"'Jibu9811 (3)'!$B$1:$J$433"}</definedName>
    <definedName name="ㅎㄴ" localSheetId="9" hidden="1">{"'Jibu9811 (3)'!$B$1:$J$433"}</definedName>
    <definedName name="ㅎㄴ" hidden="1">{"'Jibu9811 (3)'!$B$1:$J$433"}</definedName>
    <definedName name="ㅎㄷㄱㅎㄱ" localSheetId="10" hidden="1">{"'Jibu9811 (3)'!$B$1:$J$433"}</definedName>
    <definedName name="ㅎㄷㄱㅎㄱ" localSheetId="9" hidden="1">{"'Jibu9811 (3)'!$B$1:$J$433"}</definedName>
    <definedName name="ㅎㄷㄱㅎㄱ" hidden="1">{"'Jibu9811 (3)'!$B$1:$J$433"}</definedName>
    <definedName name="ㅎ랄" localSheetId="10" hidden="1">{#N/A,#N/A,FALSE,"기안지";#N/A,#N/A,FALSE,"통신지"}</definedName>
    <definedName name="ㅎ랄" localSheetId="9" hidden="1">{#N/A,#N/A,FALSE,"기안지";#N/A,#N/A,FALSE,"통신지"}</definedName>
    <definedName name="ㅎ랄" hidden="1">{#N/A,#N/A,FALSE,"기안지";#N/A,#N/A,FALSE,"통신지"}</definedName>
    <definedName name="ㅎ러닢ㅎㄶㅎ" localSheetId="10" hidden="1">{"'Jibu9811 (3)'!$B$1:$J$433"}</definedName>
    <definedName name="ㅎ러닢ㅎㄶㅎ" localSheetId="9" hidden="1">{"'Jibu9811 (3)'!$B$1:$J$433"}</definedName>
    <definedName name="ㅎ러닢ㅎㄶㅎ" hidden="1">{"'Jibu9811 (3)'!$B$1:$J$433"}</definedName>
    <definedName name="ㅎ러ㅗㅓㅏㅇ노" hidden="1">#REF!</definedName>
    <definedName name="ㅎ로ㅎ로" localSheetId="10" hidden="1">{#N/A,#N/A,FALSE,"삼진정공";#N/A,#N/A,FALSE,"영신금속";#N/A,#N/A,FALSE,"태양금속";#N/A,#N/A,FALSE,"진합정공";#N/A,#N/A,FALSE,"코리아";#N/A,#N/A,FALSE,"풍강금속";#N/A,#N/A,FALSE,"선일기계"}</definedName>
    <definedName name="ㅎ로ㅎ로" localSheetId="9" hidden="1">{#N/A,#N/A,FALSE,"삼진정공";#N/A,#N/A,FALSE,"영신금속";#N/A,#N/A,FALSE,"태양금속";#N/A,#N/A,FALSE,"진합정공";#N/A,#N/A,FALSE,"코리아";#N/A,#N/A,FALSE,"풍강금속";#N/A,#N/A,FALSE,"선일기계"}</definedName>
    <definedName name="ㅎ로ㅎ로" hidden="1">{#N/A,#N/A,FALSE,"삼진정공";#N/A,#N/A,FALSE,"영신금속";#N/A,#N/A,FALSE,"태양금속";#N/A,#N/A,FALSE,"진합정공";#N/A,#N/A,FALSE,"코리아";#N/A,#N/A,FALSE,"풍강금속";#N/A,#N/A,FALSE,"선일기계"}</definedName>
    <definedName name="ㅎㅀㅀ" hidden="1">#REF!</definedName>
    <definedName name="ㅎㅀㅇ" hidden="1">#REF!</definedName>
    <definedName name="ㅎㅁㄴ" hidden="1">#REF!</definedName>
    <definedName name="ㅎㅁㅇㅎㅇㅁㅀㅁㅎ" hidden="1">#REF!</definedName>
    <definedName name="ㅎㅇㄴㄻㅇㄴㄹ" localSheetId="10" hidden="1">{"'수정손익계산서'!$AT$97:$AY$174"}</definedName>
    <definedName name="ㅎㅇㄴㄻㅇㄴㄹ" localSheetId="9" hidden="1">{"'수정손익계산서'!$AT$97:$AY$174"}</definedName>
    <definedName name="ㅎㅇㄴㄻㅇㄴㄹ" hidden="1">{"'수정손익계산서'!$AT$97:$AY$174"}</definedName>
    <definedName name="ㅎㅇㄴㄻㅇㄴㄹ_1" localSheetId="10" hidden="1">{"'수정손익계산서'!$AT$97:$AY$174"}</definedName>
    <definedName name="ㅎㅇㄴㄻㅇㄴㄹ_1" localSheetId="9" hidden="1">{"'수정손익계산서'!$AT$97:$AY$174"}</definedName>
    <definedName name="ㅎㅇㄴㄻㅇㄴㄹ_1" hidden="1">{"'수정손익계산서'!$AT$97:$AY$174"}</definedName>
    <definedName name="ㅎㅎ" localSheetId="10" hidden="1">{"'Jibu9811 (3)'!$B$1:$J$433"}</definedName>
    <definedName name="ㅎㅎ" localSheetId="9" hidden="1">{"'Jibu9811 (3)'!$B$1:$J$433"}</definedName>
    <definedName name="ㅎㅎ" hidden="1">{"'Jibu9811 (3)'!$B$1:$J$433"}</definedName>
    <definedName name="ㅎㅎㅀ" hidden="1">#REF!</definedName>
    <definedName name="ㅎㅎㅎㅎ" localSheetId="10" hidden="1">{#N/A,#N/A,FALSE,"BS";#N/A,#N/A,FALSE,"PL";#N/A,#N/A,FALSE,"처분";#N/A,#N/A,FALSE,"현금";#N/A,#N/A,FALSE,"매출";#N/A,#N/A,FALSE,"원가";#N/A,#N/A,FALSE,"경영"}</definedName>
    <definedName name="ㅎㅎㅎㅎ" localSheetId="9" hidden="1">{#N/A,#N/A,FALSE,"BS";#N/A,#N/A,FALSE,"PL";#N/A,#N/A,FALSE,"처분";#N/A,#N/A,FALSE,"현금";#N/A,#N/A,FALSE,"매출";#N/A,#N/A,FALSE,"원가";#N/A,#N/A,FALSE,"경영"}</definedName>
    <definedName name="ㅎㅎㅎㅎ" hidden="1">{#N/A,#N/A,FALSE,"BS";#N/A,#N/A,FALSE,"PL";#N/A,#N/A,FALSE,"처분";#N/A,#N/A,FALSE,"현금";#N/A,#N/A,FALSE,"매출";#N/A,#N/A,FALSE,"원가";#N/A,#N/A,FALSE,"경영"}</definedName>
    <definedName name="ㅎ햐궇" localSheetId="10" hidden="1">{#N/A,#N/A,FALSE,"이정표"}</definedName>
    <definedName name="ㅎ햐궇" localSheetId="9" hidden="1">{#N/A,#N/A,FALSE,"이정표"}</definedName>
    <definedName name="ㅎ햐궇" hidden="1">{#N/A,#N/A,FALSE,"이정표"}</definedName>
    <definedName name="하반기차입금계획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반기차입금계획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반기차입금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반기차입금계획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반기차입금계획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반기차입금계획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위직심사기준" localSheetId="10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하위직심사기준" localSheetId="9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하위직심사기준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하하하" localSheetId="1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하하하" localSheetId="9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하하하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하하하_1" localSheetId="1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하하하_1" localSheetId="9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하하하_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하핳" localSheetId="10" hidden="1">{#N/A,#N/A,TRUE,"Y생산";#N/A,#N/A,TRUE,"Y판매";#N/A,#N/A,TRUE,"Y총물량";#N/A,#N/A,TRUE,"Y능력";#N/A,#N/A,TRUE,"YKD"}</definedName>
    <definedName name="하핳" localSheetId="9" hidden="1">{#N/A,#N/A,TRUE,"Y생산";#N/A,#N/A,TRUE,"Y판매";#N/A,#N/A,TRUE,"Y총물량";#N/A,#N/A,TRUE,"Y능력";#N/A,#N/A,TRUE,"YKD"}</definedName>
    <definedName name="하핳" hidden="1">{#N/A,#N/A,TRUE,"Y생산";#N/A,#N/A,TRUE,"Y판매";#N/A,#N/A,TRUE,"Y총물량";#N/A,#N/A,TRUE,"Y능력";#N/A,#N/A,TRUE,"YKD"}</definedName>
    <definedName name="학교" hidden="1">#REF!</definedName>
    <definedName name="한승헌" localSheetId="10" hidden="1">{#N/A,#N/A,TRUE,"매출진척-1";#N/A,#N/A,TRUE,"매출진척-2";#N/A,#N/A,TRUE,"제품실적";#N/A,#N/A,TRUE,"RAC";#N/A,#N/A,TRUE,"PAC ";#N/A,#N/A,TRUE,"재고현황";#N/A,#N/A,TRUE,"공지사항"}</definedName>
    <definedName name="한승헌" localSheetId="9" hidden="1">{#N/A,#N/A,TRUE,"매출진척-1";#N/A,#N/A,TRUE,"매출진척-2";#N/A,#N/A,TRUE,"제품실적";#N/A,#N/A,TRUE,"RAC";#N/A,#N/A,TRUE,"PAC ";#N/A,#N/A,TRUE,"재고현황";#N/A,#N/A,TRUE,"공지사항"}</definedName>
    <definedName name="한승헌" hidden="1">{#N/A,#N/A,TRUE,"매출진척-1";#N/A,#N/A,TRUE,"매출진척-2";#N/A,#N/A,TRUE,"제품실적";#N/A,#N/A,TRUE,"RAC";#N/A,#N/A,TRUE,"PAC ";#N/A,#N/A,TRUE,"재고현황";#N/A,#N/A,TRUE,"공지사항"}</definedName>
    <definedName name="한영사전" localSheetId="10" hidden="1">{#N/A,#N/A,TRUE,"Y생산";#N/A,#N/A,TRUE,"Y판매";#N/A,#N/A,TRUE,"Y총물량";#N/A,#N/A,TRUE,"Y능력";#N/A,#N/A,TRUE,"YKD"}</definedName>
    <definedName name="한영사전" localSheetId="9" hidden="1">{#N/A,#N/A,TRUE,"Y생산";#N/A,#N/A,TRUE,"Y판매";#N/A,#N/A,TRUE,"Y총물량";#N/A,#N/A,TRUE,"Y능력";#N/A,#N/A,TRUE,"YKD"}</definedName>
    <definedName name="한영사전" hidden="1">{#N/A,#N/A,TRUE,"Y생산";#N/A,#N/A,TRUE,"Y판매";#N/A,#N/A,TRUE,"Y총물량";#N/A,#N/A,TRUE,"Y능력";#N/A,#N/A,TRUE,"YKD"}</definedName>
    <definedName name="할인9월" localSheetId="10" hidden="1">{#N/A,#N/A,FALSE,"BS";#N/A,#N/A,FALSE,"PL";#N/A,#N/A,FALSE,"처분";#N/A,#N/A,FALSE,"현금";#N/A,#N/A,FALSE,"매출";#N/A,#N/A,FALSE,"원가";#N/A,#N/A,FALSE,"경영"}</definedName>
    <definedName name="할인9월" localSheetId="9" hidden="1">{#N/A,#N/A,FALSE,"BS";#N/A,#N/A,FALSE,"PL";#N/A,#N/A,FALSE,"처분";#N/A,#N/A,FALSE,"현금";#N/A,#N/A,FALSE,"매출";#N/A,#N/A,FALSE,"원가";#N/A,#N/A,FALSE,"경영"}</definedName>
    <definedName name="할인9월" hidden="1">{#N/A,#N/A,FALSE,"BS";#N/A,#N/A,FALSE,"PL";#N/A,#N/A,FALSE,"처분";#N/A,#N/A,FALSE,"현금";#N/A,#N/A,FALSE,"매출";#N/A,#N/A,FALSE,"원가";#N/A,#N/A,FALSE,"경영"}</definedName>
    <definedName name="할인9월_1" localSheetId="10" hidden="1">{#N/A,#N/A,FALSE,"BS";#N/A,#N/A,FALSE,"PL";#N/A,#N/A,FALSE,"처분";#N/A,#N/A,FALSE,"현금";#N/A,#N/A,FALSE,"매출";#N/A,#N/A,FALSE,"원가";#N/A,#N/A,FALSE,"경영"}</definedName>
    <definedName name="할인9월_1" localSheetId="9" hidden="1">{#N/A,#N/A,FALSE,"BS";#N/A,#N/A,FALSE,"PL";#N/A,#N/A,FALSE,"처분";#N/A,#N/A,FALSE,"현금";#N/A,#N/A,FALSE,"매출";#N/A,#N/A,FALSE,"원가";#N/A,#N/A,FALSE,"경영"}</definedName>
    <definedName name="할인9월_1" hidden="1">{#N/A,#N/A,FALSE,"BS";#N/A,#N/A,FALSE,"PL";#N/A,#N/A,FALSE,"처분";#N/A,#N/A,FALSE,"현금";#N/A,#N/A,FALSE,"매출";#N/A,#N/A,FALSE,"원가";#N/A,#N/A,FALSE,"경영"}</definedName>
    <definedName name="할인어음" localSheetId="10" hidden="1">{#N/A,#N/A,FALSE,"BS";#N/A,#N/A,FALSE,"PL";#N/A,#N/A,FALSE,"처분";#N/A,#N/A,FALSE,"현금";#N/A,#N/A,FALSE,"매출";#N/A,#N/A,FALSE,"원가";#N/A,#N/A,FALSE,"경영"}</definedName>
    <definedName name="할인어음" localSheetId="9" hidden="1">{#N/A,#N/A,FALSE,"BS";#N/A,#N/A,FALSE,"PL";#N/A,#N/A,FALSE,"처분";#N/A,#N/A,FALSE,"현금";#N/A,#N/A,FALSE,"매출";#N/A,#N/A,FALSE,"원가";#N/A,#N/A,FALSE,"경영"}</definedName>
    <definedName name="할인어음" hidden="1">{#N/A,#N/A,FALSE,"BS";#N/A,#N/A,FALSE,"PL";#N/A,#N/A,FALSE,"처분";#N/A,#N/A,FALSE,"현금";#N/A,#N/A,FALSE,"매출";#N/A,#N/A,FALSE,"원가";#N/A,#N/A,FALSE,"경영"}</definedName>
    <definedName name="할인어음_1" localSheetId="10" hidden="1">{#N/A,#N/A,FALSE,"BS";#N/A,#N/A,FALSE,"PL";#N/A,#N/A,FALSE,"처분";#N/A,#N/A,FALSE,"현금";#N/A,#N/A,FALSE,"매출";#N/A,#N/A,FALSE,"원가";#N/A,#N/A,FALSE,"경영"}</definedName>
    <definedName name="할인어음_1" localSheetId="9" hidden="1">{#N/A,#N/A,FALSE,"BS";#N/A,#N/A,FALSE,"PL";#N/A,#N/A,FALSE,"처분";#N/A,#N/A,FALSE,"현금";#N/A,#N/A,FALSE,"매출";#N/A,#N/A,FALSE,"원가";#N/A,#N/A,FALSE,"경영"}</definedName>
    <definedName name="할인어음_1" hidden="1">{#N/A,#N/A,FALSE,"BS";#N/A,#N/A,FALSE,"PL";#N/A,#N/A,FALSE,"처분";#N/A,#N/A,FALSE,"현금";#N/A,#N/A,FALSE,"매출";#N/A,#N/A,FALSE,"원가";#N/A,#N/A,FALSE,"경영"}</definedName>
    <definedName name="합리화4월" localSheetId="10" hidden="1">{#N/A,#N/A,FALSE,"단축1";#N/A,#N/A,FALSE,"단축2";#N/A,#N/A,FALSE,"단축3";#N/A,#N/A,FALSE,"장축";#N/A,#N/A,FALSE,"4WD"}</definedName>
    <definedName name="합리화4월" localSheetId="9" hidden="1">{#N/A,#N/A,FALSE,"단축1";#N/A,#N/A,FALSE,"단축2";#N/A,#N/A,FALSE,"단축3";#N/A,#N/A,FALSE,"장축";#N/A,#N/A,FALSE,"4WD"}</definedName>
    <definedName name="합리화4월" hidden="1">{#N/A,#N/A,FALSE,"단축1";#N/A,#N/A,FALSE,"단축2";#N/A,#N/A,FALSE,"단축3";#N/A,#N/A,FALSE,"장축";#N/A,#N/A,FALSE,"4WD"}</definedName>
    <definedName name="향수" localSheetId="10" hidden="1">{"'Jibu9811 (3)'!$B$1:$J$433"}</definedName>
    <definedName name="향수" localSheetId="9" hidden="1">{"'Jibu9811 (3)'!$B$1:$J$433"}</definedName>
    <definedName name="향수" hidden="1">{"'Jibu9811 (3)'!$B$1:$J$433"}</definedName>
    <definedName name="향후방향" localSheetId="10" hidden="1">{#N/A,#N/A,FALSE,"단축1";#N/A,#N/A,FALSE,"단축2";#N/A,#N/A,FALSE,"단축3";#N/A,#N/A,FALSE,"장축";#N/A,#N/A,FALSE,"4WD"}</definedName>
    <definedName name="향후방향" localSheetId="9" hidden="1">{#N/A,#N/A,FALSE,"단축1";#N/A,#N/A,FALSE,"단축2";#N/A,#N/A,FALSE,"단축3";#N/A,#N/A,FALSE,"장축";#N/A,#N/A,FALSE,"4WD"}</definedName>
    <definedName name="향후방향" hidden="1">{#N/A,#N/A,FALSE,"단축1";#N/A,#N/A,FALSE,"단축2";#N/A,#N/A,FALSE,"단축3";#N/A,#N/A,FALSE,"장축";#N/A,#N/A,FALSE,"4WD"}</definedName>
    <definedName name="헙뱌ㅐ" localSheetId="10" hidden="1">{#N/A,#N/A,FALSE,"기안지";#N/A,#N/A,FALSE,"통신지"}</definedName>
    <definedName name="헙뱌ㅐ" localSheetId="9" hidden="1">{#N/A,#N/A,FALSE,"기안지";#N/A,#N/A,FALSE,"통신지"}</definedName>
    <definedName name="헙뱌ㅐ" hidden="1">{#N/A,#N/A,FALSE,"기안지";#N/A,#N/A,FALSE,"통신지"}</definedName>
    <definedName name="현금흐름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흐름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흐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흐름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흐름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흐름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흐름표" localSheetId="10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현금흐름표" localSheetId="9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현금흐름표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현대" localSheetId="10" hidden="1">{#N/A,#N/A,FALSE,"정공"}</definedName>
    <definedName name="현대" localSheetId="9" hidden="1">{#N/A,#N/A,FALSE,"정공"}</definedName>
    <definedName name="현대" hidden="1">{#N/A,#N/A,FALSE,"정공"}</definedName>
    <definedName name="현안이슈2" hidden="1">#REF!</definedName>
    <definedName name="현작성조서" localSheetId="10" hidden="1">{#N/A,#N/A,FALSE,"BS";#N/A,#N/A,FALSE,"PL";#N/A,#N/A,FALSE,"처분";#N/A,#N/A,FALSE,"현금";#N/A,#N/A,FALSE,"매출";#N/A,#N/A,FALSE,"원가";#N/A,#N/A,FALSE,"경영"}</definedName>
    <definedName name="현작성조서" localSheetId="9" hidden="1">{#N/A,#N/A,FALSE,"BS";#N/A,#N/A,FALSE,"PL";#N/A,#N/A,FALSE,"처분";#N/A,#N/A,FALSE,"현금";#N/A,#N/A,FALSE,"매출";#N/A,#N/A,FALSE,"원가";#N/A,#N/A,FALSE,"경영"}</definedName>
    <definedName name="현작성조서" hidden="1">{#N/A,#N/A,FALSE,"BS";#N/A,#N/A,FALSE,"PL";#N/A,#N/A,FALSE,"처분";#N/A,#N/A,FALSE,"현금";#N/A,#N/A,FALSE,"매출";#N/A,#N/A,FALSE,"원가";#N/A,#N/A,FALSE,"경영"}</definedName>
    <definedName name="협조전" hidden="1">#REF!</definedName>
    <definedName name="호" localSheetId="10" hidden="1">{#N/A,#N/A,FALSE,"UNIT";#N/A,#N/A,FALSE,"UNIT";#N/A,#N/A,FALSE,"계정"}</definedName>
    <definedName name="호" localSheetId="9" hidden="1">{#N/A,#N/A,FALSE,"UNIT";#N/A,#N/A,FALSE,"UNIT";#N/A,#N/A,FALSE,"계정"}</definedName>
    <definedName name="호" hidden="1">{#N/A,#N/A,FALSE,"UNIT";#N/A,#N/A,FALSE,"UNIT";#N/A,#N/A,FALSE,"계정"}</definedName>
    <definedName name="호ㅓ" hidden="1">#REF!</definedName>
    <definedName name="호ㅓㅓㅗㅓ" localSheetId="10" hidden="1">{#N/A,#N/A,FALSE,"삼진정공";#N/A,#N/A,FALSE,"영신금속";#N/A,#N/A,FALSE,"태양금속";#N/A,#N/A,FALSE,"진합정공";#N/A,#N/A,FALSE,"코리아";#N/A,#N/A,FALSE,"풍강금속";#N/A,#N/A,FALSE,"선일기계"}</definedName>
    <definedName name="호ㅓㅓㅗㅓ" localSheetId="9" hidden="1">{#N/A,#N/A,FALSE,"삼진정공";#N/A,#N/A,FALSE,"영신금속";#N/A,#N/A,FALSE,"태양금속";#N/A,#N/A,FALSE,"진합정공";#N/A,#N/A,FALSE,"코리아";#N/A,#N/A,FALSE,"풍강금속";#N/A,#N/A,FALSE,"선일기계"}</definedName>
    <definedName name="호ㅓㅓㅗㅓ" hidden="1">{#N/A,#N/A,FALSE,"삼진정공";#N/A,#N/A,FALSE,"영신금속";#N/A,#N/A,FALSE,"태양금속";#N/A,#N/A,FALSE,"진합정공";#N/A,#N/A,FALSE,"코리아";#N/A,#N/A,FALSE,"풍강금속";#N/A,#N/A,FALSE,"선일기계"}</definedName>
    <definedName name="홍" localSheetId="10" hidden="1">{#N/A,#N/A,FALSE,"96 3월물량표";#N/A,#N/A,FALSE,"96 4월물량표";#N/A,#N/A,FALSE,"96 5월물량표"}</definedName>
    <definedName name="홍" localSheetId="9" hidden="1">{#N/A,#N/A,FALSE,"96 3월물량표";#N/A,#N/A,FALSE,"96 4월물량표";#N/A,#N/A,FALSE,"96 5월물량표"}</definedName>
    <definedName name="홍" hidden="1">{#N/A,#N/A,FALSE,"96 3월물량표";#N/A,#N/A,FALSE,"96 4월물량표";#N/A,#N/A,FALSE,"96 5월물량표"}</definedName>
    <definedName name="홍성태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홍성태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홍성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홍성태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홍성태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홍성태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확대3" localSheetId="10" hidden="1">{#N/A,#N/A,FALSE,"UNIT";#N/A,#N/A,FALSE,"UNIT";#N/A,#N/A,FALSE,"계정"}</definedName>
    <definedName name="확대3" localSheetId="9" hidden="1">{#N/A,#N/A,FALSE,"UNIT";#N/A,#N/A,FALSE,"UNIT";#N/A,#N/A,FALSE,"계정"}</definedName>
    <definedName name="확대3" hidden="1">{#N/A,#N/A,FALSE,"UNIT";#N/A,#N/A,FALSE,"UNIT";#N/A,#N/A,FALSE,"계정"}</definedName>
    <definedName name="환율유가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율유가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율유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율유가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율유가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율유가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홧" localSheetId="10" hidden="1">{"'Jibu9811 (3)'!$B$1:$J$433"}</definedName>
    <definedName name="홧" localSheetId="9" hidden="1">{"'Jibu9811 (3)'!$B$1:$J$433"}</definedName>
    <definedName name="홧" hidden="1">{"'Jibu9811 (3)'!$B$1:$J$433"}</definedName>
    <definedName name="황병용" localSheetId="10" hidden="1">{#N/A,#N/A,FALSE,"UNIT";#N/A,#N/A,FALSE,"UNIT";#N/A,#N/A,FALSE,"계정"}</definedName>
    <definedName name="황병용" localSheetId="9" hidden="1">{#N/A,#N/A,FALSE,"UNIT";#N/A,#N/A,FALSE,"UNIT";#N/A,#N/A,FALSE,"계정"}</definedName>
    <definedName name="황병용" hidden="1">{#N/A,#N/A,FALSE,"UNIT";#N/A,#N/A,FALSE,"UNIT";#N/A,#N/A,FALSE,"계정"}</definedName>
    <definedName name="황정수" localSheetId="10" hidden="1">{"'Jibu9811 (3)'!$B$1:$J$433"}</definedName>
    <definedName name="황정수" localSheetId="9" hidden="1">{"'Jibu9811 (3)'!$B$1:$J$433"}</definedName>
    <definedName name="황정수" hidden="1">{"'Jibu9811 (3)'!$B$1:$J$433"}</definedName>
    <definedName name="황정수1" localSheetId="10" hidden="1">{"'Jibu9811 (3)'!$B$1:$J$433"}</definedName>
    <definedName name="황정수1" localSheetId="9" hidden="1">{"'Jibu9811 (3)'!$B$1:$J$433"}</definedName>
    <definedName name="황정수1" hidden="1">{"'Jibu9811 (3)'!$B$1:$J$433"}</definedName>
    <definedName name="황정수2" localSheetId="10" hidden="1">{"'Jibu9811 (3)'!$B$1:$J$433"}</definedName>
    <definedName name="황정수2" localSheetId="9" hidden="1">{"'Jibu9811 (3)'!$B$1:$J$433"}</definedName>
    <definedName name="황정수2" hidden="1">{"'Jibu9811 (3)'!$B$1:$J$433"}</definedName>
    <definedName name="황정수3" localSheetId="10" hidden="1">{"'Jibu9811 (3)'!$B$1:$J$433"}</definedName>
    <definedName name="황정수3" localSheetId="9" hidden="1">{"'Jibu9811 (3)'!$B$1:$J$433"}</definedName>
    <definedName name="황정수3" hidden="1">{"'Jibu9811 (3)'!$B$1:$J$433"}</definedName>
    <definedName name="황정수4" localSheetId="10" hidden="1">{"'Jibu9811 (3)'!$B$1:$J$433"}</definedName>
    <definedName name="황정수4" localSheetId="9" hidden="1">{"'Jibu9811 (3)'!$B$1:$J$433"}</definedName>
    <definedName name="황정수4" hidden="1">{"'Jibu9811 (3)'!$B$1:$J$433"}</definedName>
    <definedName name="황정수5" localSheetId="10" hidden="1">{"'Jibu9811 (3)'!$B$1:$J$433"}</definedName>
    <definedName name="황정수5" localSheetId="9" hidden="1">{"'Jibu9811 (3)'!$B$1:$J$433"}</definedName>
    <definedName name="황정수5" hidden="1">{"'Jibu9811 (3)'!$B$1:$J$433"}</definedName>
    <definedName name="황정수6" localSheetId="10" hidden="1">{"'Jibu9811 (3)'!$B$1:$J$433"}</definedName>
    <definedName name="황정수6" localSheetId="9" hidden="1">{"'Jibu9811 (3)'!$B$1:$J$433"}</definedName>
    <definedName name="황정수6" hidden="1">{"'Jibu9811 (3)'!$B$1:$J$433"}</definedName>
    <definedName name="황정수7" localSheetId="10" hidden="1">{"'Jibu9811 (3)'!$B$1:$J$433"}</definedName>
    <definedName name="황정수7" localSheetId="9" hidden="1">{"'Jibu9811 (3)'!$B$1:$J$433"}</definedName>
    <definedName name="황정수7" hidden="1">{"'Jibu9811 (3)'!$B$1:$J$433"}</definedName>
    <definedName name="황정수8" localSheetId="10" hidden="1">{"'Jibu9811 (3)'!$B$1:$J$433"}</definedName>
    <definedName name="황정수8" localSheetId="9" hidden="1">{"'Jibu9811 (3)'!$B$1:$J$433"}</definedName>
    <definedName name="황정수8" hidden="1">{"'Jibu9811 (3)'!$B$1:$J$433"}</definedName>
    <definedName name="회계잔액" hidden="1">#REF!</definedName>
    <definedName name="회계팀_수정분" hidden="1">#REF!</definedName>
    <definedName name="회현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현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현_1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현_1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현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횩ㄷ" localSheetId="10" hidden="1">{"'Jibu9811 (3)'!$B$1:$J$433"}</definedName>
    <definedName name="횩ㄷ" localSheetId="9" hidden="1">{"'Jibu9811 (3)'!$B$1:$J$433"}</definedName>
    <definedName name="횩ㄷ" hidden="1">{"'Jibu9811 (3)'!$B$1:$J$433"}</definedName>
    <definedName name="흐름" localSheetId="10" hidden="1">{#N/A,#N/A,FALSE,"BS";#N/A,#N/A,FALSE,"PL";#N/A,#N/A,FALSE,"처분";#N/A,#N/A,FALSE,"현금";#N/A,#N/A,FALSE,"매출";#N/A,#N/A,FALSE,"원가";#N/A,#N/A,FALSE,"경영"}</definedName>
    <definedName name="흐름" localSheetId="9" hidden="1">{#N/A,#N/A,FALSE,"BS";#N/A,#N/A,FALSE,"PL";#N/A,#N/A,FALSE,"처분";#N/A,#N/A,FALSE,"현금";#N/A,#N/A,FALSE,"매출";#N/A,#N/A,FALSE,"원가";#N/A,#N/A,FALSE,"경영"}</definedName>
    <definedName name="흐름" hidden="1">{#N/A,#N/A,FALSE,"BS";#N/A,#N/A,FALSE,"PL";#N/A,#N/A,FALSE,"처분";#N/A,#N/A,FALSE,"현금";#N/A,#N/A,FALSE,"매출";#N/A,#N/A,FALSE,"원가";#N/A,#N/A,FALSE,"경영"}</definedName>
    <definedName name="히패가ㅗ" localSheetId="10" hidden="1">{#N/A,#N/A,FALSE,"포장2"}</definedName>
    <definedName name="히패가ㅗ" localSheetId="9" hidden="1">{#N/A,#N/A,FALSE,"포장2"}</definedName>
    <definedName name="히패가ㅗ" hidden="1">{#N/A,#N/A,FALSE,"포장2"}</definedName>
    <definedName name="ㅏ" localSheetId="10" hidden="1">{#N/A,#N/A,FALSE,"이태원철근"}</definedName>
    <definedName name="ㅏ" localSheetId="9" hidden="1">{#N/A,#N/A,FALSE,"이태원철근"}</definedName>
    <definedName name="ㅏ" hidden="1">{#N/A,#N/A,FALSE,"이태원철근"}</definedName>
    <definedName name="ㅏㄹ얒ㅈ" localSheetId="10" hidden="1">{#N/A,#N/A,FALSE,"기안지";#N/A,#N/A,FALSE,"통신지"}</definedName>
    <definedName name="ㅏㄹ얒ㅈ" localSheetId="9" hidden="1">{#N/A,#N/A,FALSE,"기안지";#N/A,#N/A,FALSE,"통신지"}</definedName>
    <definedName name="ㅏㄹ얒ㅈ" hidden="1">{#N/A,#N/A,FALSE,"기안지";#N/A,#N/A,FALSE,"통신지"}</definedName>
    <definedName name="ㅏ멀" localSheetId="10" hidden="1">{#N/A,#N/A,FALSE,"기안지";#N/A,#N/A,FALSE,"통신지"}</definedName>
    <definedName name="ㅏ멀" localSheetId="9" hidden="1">{#N/A,#N/A,FALSE,"기안지";#N/A,#N/A,FALSE,"통신지"}</definedName>
    <definedName name="ㅏ멀" hidden="1">{#N/A,#N/A,FALSE,"기안지";#N/A,#N/A,FALSE,"통신지"}</definedName>
    <definedName name="ㅏ아" localSheetId="1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아" localSheetId="9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ㅏ" localSheetId="10" hidden="1">{#N/A,#N/A,FALSE,"Aging Summary";#N/A,#N/A,FALSE,"Ratio Analysis";#N/A,#N/A,FALSE,"Test 120 Day Accts";#N/A,#N/A,FALSE,"Tickmarks"}</definedName>
    <definedName name="ㅏㅏ" localSheetId="9" hidden="1">{#N/A,#N/A,FALSE,"Aging Summary";#N/A,#N/A,FALSE,"Ratio Analysis";#N/A,#N/A,FALSE,"Test 120 Day Accts";#N/A,#N/A,FALSE,"Tickmarks"}</definedName>
    <definedName name="ㅏㅏ" hidden="1">{#N/A,#N/A,FALSE,"Aging Summary";#N/A,#N/A,FALSE,"Ratio Analysis";#N/A,#N/A,FALSE,"Test 120 Day Accts";#N/A,#N/A,FALSE,"Tickmarks"}</definedName>
    <definedName name="ㅏㅏㅏ" hidden="1">#REF!</definedName>
    <definedName name="ㅏㅏㅏㅏㅏㅏㅏㅏㅏㅏㅏㅏㅏ" localSheetId="10" hidden="1">{#N/A,#N/A,FALSE,"불량현황";#N/A,#N/A,FALSE,"표면처리업체별";#N/A,#N/A,FALSE,"사양별";#N/A,#N/A,FALSE,"제작업체별";#N/A,#N/A,FALSE,"업체주소";#N/A,#N/A,FALSE,"장착부위";#N/A,#N/A,FALSE,"V-100표면현황 (2)"}</definedName>
    <definedName name="ㅏㅏㅏㅏㅏㅏㅏㅏㅏㅏㅏㅏㅏ" localSheetId="9" hidden="1">{#N/A,#N/A,FALSE,"불량현황";#N/A,#N/A,FALSE,"표면처리업체별";#N/A,#N/A,FALSE,"사양별";#N/A,#N/A,FALSE,"제작업체별";#N/A,#N/A,FALSE,"업체주소";#N/A,#N/A,FALSE,"장착부위";#N/A,#N/A,FALSE,"V-100표면현황 (2)"}</definedName>
    <definedName name="ㅏㅏㅏㅏㅏㅏㅏㅏㅏㅏㅏㅏㅏ" hidden="1">{#N/A,#N/A,FALSE,"불량현황";#N/A,#N/A,FALSE,"표면처리업체별";#N/A,#N/A,FALSE,"사양별";#N/A,#N/A,FALSE,"제작업체별";#N/A,#N/A,FALSE,"업체주소";#N/A,#N/A,FALSE,"장착부위";#N/A,#N/A,FALSE,"V-100표면현황 (2)"}</definedName>
    <definedName name="ㅏㅑㅊ" localSheetId="10" hidden="1">{#N/A,#N/A,FALSE,"기안지";#N/A,#N/A,FALSE,"통신지"}</definedName>
    <definedName name="ㅏㅑㅊ" localSheetId="9" hidden="1">{#N/A,#N/A,FALSE,"기안지";#N/A,#N/A,FALSE,"통신지"}</definedName>
    <definedName name="ㅏㅑㅊ" hidden="1">{#N/A,#N/A,FALSE,"기안지";#N/A,#N/A,FALSE,"통신지"}</definedName>
    <definedName name="ㅏㅕ" localSheetId="10" hidden="1">{"'Jibu9811 (3)'!$B$1:$J$433"}</definedName>
    <definedName name="ㅏㅕ" localSheetId="9" hidden="1">{"'Jibu9811 (3)'!$B$1:$J$433"}</definedName>
    <definedName name="ㅏㅕ" hidden="1">{"'Jibu9811 (3)'!$B$1:$J$433"}</definedName>
    <definedName name="ㅏㅕㅛㅛㅕ" localSheetId="10" hidden="1">{"'Jibu9811 (3)'!$B$1:$J$433"}</definedName>
    <definedName name="ㅏㅕㅛㅛㅕ" localSheetId="9" hidden="1">{"'Jibu9811 (3)'!$B$1:$J$433"}</definedName>
    <definedName name="ㅏㅕㅛㅛㅕ" hidden="1">{"'Jibu9811 (3)'!$B$1:$J$433"}</definedName>
    <definedName name="ㅏㅛㅕㅏㅛㅕ" localSheetId="10" hidden="1">{"'Jibu9811 (3)'!$B$1:$J$433"}</definedName>
    <definedName name="ㅏㅛㅕㅏㅛㅕ" localSheetId="9" hidden="1">{"'Jibu9811 (3)'!$B$1:$J$433"}</definedName>
    <definedName name="ㅏㅛㅕㅏㅛㅕ" hidden="1">{"'Jibu9811 (3)'!$B$1:$J$433"}</definedName>
    <definedName name="ㅏㅣㅣㅏㅣㅣㅓ" hidden="1">#REF!</definedName>
    <definedName name="ㅐ" localSheetId="10" hidden="1">{#N/A,#N/A,FALSE,"이태원철근"}</definedName>
    <definedName name="ㅐ" localSheetId="9" hidden="1">{#N/A,#N/A,FALSE,"이태원철근"}</definedName>
    <definedName name="ㅐ" hidden="1">{#N/A,#N/A,FALSE,"이태원철근"}</definedName>
    <definedName name="ㅑ갹" localSheetId="10" hidden="1">{#N/A,#N/A,FALSE,"기안지";#N/A,#N/A,FALSE,"통신지"}</definedName>
    <definedName name="ㅑ갹" localSheetId="9" hidden="1">{#N/A,#N/A,FALSE,"기안지";#N/A,#N/A,FALSE,"통신지"}</definedName>
    <definedName name="ㅑ갹" hidden="1">{#N/A,#N/A,FALSE,"기안지";#N/A,#N/A,FALSE,"통신지"}</definedName>
    <definedName name="ㅑㅐ댇" localSheetId="10" hidden="1">{#N/A,#N/A,FALSE,"기안지";#N/A,#N/A,FALSE,"통신지"}</definedName>
    <definedName name="ㅑㅐ댇" localSheetId="9" hidden="1">{#N/A,#N/A,FALSE,"기안지";#N/A,#N/A,FALSE,"통신지"}</definedName>
    <definedName name="ㅑㅐ댇" hidden="1">{#N/A,#N/A,FALSE,"기안지";#N/A,#N/A,FALSE,"통신지"}</definedName>
    <definedName name="ㅑㅑㅑㅑ" localSheetId="10" hidden="1">{#N/A,#N/A,FALSE,"삼진정공";#N/A,#N/A,FALSE,"영신금속";#N/A,#N/A,FALSE,"태양금속";#N/A,#N/A,FALSE,"진합정공";#N/A,#N/A,FALSE,"코리아";#N/A,#N/A,FALSE,"풍강금속";#N/A,#N/A,FALSE,"선일기계"}</definedName>
    <definedName name="ㅑㅑㅑㅑ" localSheetId="9" hidden="1">{#N/A,#N/A,FALSE,"삼진정공";#N/A,#N/A,FALSE,"영신금속";#N/A,#N/A,FALSE,"태양금속";#N/A,#N/A,FALSE,"진합정공";#N/A,#N/A,FALSE,"코리아";#N/A,#N/A,FALSE,"풍강금속";#N/A,#N/A,FALSE,"선일기계"}</definedName>
    <definedName name="ㅑㅑㅑㅑ" hidden="1">{#N/A,#N/A,FALSE,"삼진정공";#N/A,#N/A,FALSE,"영신금속";#N/A,#N/A,FALSE,"태양금속";#N/A,#N/A,FALSE,"진합정공";#N/A,#N/A,FALSE,"코리아";#N/A,#N/A,FALSE,"풍강금속";#N/A,#N/A,FALSE,"선일기계"}</definedName>
    <definedName name="ㅓ" localSheetId="10" hidden="1">{#N/A,#N/A,TRUE,"Y생산";#N/A,#N/A,TRUE,"Y판매";#N/A,#N/A,TRUE,"Y총물량";#N/A,#N/A,TRUE,"Y능력";#N/A,#N/A,TRUE,"YKD"}</definedName>
    <definedName name="ㅓ" localSheetId="9" hidden="1">{#N/A,#N/A,TRUE,"Y생산";#N/A,#N/A,TRUE,"Y판매";#N/A,#N/A,TRUE,"Y총물량";#N/A,#N/A,TRUE,"Y능력";#N/A,#N/A,TRUE,"YKD"}</definedName>
    <definedName name="ㅓ" hidden="1">{#N/A,#N/A,TRUE,"Y생산";#N/A,#N/A,TRUE,"Y판매";#N/A,#N/A,TRUE,"Y총물량";#N/A,#N/A,TRUE,"Y능력";#N/A,#N/A,TRUE,"YKD"}</definedName>
    <definedName name="ㅓ파ㅏ" localSheetId="10" hidden="1">{#N/A,#N/A,FALSE,"기안지";#N/A,#N/A,FALSE,"통신지"}</definedName>
    <definedName name="ㅓ파ㅏ" localSheetId="9" hidden="1">{#N/A,#N/A,FALSE,"기안지";#N/A,#N/A,FALSE,"통신지"}</definedName>
    <definedName name="ㅓ파ㅏ" hidden="1">{#N/A,#N/A,FALSE,"기안지";#N/A,#N/A,FALSE,"통신지"}</definedName>
    <definedName name="ㅓㅏ리앙" localSheetId="10" hidden="1">{#N/A,#N/A,FALSE,"UNIT";#N/A,#N/A,FALSE,"UNIT";#N/A,#N/A,FALSE,"계정"}</definedName>
    <definedName name="ㅓㅏ리앙" localSheetId="9" hidden="1">{#N/A,#N/A,FALSE,"UNIT";#N/A,#N/A,FALSE,"UNIT";#N/A,#N/A,FALSE,"계정"}</definedName>
    <definedName name="ㅓㅏ리앙" hidden="1">{#N/A,#N/A,FALSE,"UNIT";#N/A,#N/A,FALSE,"UNIT";#N/A,#N/A,FALSE,"계정"}</definedName>
    <definedName name="ㅓㅓ" localSheetId="10" hidden="1">{#N/A,#N/A,FALSE,"CCTV"}</definedName>
    <definedName name="ㅓㅓ" localSheetId="9" hidden="1">{#N/A,#N/A,FALSE,"CCTV"}</definedName>
    <definedName name="ㅓㅓ" hidden="1">{#N/A,#N/A,FALSE,"CCTV"}</definedName>
    <definedName name="ㅓㅗㅓㅗㅓㅗ" hidden="1">#REF!</definedName>
    <definedName name="ㅔ" localSheetId="10" hidden="1">{#N/A,#N/A,FALSE,"이태원철근"}</definedName>
    <definedName name="ㅔ" localSheetId="9" hidden="1">{#N/A,#N/A,FALSE,"이태원철근"}</definedName>
    <definedName name="ㅔ" hidden="1">{#N/A,#N/A,FALSE,"이태원철근"}</definedName>
    <definedName name="ㅕ" localSheetId="10" hidden="1">{#N/A,#N/A,FALSE,"BS";#N/A,#N/A,FALSE,"PL";#N/A,#N/A,FALSE,"처분";#N/A,#N/A,FALSE,"현금";#N/A,#N/A,FALSE,"매출";#N/A,#N/A,FALSE,"원가";#N/A,#N/A,FALSE,"경영"}</definedName>
    <definedName name="ㅕ" localSheetId="9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ㅏㅛㅏㅕ" localSheetId="10" hidden="1">{"'Jibu9811 (3)'!$B$1:$J$433"}</definedName>
    <definedName name="ㅕㅏㅛㅏㅕ" localSheetId="9" hidden="1">{"'Jibu9811 (3)'!$B$1:$J$433"}</definedName>
    <definedName name="ㅕㅏㅛㅏㅕ" hidden="1">{"'Jibu9811 (3)'!$B$1:$J$433"}</definedName>
    <definedName name="ㅗㄷㅎㄷ" hidden="1">#REF!</definedName>
    <definedName name="ㅗㅅㄱ" localSheetId="10" hidden="1">{"'Jibu9811 (3)'!$B$1:$J$433"}</definedName>
    <definedName name="ㅗㅅㄱ" localSheetId="9" hidden="1">{"'Jibu9811 (3)'!$B$1:$J$433"}</definedName>
    <definedName name="ㅗㅅㄱ" hidden="1">{"'Jibu9811 (3)'!$B$1:$J$433"}</definedName>
    <definedName name="ㅗㅎ" hidden="1">#REF!</definedName>
    <definedName name="ㅗㅎ롷롷ㄹ" hidden="1">#REF!</definedName>
    <definedName name="ㅗ혀ㅑㄷ" localSheetId="10" hidden="1">{"'Jibu9811 (3)'!$B$1:$J$433"}</definedName>
    <definedName name="ㅗ혀ㅑㄷ" localSheetId="9" hidden="1">{"'Jibu9811 (3)'!$B$1:$J$433"}</definedName>
    <definedName name="ㅗ혀ㅑㄷ" hidden="1">{"'Jibu9811 (3)'!$B$1:$J$433"}</definedName>
    <definedName name="ㅗㅓㄷㅈㄹㄷㄱ" hidden="1">#REF!</definedName>
    <definedName name="ㅗㅓㅗㅎ" localSheetId="10" hidden="1">{#N/A,#N/A,FALSE,"삼진정공";#N/A,#N/A,FALSE,"영신금속";#N/A,#N/A,FALSE,"태양금속";#N/A,#N/A,FALSE,"진합정공";#N/A,#N/A,FALSE,"코리아";#N/A,#N/A,FALSE,"풍강금속";#N/A,#N/A,FALSE,"선일기계"}</definedName>
    <definedName name="ㅗㅓㅗㅎ" localSheetId="9" hidden="1">{#N/A,#N/A,FALSE,"삼진정공";#N/A,#N/A,FALSE,"영신금속";#N/A,#N/A,FALSE,"태양금속";#N/A,#N/A,FALSE,"진합정공";#N/A,#N/A,FALSE,"코리아";#N/A,#N/A,FALSE,"풍강금속";#N/A,#N/A,FALSE,"선일기계"}</definedName>
    <definedName name="ㅗㅓㅗㅎ" hidden="1">{#N/A,#N/A,FALSE,"삼진정공";#N/A,#N/A,FALSE,"영신금속";#N/A,#N/A,FALSE,"태양금속";#N/A,#N/A,FALSE,"진합정공";#N/A,#N/A,FALSE,"코리아";#N/A,#N/A,FALSE,"풍강금속";#N/A,#N/A,FALSE,"선일기계"}</definedName>
    <definedName name="ㅛ" localSheetId="10" hidden="1">{#N/A,#N/A,FALSE,"BS";#N/A,#N/A,FALSE,"PL";#N/A,#N/A,FALSE,"처분";#N/A,#N/A,FALSE,"현금";#N/A,#N/A,FALSE,"매출";#N/A,#N/A,FALSE,"원가";#N/A,#N/A,FALSE,"경영"}</definedName>
    <definedName name="ㅛ" localSheetId="9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ㅜ" localSheetId="10" hidden="1">{#N/A,#N/A,FALSE,"단축1";#N/A,#N/A,FALSE,"단축2";#N/A,#N/A,FALSE,"단축3";#N/A,#N/A,FALSE,"장축";#N/A,#N/A,FALSE,"4WD"}</definedName>
    <definedName name="ㅜ" localSheetId="9" hidden="1">{#N/A,#N/A,FALSE,"단축1";#N/A,#N/A,FALSE,"단축2";#N/A,#N/A,FALSE,"단축3";#N/A,#N/A,FALSE,"장축";#N/A,#N/A,FALSE,"4WD"}</definedName>
    <definedName name="ㅜ" hidden="1">{#N/A,#N/A,FALSE,"단축1";#N/A,#N/A,FALSE,"단축2";#N/A,#N/A,FALSE,"단축3";#N/A,#N/A,FALSE,"장축";#N/A,#N/A,FALSE,"4WD"}</definedName>
    <definedName name="ㅜ챶" localSheetId="10" hidden="1">{#N/A,#N/A,FALSE,"기안지";#N/A,#N/A,FALSE,"통신지"}</definedName>
    <definedName name="ㅜ챶" localSheetId="9" hidden="1">{#N/A,#N/A,FALSE,"기안지";#N/A,#N/A,FALSE,"통신지"}</definedName>
    <definedName name="ㅜ챶" hidden="1">{#N/A,#N/A,FALSE,"기안지";#N/A,#N/A,FALSE,"통신지"}</definedName>
    <definedName name="ㅜㅍ챠ㅑㄷㅇ" localSheetId="10" hidden="1">{#N/A,#N/A,FALSE,"기안지";#N/A,#N/A,FALSE,"통신지"}</definedName>
    <definedName name="ㅜㅍ챠ㅑㄷㅇ" localSheetId="9" hidden="1">{#N/A,#N/A,FALSE,"기안지";#N/A,#N/A,FALSE,"통신지"}</definedName>
    <definedName name="ㅜㅍ챠ㅑㄷㅇ" hidden="1">{#N/A,#N/A,FALSE,"기안지";#N/A,#N/A,FALSE,"통신지"}</definedName>
    <definedName name="ㅜ퍼야" localSheetId="10" hidden="1">{#N/A,#N/A,FALSE,"부대1"}</definedName>
    <definedName name="ㅜ퍼야" localSheetId="9" hidden="1">{#N/A,#N/A,FALSE,"부대1"}</definedName>
    <definedName name="ㅜ퍼야" hidden="1">{#N/A,#N/A,FALSE,"부대1"}</definedName>
    <definedName name="ㅜㅠㅑㅑㄷ" localSheetId="10" hidden="1">{#N/A,#N/A,FALSE,"기안지";#N/A,#N/A,FALSE,"통신지"}</definedName>
    <definedName name="ㅜㅠㅑㅑㄷ" localSheetId="9" hidden="1">{#N/A,#N/A,FALSE,"기안지";#N/A,#N/A,FALSE,"통신지"}</definedName>
    <definedName name="ㅜㅠㅑㅑㄷ" hidden="1">{#N/A,#N/A,FALSE,"기안지";#N/A,#N/A,FALSE,"통신지"}</definedName>
    <definedName name="ㅠ" localSheetId="10" hidden="1">{#N/A,#N/A,FALSE,"UNIT";#N/A,#N/A,FALSE,"UNIT";#N/A,#N/A,FALSE,"계정"}</definedName>
    <definedName name="ㅠ" localSheetId="9" hidden="1">{#N/A,#N/A,FALSE,"UNIT";#N/A,#N/A,FALSE,"UNIT";#N/A,#N/A,FALSE,"계정"}</definedName>
    <definedName name="ㅠ" hidden="1">{#N/A,#N/A,FALSE,"UNIT";#N/A,#N/A,FALSE,"UNIT";#N/A,#N/A,FALSE,"계정"}</definedName>
    <definedName name="ㅠㅇㅎㄹ" hidden="1">#REF!</definedName>
    <definedName name="ㅡ" localSheetId="10" hidden="1">{#N/A,#N/A,FALSE,"Aging Summary";#N/A,#N/A,FALSE,"Ratio Analysis";#N/A,#N/A,FALSE,"Test 120 Day Accts";#N/A,#N/A,FALSE,"Tickmarks"}</definedName>
    <definedName name="ㅡ" localSheetId="9" hidden="1">{#N/A,#N/A,FALSE,"Aging Summary";#N/A,#N/A,FALSE,"Ratio Analysis";#N/A,#N/A,FALSE,"Test 120 Day Accts";#N/A,#N/A,FALSE,"Tickmarks"}</definedName>
    <definedName name="ㅡ" hidden="1">{#N/A,#N/A,FALSE,"Aging Summary";#N/A,#N/A,FALSE,"Ratio Analysis";#N/A,#N/A,FALSE,"Test 120 Day Accts";#N/A,#N/A,FALSE,"Tickmarks"}</definedName>
    <definedName name="ㅡ퍼갸" localSheetId="10" hidden="1">{#N/A,#N/A,FALSE,"속도"}</definedName>
    <definedName name="ㅡ퍼갸" localSheetId="9" hidden="1">{#N/A,#N/A,FALSE,"속도"}</definedName>
    <definedName name="ㅡ퍼갸" hidden="1">{#N/A,#N/A,FALSE,"속도"}</definedName>
    <definedName name="ㅡㅜㅡ" localSheetId="10" hidden="1">{#N/A,#N/A,FALSE,"LANOS표면현황";#N/A,#N/A,FALSE,"표면처리업체별";#N/A,#N/A,FALSE,"사양별";#N/A,#N/A,FALSE,"제작업체별";#N/A,#N/A,FALSE,"장착부위";#N/A,#N/A,FALSE,"업체주소";#N/A,#N/A,FALSE,"불량현황"}</definedName>
    <definedName name="ㅡㅜㅡ" localSheetId="9" hidden="1">{#N/A,#N/A,FALSE,"LANOS표면현황";#N/A,#N/A,FALSE,"표면처리업체별";#N/A,#N/A,FALSE,"사양별";#N/A,#N/A,FALSE,"제작업체별";#N/A,#N/A,FALSE,"장착부위";#N/A,#N/A,FALSE,"업체주소";#N/A,#N/A,FALSE,"불량현황"}</definedName>
    <definedName name="ㅡㅜㅡ" hidden="1">{#N/A,#N/A,FALSE,"LANOS표면현황";#N/A,#N/A,FALSE,"표면처리업체별";#N/A,#N/A,FALSE,"사양별";#N/A,#N/A,FALSE,"제작업체별";#N/A,#N/A,FALSE,"장착부위";#N/A,#N/A,FALSE,"업체주소";#N/A,#N/A,FALSE,"불량현황"}</definedName>
    <definedName name="ㅣ" localSheetId="10" hidden="1">{#N/A,#N/A,FALSE,"Aging Summary";#N/A,#N/A,FALSE,"Ratio Analysis";#N/A,#N/A,FALSE,"Test 120 Day Accts";#N/A,#N/A,FALSE,"Tickmarks"}</definedName>
    <definedName name="ㅣ" localSheetId="9" hidden="1">{#N/A,#N/A,FALSE,"Aging Summary";#N/A,#N/A,FALSE,"Ratio Analysis";#N/A,#N/A,FALSE,"Test 120 Day Accts";#N/A,#N/A,FALSE,"Tickmarks"}</definedName>
    <definedName name="ㅣ" hidden="1">{#N/A,#N/A,FALSE,"Aging Summary";#N/A,#N/A,FALSE,"Ratio Analysis";#N/A,#N/A,FALSE,"Test 120 Day Accts";#N/A,#N/A,FALSE,"Tickmarks"}</definedName>
    <definedName name="ㅣ니니니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니니니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니니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ㅏ" localSheetId="10" hidden="1">{#N/A,#N/A,FALSE,"단축1";#N/A,#N/A,FALSE,"단축2";#N/A,#N/A,FALSE,"단축3";#N/A,#N/A,FALSE,"장축";#N/A,#N/A,FALSE,"4WD"}</definedName>
    <definedName name="ㅣㅏ" localSheetId="9" hidden="1">{#N/A,#N/A,FALSE,"단축1";#N/A,#N/A,FALSE,"단축2";#N/A,#N/A,FALSE,"단축3";#N/A,#N/A,FALSE,"장축";#N/A,#N/A,FALSE,"4WD"}</definedName>
    <definedName name="ㅣㅏ" hidden="1">{#N/A,#N/A,FALSE,"단축1";#N/A,#N/A,FALSE,"단축2";#N/A,#N/A,FALSE,"단축3";#N/A,#N/A,FALSE,"장축";#N/A,#N/A,FALSE,"4WD"}</definedName>
    <definedName name="ㅣㅣㅣ" localSheetId="10" hidden="1">{#N/A,#N/A,FALSE,"삼진정공";#N/A,#N/A,FALSE,"영신금속";#N/A,#N/A,FALSE,"태양금속";#N/A,#N/A,FALSE,"진합정공";#N/A,#N/A,FALSE,"코리아";#N/A,#N/A,FALSE,"풍강금속";#N/A,#N/A,FALSE,"선일기계"}</definedName>
    <definedName name="ㅣㅣㅣ" localSheetId="9" hidden="1">{#N/A,#N/A,FALSE,"삼진정공";#N/A,#N/A,FALSE,"영신금속";#N/A,#N/A,FALSE,"태양금속";#N/A,#N/A,FALSE,"진합정공";#N/A,#N/A,FALSE,"코리아";#N/A,#N/A,FALSE,"풍강금속";#N/A,#N/A,FALSE,"선일기계"}</definedName>
    <definedName name="ㅣㅣㅣ" hidden="1">{#N/A,#N/A,FALSE,"삼진정공";#N/A,#N/A,FALSE,"영신금속";#N/A,#N/A,FALSE,"태양금속";#N/A,#N/A,FALSE,"진합정공";#N/A,#N/A,FALSE,"코리아";#N/A,#N/A,FALSE,"풍강금속";#N/A,#N/A,FALSE,"선일기계"}</definedName>
    <definedName name="ㅣㅣㅣㅣ" localSheetId="10" hidden="1">{"'변동비고정비분류(5단계)'!$A$1:$O$48"}</definedName>
    <definedName name="ㅣㅣㅣㅣ" localSheetId="9" hidden="1">{"'변동비고정비분류(5단계)'!$A$1:$O$48"}</definedName>
    <definedName name="ㅣㅣㅣㅣ" hidden="1">{"'변동비고정비분류(5단계)'!$A$1:$O$48"}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5" i="17" l="1"/>
  <c r="F45" i="17" l="1"/>
  <c r="G45" i="17"/>
  <c r="H45" i="17"/>
  <c r="I45" i="17"/>
  <c r="J45" i="17"/>
  <c r="K45" i="17"/>
  <c r="L45" i="17"/>
  <c r="M45" i="17"/>
  <c r="N45" i="17"/>
  <c r="O45" i="17"/>
  <c r="P45" i="17"/>
  <c r="E45" i="17"/>
  <c r="P42" i="17"/>
  <c r="F42" i="17"/>
  <c r="G42" i="17"/>
  <c r="H42" i="17"/>
  <c r="I42" i="17"/>
  <c r="J42" i="17"/>
  <c r="K42" i="17"/>
  <c r="L42" i="17"/>
  <c r="M42" i="17"/>
  <c r="N42" i="17"/>
  <c r="O42" i="17"/>
  <c r="E42" i="17"/>
  <c r="W41" i="17"/>
  <c r="G86" i="17" l="1"/>
  <c r="P86" i="17"/>
  <c r="M86" i="17"/>
  <c r="J86" i="17"/>
  <c r="E65" i="17"/>
  <c r="T68" i="17" l="1"/>
  <c r="S68" i="17"/>
  <c r="R68" i="17"/>
  <c r="Q68" i="17"/>
  <c r="P65" i="17"/>
  <c r="G65" i="17"/>
  <c r="H65" i="17"/>
  <c r="I65" i="17"/>
  <c r="J65" i="17"/>
  <c r="K65" i="17"/>
  <c r="L65" i="17"/>
  <c r="M65" i="17"/>
  <c r="N65" i="17"/>
  <c r="O65" i="17"/>
  <c r="P60" i="17"/>
  <c r="F60" i="17"/>
  <c r="G60" i="17"/>
  <c r="H60" i="17"/>
  <c r="I60" i="17"/>
  <c r="J60" i="17"/>
  <c r="K60" i="17"/>
  <c r="L60" i="17"/>
  <c r="M60" i="17"/>
  <c r="N60" i="17"/>
  <c r="O60" i="17"/>
  <c r="E60" i="17"/>
  <c r="K59" i="17"/>
  <c r="F59" i="17"/>
  <c r="G59" i="17"/>
  <c r="H59" i="17"/>
  <c r="I59" i="17"/>
  <c r="J59" i="17"/>
  <c r="L59" i="17"/>
  <c r="M59" i="17"/>
  <c r="N59" i="17"/>
  <c r="O59" i="17"/>
  <c r="P59" i="17"/>
  <c r="E59" i="17"/>
  <c r="E58" i="17"/>
  <c r="E64" i="17"/>
  <c r="Q55" i="17"/>
  <c r="T55" i="17"/>
  <c r="S55" i="17"/>
  <c r="R55" i="17"/>
  <c r="P58" i="17"/>
  <c r="P64" i="17"/>
  <c r="F64" i="17"/>
  <c r="G64" i="17"/>
  <c r="H64" i="17"/>
  <c r="I64" i="17"/>
  <c r="J64" i="17"/>
  <c r="K64" i="17"/>
  <c r="L64" i="17"/>
  <c r="M64" i="17"/>
  <c r="N64" i="17"/>
  <c r="O64" i="17"/>
  <c r="F58" i="17"/>
  <c r="G58" i="17"/>
  <c r="H58" i="17"/>
  <c r="I58" i="17"/>
  <c r="J58" i="17"/>
  <c r="K58" i="17"/>
  <c r="L58" i="17"/>
  <c r="M58" i="17"/>
  <c r="N58" i="17"/>
  <c r="O58" i="17"/>
  <c r="BE44" i="27"/>
  <c r="BE43" i="27"/>
  <c r="BE32" i="27"/>
  <c r="E61" i="17" l="1"/>
  <c r="E73" i="17" s="1"/>
  <c r="O61" i="17"/>
  <c r="O73" i="17" s="1"/>
  <c r="H61" i="17"/>
  <c r="I66" i="17"/>
  <c r="I75" i="17" s="1"/>
  <c r="F61" i="17"/>
  <c r="F73" i="17" s="1"/>
  <c r="G61" i="17"/>
  <c r="G73" i="17" s="1"/>
  <c r="O66" i="17"/>
  <c r="O75" i="17" s="1"/>
  <c r="H66" i="17"/>
  <c r="G66" i="17"/>
  <c r="G75" i="17" s="1"/>
  <c r="F66" i="17"/>
  <c r="F75" i="17" s="1"/>
  <c r="L61" i="17"/>
  <c r="L73" i="17" s="1"/>
  <c r="K61" i="17"/>
  <c r="P66" i="17"/>
  <c r="P75" i="17" s="1"/>
  <c r="E66" i="17"/>
  <c r="M61" i="17"/>
  <c r="M73" i="17" s="1"/>
  <c r="M66" i="17"/>
  <c r="M75" i="17" s="1"/>
  <c r="I61" i="17"/>
  <c r="I73" i="17" s="1"/>
  <c r="K66" i="17"/>
  <c r="N66" i="17"/>
  <c r="J66" i="17"/>
  <c r="J75" i="17" s="1"/>
  <c r="N61" i="17"/>
  <c r="L66" i="17"/>
  <c r="L75" i="17" s="1"/>
  <c r="J61" i="17"/>
  <c r="P61" i="17"/>
  <c r="U68" i="17"/>
  <c r="V68" i="17"/>
  <c r="S65" i="17"/>
  <c r="Q65" i="17"/>
  <c r="R65" i="17"/>
  <c r="T65" i="17"/>
  <c r="S60" i="17"/>
  <c r="T60" i="17"/>
  <c r="R60" i="17"/>
  <c r="R59" i="17"/>
  <c r="S59" i="17"/>
  <c r="Q60" i="17"/>
  <c r="T59" i="17"/>
  <c r="Q59" i="17"/>
  <c r="V55" i="17"/>
  <c r="U55" i="17"/>
  <c r="S58" i="17"/>
  <c r="S64" i="17"/>
  <c r="R58" i="17"/>
  <c r="Q58" i="17"/>
  <c r="T58" i="17"/>
  <c r="R64" i="17"/>
  <c r="Q64" i="17"/>
  <c r="T64" i="17"/>
  <c r="BS44" i="27"/>
  <c r="G85" i="17" l="1"/>
  <c r="E75" i="17"/>
  <c r="H75" i="17"/>
  <c r="J85" i="17"/>
  <c r="N75" i="17"/>
  <c r="P85" i="17"/>
  <c r="K75" i="17"/>
  <c r="M85" i="17"/>
  <c r="P84" i="17"/>
  <c r="K73" i="17"/>
  <c r="M84" i="17"/>
  <c r="H73" i="17"/>
  <c r="J84" i="17"/>
  <c r="G84" i="17"/>
  <c r="P73" i="17"/>
  <c r="P71" i="17"/>
  <c r="E71" i="17"/>
  <c r="N71" i="17"/>
  <c r="N73" i="17"/>
  <c r="J71" i="17"/>
  <c r="J76" i="17" s="1"/>
  <c r="J73" i="17"/>
  <c r="K71" i="17"/>
  <c r="M71" i="17"/>
  <c r="M76" i="17" s="1"/>
  <c r="L71" i="17"/>
  <c r="L76" i="17" s="1"/>
  <c r="O71" i="17"/>
  <c r="O76" i="17" s="1"/>
  <c r="G71" i="17"/>
  <c r="F71" i="17"/>
  <c r="F76" i="17" s="1"/>
  <c r="H71" i="17"/>
  <c r="I71" i="17"/>
  <c r="I74" i="17" s="1"/>
  <c r="V65" i="17"/>
  <c r="S66" i="17"/>
  <c r="S75" i="17" s="1"/>
  <c r="Q61" i="17"/>
  <c r="Q73" i="17" s="1"/>
  <c r="R61" i="17"/>
  <c r="R73" i="17" s="1"/>
  <c r="S61" i="17"/>
  <c r="S73" i="17" s="1"/>
  <c r="R66" i="17"/>
  <c r="R75" i="17" s="1"/>
  <c r="T61" i="17"/>
  <c r="T73" i="17" s="1"/>
  <c r="T66" i="17"/>
  <c r="T75" i="17" s="1"/>
  <c r="Q66" i="17"/>
  <c r="Q75" i="17" s="1"/>
  <c r="W68" i="17"/>
  <c r="U60" i="17"/>
  <c r="U65" i="17"/>
  <c r="V59" i="17"/>
  <c r="U59" i="17"/>
  <c r="V60" i="17"/>
  <c r="W55" i="17"/>
  <c r="V58" i="17"/>
  <c r="U58" i="17"/>
  <c r="U64" i="17"/>
  <c r="V64" i="17"/>
  <c r="BE33" i="27"/>
  <c r="BS33" i="27" s="1"/>
  <c r="AZ27" i="27"/>
  <c r="BA27" i="27"/>
  <c r="BB27" i="27"/>
  <c r="BC27" i="27"/>
  <c r="BC29" i="27"/>
  <c r="BD28" i="27"/>
  <c r="BC28" i="27"/>
  <c r="BB28" i="27"/>
  <c r="BB29" i="27"/>
  <c r="AW27" i="27"/>
  <c r="AW28" i="27"/>
  <c r="AW29" i="27"/>
  <c r="AV29" i="27"/>
  <c r="AV28" i="27"/>
  <c r="AV27" i="27"/>
  <c r="AX29" i="27"/>
  <c r="AX27" i="27"/>
  <c r="AX28" i="27"/>
  <c r="BD29" i="27"/>
  <c r="AZ29" i="27"/>
  <c r="BA29" i="27"/>
  <c r="AZ28" i="27"/>
  <c r="BA28" i="27"/>
  <c r="AY29" i="27"/>
  <c r="AY28" i="27"/>
  <c r="AY27" i="27"/>
  <c r="AU27" i="27"/>
  <c r="AU28" i="27"/>
  <c r="AU29" i="27"/>
  <c r="AS28" i="27"/>
  <c r="AT28" i="27"/>
  <c r="AT29" i="27"/>
  <c r="AS29" i="27"/>
  <c r="AT27" i="27"/>
  <c r="AS27" i="27"/>
  <c r="H74" i="17" l="1"/>
  <c r="G81" i="17"/>
  <c r="H84" i="17" s="1"/>
  <c r="N76" i="17"/>
  <c r="K76" i="17"/>
  <c r="E76" i="17"/>
  <c r="P74" i="17"/>
  <c r="P81" i="17"/>
  <c r="Q86" i="17" s="1"/>
  <c r="G74" i="17"/>
  <c r="M74" i="17"/>
  <c r="K74" i="17"/>
  <c r="J74" i="17"/>
  <c r="G76" i="17"/>
  <c r="I76" i="17"/>
  <c r="F74" i="17"/>
  <c r="H76" i="17"/>
  <c r="P76" i="17"/>
  <c r="O74" i="17"/>
  <c r="N74" i="17"/>
  <c r="E74" i="17"/>
  <c r="L74" i="17"/>
  <c r="J81" i="17"/>
  <c r="K86" i="17" s="1"/>
  <c r="M81" i="17"/>
  <c r="N86" i="17" s="1"/>
  <c r="S71" i="17"/>
  <c r="S74" i="17" s="1"/>
  <c r="Q71" i="17"/>
  <c r="Q74" i="17" s="1"/>
  <c r="T71" i="17"/>
  <c r="T74" i="17" s="1"/>
  <c r="R71" i="17"/>
  <c r="R74" i="17" s="1"/>
  <c r="W65" i="17"/>
  <c r="V66" i="17"/>
  <c r="V75" i="17" s="1"/>
  <c r="U66" i="17"/>
  <c r="U75" i="17" s="1"/>
  <c r="U61" i="17"/>
  <c r="U73" i="17" s="1"/>
  <c r="V61" i="17"/>
  <c r="V73" i="17" s="1"/>
  <c r="W60" i="17"/>
  <c r="W59" i="17"/>
  <c r="W58" i="17"/>
  <c r="W64" i="17"/>
  <c r="AY26" i="27"/>
  <c r="BA26" i="27"/>
  <c r="BC26" i="27"/>
  <c r="BB26" i="27"/>
  <c r="AZ26" i="27"/>
  <c r="AS26" i="27"/>
  <c r="AW26" i="27"/>
  <c r="AX26" i="27"/>
  <c r="AT26" i="27"/>
  <c r="AV26" i="27"/>
  <c r="AU26" i="27"/>
  <c r="Q84" i="17" l="1"/>
  <c r="Q85" i="17"/>
  <c r="K84" i="17"/>
  <c r="N84" i="17"/>
  <c r="N85" i="17"/>
  <c r="H86" i="17"/>
  <c r="W86" i="17" s="1"/>
  <c r="H85" i="17"/>
  <c r="K85" i="17"/>
  <c r="W81" i="17"/>
  <c r="T76" i="17"/>
  <c r="S76" i="17"/>
  <c r="R76" i="17"/>
  <c r="Q76" i="17"/>
  <c r="V71" i="17"/>
  <c r="V76" i="17" s="1"/>
  <c r="U71" i="17"/>
  <c r="U76" i="17" s="1"/>
  <c r="W61" i="17"/>
  <c r="W66" i="17"/>
  <c r="W75" i="17" s="1"/>
  <c r="BA25" i="27"/>
  <c r="AX25" i="27"/>
  <c r="AU25" i="27"/>
  <c r="W85" i="17" l="1"/>
  <c r="W84" i="17"/>
  <c r="W73" i="17"/>
  <c r="W71" i="17"/>
  <c r="U74" i="17"/>
  <c r="V74" i="17"/>
  <c r="CY27" i="23"/>
  <c r="CX27" i="23"/>
  <c r="CW27" i="23"/>
  <c r="CV27" i="23"/>
  <c r="CU27" i="23"/>
  <c r="CT27" i="23"/>
  <c r="CS27" i="23"/>
  <c r="CR27" i="23"/>
  <c r="CQ27" i="23"/>
  <c r="CP27" i="23"/>
  <c r="CO27" i="23"/>
  <c r="CN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BD41" i="27"/>
  <c r="BC41" i="27"/>
  <c r="BB41" i="27"/>
  <c r="BA41" i="27"/>
  <c r="AZ41" i="27"/>
  <c r="AY41" i="27"/>
  <c r="AX41" i="27"/>
  <c r="AW41" i="27"/>
  <c r="AV41" i="27"/>
  <c r="AU41" i="27"/>
  <c r="AT41" i="27"/>
  <c r="AS41" i="27"/>
  <c r="BD19" i="27"/>
  <c r="BD23" i="27" s="1"/>
  <c r="BC19" i="27"/>
  <c r="BC23" i="27" s="1"/>
  <c r="BB19" i="27"/>
  <c r="BB23" i="27" s="1"/>
  <c r="BA19" i="27"/>
  <c r="BA23" i="27" s="1"/>
  <c r="AZ19" i="27"/>
  <c r="AZ23" i="27" s="1"/>
  <c r="AY19" i="27"/>
  <c r="AY23" i="27" s="1"/>
  <c r="AX19" i="27"/>
  <c r="AX23" i="27" s="1"/>
  <c r="AW19" i="27"/>
  <c r="AW23" i="27" s="1"/>
  <c r="AV19" i="27"/>
  <c r="AV23" i="27" s="1"/>
  <c r="AU19" i="27"/>
  <c r="AU23" i="27" s="1"/>
  <c r="AT19" i="27"/>
  <c r="AT23" i="27" s="1"/>
  <c r="AS19" i="27"/>
  <c r="AS23" i="27" s="1"/>
  <c r="BE13" i="27"/>
  <c r="BE12" i="27" s="1"/>
  <c r="AC13" i="27"/>
  <c r="AC12" i="27" s="1"/>
  <c r="BS12" i="27"/>
  <c r="BR12" i="27"/>
  <c r="BQ12" i="27"/>
  <c r="BP12" i="27"/>
  <c r="BO12" i="27"/>
  <c r="BN12" i="27"/>
  <c r="BM12" i="27"/>
  <c r="BL12" i="27"/>
  <c r="BK12" i="27"/>
  <c r="BJ12" i="27"/>
  <c r="BI12" i="27"/>
  <c r="BH12" i="27"/>
  <c r="BG12" i="27"/>
  <c r="BD12" i="27"/>
  <c r="BC12" i="27"/>
  <c r="BB12" i="27"/>
  <c r="BA12" i="27"/>
  <c r="AZ12" i="27"/>
  <c r="AY12" i="27"/>
  <c r="AX12" i="27"/>
  <c r="AW12" i="27"/>
  <c r="AV12" i="27"/>
  <c r="AU12" i="27"/>
  <c r="AT12" i="27"/>
  <c r="AS12" i="27"/>
  <c r="AQ12" i="27"/>
  <c r="AP12" i="27"/>
  <c r="AO12" i="27"/>
  <c r="AN12" i="27"/>
  <c r="AM12" i="27"/>
  <c r="AL12" i="27"/>
  <c r="AK12" i="27"/>
  <c r="AJ12" i="27"/>
  <c r="AI12" i="27"/>
  <c r="AH12" i="27"/>
  <c r="AG12" i="27"/>
  <c r="AF12" i="27"/>
  <c r="AE12" i="27"/>
  <c r="AB12" i="27"/>
  <c r="AA12" i="27"/>
  <c r="Z12" i="27"/>
  <c r="Y12" i="27"/>
  <c r="X12" i="27"/>
  <c r="W12" i="27"/>
  <c r="V12" i="27"/>
  <c r="U12" i="27"/>
  <c r="T12" i="27"/>
  <c r="S12" i="27"/>
  <c r="R12" i="27"/>
  <c r="Q12" i="27"/>
  <c r="O12" i="27"/>
  <c r="N12" i="27"/>
  <c r="M12" i="27"/>
  <c r="L12" i="27"/>
  <c r="K12" i="27"/>
  <c r="J12" i="27"/>
  <c r="I12" i="27"/>
  <c r="H12" i="27"/>
  <c r="G12" i="27"/>
  <c r="F12" i="27"/>
  <c r="E12" i="27"/>
  <c r="D12" i="27"/>
  <c r="C12" i="27"/>
  <c r="BE11" i="27"/>
  <c r="BE10" i="27" s="1"/>
  <c r="AC11" i="27"/>
  <c r="AC10" i="27" s="1"/>
  <c r="BS10" i="27"/>
  <c r="BR10" i="27"/>
  <c r="BQ10" i="27"/>
  <c r="BP10" i="27"/>
  <c r="BO10" i="27"/>
  <c r="BN10" i="27"/>
  <c r="BM10" i="27"/>
  <c r="BL10" i="27"/>
  <c r="BK10" i="27"/>
  <c r="BJ10" i="27"/>
  <c r="BI10" i="27"/>
  <c r="BH10" i="27"/>
  <c r="BG10" i="27"/>
  <c r="BD10" i="27"/>
  <c r="BC10" i="27"/>
  <c r="BB10" i="27"/>
  <c r="BA10" i="27"/>
  <c r="AZ10" i="27"/>
  <c r="AY10" i="27"/>
  <c r="AX10" i="27"/>
  <c r="AW10" i="27"/>
  <c r="AV10" i="27"/>
  <c r="AU10" i="27"/>
  <c r="AT10" i="27"/>
  <c r="AS10" i="27"/>
  <c r="AQ10" i="27"/>
  <c r="AP10" i="27"/>
  <c r="AO10" i="27"/>
  <c r="AN10" i="27"/>
  <c r="AM10" i="27"/>
  <c r="AL10" i="27"/>
  <c r="AK10" i="27"/>
  <c r="AJ10" i="27"/>
  <c r="AI10" i="27"/>
  <c r="AH10" i="27"/>
  <c r="AG10" i="27"/>
  <c r="AF10" i="27"/>
  <c r="AE10" i="27"/>
  <c r="AB10" i="27"/>
  <c r="AA10" i="27"/>
  <c r="Z10" i="27"/>
  <c r="Y10" i="27"/>
  <c r="X10" i="27"/>
  <c r="W10" i="27"/>
  <c r="V10" i="27"/>
  <c r="U10" i="27"/>
  <c r="T10" i="27"/>
  <c r="S10" i="27"/>
  <c r="R10" i="27"/>
  <c r="Q10" i="27"/>
  <c r="O10" i="27"/>
  <c r="N10" i="27"/>
  <c r="M10" i="27"/>
  <c r="L10" i="27"/>
  <c r="K10" i="27"/>
  <c r="J10" i="27"/>
  <c r="I10" i="27"/>
  <c r="H10" i="27"/>
  <c r="G10" i="27"/>
  <c r="F10" i="27"/>
  <c r="E10" i="27"/>
  <c r="D10" i="27"/>
  <c r="C10" i="27"/>
  <c r="BS9" i="27"/>
  <c r="BS8" i="27" s="1"/>
  <c r="AC9" i="27"/>
  <c r="AC8" i="27" s="1"/>
  <c r="BR8" i="27"/>
  <c r="BQ8" i="27"/>
  <c r="BP8" i="27"/>
  <c r="BO8" i="27"/>
  <c r="BN8" i="27"/>
  <c r="BM8" i="27"/>
  <c r="BL8" i="27"/>
  <c r="BK8" i="27"/>
  <c r="BJ8" i="27"/>
  <c r="BI8" i="27"/>
  <c r="BH8" i="27"/>
  <c r="BG8" i="27"/>
  <c r="BE8" i="27"/>
  <c r="BD8" i="27"/>
  <c r="BC8" i="27"/>
  <c r="BB8" i="27"/>
  <c r="BA8" i="27"/>
  <c r="AZ8" i="27"/>
  <c r="AY8" i="27"/>
  <c r="AX8" i="27"/>
  <c r="AW8" i="27"/>
  <c r="AV8" i="27"/>
  <c r="AU8" i="27"/>
  <c r="AT8" i="27"/>
  <c r="AS8" i="27"/>
  <c r="AQ8" i="27"/>
  <c r="AP8" i="27"/>
  <c r="AO8" i="27"/>
  <c r="AN8" i="27"/>
  <c r="AM8" i="27"/>
  <c r="AL8" i="27"/>
  <c r="AK8" i="27"/>
  <c r="AJ8" i="27"/>
  <c r="AI8" i="27"/>
  <c r="AH8" i="27"/>
  <c r="AG8" i="27"/>
  <c r="AF8" i="27"/>
  <c r="AE8" i="27"/>
  <c r="AB8" i="27"/>
  <c r="AA8" i="27"/>
  <c r="Z8" i="27"/>
  <c r="Y8" i="27"/>
  <c r="X8" i="27"/>
  <c r="W8" i="27"/>
  <c r="V8" i="27"/>
  <c r="U8" i="27"/>
  <c r="T8" i="27"/>
  <c r="S8" i="27"/>
  <c r="R8" i="27"/>
  <c r="Q8" i="27"/>
  <c r="O8" i="27"/>
  <c r="N8" i="27"/>
  <c r="M8" i="27"/>
  <c r="L8" i="27"/>
  <c r="K8" i="27"/>
  <c r="J8" i="27"/>
  <c r="I8" i="27"/>
  <c r="H8" i="27"/>
  <c r="G8" i="27"/>
  <c r="F8" i="27"/>
  <c r="E8" i="27"/>
  <c r="D8" i="27"/>
  <c r="C8" i="27"/>
  <c r="W38" i="17"/>
  <c r="T38" i="17"/>
  <c r="S38" i="17"/>
  <c r="R38" i="17"/>
  <c r="Q38" i="17"/>
  <c r="Q42" i="17" l="1"/>
  <c r="Q45" i="17"/>
  <c r="T42" i="17"/>
  <c r="T45" i="17"/>
  <c r="R42" i="17"/>
  <c r="R45" i="17"/>
  <c r="S42" i="17"/>
  <c r="S45" i="17"/>
  <c r="W74" i="17"/>
  <c r="P82" i="17"/>
  <c r="W76" i="17"/>
  <c r="G82" i="17"/>
  <c r="J82" i="17"/>
  <c r="M82" i="17"/>
  <c r="DD27" i="23"/>
  <c r="DF27" i="23"/>
  <c r="DE27" i="23"/>
  <c r="DC27" i="23"/>
  <c r="CZ27" i="23"/>
  <c r="M7" i="27"/>
  <c r="M6" i="27" s="1"/>
  <c r="M5" i="27" s="1"/>
  <c r="M4" i="27" s="1"/>
  <c r="AF7" i="27"/>
  <c r="AF6" i="27" s="1"/>
  <c r="AF5" i="27" s="1"/>
  <c r="AF4" i="27" s="1"/>
  <c r="AW7" i="27"/>
  <c r="AW6" i="27" s="1"/>
  <c r="AW5" i="27" s="1"/>
  <c r="AW4" i="27" s="1"/>
  <c r="BN7" i="27"/>
  <c r="BN6" i="27" s="1"/>
  <c r="BN5" i="27" s="1"/>
  <c r="BN4" i="27" s="1"/>
  <c r="AE7" i="27"/>
  <c r="AE6" i="27" s="1"/>
  <c r="AE5" i="27" s="1"/>
  <c r="AE4" i="27" s="1"/>
  <c r="AV7" i="27"/>
  <c r="AV6" i="27" s="1"/>
  <c r="AV5" i="27" s="1"/>
  <c r="AV4" i="27" s="1"/>
  <c r="BM7" i="27"/>
  <c r="BM6" i="27" s="1"/>
  <c r="BM5" i="27" s="1"/>
  <c r="BM4" i="27" s="1"/>
  <c r="BK7" i="27"/>
  <c r="BK6" i="27" s="1"/>
  <c r="BK5" i="27" s="1"/>
  <c r="BK4" i="27" s="1"/>
  <c r="K7" i="27"/>
  <c r="K6" i="27" s="1"/>
  <c r="K5" i="27" s="1"/>
  <c r="K4" i="27" s="1"/>
  <c r="AT7" i="27"/>
  <c r="AT6" i="27" s="1"/>
  <c r="AT5" i="27" s="1"/>
  <c r="AT4" i="27" s="1"/>
  <c r="I7" i="27"/>
  <c r="I6" i="27" s="1"/>
  <c r="I5" i="27" s="1"/>
  <c r="I4" i="27" s="1"/>
  <c r="Z7" i="27"/>
  <c r="Z6" i="27" s="1"/>
  <c r="Z5" i="27" s="1"/>
  <c r="Z4" i="27" s="1"/>
  <c r="AB7" i="27"/>
  <c r="AB6" i="27" s="1"/>
  <c r="AB5" i="27" s="1"/>
  <c r="AB4" i="27" s="1"/>
  <c r="L7" i="27"/>
  <c r="L6" i="27" s="1"/>
  <c r="L5" i="27" s="1"/>
  <c r="L4" i="27" s="1"/>
  <c r="AU7" i="27"/>
  <c r="AU6" i="27" s="1"/>
  <c r="AU5" i="27" s="1"/>
  <c r="AU4" i="27" s="1"/>
  <c r="BG7" i="27"/>
  <c r="BG6" i="27" s="1"/>
  <c r="BG5" i="27" s="1"/>
  <c r="BG4" i="27" s="1"/>
  <c r="N7" i="27"/>
  <c r="N6" i="27" s="1"/>
  <c r="N5" i="27" s="1"/>
  <c r="N4" i="27" s="1"/>
  <c r="AN7" i="27"/>
  <c r="AN6" i="27" s="1"/>
  <c r="AN5" i="27" s="1"/>
  <c r="AN4" i="27" s="1"/>
  <c r="Y7" i="27"/>
  <c r="Y6" i="27" s="1"/>
  <c r="Y5" i="27" s="1"/>
  <c r="Y4" i="27" s="1"/>
  <c r="BE7" i="27"/>
  <c r="BE6" i="27" s="1"/>
  <c r="BE5" i="27" s="1"/>
  <c r="BE4" i="27" s="1"/>
  <c r="G7" i="27"/>
  <c r="G6" i="27" s="1"/>
  <c r="G5" i="27" s="1"/>
  <c r="G4" i="27" s="1"/>
  <c r="X7" i="27"/>
  <c r="X6" i="27" s="1"/>
  <c r="X5" i="27" s="1"/>
  <c r="X4" i="27" s="1"/>
  <c r="AP7" i="27"/>
  <c r="AP6" i="27" s="1"/>
  <c r="AP5" i="27" s="1"/>
  <c r="AP4" i="27" s="1"/>
  <c r="BI7" i="27"/>
  <c r="BI6" i="27" s="1"/>
  <c r="BI5" i="27" s="1"/>
  <c r="BI4" i="27" s="1"/>
  <c r="AO7" i="27"/>
  <c r="AO6" i="27" s="1"/>
  <c r="AO5" i="27" s="1"/>
  <c r="AO4" i="27" s="1"/>
  <c r="BH7" i="27"/>
  <c r="BH6" i="27" s="1"/>
  <c r="BH5" i="27" s="1"/>
  <c r="BH4" i="27" s="1"/>
  <c r="J7" i="27"/>
  <c r="J6" i="27" s="1"/>
  <c r="J5" i="27" s="1"/>
  <c r="J4" i="27" s="1"/>
  <c r="AA7" i="27"/>
  <c r="AA6" i="27" s="1"/>
  <c r="AA5" i="27" s="1"/>
  <c r="AA4" i="27" s="1"/>
  <c r="AS7" i="27"/>
  <c r="AS6" i="27" s="1"/>
  <c r="AS5" i="27" s="1"/>
  <c r="AS4" i="27" s="1"/>
  <c r="BJ7" i="27"/>
  <c r="BJ6" i="27" s="1"/>
  <c r="BJ5" i="27" s="1"/>
  <c r="BJ4" i="27" s="1"/>
  <c r="H7" i="27"/>
  <c r="H6" i="27" s="1"/>
  <c r="H5" i="27" s="1"/>
  <c r="H4" i="27" s="1"/>
  <c r="AQ7" i="27"/>
  <c r="AQ6" i="27" s="1"/>
  <c r="AQ5" i="27" s="1"/>
  <c r="AQ4" i="27" s="1"/>
  <c r="BL7" i="27"/>
  <c r="BL6" i="27" s="1"/>
  <c r="BL5" i="27" s="1"/>
  <c r="BL4" i="27" s="1"/>
  <c r="O7" i="27"/>
  <c r="O6" i="27" s="1"/>
  <c r="O5" i="27" s="1"/>
  <c r="O4" i="27" s="1"/>
  <c r="AG7" i="27"/>
  <c r="AG6" i="27" s="1"/>
  <c r="AG5" i="27" s="1"/>
  <c r="AG4" i="27" s="1"/>
  <c r="AX7" i="27"/>
  <c r="AX6" i="27" s="1"/>
  <c r="AX5" i="27" s="1"/>
  <c r="AX4" i="27" s="1"/>
  <c r="BO7" i="27"/>
  <c r="BO6" i="27" s="1"/>
  <c r="BO5" i="27" s="1"/>
  <c r="BO4" i="27" s="1"/>
  <c r="BP7" i="27"/>
  <c r="BP6" i="27" s="1"/>
  <c r="BP5" i="27" s="1"/>
  <c r="BP4" i="27" s="1"/>
  <c r="AH7" i="27"/>
  <c r="AH6" i="27" s="1"/>
  <c r="AH5" i="27" s="1"/>
  <c r="AH4" i="27" s="1"/>
  <c r="AY7" i="27"/>
  <c r="AY6" i="27" s="1"/>
  <c r="AY5" i="27" s="1"/>
  <c r="AY4" i="27" s="1"/>
  <c r="BQ7" i="27"/>
  <c r="BQ6" i="27" s="1"/>
  <c r="BQ5" i="27" s="1"/>
  <c r="BQ4" i="27" s="1"/>
  <c r="BS7" i="27"/>
  <c r="BS6" i="27" s="1"/>
  <c r="BS5" i="27" s="1"/>
  <c r="BS4" i="27" s="1"/>
  <c r="Q7" i="27"/>
  <c r="Q6" i="27" s="1"/>
  <c r="Q5" i="27" s="1"/>
  <c r="Q4" i="27" s="1"/>
  <c r="AI7" i="27"/>
  <c r="AI6" i="27" s="1"/>
  <c r="AI5" i="27" s="1"/>
  <c r="AI4" i="27" s="1"/>
  <c r="AZ7" i="27"/>
  <c r="AZ6" i="27" s="1"/>
  <c r="AZ5" i="27" s="1"/>
  <c r="AZ4" i="27" s="1"/>
  <c r="BR7" i="27"/>
  <c r="BR6" i="27" s="1"/>
  <c r="BR5" i="27" s="1"/>
  <c r="BR4" i="27" s="1"/>
  <c r="AK7" i="27"/>
  <c r="AK6" i="27" s="1"/>
  <c r="AK5" i="27" s="1"/>
  <c r="AK4" i="27" s="1"/>
  <c r="BB7" i="27"/>
  <c r="BB6" i="27" s="1"/>
  <c r="BB5" i="27" s="1"/>
  <c r="BB4" i="27" s="1"/>
  <c r="AC7" i="27"/>
  <c r="AC6" i="27" s="1"/>
  <c r="AC5" i="27" s="1"/>
  <c r="AC4" i="27" s="1"/>
  <c r="R7" i="27"/>
  <c r="R6" i="27" s="1"/>
  <c r="R5" i="27" s="1"/>
  <c r="R4" i="27" s="1"/>
  <c r="AJ7" i="27"/>
  <c r="AJ6" i="27" s="1"/>
  <c r="AJ5" i="27" s="1"/>
  <c r="AJ4" i="27" s="1"/>
  <c r="BA7" i="27"/>
  <c r="BA6" i="27" s="1"/>
  <c r="BA5" i="27" s="1"/>
  <c r="BA4" i="27" s="1"/>
  <c r="F7" i="27"/>
  <c r="F6" i="27" s="1"/>
  <c r="F5" i="27" s="1"/>
  <c r="F4" i="27" s="1"/>
  <c r="W7" i="27"/>
  <c r="W6" i="27" s="1"/>
  <c r="W5" i="27" s="1"/>
  <c r="W4" i="27" s="1"/>
  <c r="C7" i="27"/>
  <c r="C6" i="27" s="1"/>
  <c r="C5" i="27" s="1"/>
  <c r="C4" i="27" s="1"/>
  <c r="T7" i="27"/>
  <c r="T6" i="27" s="1"/>
  <c r="T5" i="27" s="1"/>
  <c r="T4" i="27" s="1"/>
  <c r="AL7" i="27"/>
  <c r="AL6" i="27" s="1"/>
  <c r="AL5" i="27" s="1"/>
  <c r="AL4" i="27" s="1"/>
  <c r="BC7" i="27"/>
  <c r="BC6" i="27" s="1"/>
  <c r="BC5" i="27" s="1"/>
  <c r="BC4" i="27" s="1"/>
  <c r="S7" i="27"/>
  <c r="S6" i="27" s="1"/>
  <c r="S5" i="27" s="1"/>
  <c r="S4" i="27" s="1"/>
  <c r="D7" i="27"/>
  <c r="D6" i="27" s="1"/>
  <c r="D5" i="27" s="1"/>
  <c r="D4" i="27" s="1"/>
  <c r="U7" i="27"/>
  <c r="U6" i="27" s="1"/>
  <c r="U5" i="27" s="1"/>
  <c r="U4" i="27" s="1"/>
  <c r="AM7" i="27"/>
  <c r="AM6" i="27" s="1"/>
  <c r="AM5" i="27" s="1"/>
  <c r="AM4" i="27" s="1"/>
  <c r="BD7" i="27"/>
  <c r="BD6" i="27" s="1"/>
  <c r="BD5" i="27" s="1"/>
  <c r="BD4" i="27" s="1"/>
  <c r="E7" i="27"/>
  <c r="E6" i="27" s="1"/>
  <c r="E5" i="27" s="1"/>
  <c r="E4" i="27" s="1"/>
  <c r="V7" i="27"/>
  <c r="V6" i="27" s="1"/>
  <c r="V5" i="27" s="1"/>
  <c r="V4" i="27" s="1"/>
  <c r="V38" i="17"/>
  <c r="U38" i="17"/>
  <c r="U45" i="17" l="1"/>
  <c r="U42" i="17"/>
  <c r="V42" i="17"/>
  <c r="V45" i="17"/>
  <c r="W82" i="17"/>
  <c r="Z40" i="23"/>
  <c r="Z39" i="23"/>
  <c r="Z38" i="23"/>
  <c r="AA38" i="23" s="1"/>
  <c r="Z37" i="23"/>
  <c r="Z34" i="23"/>
  <c r="AA34" i="23" s="1"/>
  <c r="AB34" i="23" s="1"/>
  <c r="Z33" i="23"/>
  <c r="AA33" i="23" s="1"/>
  <c r="Z32" i="23"/>
  <c r="AA32" i="23" s="1"/>
  <c r="AB32" i="23" s="1"/>
  <c r="Z31" i="23"/>
  <c r="AA31" i="23" s="1"/>
  <c r="Z30" i="23"/>
  <c r="D30" i="23"/>
  <c r="W28" i="17"/>
  <c r="T28" i="17"/>
  <c r="S28" i="17"/>
  <c r="R28" i="17"/>
  <c r="Q28" i="17"/>
  <c r="W31" i="17"/>
  <c r="T31" i="17"/>
  <c r="S31" i="17"/>
  <c r="R31" i="17"/>
  <c r="Q31" i="17"/>
  <c r="W24" i="17"/>
  <c r="T24" i="17"/>
  <c r="S24" i="17"/>
  <c r="R24" i="17"/>
  <c r="Q24" i="17"/>
  <c r="T11" i="17"/>
  <c r="S11" i="17"/>
  <c r="R11" i="17"/>
  <c r="Q11" i="17"/>
  <c r="DZ24" i="23"/>
  <c r="EG24" i="23" s="1"/>
  <c r="DY24" i="23"/>
  <c r="EF24" i="23" s="1"/>
  <c r="DZ23" i="23"/>
  <c r="EG23" i="23" s="1"/>
  <c r="DY23" i="23"/>
  <c r="EF23" i="23" s="1"/>
  <c r="DZ22" i="23"/>
  <c r="EG22" i="23" s="1"/>
  <c r="DY22" i="23"/>
  <c r="EF22" i="23" s="1"/>
  <c r="DY21" i="23"/>
  <c r="EF21" i="23" s="1"/>
  <c r="DZ20" i="23"/>
  <c r="EG20" i="23" s="1"/>
  <c r="DY20" i="23"/>
  <c r="EF20" i="23" s="1"/>
  <c r="DX20" i="23"/>
  <c r="EE20" i="23" s="1"/>
  <c r="DZ19" i="23"/>
  <c r="EG19" i="23" s="1"/>
  <c r="DX19" i="23"/>
  <c r="EE19" i="23" s="1"/>
  <c r="DX18" i="23"/>
  <c r="EE18" i="23" s="1"/>
  <c r="DZ18" i="23"/>
  <c r="EG18" i="23" s="1"/>
  <c r="DY18" i="23"/>
  <c r="EF18" i="23" s="1"/>
  <c r="DZ17" i="23"/>
  <c r="EG17" i="23" s="1"/>
  <c r="DY17" i="23"/>
  <c r="EF17" i="23" s="1"/>
  <c r="DX17" i="23"/>
  <c r="EE17" i="23" s="1"/>
  <c r="DZ16" i="23"/>
  <c r="EG16" i="23" s="1"/>
  <c r="DY16" i="23"/>
  <c r="EF16" i="23" s="1"/>
  <c r="DX15" i="23"/>
  <c r="EE15" i="23" s="1"/>
  <c r="DZ15" i="23"/>
  <c r="EG15" i="23" s="1"/>
  <c r="DY15" i="23"/>
  <c r="EF15" i="23" s="1"/>
  <c r="DZ12" i="23"/>
  <c r="EG12" i="23" s="1"/>
  <c r="DY12" i="23"/>
  <c r="EF12" i="23" s="1"/>
  <c r="DZ11" i="23"/>
  <c r="EG11" i="23" s="1"/>
  <c r="DX11" i="23"/>
  <c r="EE11" i="23" s="1"/>
  <c r="DZ10" i="23"/>
  <c r="EG10" i="23" s="1"/>
  <c r="DX10" i="23"/>
  <c r="EE10" i="23" s="1"/>
  <c r="DZ9" i="23"/>
  <c r="EG9" i="23" s="1"/>
  <c r="DX9" i="23"/>
  <c r="EE9" i="23" s="1"/>
  <c r="DY9" i="23"/>
  <c r="EF9" i="23" s="1"/>
  <c r="DY8" i="23"/>
  <c r="EF8" i="23" s="1"/>
  <c r="DX8" i="23"/>
  <c r="EE8" i="23" s="1"/>
  <c r="DZ8" i="23"/>
  <c r="EG8" i="23" s="1"/>
  <c r="DZ7" i="23"/>
  <c r="EG7" i="23" s="1"/>
  <c r="DY7" i="23"/>
  <c r="EF7" i="23" s="1"/>
  <c r="DZ6" i="23"/>
  <c r="EG6" i="23" s="1"/>
  <c r="DX6" i="23"/>
  <c r="EE6" i="23" s="1"/>
  <c r="DY6" i="23"/>
  <c r="EF6" i="23" s="1"/>
  <c r="DZ5" i="23"/>
  <c r="EG5" i="23" s="1"/>
  <c r="DP13" i="23"/>
  <c r="DP14" i="23" s="1"/>
  <c r="DO13" i="23"/>
  <c r="DO14" i="23" s="1"/>
  <c r="DY5" i="23"/>
  <c r="EF5" i="23" s="1"/>
  <c r="DZ4" i="23"/>
  <c r="EG4" i="23" s="1"/>
  <c r="DY4" i="23"/>
  <c r="EF4" i="23" s="1"/>
  <c r="DW13" i="23"/>
  <c r="DW14" i="23" s="1"/>
  <c r="DV13" i="23"/>
  <c r="DV14" i="23" s="1"/>
  <c r="DU13" i="23"/>
  <c r="DU14" i="23" s="1"/>
  <c r="DT13" i="23"/>
  <c r="DT14" i="23" s="1"/>
  <c r="DS13" i="23"/>
  <c r="DS14" i="23" s="1"/>
  <c r="DR13" i="23"/>
  <c r="DQ13" i="23"/>
  <c r="DQ14" i="23" s="1"/>
  <c r="DN13" i="23"/>
  <c r="DN14" i="23" s="1"/>
  <c r="DM13" i="23"/>
  <c r="DM14" i="23" s="1"/>
  <c r="DL13" i="23"/>
  <c r="Y27" i="23"/>
  <c r="Y36" i="23"/>
  <c r="Y29" i="23"/>
  <c r="D34" i="23"/>
  <c r="AL25" i="26"/>
  <c r="AK25" i="26"/>
  <c r="AJ25" i="26"/>
  <c r="AI25" i="26"/>
  <c r="O32" i="17" l="1"/>
  <c r="H29" i="17"/>
  <c r="E25" i="17"/>
  <c r="R25" i="17"/>
  <c r="T25" i="17"/>
  <c r="E32" i="23"/>
  <c r="V28" i="17"/>
  <c r="V29" i="17" s="1"/>
  <c r="F38" i="23"/>
  <c r="D40" i="23"/>
  <c r="D39" i="23"/>
  <c r="U28" i="17"/>
  <c r="U29" i="17" s="1"/>
  <c r="R29" i="17"/>
  <c r="T29" i="17"/>
  <c r="U11" i="17"/>
  <c r="E30" i="23"/>
  <c r="N25" i="17"/>
  <c r="O25" i="17"/>
  <c r="P25" i="17"/>
  <c r="E31" i="23"/>
  <c r="V24" i="17"/>
  <c r="V25" i="17" s="1"/>
  <c r="Z29" i="23"/>
  <c r="S27" i="23"/>
  <c r="I25" i="17"/>
  <c r="S29" i="17"/>
  <c r="T27" i="23"/>
  <c r="F25" i="17"/>
  <c r="G25" i="17"/>
  <c r="H25" i="17"/>
  <c r="J25" i="17"/>
  <c r="K25" i="17"/>
  <c r="P32" i="17"/>
  <c r="L25" i="17"/>
  <c r="Q27" i="23"/>
  <c r="D37" i="23"/>
  <c r="M25" i="17"/>
  <c r="V11" i="17"/>
  <c r="U31" i="17"/>
  <c r="U32" i="17" s="1"/>
  <c r="R27" i="23"/>
  <c r="T32" i="17"/>
  <c r="F34" i="23"/>
  <c r="AA30" i="23"/>
  <c r="AA29" i="23" s="1"/>
  <c r="D38" i="23"/>
  <c r="E32" i="17"/>
  <c r="R32" i="17"/>
  <c r="G32" i="17"/>
  <c r="D33" i="23"/>
  <c r="U24" i="17"/>
  <c r="U25" i="17" s="1"/>
  <c r="L29" i="17"/>
  <c r="J32" i="17"/>
  <c r="Q25" i="17"/>
  <c r="M29" i="17"/>
  <c r="K32" i="17"/>
  <c r="E37" i="23"/>
  <c r="S32" i="17"/>
  <c r="F32" i="17"/>
  <c r="D32" i="23"/>
  <c r="N29" i="17"/>
  <c r="L32" i="17"/>
  <c r="Q32" i="17"/>
  <c r="H32" i="17"/>
  <c r="K29" i="17"/>
  <c r="E34" i="23"/>
  <c r="S25" i="17"/>
  <c r="O29" i="17"/>
  <c r="M32" i="17"/>
  <c r="J29" i="17"/>
  <c r="D31" i="23"/>
  <c r="E38" i="23"/>
  <c r="E33" i="23"/>
  <c r="P29" i="17"/>
  <c r="N32" i="17"/>
  <c r="Z27" i="23"/>
  <c r="I29" i="17"/>
  <c r="I32" i="17"/>
  <c r="V31" i="17"/>
  <c r="V32" i="17" s="1"/>
  <c r="Q29" i="17"/>
  <c r="E40" i="23"/>
  <c r="E39" i="23"/>
  <c r="AA37" i="23"/>
  <c r="AA40" i="23"/>
  <c r="AB38" i="23"/>
  <c r="Z36" i="23"/>
  <c r="AA39" i="23"/>
  <c r="AC32" i="23"/>
  <c r="G32" i="23"/>
  <c r="AB33" i="23"/>
  <c r="F33" i="23"/>
  <c r="AC34" i="23"/>
  <c r="G34" i="23"/>
  <c r="F32" i="23"/>
  <c r="AB31" i="23"/>
  <c r="F31" i="23"/>
  <c r="P27" i="23"/>
  <c r="E29" i="17"/>
  <c r="F29" i="17"/>
  <c r="G29" i="17"/>
  <c r="DY13" i="23"/>
  <c r="DX13" i="23"/>
  <c r="DL14" i="23"/>
  <c r="DZ13" i="23"/>
  <c r="DR14" i="23"/>
  <c r="DL25" i="23"/>
  <c r="DY19" i="23"/>
  <c r="EF19" i="23" s="1"/>
  <c r="DY10" i="23"/>
  <c r="EF10" i="23" s="1"/>
  <c r="DX3" i="23"/>
  <c r="EE3" i="23" s="1"/>
  <c r="DY3" i="23"/>
  <c r="EF3" i="23" s="1"/>
  <c r="DX21" i="23"/>
  <c r="EE21" i="23" s="1"/>
  <c r="DZ3" i="23"/>
  <c r="EG3" i="23" s="1"/>
  <c r="DX12" i="23"/>
  <c r="EE12" i="23" s="1"/>
  <c r="DZ21" i="23"/>
  <c r="EG21" i="23" s="1"/>
  <c r="DX5" i="23"/>
  <c r="EE5" i="23" s="1"/>
  <c r="DX23" i="23"/>
  <c r="EE23" i="23" s="1"/>
  <c r="DX16" i="23"/>
  <c r="EE16" i="23" s="1"/>
  <c r="DX7" i="23"/>
  <c r="EE7" i="23" s="1"/>
  <c r="DY11" i="23"/>
  <c r="EF11" i="23" s="1"/>
  <c r="DX4" i="23"/>
  <c r="EE4" i="23" s="1"/>
  <c r="DX22" i="23"/>
  <c r="EE22" i="23" s="1"/>
  <c r="DX24" i="23"/>
  <c r="EE24" i="23" s="1"/>
  <c r="AP25" i="26"/>
  <c r="AQ25" i="26"/>
  <c r="AM25" i="26"/>
  <c r="AE25" i="26"/>
  <c r="U50" i="26"/>
  <c r="T50" i="26"/>
  <c r="S50" i="26"/>
  <c r="AW96" i="25"/>
  <c r="AV96" i="25"/>
  <c r="AU96" i="25"/>
  <c r="AT96" i="25"/>
  <c r="AS96" i="25"/>
  <c r="AR96" i="25"/>
  <c r="AQ96" i="25"/>
  <c r="AP96" i="25"/>
  <c r="AO96" i="25"/>
  <c r="AN96" i="25"/>
  <c r="AM96" i="25"/>
  <c r="AL96" i="25"/>
  <c r="AW92" i="25"/>
  <c r="AV92" i="25"/>
  <c r="AU92" i="25"/>
  <c r="AT92" i="25"/>
  <c r="AS92" i="25"/>
  <c r="AR92" i="25"/>
  <c r="AQ92" i="25"/>
  <c r="AP92" i="25"/>
  <c r="AO92" i="25"/>
  <c r="AN92" i="25"/>
  <c r="AM92" i="25"/>
  <c r="AL92" i="25"/>
  <c r="AW88" i="25"/>
  <c r="AV88" i="25"/>
  <c r="AU88" i="25"/>
  <c r="AT88" i="25"/>
  <c r="AS88" i="25"/>
  <c r="AR88" i="25"/>
  <c r="AQ88" i="25"/>
  <c r="AP88" i="25"/>
  <c r="AO88" i="25"/>
  <c r="AN88" i="25"/>
  <c r="AM88" i="25"/>
  <c r="AL88" i="25"/>
  <c r="AW84" i="25"/>
  <c r="AV84" i="25"/>
  <c r="AU84" i="25"/>
  <c r="AT84" i="25"/>
  <c r="AS84" i="25"/>
  <c r="AR84" i="25"/>
  <c r="AQ84" i="25"/>
  <c r="AP84" i="25"/>
  <c r="AO84" i="25"/>
  <c r="AN84" i="25"/>
  <c r="AM84" i="25"/>
  <c r="AL84" i="25"/>
  <c r="AW77" i="25"/>
  <c r="AV77" i="25"/>
  <c r="AU77" i="25"/>
  <c r="AT77" i="25"/>
  <c r="AS77" i="25"/>
  <c r="AR77" i="25"/>
  <c r="AQ77" i="25"/>
  <c r="AP77" i="25"/>
  <c r="AO77" i="25"/>
  <c r="AN77" i="25"/>
  <c r="AM77" i="25"/>
  <c r="AL77" i="25"/>
  <c r="AW70" i="25"/>
  <c r="AV70" i="25"/>
  <c r="AU70" i="25"/>
  <c r="AT70" i="25"/>
  <c r="AS70" i="25"/>
  <c r="AR70" i="25"/>
  <c r="AQ70" i="25"/>
  <c r="AP70" i="25"/>
  <c r="AO70" i="25"/>
  <c r="AN70" i="25"/>
  <c r="AM70" i="25"/>
  <c r="AL70" i="25"/>
  <c r="AW66" i="25"/>
  <c r="AV66" i="25"/>
  <c r="AU66" i="25"/>
  <c r="AT66" i="25"/>
  <c r="AS66" i="25"/>
  <c r="AR66" i="25"/>
  <c r="AQ66" i="25"/>
  <c r="AP66" i="25"/>
  <c r="AO66" i="25"/>
  <c r="AN66" i="25"/>
  <c r="AM66" i="25"/>
  <c r="AL66" i="25"/>
  <c r="AW62" i="25"/>
  <c r="AV62" i="25"/>
  <c r="AU62" i="25"/>
  <c r="AT62" i="25"/>
  <c r="AS62" i="25"/>
  <c r="AR62" i="25"/>
  <c r="AQ62" i="25"/>
  <c r="AP62" i="25"/>
  <c r="AO62" i="25"/>
  <c r="AN62" i="25"/>
  <c r="AM62" i="25"/>
  <c r="AL62" i="25"/>
  <c r="AW61" i="25"/>
  <c r="AV61" i="25"/>
  <c r="AU61" i="25"/>
  <c r="AT61" i="25"/>
  <c r="AS61" i="25"/>
  <c r="AR61" i="25"/>
  <c r="AQ61" i="25"/>
  <c r="AP61" i="25"/>
  <c r="AO61" i="25"/>
  <c r="AN61" i="25"/>
  <c r="AM61" i="25"/>
  <c r="AL61" i="25"/>
  <c r="AW59" i="25"/>
  <c r="AV59" i="25"/>
  <c r="AU59" i="25"/>
  <c r="AT59" i="25"/>
  <c r="AS59" i="25"/>
  <c r="AR59" i="25"/>
  <c r="AQ59" i="25"/>
  <c r="AP59" i="25"/>
  <c r="AO59" i="25"/>
  <c r="AN59" i="25"/>
  <c r="AM59" i="25"/>
  <c r="AL59" i="25"/>
  <c r="AW57" i="25"/>
  <c r="AV57" i="25"/>
  <c r="AU57" i="25"/>
  <c r="AT57" i="25"/>
  <c r="AS57" i="25"/>
  <c r="AR57" i="25"/>
  <c r="AQ57" i="25"/>
  <c r="AP57" i="25"/>
  <c r="AO57" i="25"/>
  <c r="AN57" i="25"/>
  <c r="AM57" i="25"/>
  <c r="AL57" i="25"/>
  <c r="AW55" i="25"/>
  <c r="AV55" i="25"/>
  <c r="AU55" i="25"/>
  <c r="AT55" i="25"/>
  <c r="AS55" i="25"/>
  <c r="AR55" i="25"/>
  <c r="AQ55" i="25"/>
  <c r="AP55" i="25"/>
  <c r="AO55" i="25"/>
  <c r="AN55" i="25"/>
  <c r="AM55" i="25"/>
  <c r="AL55" i="25"/>
  <c r="AW53" i="25"/>
  <c r="AV53" i="25"/>
  <c r="AU53" i="25"/>
  <c r="AT53" i="25"/>
  <c r="AS53" i="25"/>
  <c r="AR53" i="25"/>
  <c r="AQ53" i="25"/>
  <c r="AP53" i="25"/>
  <c r="AO53" i="25"/>
  <c r="AN53" i="25"/>
  <c r="AM53" i="25"/>
  <c r="AL53" i="25"/>
  <c r="AW51" i="25"/>
  <c r="AV51" i="25"/>
  <c r="AU51" i="25"/>
  <c r="AT51" i="25"/>
  <c r="AS51" i="25"/>
  <c r="AR51" i="25"/>
  <c r="AQ51" i="25"/>
  <c r="AP51" i="25"/>
  <c r="AO51" i="25"/>
  <c r="AN51" i="25"/>
  <c r="AM51" i="25"/>
  <c r="AL51" i="25"/>
  <c r="AW49" i="25"/>
  <c r="AV49" i="25"/>
  <c r="AU49" i="25"/>
  <c r="AT49" i="25"/>
  <c r="AS49" i="25"/>
  <c r="AR49" i="25"/>
  <c r="AQ49" i="25"/>
  <c r="AP49" i="25"/>
  <c r="AO49" i="25"/>
  <c r="AN49" i="25"/>
  <c r="AM49" i="25"/>
  <c r="AL49" i="25"/>
  <c r="AW47" i="25"/>
  <c r="AV47" i="25"/>
  <c r="AU47" i="25"/>
  <c r="AT47" i="25"/>
  <c r="AS47" i="25"/>
  <c r="AR47" i="25"/>
  <c r="AQ47" i="25"/>
  <c r="AP47" i="25"/>
  <c r="AO47" i="25"/>
  <c r="AN47" i="25"/>
  <c r="AM47" i="25"/>
  <c r="AL47" i="25"/>
  <c r="AW45" i="25"/>
  <c r="AV45" i="25"/>
  <c r="AU45" i="25"/>
  <c r="AT45" i="25"/>
  <c r="AS45" i="25"/>
  <c r="AR45" i="25"/>
  <c r="AQ45" i="25"/>
  <c r="AP45" i="25"/>
  <c r="AO45" i="25"/>
  <c r="AN45" i="25"/>
  <c r="AM45" i="25"/>
  <c r="AL45" i="25"/>
  <c r="AW43" i="25"/>
  <c r="AV43" i="25"/>
  <c r="AU43" i="25"/>
  <c r="AT43" i="25"/>
  <c r="AS43" i="25"/>
  <c r="AR43" i="25"/>
  <c r="AQ43" i="25"/>
  <c r="AP43" i="25"/>
  <c r="AO43" i="25"/>
  <c r="AN43" i="25"/>
  <c r="AM43" i="25"/>
  <c r="AL43" i="25"/>
  <c r="AW38" i="25"/>
  <c r="AV38" i="25"/>
  <c r="AU38" i="25"/>
  <c r="AT38" i="25"/>
  <c r="AS38" i="25"/>
  <c r="AR38" i="25"/>
  <c r="AQ38" i="25"/>
  <c r="AP38" i="25"/>
  <c r="AO38" i="25"/>
  <c r="AN38" i="25"/>
  <c r="AM38" i="25"/>
  <c r="AL38" i="25"/>
  <c r="AW28" i="25"/>
  <c r="AV28" i="25"/>
  <c r="AU28" i="25"/>
  <c r="AT28" i="25"/>
  <c r="AS28" i="25"/>
  <c r="AR28" i="25"/>
  <c r="AQ28" i="25"/>
  <c r="AP28" i="25"/>
  <c r="AO28" i="25"/>
  <c r="AN28" i="25"/>
  <c r="AM28" i="25"/>
  <c r="AL28" i="25"/>
  <c r="AW21" i="25"/>
  <c r="AV21" i="25"/>
  <c r="AU21" i="25"/>
  <c r="AT21" i="25"/>
  <c r="AS21" i="25"/>
  <c r="AR21" i="25"/>
  <c r="AQ21" i="25"/>
  <c r="AP21" i="25"/>
  <c r="AO21" i="25"/>
  <c r="AN21" i="25"/>
  <c r="AM21" i="25"/>
  <c r="AL21" i="25"/>
  <c r="AW17" i="25"/>
  <c r="AV17" i="25"/>
  <c r="AU17" i="25"/>
  <c r="AT17" i="25"/>
  <c r="AS17" i="25"/>
  <c r="AR17" i="25"/>
  <c r="AQ17" i="25"/>
  <c r="AP17" i="25"/>
  <c r="AO17" i="25"/>
  <c r="AN17" i="25"/>
  <c r="AM17" i="25"/>
  <c r="AL17" i="25"/>
  <c r="AW10" i="25"/>
  <c r="AV10" i="25"/>
  <c r="AU10" i="25"/>
  <c r="AT10" i="25"/>
  <c r="AS10" i="25"/>
  <c r="AR10" i="25"/>
  <c r="AQ10" i="25"/>
  <c r="AP10" i="25"/>
  <c r="AO10" i="25"/>
  <c r="AN10" i="25"/>
  <c r="AM10" i="25"/>
  <c r="AL10" i="25"/>
  <c r="AW6" i="25"/>
  <c r="AV6" i="25"/>
  <c r="AU6" i="25"/>
  <c r="AT6" i="25"/>
  <c r="AS6" i="25"/>
  <c r="AR6" i="25"/>
  <c r="AQ6" i="25"/>
  <c r="AP6" i="25"/>
  <c r="AO6" i="25"/>
  <c r="AN6" i="25"/>
  <c r="AM6" i="25"/>
  <c r="AL6" i="25"/>
  <c r="AW3" i="25"/>
  <c r="AV3" i="25"/>
  <c r="AU3" i="25"/>
  <c r="AT3" i="25"/>
  <c r="AS3" i="25"/>
  <c r="AR3" i="25"/>
  <c r="AQ3" i="25"/>
  <c r="AP3" i="25"/>
  <c r="AO3" i="25"/>
  <c r="T9" i="11"/>
  <c r="AM60" i="25" s="1"/>
  <c r="T8" i="11"/>
  <c r="AW99" i="25" s="1"/>
  <c r="T7" i="11"/>
  <c r="AO97" i="25" s="1"/>
  <c r="T6" i="11"/>
  <c r="AS98" i="25" s="1"/>
  <c r="E36" i="23" l="1"/>
  <c r="S34" i="23"/>
  <c r="S33" i="23"/>
  <c r="S32" i="23"/>
  <c r="S38" i="23"/>
  <c r="S31" i="23"/>
  <c r="D36" i="23"/>
  <c r="E29" i="23"/>
  <c r="AB30" i="23"/>
  <c r="F30" i="23"/>
  <c r="S30" i="23" s="1"/>
  <c r="AA27" i="23"/>
  <c r="D29" i="23"/>
  <c r="AB39" i="23"/>
  <c r="F39" i="23"/>
  <c r="G38" i="23"/>
  <c r="AC38" i="23"/>
  <c r="AB40" i="23"/>
  <c r="F40" i="23"/>
  <c r="F37" i="23"/>
  <c r="AB37" i="23"/>
  <c r="AA36" i="23"/>
  <c r="AD34" i="23"/>
  <c r="H34" i="23"/>
  <c r="AC33" i="23"/>
  <c r="G33" i="23"/>
  <c r="H32" i="23"/>
  <c r="AD32" i="23"/>
  <c r="G31" i="23"/>
  <c r="AC31" i="23"/>
  <c r="EG13" i="23"/>
  <c r="DZ14" i="23"/>
  <c r="EE13" i="23"/>
  <c r="DX14" i="23"/>
  <c r="EF13" i="23"/>
  <c r="DY14" i="23"/>
  <c r="AR25" i="26"/>
  <c r="AI50" i="26"/>
  <c r="AN25" i="26"/>
  <c r="AS4" i="25"/>
  <c r="AR20" i="25"/>
  <c r="AV13" i="25"/>
  <c r="AO9" i="25"/>
  <c r="AN9" i="25"/>
  <c r="AV16" i="25"/>
  <c r="AU4" i="25"/>
  <c r="AW9" i="25"/>
  <c r="AV4" i="25"/>
  <c r="AT24" i="25"/>
  <c r="AQ2" i="25"/>
  <c r="AU2" i="25"/>
  <c r="AW7" i="25"/>
  <c r="AT12" i="25"/>
  <c r="AV15" i="25"/>
  <c r="AP23" i="25"/>
  <c r="AP27" i="25"/>
  <c r="AW29" i="25"/>
  <c r="AL34" i="25"/>
  <c r="AP40" i="25"/>
  <c r="AN60" i="25"/>
  <c r="AN64" i="25"/>
  <c r="AT69" i="25"/>
  <c r="AM71" i="25"/>
  <c r="AN76" i="25"/>
  <c r="AU78" i="25"/>
  <c r="AU86" i="25"/>
  <c r="AP89" i="25"/>
  <c r="AO7" i="25"/>
  <c r="AV2" i="25"/>
  <c r="AL8" i="25"/>
  <c r="AU12" i="25"/>
  <c r="AR16" i="25"/>
  <c r="AQ23" i="25"/>
  <c r="AL30" i="25"/>
  <c r="AL35" i="25"/>
  <c r="AQ40" i="25"/>
  <c r="AO56" i="25"/>
  <c r="AO60" i="25"/>
  <c r="AO64" i="25"/>
  <c r="AU69" i="25"/>
  <c r="AN72" i="25"/>
  <c r="AO76" i="25"/>
  <c r="AV78" i="25"/>
  <c r="AV86" i="25"/>
  <c r="AQ89" i="25"/>
  <c r="AX3" i="25"/>
  <c r="AP2" i="25"/>
  <c r="AW2" i="25"/>
  <c r="AO4" i="25"/>
  <c r="AS8" i="25"/>
  <c r="AV12" i="25"/>
  <c r="AS16" i="25"/>
  <c r="AL18" i="25"/>
  <c r="AQ24" i="25"/>
  <c r="AL31" i="25"/>
  <c r="AM35" i="25"/>
  <c r="AR40" i="25"/>
  <c r="AP56" i="25"/>
  <c r="AV58" i="25"/>
  <c r="AP60" i="25"/>
  <c r="AP64" i="25"/>
  <c r="AV69" i="25"/>
  <c r="AO72" i="25"/>
  <c r="AP76" i="25"/>
  <c r="AW78" i="25"/>
  <c r="AW86" i="25"/>
  <c r="AR89" i="25"/>
  <c r="AP4" i="25"/>
  <c r="AT8" i="25"/>
  <c r="AN13" i="25"/>
  <c r="AT16" i="25"/>
  <c r="AM18" i="25"/>
  <c r="AR24" i="25"/>
  <c r="AM31" i="25"/>
  <c r="AN35" i="25"/>
  <c r="AS40" i="25"/>
  <c r="AO52" i="25"/>
  <c r="AQ56" i="25"/>
  <c r="AW58" i="25"/>
  <c r="AQ60" i="25"/>
  <c r="AQ64" i="25"/>
  <c r="AP72" i="25"/>
  <c r="AQ76" i="25"/>
  <c r="AL79" i="25"/>
  <c r="AL87" i="25"/>
  <c r="AS89" i="25"/>
  <c r="AR4" i="25"/>
  <c r="AU8" i="25"/>
  <c r="AO13" i="25"/>
  <c r="AU16" i="25"/>
  <c r="AN18" i="25"/>
  <c r="AS24" i="25"/>
  <c r="AN31" i="25"/>
  <c r="AO35" i="25"/>
  <c r="AT40" i="25"/>
  <c r="AP52" i="25"/>
  <c r="AW54" i="25"/>
  <c r="AR56" i="25"/>
  <c r="AR60" i="25"/>
  <c r="AR64" i="25"/>
  <c r="AX66" i="25"/>
  <c r="AQ72" i="25"/>
  <c r="AM80" i="25"/>
  <c r="AX88" i="25"/>
  <c r="AT90" i="25"/>
  <c r="AP93" i="25"/>
  <c r="AV8" i="25"/>
  <c r="AN19" i="25"/>
  <c r="AO31" i="25"/>
  <c r="AP35" i="25"/>
  <c r="AS41" i="25"/>
  <c r="AO48" i="25"/>
  <c r="AQ52" i="25"/>
  <c r="AS56" i="25"/>
  <c r="AR65" i="25"/>
  <c r="AR72" i="25"/>
  <c r="AN80" i="25"/>
  <c r="AU90" i="25"/>
  <c r="AQ93" i="25"/>
  <c r="AT4" i="25"/>
  <c r="AW8" i="25"/>
  <c r="AW13" i="25"/>
  <c r="AO19" i="25"/>
  <c r="AU24" i="25"/>
  <c r="AP31" i="25"/>
  <c r="AP36" i="25"/>
  <c r="AT41" i="25"/>
  <c r="AP48" i="25"/>
  <c r="AW50" i="25"/>
  <c r="AR52" i="25"/>
  <c r="AS65" i="25"/>
  <c r="AL67" i="25"/>
  <c r="AQ73" i="25"/>
  <c r="AO80" i="25"/>
  <c r="AV90" i="25"/>
  <c r="AR93" i="25"/>
  <c r="AL14" i="25"/>
  <c r="AP19" i="25"/>
  <c r="AT25" i="25"/>
  <c r="AP32" i="25"/>
  <c r="AQ36" i="25"/>
  <c r="AU41" i="25"/>
  <c r="AO44" i="25"/>
  <c r="AQ48" i="25"/>
  <c r="AX51" i="25"/>
  <c r="AS52" i="25"/>
  <c r="AT65" i="25"/>
  <c r="AM67" i="25"/>
  <c r="AR73" i="25"/>
  <c r="AP80" i="25"/>
  <c r="AW90" i="25"/>
  <c r="AS93" i="25"/>
  <c r="AN11" i="25"/>
  <c r="AM14" i="25"/>
  <c r="AQ19" i="25"/>
  <c r="AU25" i="25"/>
  <c r="AQ32" i="25"/>
  <c r="AR36" i="25"/>
  <c r="AV41" i="25"/>
  <c r="AP44" i="25"/>
  <c r="AW46" i="25"/>
  <c r="AR48" i="25"/>
  <c r="AU65" i="25"/>
  <c r="AN67" i="25"/>
  <c r="AS73" i="25"/>
  <c r="AQ81" i="25"/>
  <c r="AT94" i="25"/>
  <c r="AP97" i="25"/>
  <c r="AW4" i="25"/>
  <c r="AP9" i="25"/>
  <c r="AO11" i="25"/>
  <c r="AN14" i="25"/>
  <c r="AR19" i="25"/>
  <c r="AV25" i="25"/>
  <c r="AR32" i="25"/>
  <c r="AS36" i="25"/>
  <c r="AW41" i="25"/>
  <c r="AQ44" i="25"/>
  <c r="AX47" i="25"/>
  <c r="AS48" i="25"/>
  <c r="AV65" i="25"/>
  <c r="AN68" i="25"/>
  <c r="AT73" i="25"/>
  <c r="AR81" i="25"/>
  <c r="AU94" i="25"/>
  <c r="AQ97" i="25"/>
  <c r="AO5" i="25"/>
  <c r="AV9" i="25"/>
  <c r="AP11" i="25"/>
  <c r="AR14" i="25"/>
  <c r="AQ20" i="25"/>
  <c r="AW25" i="25"/>
  <c r="AS32" i="25"/>
  <c r="AT36" i="25"/>
  <c r="AW42" i="25"/>
  <c r="AR44" i="25"/>
  <c r="AO68" i="25"/>
  <c r="AU73" i="25"/>
  <c r="AS81" i="25"/>
  <c r="AV94" i="25"/>
  <c r="AR97" i="25"/>
  <c r="AQ11" i="25"/>
  <c r="AL22" i="25"/>
  <c r="AL26" i="25"/>
  <c r="AT32" i="25"/>
  <c r="AT37" i="25"/>
  <c r="AL39" i="25"/>
  <c r="AS44" i="25"/>
  <c r="AP68" i="25"/>
  <c r="AU74" i="25"/>
  <c r="AT81" i="25"/>
  <c r="AW94" i="25"/>
  <c r="AS97" i="25"/>
  <c r="AP7" i="25"/>
  <c r="AX10" i="25"/>
  <c r="AR11" i="25"/>
  <c r="AO15" i="25"/>
  <c r="AS20" i="25"/>
  <c r="AM22" i="25"/>
  <c r="AL27" i="25"/>
  <c r="AT33" i="25"/>
  <c r="AU37" i="25"/>
  <c r="AM39" i="25"/>
  <c r="AQ68" i="25"/>
  <c r="AV74" i="25"/>
  <c r="AU82" i="25"/>
  <c r="AQ85" i="25"/>
  <c r="AX96" i="25"/>
  <c r="AT98" i="25"/>
  <c r="AQ5" i="25"/>
  <c r="AR2" i="25"/>
  <c r="AS5" i="25"/>
  <c r="AQ7" i="25"/>
  <c r="AV11" i="25"/>
  <c r="AP15" i="25"/>
  <c r="AT20" i="25"/>
  <c r="AM23" i="25"/>
  <c r="AM27" i="25"/>
  <c r="AT29" i="25"/>
  <c r="AU33" i="25"/>
  <c r="AV37" i="25"/>
  <c r="AN39" i="25"/>
  <c r="AL63" i="25"/>
  <c r="AR68" i="25"/>
  <c r="AW74" i="25"/>
  <c r="AV82" i="25"/>
  <c r="AR85" i="25"/>
  <c r="AU98" i="25"/>
  <c r="AN15" i="25"/>
  <c r="AS2" i="25"/>
  <c r="AW5" i="25"/>
  <c r="AR7" i="25"/>
  <c r="AR12" i="25"/>
  <c r="AQ15" i="25"/>
  <c r="AU20" i="25"/>
  <c r="AN23" i="25"/>
  <c r="AN27" i="25"/>
  <c r="AU29" i="25"/>
  <c r="AV33" i="25"/>
  <c r="AW37" i="25"/>
  <c r="AO39" i="25"/>
  <c r="AM63" i="25"/>
  <c r="AR69" i="25"/>
  <c r="AL75" i="25"/>
  <c r="AW82" i="25"/>
  <c r="AS85" i="25"/>
  <c r="AV98" i="25"/>
  <c r="AP5" i="25"/>
  <c r="AT2" i="25"/>
  <c r="AS7" i="25"/>
  <c r="AS12" i="25"/>
  <c r="AR15" i="25"/>
  <c r="AO23" i="25"/>
  <c r="AO27" i="25"/>
  <c r="AV29" i="25"/>
  <c r="AW33" i="25"/>
  <c r="AP39" i="25"/>
  <c r="AN63" i="25"/>
  <c r="AS69" i="25"/>
  <c r="AL71" i="25"/>
  <c r="AM76" i="25"/>
  <c r="AL83" i="25"/>
  <c r="AT85" i="25"/>
  <c r="AW98" i="25"/>
  <c r="AX6" i="25"/>
  <c r="AX45" i="25"/>
  <c r="AN71" i="25"/>
  <c r="AM75" i="25"/>
  <c r="AM79" i="25"/>
  <c r="AM83" i="25"/>
  <c r="AQ80" i="25"/>
  <c r="AU81" i="25"/>
  <c r="AU85" i="25"/>
  <c r="AM87" i="25"/>
  <c r="AT89" i="25"/>
  <c r="AL91" i="25"/>
  <c r="AT93" i="25"/>
  <c r="AL95" i="25"/>
  <c r="AT97" i="25"/>
  <c r="AL99" i="25"/>
  <c r="AT7" i="25"/>
  <c r="AS11" i="25"/>
  <c r="AW12" i="25"/>
  <c r="AO14" i="25"/>
  <c r="AS15" i="25"/>
  <c r="AW16" i="25"/>
  <c r="AO18" i="25"/>
  <c r="AS19" i="25"/>
  <c r="AV20" i="25"/>
  <c r="AN22" i="25"/>
  <c r="AR23" i="25"/>
  <c r="AV24" i="25"/>
  <c r="AM26" i="25"/>
  <c r="AQ27" i="25"/>
  <c r="AM30" i="25"/>
  <c r="AQ31" i="25"/>
  <c r="AU32" i="25"/>
  <c r="AM34" i="25"/>
  <c r="AQ35" i="25"/>
  <c r="AU36" i="25"/>
  <c r="AQ39" i="25"/>
  <c r="AU40" i="25"/>
  <c r="AL42" i="25"/>
  <c r="AX43" i="25"/>
  <c r="AT44" i="25"/>
  <c r="AL46" i="25"/>
  <c r="AT48" i="25"/>
  <c r="AL50" i="25"/>
  <c r="AT52" i="25"/>
  <c r="AL54" i="25"/>
  <c r="AT56" i="25"/>
  <c r="AS60" i="25"/>
  <c r="AX61" i="25"/>
  <c r="AO63" i="25"/>
  <c r="AS64" i="25"/>
  <c r="AW65" i="25"/>
  <c r="AO67" i="25"/>
  <c r="AS68" i="25"/>
  <c r="AW69" i="25"/>
  <c r="AO71" i="25"/>
  <c r="AS72" i="25"/>
  <c r="AV73" i="25"/>
  <c r="AN75" i="25"/>
  <c r="AR76" i="25"/>
  <c r="AN79" i="25"/>
  <c r="AR80" i="25"/>
  <c r="AV81" i="25"/>
  <c r="AN83" i="25"/>
  <c r="AV85" i="25"/>
  <c r="AN87" i="25"/>
  <c r="AU89" i="25"/>
  <c r="AM91" i="25"/>
  <c r="AU93" i="25"/>
  <c r="AM95" i="25"/>
  <c r="AU97" i="25"/>
  <c r="AM99" i="25"/>
  <c r="AX17" i="25"/>
  <c r="AT19" i="25"/>
  <c r="AO22" i="25"/>
  <c r="AS23" i="25"/>
  <c r="AN26" i="25"/>
  <c r="AR27" i="25"/>
  <c r="AN30" i="25"/>
  <c r="AV32" i="25"/>
  <c r="AN34" i="25"/>
  <c r="AR35" i="25"/>
  <c r="AV36" i="25"/>
  <c r="AR39" i="25"/>
  <c r="AV40" i="25"/>
  <c r="AM42" i="25"/>
  <c r="AU44" i="25"/>
  <c r="AM46" i="25"/>
  <c r="AU48" i="25"/>
  <c r="AM50" i="25"/>
  <c r="AU52" i="25"/>
  <c r="AM54" i="25"/>
  <c r="AU56" i="25"/>
  <c r="AL58" i="25"/>
  <c r="AX59" i="25"/>
  <c r="AT60" i="25"/>
  <c r="AX62" i="25"/>
  <c r="AP63" i="25"/>
  <c r="AT64" i="25"/>
  <c r="AP67" i="25"/>
  <c r="AT68" i="25"/>
  <c r="AP71" i="25"/>
  <c r="AT72" i="25"/>
  <c r="AW73" i="25"/>
  <c r="AO75" i="25"/>
  <c r="AS76" i="25"/>
  <c r="AX77" i="25"/>
  <c r="AO79" i="25"/>
  <c r="AS80" i="25"/>
  <c r="AW81" i="25"/>
  <c r="AO83" i="25"/>
  <c r="AW85" i="25"/>
  <c r="AO87" i="25"/>
  <c r="AV89" i="25"/>
  <c r="AN91" i="25"/>
  <c r="AV93" i="25"/>
  <c r="AN95" i="25"/>
  <c r="AV97" i="25"/>
  <c r="AN99" i="25"/>
  <c r="AU7" i="25"/>
  <c r="AL9" i="25"/>
  <c r="AT11" i="25"/>
  <c r="AL13" i="25"/>
  <c r="AP14" i="25"/>
  <c r="AT15" i="25"/>
  <c r="AP18" i="25"/>
  <c r="AW20" i="25"/>
  <c r="AW24" i="25"/>
  <c r="AR31" i="25"/>
  <c r="AV7" i="25"/>
  <c r="AM9" i="25"/>
  <c r="AU11" i="25"/>
  <c r="AM13" i="25"/>
  <c r="AQ14" i="25"/>
  <c r="AU15" i="25"/>
  <c r="AQ18" i="25"/>
  <c r="AU19" i="25"/>
  <c r="AX21" i="25"/>
  <c r="AP22" i="25"/>
  <c r="AT23" i="25"/>
  <c r="AO26" i="25"/>
  <c r="AS27" i="25"/>
  <c r="AO30" i="25"/>
  <c r="AS31" i="25"/>
  <c r="AW32" i="25"/>
  <c r="AO34" i="25"/>
  <c r="AS35" i="25"/>
  <c r="AW36" i="25"/>
  <c r="AS39" i="25"/>
  <c r="AW40" i="25"/>
  <c r="AN42" i="25"/>
  <c r="AV44" i="25"/>
  <c r="AN46" i="25"/>
  <c r="AV48" i="25"/>
  <c r="AN50" i="25"/>
  <c r="AV52" i="25"/>
  <c r="AN54" i="25"/>
  <c r="AV56" i="25"/>
  <c r="AM58" i="25"/>
  <c r="AU60" i="25"/>
  <c r="AQ63" i="25"/>
  <c r="AU64" i="25"/>
  <c r="AQ67" i="25"/>
  <c r="AU68" i="25"/>
  <c r="AQ71" i="25"/>
  <c r="AU72" i="25"/>
  <c r="AL74" i="25"/>
  <c r="AP75" i="25"/>
  <c r="AT76" i="25"/>
  <c r="AL78" i="25"/>
  <c r="AP79" i="25"/>
  <c r="AT80" i="25"/>
  <c r="AL82" i="25"/>
  <c r="AP83" i="25"/>
  <c r="AL86" i="25"/>
  <c r="AP87" i="25"/>
  <c r="AW89" i="25"/>
  <c r="AO91" i="25"/>
  <c r="AW93" i="25"/>
  <c r="AO95" i="25"/>
  <c r="AW97" i="25"/>
  <c r="AO99" i="25"/>
  <c r="AR18" i="25"/>
  <c r="AV19" i="25"/>
  <c r="AQ22" i="25"/>
  <c r="AU23" i="25"/>
  <c r="AL25" i="25"/>
  <c r="AP26" i="25"/>
  <c r="AT27" i="25"/>
  <c r="AL29" i="25"/>
  <c r="AP30" i="25"/>
  <c r="AT31" i="25"/>
  <c r="AL33" i="25"/>
  <c r="AP34" i="25"/>
  <c r="AT35" i="25"/>
  <c r="AL37" i="25"/>
  <c r="AT39" i="25"/>
  <c r="AO42" i="25"/>
  <c r="AW44" i="25"/>
  <c r="AO46" i="25"/>
  <c r="AW48" i="25"/>
  <c r="AO50" i="25"/>
  <c r="AW52" i="25"/>
  <c r="AO54" i="25"/>
  <c r="AW56" i="25"/>
  <c r="AN58" i="25"/>
  <c r="AV60" i="25"/>
  <c r="AR63" i="25"/>
  <c r="AV64" i="25"/>
  <c r="AR67" i="25"/>
  <c r="AV68" i="25"/>
  <c r="AR71" i="25"/>
  <c r="AV72" i="25"/>
  <c r="AM74" i="25"/>
  <c r="AQ75" i="25"/>
  <c r="AU76" i="25"/>
  <c r="AM78" i="25"/>
  <c r="AQ79" i="25"/>
  <c r="AU80" i="25"/>
  <c r="AM82" i="25"/>
  <c r="AQ83" i="25"/>
  <c r="AM86" i="25"/>
  <c r="AQ87" i="25"/>
  <c r="AL90" i="25"/>
  <c r="AP91" i="25"/>
  <c r="AX92" i="25"/>
  <c r="AL94" i="25"/>
  <c r="AP95" i="25"/>
  <c r="AL98" i="25"/>
  <c r="AP99" i="25"/>
  <c r="AW11" i="25"/>
  <c r="AS14" i="25"/>
  <c r="AW15" i="25"/>
  <c r="AS18" i="25"/>
  <c r="AW19" i="25"/>
  <c r="AR22" i="25"/>
  <c r="AV23" i="25"/>
  <c r="AM25" i="25"/>
  <c r="AQ26" i="25"/>
  <c r="AU27" i="25"/>
  <c r="AM29" i="25"/>
  <c r="AQ30" i="25"/>
  <c r="AU31" i="25"/>
  <c r="AM33" i="25"/>
  <c r="AQ34" i="25"/>
  <c r="AU35" i="25"/>
  <c r="AM37" i="25"/>
  <c r="AX38" i="25"/>
  <c r="AU39" i="25"/>
  <c r="AL41" i="25"/>
  <c r="AP42" i="25"/>
  <c r="AP46" i="25"/>
  <c r="AX49" i="25"/>
  <c r="AP50" i="25"/>
  <c r="AX53" i="25"/>
  <c r="AP54" i="25"/>
  <c r="AO58" i="25"/>
  <c r="AW60" i="25"/>
  <c r="AS63" i="25"/>
  <c r="AW64" i="25"/>
  <c r="AS67" i="25"/>
  <c r="AW68" i="25"/>
  <c r="AS71" i="25"/>
  <c r="AW72" i="25"/>
  <c r="AN74" i="25"/>
  <c r="AR75" i="25"/>
  <c r="AV76" i="25"/>
  <c r="AN78" i="25"/>
  <c r="AR79" i="25"/>
  <c r="AV80" i="25"/>
  <c r="AN82" i="25"/>
  <c r="AR83" i="25"/>
  <c r="AN86" i="25"/>
  <c r="AR87" i="25"/>
  <c r="AM90" i="25"/>
  <c r="AQ91" i="25"/>
  <c r="AM94" i="25"/>
  <c r="AQ95" i="25"/>
  <c r="AM98" i="25"/>
  <c r="AQ99" i="25"/>
  <c r="AM8" i="25"/>
  <c r="AL12" i="25"/>
  <c r="AP13" i="25"/>
  <c r="AT14" i="25"/>
  <c r="AL16" i="25"/>
  <c r="AT18" i="25"/>
  <c r="AS22" i="25"/>
  <c r="AW23" i="25"/>
  <c r="AN25" i="25"/>
  <c r="AR26" i="25"/>
  <c r="AV27" i="25"/>
  <c r="AN29" i="25"/>
  <c r="AR30" i="25"/>
  <c r="AV31" i="25"/>
  <c r="AN33" i="25"/>
  <c r="AR34" i="25"/>
  <c r="AV35" i="25"/>
  <c r="AN37" i="25"/>
  <c r="AV39" i="25"/>
  <c r="AM41" i="25"/>
  <c r="AQ42" i="25"/>
  <c r="AQ46" i="25"/>
  <c r="AQ50" i="25"/>
  <c r="AQ54" i="25"/>
  <c r="AX55" i="25"/>
  <c r="AX57" i="25"/>
  <c r="AP58" i="25"/>
  <c r="AT63" i="25"/>
  <c r="AL65" i="25"/>
  <c r="AT67" i="25"/>
  <c r="AL69" i="25"/>
  <c r="AT71" i="25"/>
  <c r="AO74" i="25"/>
  <c r="AS75" i="25"/>
  <c r="AW76" i="25"/>
  <c r="AO78" i="25"/>
  <c r="AS79" i="25"/>
  <c r="AW80" i="25"/>
  <c r="AO82" i="25"/>
  <c r="AS83" i="25"/>
  <c r="AO86" i="25"/>
  <c r="AS87" i="25"/>
  <c r="AN90" i="25"/>
  <c r="AR91" i="25"/>
  <c r="AN94" i="25"/>
  <c r="AR95" i="25"/>
  <c r="AN98" i="25"/>
  <c r="AR99" i="25"/>
  <c r="AX28" i="25"/>
  <c r="AR5" i="25"/>
  <c r="AN8" i="25"/>
  <c r="AQ9" i="25"/>
  <c r="AM12" i="25"/>
  <c r="AQ13" i="25"/>
  <c r="AU14" i="25"/>
  <c r="AM16" i="25"/>
  <c r="AU18" i="25"/>
  <c r="AL20" i="25"/>
  <c r="AT22" i="25"/>
  <c r="AL24" i="25"/>
  <c r="AO25" i="25"/>
  <c r="AS26" i="25"/>
  <c r="AW27" i="25"/>
  <c r="AO29" i="25"/>
  <c r="AS30" i="25"/>
  <c r="AW31" i="25"/>
  <c r="AO33" i="25"/>
  <c r="AS34" i="25"/>
  <c r="AW35" i="25"/>
  <c r="AO37" i="25"/>
  <c r="AW39" i="25"/>
  <c r="AN41" i="25"/>
  <c r="AR42" i="25"/>
  <c r="AR46" i="25"/>
  <c r="AR50" i="25"/>
  <c r="AR54" i="25"/>
  <c r="AQ58" i="25"/>
  <c r="AU63" i="25"/>
  <c r="AM65" i="25"/>
  <c r="AU67" i="25"/>
  <c r="AM69" i="25"/>
  <c r="AX70" i="25"/>
  <c r="AU71" i="25"/>
  <c r="AL73" i="25"/>
  <c r="AP74" i="25"/>
  <c r="AT75" i="25"/>
  <c r="AP78" i="25"/>
  <c r="AT79" i="25"/>
  <c r="AL81" i="25"/>
  <c r="AP82" i="25"/>
  <c r="AT83" i="25"/>
  <c r="AL85" i="25"/>
  <c r="AP86" i="25"/>
  <c r="AT87" i="25"/>
  <c r="AO90" i="25"/>
  <c r="AS91" i="25"/>
  <c r="AO94" i="25"/>
  <c r="AS95" i="25"/>
  <c r="AO98" i="25"/>
  <c r="AS99" i="25"/>
  <c r="AO8" i="25"/>
  <c r="AR9" i="25"/>
  <c r="AN12" i="25"/>
  <c r="AR13" i="25"/>
  <c r="AV14" i="25"/>
  <c r="AN16" i="25"/>
  <c r="AV18" i="25"/>
  <c r="AM20" i="25"/>
  <c r="AU22" i="25"/>
  <c r="AM24" i="25"/>
  <c r="AP25" i="25"/>
  <c r="AT26" i="25"/>
  <c r="AP29" i="25"/>
  <c r="AT30" i="25"/>
  <c r="AL32" i="25"/>
  <c r="AP33" i="25"/>
  <c r="AT34" i="25"/>
  <c r="AL36" i="25"/>
  <c r="AP37" i="25"/>
  <c r="AL40" i="25"/>
  <c r="AO41" i="25"/>
  <c r="AS42" i="25"/>
  <c r="AS46" i="25"/>
  <c r="AS50" i="25"/>
  <c r="AS54" i="25"/>
  <c r="AR58" i="25"/>
  <c r="AV63" i="25"/>
  <c r="AN65" i="25"/>
  <c r="AV67" i="25"/>
  <c r="AN69" i="25"/>
  <c r="AV71" i="25"/>
  <c r="AM73" i="25"/>
  <c r="AQ74" i="25"/>
  <c r="AU75" i="25"/>
  <c r="AQ78" i="25"/>
  <c r="AU79" i="25"/>
  <c r="AM81" i="25"/>
  <c r="AQ82" i="25"/>
  <c r="AU83" i="25"/>
  <c r="AM85" i="25"/>
  <c r="AQ86" i="25"/>
  <c r="AU87" i="25"/>
  <c r="AL89" i="25"/>
  <c r="AP90" i="25"/>
  <c r="AT91" i="25"/>
  <c r="AL93" i="25"/>
  <c r="AP94" i="25"/>
  <c r="AT95" i="25"/>
  <c r="AL97" i="25"/>
  <c r="AP98" i="25"/>
  <c r="AT99" i="25"/>
  <c r="AT5" i="25"/>
  <c r="AL7" i="25"/>
  <c r="AP8" i="25"/>
  <c r="AS9" i="25"/>
  <c r="AO12" i="25"/>
  <c r="AS13" i="25"/>
  <c r="AW14" i="25"/>
  <c r="AO16" i="25"/>
  <c r="AW18" i="25"/>
  <c r="AN20" i="25"/>
  <c r="AV22" i="25"/>
  <c r="AN24" i="25"/>
  <c r="AQ25" i="25"/>
  <c r="AU26" i="25"/>
  <c r="AQ29" i="25"/>
  <c r="AU30" i="25"/>
  <c r="AM32" i="25"/>
  <c r="AQ33" i="25"/>
  <c r="AU34" i="25"/>
  <c r="AM36" i="25"/>
  <c r="AQ37" i="25"/>
  <c r="AM40" i="25"/>
  <c r="AP41" i="25"/>
  <c r="AT42" i="25"/>
  <c r="AL44" i="25"/>
  <c r="AT46" i="25"/>
  <c r="AL48" i="25"/>
  <c r="AT50" i="25"/>
  <c r="AL52" i="25"/>
  <c r="AT54" i="25"/>
  <c r="AL56" i="25"/>
  <c r="AS58" i="25"/>
  <c r="AW63" i="25"/>
  <c r="AO65" i="25"/>
  <c r="AW67" i="25"/>
  <c r="AO69" i="25"/>
  <c r="AW71" i="25"/>
  <c r="AN73" i="25"/>
  <c r="AR74" i="25"/>
  <c r="AV75" i="25"/>
  <c r="AR78" i="25"/>
  <c r="AV79" i="25"/>
  <c r="AN81" i="25"/>
  <c r="AR82" i="25"/>
  <c r="AV83" i="25"/>
  <c r="AN85" i="25"/>
  <c r="AR86" i="25"/>
  <c r="AV87" i="25"/>
  <c r="AM89" i="25"/>
  <c r="AQ90" i="25"/>
  <c r="AU91" i="25"/>
  <c r="AM93" i="25"/>
  <c r="AQ94" i="25"/>
  <c r="AU95" i="25"/>
  <c r="AM97" i="25"/>
  <c r="AQ98" i="25"/>
  <c r="AU99" i="25"/>
  <c r="AQ4" i="25"/>
  <c r="AU5" i="25"/>
  <c r="AM7" i="25"/>
  <c r="AQ8" i="25"/>
  <c r="AT9" i="25"/>
  <c r="AL11" i="25"/>
  <c r="AP12" i="25"/>
  <c r="AT13" i="25"/>
  <c r="AL15" i="25"/>
  <c r="AP16" i="25"/>
  <c r="AL19" i="25"/>
  <c r="AO20" i="25"/>
  <c r="AW22" i="25"/>
  <c r="AO24" i="25"/>
  <c r="AR25" i="25"/>
  <c r="AV26" i="25"/>
  <c r="AR29" i="25"/>
  <c r="AV30" i="25"/>
  <c r="AN32" i="25"/>
  <c r="AR33" i="25"/>
  <c r="AV34" i="25"/>
  <c r="AN36" i="25"/>
  <c r="AR37" i="25"/>
  <c r="AN40" i="25"/>
  <c r="AQ41" i="25"/>
  <c r="AU42" i="25"/>
  <c r="AM44" i="25"/>
  <c r="AU46" i="25"/>
  <c r="AM48" i="25"/>
  <c r="AU50" i="25"/>
  <c r="AM52" i="25"/>
  <c r="AU54" i="25"/>
  <c r="AM56" i="25"/>
  <c r="AT58" i="25"/>
  <c r="AL60" i="25"/>
  <c r="AL64" i="25"/>
  <c r="AP65" i="25"/>
  <c r="AL68" i="25"/>
  <c r="AP69" i="25"/>
  <c r="AL72" i="25"/>
  <c r="AO73" i="25"/>
  <c r="AS74" i="25"/>
  <c r="AW75" i="25"/>
  <c r="AS78" i="25"/>
  <c r="AW79" i="25"/>
  <c r="AO81" i="25"/>
  <c r="AS82" i="25"/>
  <c r="AW83" i="25"/>
  <c r="AO85" i="25"/>
  <c r="AS86" i="25"/>
  <c r="AW87" i="25"/>
  <c r="AN89" i="25"/>
  <c r="AR90" i="25"/>
  <c r="AV91" i="25"/>
  <c r="AN93" i="25"/>
  <c r="AR94" i="25"/>
  <c r="AV95" i="25"/>
  <c r="AN97" i="25"/>
  <c r="AR98" i="25"/>
  <c r="AV99" i="25"/>
  <c r="AO2" i="25"/>
  <c r="AV5" i="25"/>
  <c r="AN7" i="25"/>
  <c r="AR8" i="25"/>
  <c r="AU9" i="25"/>
  <c r="AM11" i="25"/>
  <c r="AQ12" i="25"/>
  <c r="AU13" i="25"/>
  <c r="AM15" i="25"/>
  <c r="AQ16" i="25"/>
  <c r="AM19" i="25"/>
  <c r="AP20" i="25"/>
  <c r="AL23" i="25"/>
  <c r="AP24" i="25"/>
  <c r="AS25" i="25"/>
  <c r="AW26" i="25"/>
  <c r="AS29" i="25"/>
  <c r="AW30" i="25"/>
  <c r="AO32" i="25"/>
  <c r="AS33" i="25"/>
  <c r="AW34" i="25"/>
  <c r="AO36" i="25"/>
  <c r="AS37" i="25"/>
  <c r="AO40" i="25"/>
  <c r="AR41" i="25"/>
  <c r="AV42" i="25"/>
  <c r="AN44" i="25"/>
  <c r="AV46" i="25"/>
  <c r="AN48" i="25"/>
  <c r="AV50" i="25"/>
  <c r="AN52" i="25"/>
  <c r="AV54" i="25"/>
  <c r="AN56" i="25"/>
  <c r="AU58" i="25"/>
  <c r="AM64" i="25"/>
  <c r="AQ65" i="25"/>
  <c r="AM68" i="25"/>
  <c r="AQ69" i="25"/>
  <c r="AM72" i="25"/>
  <c r="AP73" i="25"/>
  <c r="AT74" i="25"/>
  <c r="AL76" i="25"/>
  <c r="AT78" i="25"/>
  <c r="AL80" i="25"/>
  <c r="AP81" i="25"/>
  <c r="AT82" i="25"/>
  <c r="AX84" i="25"/>
  <c r="AP85" i="25"/>
  <c r="AT86" i="25"/>
  <c r="AO89" i="25"/>
  <c r="AS90" i="25"/>
  <c r="AW91" i="25"/>
  <c r="AO93" i="25"/>
  <c r="AS94" i="25"/>
  <c r="AW95" i="25"/>
  <c r="F29" i="23" l="1"/>
  <c r="S29" i="23" s="1"/>
  <c r="G30" i="23"/>
  <c r="G29" i="23" s="1"/>
  <c r="AB29" i="23"/>
  <c r="AC30" i="23"/>
  <c r="AC39" i="23"/>
  <c r="G39" i="23"/>
  <c r="G37" i="23"/>
  <c r="AB36" i="23"/>
  <c r="AC37" i="23"/>
  <c r="F36" i="23"/>
  <c r="S37" i="23"/>
  <c r="S40" i="23"/>
  <c r="AC40" i="23"/>
  <c r="G40" i="23"/>
  <c r="AD38" i="23"/>
  <c r="H38" i="23"/>
  <c r="S39" i="23"/>
  <c r="AB27" i="23"/>
  <c r="H33" i="23"/>
  <c r="AD33" i="23"/>
  <c r="I34" i="23"/>
  <c r="AE34" i="23"/>
  <c r="I32" i="23"/>
  <c r="T32" i="23" s="1"/>
  <c r="AE32" i="23"/>
  <c r="H31" i="23"/>
  <c r="AD31" i="23"/>
  <c r="T32" i="26"/>
  <c r="Z34" i="26"/>
  <c r="X36" i="26"/>
  <c r="AA30" i="26"/>
  <c r="AC35" i="26"/>
  <c r="T33" i="26"/>
  <c r="AC30" i="26"/>
  <c r="AC36" i="26"/>
  <c r="AB48" i="26"/>
  <c r="T49" i="26"/>
  <c r="X31" i="26"/>
  <c r="W31" i="26"/>
  <c r="AA44" i="26"/>
  <c r="V50" i="26"/>
  <c r="Y30" i="26"/>
  <c r="AD35" i="26"/>
  <c r="U36" i="26"/>
  <c r="T35" i="26"/>
  <c r="AD39" i="26"/>
  <c r="V33" i="26"/>
  <c r="S36" i="26"/>
  <c r="T37" i="26"/>
  <c r="Z30" i="26"/>
  <c r="X32" i="26"/>
  <c r="T31" i="26"/>
  <c r="Z50" i="26"/>
  <c r="AC33" i="26"/>
  <c r="T36" i="26"/>
  <c r="AC39" i="26"/>
  <c r="S31" i="26"/>
  <c r="AA33" i="26"/>
  <c r="W36" i="26"/>
  <c r="T47" i="26"/>
  <c r="Y32" i="26"/>
  <c r="U35" i="26"/>
  <c r="W32" i="26"/>
  <c r="AC38" i="26"/>
  <c r="AB39" i="26"/>
  <c r="V32" i="26"/>
  <c r="X35" i="26"/>
  <c r="Y31" i="26"/>
  <c r="AD33" i="26"/>
  <c r="Y35" i="26"/>
  <c r="V37" i="26"/>
  <c r="Y48" i="26"/>
  <c r="AB38" i="26"/>
  <c r="V46" i="26"/>
  <c r="AB35" i="26"/>
  <c r="T41" i="26"/>
  <c r="AB40" i="26"/>
  <c r="U47" i="26"/>
  <c r="AA46" i="26"/>
  <c r="AA39" i="26"/>
  <c r="Z39" i="26"/>
  <c r="U32" i="26"/>
  <c r="AD45" i="26"/>
  <c r="X30" i="26"/>
  <c r="U44" i="26"/>
  <c r="AB45" i="26"/>
  <c r="AA43" i="26"/>
  <c r="W39" i="26"/>
  <c r="V39" i="26"/>
  <c r="S35" i="26"/>
  <c r="V47" i="26"/>
  <c r="AX4" i="25"/>
  <c r="S43" i="26"/>
  <c r="V44" i="26"/>
  <c r="T44" i="26"/>
  <c r="Y43" i="26"/>
  <c r="Z45" i="26"/>
  <c r="X39" i="26"/>
  <c r="U49" i="26"/>
  <c r="AD43" i="26"/>
  <c r="S46" i="26"/>
  <c r="V35" i="26"/>
  <c r="AC32" i="26"/>
  <c r="AD46" i="26"/>
  <c r="S38" i="26"/>
  <c r="X34" i="26"/>
  <c r="AB32" i="26"/>
  <c r="U39" i="26"/>
  <c r="X43" i="26"/>
  <c r="Y41" i="26"/>
  <c r="Z32" i="26"/>
  <c r="AD30" i="26"/>
  <c r="Z42" i="26"/>
  <c r="AB30" i="26"/>
  <c r="AB33" i="26"/>
  <c r="Y39" i="26"/>
  <c r="AA32" i="26"/>
  <c r="T39" i="26"/>
  <c r="S39" i="26"/>
  <c r="Z33" i="26"/>
  <c r="Z36" i="26"/>
  <c r="Y34" i="26"/>
  <c r="AA36" i="26"/>
  <c r="W33" i="26"/>
  <c r="AC44" i="26"/>
  <c r="W42" i="26"/>
  <c r="Y36" i="26"/>
  <c r="V36" i="26"/>
  <c r="AD36" i="26"/>
  <c r="Z48" i="26"/>
  <c r="S30" i="26"/>
  <c r="AA35" i="26"/>
  <c r="W40" i="26"/>
  <c r="W35" i="26"/>
  <c r="S48" i="26"/>
  <c r="X33" i="26"/>
  <c r="U33" i="26"/>
  <c r="S33" i="26"/>
  <c r="AA34" i="26"/>
  <c r="Y33" i="26"/>
  <c r="Y47" i="26"/>
  <c r="T45" i="26"/>
  <c r="X48" i="26"/>
  <c r="Z37" i="26"/>
  <c r="AD44" i="26"/>
  <c r="X41" i="26"/>
  <c r="AD32" i="26"/>
  <c r="AC42" i="26"/>
  <c r="AB44" i="26"/>
  <c r="Z40" i="26"/>
  <c r="Y42" i="26"/>
  <c r="V34" i="26"/>
  <c r="Z43" i="26"/>
  <c r="AD31" i="26"/>
  <c r="W43" i="26"/>
  <c r="X45" i="26"/>
  <c r="W45" i="26"/>
  <c r="V45" i="26"/>
  <c r="W41" i="26"/>
  <c r="X49" i="26"/>
  <c r="AD50" i="26"/>
  <c r="Y45" i="26"/>
  <c r="Z41" i="26"/>
  <c r="Z47" i="26"/>
  <c r="V31" i="26"/>
  <c r="AD40" i="26"/>
  <c r="AD42" i="26"/>
  <c r="U41" i="26"/>
  <c r="Z31" i="26"/>
  <c r="T43" i="26"/>
  <c r="Z44" i="26"/>
  <c r="Y40" i="26"/>
  <c r="W48" i="26"/>
  <c r="AA38" i="26"/>
  <c r="Z38" i="26"/>
  <c r="X38" i="26"/>
  <c r="Y37" i="26"/>
  <c r="V43" i="26"/>
  <c r="AD48" i="26"/>
  <c r="W50" i="26"/>
  <c r="AB36" i="26"/>
  <c r="AC40" i="26"/>
  <c r="AB46" i="26"/>
  <c r="Z46" i="26"/>
  <c r="Y44" i="26"/>
  <c r="AD49" i="26"/>
  <c r="Y38" i="26"/>
  <c r="AC31" i="26"/>
  <c r="W38" i="26"/>
  <c r="V38" i="26"/>
  <c r="X47" i="26"/>
  <c r="U45" i="26"/>
  <c r="AC34" i="26"/>
  <c r="Y46" i="26"/>
  <c r="U31" i="26"/>
  <c r="V48" i="26"/>
  <c r="AD37" i="26"/>
  <c r="AB37" i="26"/>
  <c r="AA50" i="26"/>
  <c r="AA37" i="26"/>
  <c r="X37" i="26"/>
  <c r="V41" i="26"/>
  <c r="AC50" i="26"/>
  <c r="Y49" i="26"/>
  <c r="X42" i="26"/>
  <c r="AB49" i="26"/>
  <c r="AA49" i="26"/>
  <c r="AC37" i="26"/>
  <c r="Z49" i="26"/>
  <c r="U34" i="26"/>
  <c r="AB31" i="26"/>
  <c r="W37" i="26"/>
  <c r="W49" i="26"/>
  <c r="AB43" i="26"/>
  <c r="U43" i="26"/>
  <c r="AB34" i="26"/>
  <c r="X40" i="26"/>
  <c r="AC49" i="26"/>
  <c r="T48" i="26"/>
  <c r="AA47" i="26"/>
  <c r="T30" i="26"/>
  <c r="AA31" i="26"/>
  <c r="U38" i="26"/>
  <c r="AC48" i="26"/>
  <c r="AB50" i="26"/>
  <c r="AC46" i="26"/>
  <c r="U48" i="26"/>
  <c r="S32" i="26"/>
  <c r="AC47" i="26"/>
  <c r="S42" i="26"/>
  <c r="T34" i="26"/>
  <c r="W47" i="26"/>
  <c r="X50" i="26"/>
  <c r="AB42" i="26"/>
  <c r="AD34" i="26"/>
  <c r="AA42" i="26"/>
  <c r="AD38" i="26"/>
  <c r="X46" i="26"/>
  <c r="AD47" i="26"/>
  <c r="U42" i="26"/>
  <c r="AB47" i="26"/>
  <c r="AA41" i="26"/>
  <c r="S34" i="26"/>
  <c r="AC43" i="26"/>
  <c r="S47" i="26"/>
  <c r="W44" i="26"/>
  <c r="V42" i="26"/>
  <c r="AC41" i="26"/>
  <c r="W34" i="26"/>
  <c r="T42" i="26"/>
  <c r="S40" i="26"/>
  <c r="T38" i="26"/>
  <c r="S41" i="26"/>
  <c r="U37" i="26"/>
  <c r="AD41" i="26"/>
  <c r="U40" i="26"/>
  <c r="W30" i="26"/>
  <c r="AB41" i="26"/>
  <c r="V30" i="26"/>
  <c r="AA45" i="26"/>
  <c r="Y50" i="26"/>
  <c r="U46" i="26"/>
  <c r="T46" i="26"/>
  <c r="X44" i="26"/>
  <c r="S49" i="26"/>
  <c r="AA40" i="26"/>
  <c r="S37" i="26"/>
  <c r="W46" i="26"/>
  <c r="AA48" i="26"/>
  <c r="S45" i="26"/>
  <c r="Z35" i="26"/>
  <c r="V40" i="26"/>
  <c r="AC45" i="26"/>
  <c r="T40" i="26"/>
  <c r="S44" i="26"/>
  <c r="U30" i="26"/>
  <c r="V49" i="26"/>
  <c r="AX11" i="25"/>
  <c r="AX97" i="25"/>
  <c r="AX35" i="25"/>
  <c r="AX52" i="25"/>
  <c r="AX48" i="25"/>
  <c r="AX44" i="25"/>
  <c r="AX63" i="25"/>
  <c r="AX90" i="25"/>
  <c r="AX82" i="25"/>
  <c r="AX31" i="25"/>
  <c r="AX29" i="25"/>
  <c r="AX83" i="25"/>
  <c r="AX12" i="25"/>
  <c r="AX16" i="25"/>
  <c r="AX79" i="25"/>
  <c r="AX30" i="25"/>
  <c r="AX14" i="25"/>
  <c r="AX27" i="25"/>
  <c r="AX8" i="25"/>
  <c r="AX67" i="25"/>
  <c r="AX98" i="25"/>
  <c r="AX13" i="25"/>
  <c r="AX71" i="25"/>
  <c r="AX58" i="25"/>
  <c r="AX41" i="25"/>
  <c r="AX25" i="25"/>
  <c r="AX89" i="25"/>
  <c r="AX39" i="25"/>
  <c r="AX23" i="25"/>
  <c r="AX50" i="25"/>
  <c r="AX87" i="25"/>
  <c r="AX69" i="25"/>
  <c r="AX22" i="25"/>
  <c r="AX78" i="25"/>
  <c r="AX60" i="25"/>
  <c r="AX73" i="25"/>
  <c r="AX19" i="25"/>
  <c r="AX76" i="25"/>
  <c r="AX7" i="25"/>
  <c r="AX80" i="25"/>
  <c r="AX65" i="25"/>
  <c r="AX75" i="25"/>
  <c r="AX5" i="25"/>
  <c r="AX42" i="25"/>
  <c r="AX15" i="25"/>
  <c r="AX18" i="25"/>
  <c r="AX85" i="25"/>
  <c r="AX24" i="25"/>
  <c r="AX74" i="25"/>
  <c r="AX9" i="25"/>
  <c r="AX2" i="25"/>
  <c r="AX32" i="25"/>
  <c r="AX72" i="25"/>
  <c r="AX91" i="25"/>
  <c r="AX99" i="25"/>
  <c r="AX20" i="25"/>
  <c r="AX37" i="25"/>
  <c r="AX26" i="25"/>
  <c r="AX68" i="25"/>
  <c r="AX40" i="25"/>
  <c r="AX81" i="25"/>
  <c r="AX94" i="25"/>
  <c r="AX95" i="25"/>
  <c r="AX34" i="25"/>
  <c r="AX54" i="25"/>
  <c r="AX93" i="25"/>
  <c r="AX64" i="25"/>
  <c r="AX86" i="25"/>
  <c r="AX56" i="25"/>
  <c r="AX36" i="25"/>
  <c r="AX33" i="25"/>
  <c r="AX46" i="25"/>
  <c r="Q32" i="23" l="1"/>
  <c r="AC29" i="23"/>
  <c r="H30" i="23"/>
  <c r="AD30" i="23"/>
  <c r="AD29" i="23" s="1"/>
  <c r="AD37" i="23"/>
  <c r="AC36" i="23"/>
  <c r="H37" i="23"/>
  <c r="AC27" i="23"/>
  <c r="G36" i="23"/>
  <c r="AD39" i="23"/>
  <c r="H39" i="23"/>
  <c r="AE38" i="23"/>
  <c r="I38" i="23"/>
  <c r="AD40" i="23"/>
  <c r="H40" i="23"/>
  <c r="S36" i="23"/>
  <c r="J32" i="23"/>
  <c r="AF32" i="23"/>
  <c r="AF34" i="23"/>
  <c r="J34" i="23"/>
  <c r="T34" i="23"/>
  <c r="AE33" i="23"/>
  <c r="I33" i="23"/>
  <c r="T33" i="23" s="1"/>
  <c r="Q34" i="23"/>
  <c r="I31" i="23"/>
  <c r="AE31" i="23"/>
  <c r="AI35" i="26"/>
  <c r="AJ41" i="26"/>
  <c r="AI33" i="26"/>
  <c r="AI49" i="26"/>
  <c r="AJ39" i="26"/>
  <c r="AL42" i="26"/>
  <c r="AI37" i="26"/>
  <c r="AI40" i="26"/>
  <c r="AK38" i="26"/>
  <c r="AL32" i="26"/>
  <c r="AJ47" i="26"/>
  <c r="AL30" i="26"/>
  <c r="AJ46" i="26"/>
  <c r="AK30" i="26"/>
  <c r="AI38" i="26"/>
  <c r="AL38" i="26"/>
  <c r="AK48" i="26"/>
  <c r="AL41" i="26"/>
  <c r="AK46" i="26"/>
  <c r="AL47" i="26"/>
  <c r="AJ45" i="26"/>
  <c r="AI44" i="26"/>
  <c r="AJ30" i="26"/>
  <c r="AI34" i="26"/>
  <c r="AL33" i="26"/>
  <c r="AJ42" i="26"/>
  <c r="AK42" i="26"/>
  <c r="AI39" i="26"/>
  <c r="AL43" i="26"/>
  <c r="AI30" i="26"/>
  <c r="AK45" i="26"/>
  <c r="AJ32" i="26"/>
  <c r="AL35" i="26"/>
  <c r="AI45" i="26"/>
  <c r="AJ38" i="26"/>
  <c r="AK47" i="26"/>
  <c r="AK32" i="26"/>
  <c r="AL46" i="26"/>
  <c r="AJ37" i="26"/>
  <c r="AL34" i="26"/>
  <c r="AJ35" i="26"/>
  <c r="AL45" i="26"/>
  <c r="AK35" i="26"/>
  <c r="AI31" i="26"/>
  <c r="AI48" i="26"/>
  <c r="AJ49" i="26"/>
  <c r="AK50" i="26"/>
  <c r="AI47" i="26"/>
  <c r="AL36" i="26"/>
  <c r="AJ31" i="26"/>
  <c r="AL44" i="26"/>
  <c r="AI46" i="26"/>
  <c r="AJ50" i="26"/>
  <c r="AP50" i="26" s="1"/>
  <c r="AJ34" i="26"/>
  <c r="AI42" i="26"/>
  <c r="AL37" i="26"/>
  <c r="AI32" i="26"/>
  <c r="AJ48" i="26"/>
  <c r="AK39" i="26"/>
  <c r="AK31" i="26"/>
  <c r="AL48" i="26"/>
  <c r="AJ43" i="26"/>
  <c r="AK34" i="26"/>
  <c r="AK37" i="26"/>
  <c r="AL39" i="26"/>
  <c r="AK43" i="26"/>
  <c r="AI36" i="26"/>
  <c r="AL31" i="26"/>
  <c r="AL50" i="26"/>
  <c r="AJ40" i="26"/>
  <c r="AJ36" i="26"/>
  <c r="AK36" i="26"/>
  <c r="AJ33" i="26"/>
  <c r="AK41" i="26"/>
  <c r="AJ44" i="26"/>
  <c r="AI41" i="26"/>
  <c r="AL40" i="26"/>
  <c r="AK44" i="26"/>
  <c r="AL49" i="26"/>
  <c r="AI43" i="26"/>
  <c r="AK49" i="26"/>
  <c r="AK40" i="26"/>
  <c r="AK33" i="26"/>
  <c r="AE35" i="26"/>
  <c r="AE38" i="26"/>
  <c r="AE33" i="26"/>
  <c r="AE39" i="26"/>
  <c r="AE36" i="26"/>
  <c r="AE32" i="26"/>
  <c r="AE31" i="26"/>
  <c r="AE30" i="26"/>
  <c r="AE48" i="26"/>
  <c r="AE43" i="26"/>
  <c r="AE46" i="26"/>
  <c r="AE44" i="26"/>
  <c r="AE50" i="26"/>
  <c r="AE34" i="26"/>
  <c r="AE45" i="26"/>
  <c r="AE41" i="26"/>
  <c r="AE37" i="26"/>
  <c r="AE40" i="26"/>
  <c r="AE49" i="26"/>
  <c r="AE42" i="26"/>
  <c r="AE47" i="26"/>
  <c r="Q33" i="23" l="1"/>
  <c r="AE30" i="23"/>
  <c r="AE29" i="23" s="1"/>
  <c r="I30" i="23"/>
  <c r="T30" i="23" s="1"/>
  <c r="H29" i="23"/>
  <c r="AE39" i="23"/>
  <c r="I39" i="23"/>
  <c r="I40" i="23"/>
  <c r="T40" i="23" s="1"/>
  <c r="AE40" i="23"/>
  <c r="Q38" i="23"/>
  <c r="T38" i="23"/>
  <c r="J38" i="23"/>
  <c r="AF38" i="23"/>
  <c r="H36" i="23"/>
  <c r="AE37" i="23"/>
  <c r="AD36" i="23"/>
  <c r="I37" i="23"/>
  <c r="AD27" i="23"/>
  <c r="K34" i="23"/>
  <c r="AG34" i="23"/>
  <c r="AG32" i="23"/>
  <c r="K32" i="23"/>
  <c r="J33" i="23"/>
  <c r="AF33" i="23"/>
  <c r="T31" i="23"/>
  <c r="Q31" i="23"/>
  <c r="J31" i="23"/>
  <c r="AF31" i="23"/>
  <c r="AP35" i="26"/>
  <c r="AP33" i="26"/>
  <c r="AP41" i="26"/>
  <c r="AP39" i="26"/>
  <c r="AP49" i="26"/>
  <c r="AQ34" i="26"/>
  <c r="AP30" i="26"/>
  <c r="AQ45" i="26"/>
  <c r="AQ30" i="26"/>
  <c r="AQ42" i="26"/>
  <c r="AQ47" i="26"/>
  <c r="AQ44" i="26"/>
  <c r="AP48" i="26"/>
  <c r="AP38" i="26"/>
  <c r="AQ50" i="26"/>
  <c r="AQ31" i="26"/>
  <c r="AP40" i="26"/>
  <c r="AQ40" i="26"/>
  <c r="AP45" i="26"/>
  <c r="AQ49" i="26"/>
  <c r="AQ48" i="26"/>
  <c r="AQ43" i="26"/>
  <c r="AP43" i="26"/>
  <c r="AQ37" i="26"/>
  <c r="AP47" i="26"/>
  <c r="AP34" i="26"/>
  <c r="AQ41" i="26"/>
  <c r="AQ36" i="26"/>
  <c r="AQ39" i="26"/>
  <c r="AQ38" i="26"/>
  <c r="AP42" i="26"/>
  <c r="AP37" i="26"/>
  <c r="AQ35" i="26"/>
  <c r="AP44" i="26"/>
  <c r="AQ32" i="26"/>
  <c r="AP31" i="26"/>
  <c r="AP46" i="26"/>
  <c r="AP32" i="26"/>
  <c r="AQ33" i="26"/>
  <c r="AP36" i="26"/>
  <c r="AQ46" i="26"/>
  <c r="AM30" i="26"/>
  <c r="AN30" i="26" s="1"/>
  <c r="AM38" i="26"/>
  <c r="AN38" i="26" s="1"/>
  <c r="AM35" i="26"/>
  <c r="AN35" i="26" s="1"/>
  <c r="AM34" i="26"/>
  <c r="AN34" i="26" s="1"/>
  <c r="AM47" i="26"/>
  <c r="AN47" i="26" s="1"/>
  <c r="AM31" i="26"/>
  <c r="AN31" i="26" s="1"/>
  <c r="AM40" i="26"/>
  <c r="AN40" i="26" s="1"/>
  <c r="AM39" i="26"/>
  <c r="AN39" i="26" s="1"/>
  <c r="AM45" i="26"/>
  <c r="AN45" i="26" s="1"/>
  <c r="AM49" i="26"/>
  <c r="AN49" i="26" s="1"/>
  <c r="AM36" i="26"/>
  <c r="AN36" i="26" s="1"/>
  <c r="AM41" i="26"/>
  <c r="AN41" i="26" s="1"/>
  <c r="AM42" i="26"/>
  <c r="AN42" i="26" s="1"/>
  <c r="AM37" i="26"/>
  <c r="AN37" i="26" s="1"/>
  <c r="AM33" i="26"/>
  <c r="AN33" i="26" s="1"/>
  <c r="AM32" i="26"/>
  <c r="AN32" i="26" s="1"/>
  <c r="AM48" i="26"/>
  <c r="AN48" i="26" s="1"/>
  <c r="AM43" i="26"/>
  <c r="AN43" i="26" s="1"/>
  <c r="AM50" i="26"/>
  <c r="AN50" i="26" s="1"/>
  <c r="AM46" i="26"/>
  <c r="AN46" i="26" s="1"/>
  <c r="AM44" i="26"/>
  <c r="AN44" i="26" s="1"/>
  <c r="Q30" i="23" l="1"/>
  <c r="I29" i="23"/>
  <c r="Q29" i="23" s="1"/>
  <c r="Q40" i="23"/>
  <c r="J30" i="23"/>
  <c r="J29" i="23" s="1"/>
  <c r="AF30" i="23"/>
  <c r="I36" i="23"/>
  <c r="T37" i="23"/>
  <c r="J37" i="23"/>
  <c r="AF37" i="23"/>
  <c r="AE36" i="23"/>
  <c r="Q37" i="23"/>
  <c r="K38" i="23"/>
  <c r="AG38" i="23"/>
  <c r="AF40" i="23"/>
  <c r="J40" i="23"/>
  <c r="Q39" i="23"/>
  <c r="T39" i="23"/>
  <c r="AE27" i="23"/>
  <c r="J39" i="23"/>
  <c r="AF39" i="23"/>
  <c r="K33" i="23"/>
  <c r="AG33" i="23"/>
  <c r="AH32" i="23"/>
  <c r="L32" i="23"/>
  <c r="L34" i="23"/>
  <c r="AH34" i="23"/>
  <c r="AG31" i="23"/>
  <c r="K31" i="23"/>
  <c r="AR47" i="26"/>
  <c r="AR30" i="26"/>
  <c r="AR45" i="26"/>
  <c r="AR32" i="26"/>
  <c r="AR42" i="26"/>
  <c r="AR41" i="26"/>
  <c r="AR34" i="26"/>
  <c r="AR46" i="26"/>
  <c r="AR31" i="26"/>
  <c r="AR43" i="26"/>
  <c r="AR35" i="26"/>
  <c r="AR38" i="26"/>
  <c r="AR33" i="26"/>
  <c r="AR39" i="26"/>
  <c r="AR40" i="26"/>
  <c r="AR44" i="26"/>
  <c r="AR36" i="26"/>
  <c r="AR48" i="26"/>
  <c r="AR37" i="26"/>
  <c r="AR49" i="26"/>
  <c r="AR50" i="26"/>
  <c r="AF27" i="23" l="1"/>
  <c r="T29" i="23"/>
  <c r="AG30" i="23"/>
  <c r="K30" i="23"/>
  <c r="K29" i="23" s="1"/>
  <c r="AF29" i="23"/>
  <c r="AG40" i="23"/>
  <c r="K40" i="23"/>
  <c r="AH38" i="23"/>
  <c r="L38" i="23"/>
  <c r="AF36" i="23"/>
  <c r="K37" i="23"/>
  <c r="AG37" i="23"/>
  <c r="J36" i="23"/>
  <c r="K39" i="23"/>
  <c r="AG39" i="23"/>
  <c r="T36" i="23"/>
  <c r="Q36" i="23"/>
  <c r="M34" i="23"/>
  <c r="AI34" i="23"/>
  <c r="U32" i="23"/>
  <c r="AI32" i="23"/>
  <c r="M32" i="23"/>
  <c r="L33" i="23"/>
  <c r="AH33" i="23"/>
  <c r="U34" i="23"/>
  <c r="AH31" i="23"/>
  <c r="L31" i="23"/>
  <c r="AG10" i="25"/>
  <c r="AF10" i="25"/>
  <c r="AE10" i="25"/>
  <c r="AD10" i="25"/>
  <c r="AC10" i="25"/>
  <c r="AB10" i="25"/>
  <c r="AA10" i="25"/>
  <c r="Z10" i="25"/>
  <c r="Y10" i="25"/>
  <c r="X10" i="25"/>
  <c r="W10" i="25"/>
  <c r="V10" i="25"/>
  <c r="AG6" i="25"/>
  <c r="AF6" i="25"/>
  <c r="AE6" i="25"/>
  <c r="AD6" i="25"/>
  <c r="AC6" i="25"/>
  <c r="AB6" i="25"/>
  <c r="AA6" i="25"/>
  <c r="Z6" i="25"/>
  <c r="Y6" i="25"/>
  <c r="X6" i="25"/>
  <c r="W6" i="25"/>
  <c r="V6" i="25"/>
  <c r="L30" i="23" l="1"/>
  <c r="L29" i="23" s="1"/>
  <c r="U29" i="23" s="1"/>
  <c r="AH30" i="23"/>
  <c r="AH29" i="23" s="1"/>
  <c r="AG29" i="23"/>
  <c r="K36" i="23"/>
  <c r="AH40" i="23"/>
  <c r="L40" i="23"/>
  <c r="AH37" i="23"/>
  <c r="AG36" i="23"/>
  <c r="L37" i="23"/>
  <c r="AI38" i="23"/>
  <c r="M38" i="23"/>
  <c r="U38" i="23"/>
  <c r="AG27" i="23"/>
  <c r="L39" i="23"/>
  <c r="AH39" i="23"/>
  <c r="U33" i="23"/>
  <c r="M33" i="23"/>
  <c r="AI33" i="23"/>
  <c r="AJ32" i="23"/>
  <c r="O32" i="23" s="1"/>
  <c r="N32" i="23"/>
  <c r="AJ34" i="23"/>
  <c r="O34" i="23" s="1"/>
  <c r="N34" i="23"/>
  <c r="AI31" i="23"/>
  <c r="M31" i="23"/>
  <c r="U31" i="23"/>
  <c r="AH10" i="25"/>
  <c r="AI10" i="25" s="1"/>
  <c r="AH6" i="25"/>
  <c r="AI6" i="25" s="1"/>
  <c r="P32" i="23" l="1"/>
  <c r="U30" i="23"/>
  <c r="R34" i="23"/>
  <c r="M30" i="23"/>
  <c r="M29" i="23" s="1"/>
  <c r="AI30" i="23"/>
  <c r="AI29" i="23" s="1"/>
  <c r="U39" i="23"/>
  <c r="N38" i="23"/>
  <c r="AJ38" i="23"/>
  <c r="O38" i="23" s="1"/>
  <c r="L36" i="23"/>
  <c r="U37" i="23"/>
  <c r="AI37" i="23"/>
  <c r="AH36" i="23"/>
  <c r="M37" i="23"/>
  <c r="AH27" i="23"/>
  <c r="AI40" i="23"/>
  <c r="M40" i="23"/>
  <c r="U40" i="23"/>
  <c r="M39" i="23"/>
  <c r="AI39" i="23"/>
  <c r="V34" i="23"/>
  <c r="R32" i="23"/>
  <c r="V32" i="23"/>
  <c r="P34" i="23"/>
  <c r="N33" i="23"/>
  <c r="AJ33" i="23"/>
  <c r="O33" i="23" s="1"/>
  <c r="AJ31" i="23"/>
  <c r="O31" i="23" s="1"/>
  <c r="N31" i="23"/>
  <c r="V27" i="23"/>
  <c r="U27" i="23"/>
  <c r="V24" i="23"/>
  <c r="U24" i="23"/>
  <c r="T24" i="23"/>
  <c r="S24" i="23"/>
  <c r="V23" i="23"/>
  <c r="U23" i="23"/>
  <c r="T23" i="23"/>
  <c r="S23" i="23"/>
  <c r="V22" i="23"/>
  <c r="U22" i="23"/>
  <c r="T22" i="23"/>
  <c r="S22" i="23"/>
  <c r="V21" i="23"/>
  <c r="U21" i="23"/>
  <c r="T21" i="23"/>
  <c r="S21" i="23"/>
  <c r="V20" i="23"/>
  <c r="U20" i="23"/>
  <c r="T20" i="23"/>
  <c r="S20" i="23"/>
  <c r="V19" i="23"/>
  <c r="U19" i="23"/>
  <c r="T19" i="23"/>
  <c r="S19" i="23"/>
  <c r="V18" i="23"/>
  <c r="U18" i="23"/>
  <c r="T18" i="23"/>
  <c r="S18" i="23"/>
  <c r="V17" i="23"/>
  <c r="U17" i="23"/>
  <c r="T17" i="23"/>
  <c r="S17" i="23"/>
  <c r="V16" i="23"/>
  <c r="U16" i="23"/>
  <c r="T16" i="23"/>
  <c r="S16" i="23"/>
  <c r="V15" i="23"/>
  <c r="U15" i="23"/>
  <c r="T15" i="23"/>
  <c r="S15" i="23"/>
  <c r="V12" i="23"/>
  <c r="U12" i="23"/>
  <c r="T12" i="23"/>
  <c r="S12" i="23"/>
  <c r="V11" i="23"/>
  <c r="U11" i="23"/>
  <c r="T11" i="23"/>
  <c r="S11" i="23"/>
  <c r="V10" i="23"/>
  <c r="U10" i="23"/>
  <c r="T10" i="23"/>
  <c r="S10" i="23"/>
  <c r="V9" i="23"/>
  <c r="U9" i="23"/>
  <c r="T9" i="23"/>
  <c r="S9" i="23"/>
  <c r="V8" i="23"/>
  <c r="U8" i="23"/>
  <c r="T8" i="23"/>
  <c r="S8" i="23"/>
  <c r="V7" i="23"/>
  <c r="U7" i="23"/>
  <c r="T7" i="23"/>
  <c r="S7" i="23"/>
  <c r="V6" i="23"/>
  <c r="U6" i="23"/>
  <c r="T6" i="23"/>
  <c r="S6" i="23"/>
  <c r="V5" i="23"/>
  <c r="U5" i="23"/>
  <c r="T5" i="23"/>
  <c r="S5" i="23"/>
  <c r="V4" i="23"/>
  <c r="U4" i="23"/>
  <c r="T4" i="23"/>
  <c r="S4" i="23"/>
  <c r="V3" i="23"/>
  <c r="U3" i="23"/>
  <c r="T3" i="23"/>
  <c r="S3" i="23"/>
  <c r="W32" i="23" l="1"/>
  <c r="W34" i="23"/>
  <c r="V33" i="23"/>
  <c r="R33" i="23"/>
  <c r="P38" i="23"/>
  <c r="AJ30" i="23"/>
  <c r="O30" i="23" s="1"/>
  <c r="O29" i="23" s="1"/>
  <c r="N30" i="23"/>
  <c r="AJ40" i="23"/>
  <c r="O40" i="23" s="1"/>
  <c r="N40" i="23"/>
  <c r="M36" i="23"/>
  <c r="AI27" i="23"/>
  <c r="N37" i="23"/>
  <c r="AJ37" i="23"/>
  <c r="AI36" i="23"/>
  <c r="U36" i="23"/>
  <c r="N39" i="23"/>
  <c r="AJ39" i="23"/>
  <c r="O39" i="23" s="1"/>
  <c r="R38" i="23"/>
  <c r="V38" i="23"/>
  <c r="P33" i="23"/>
  <c r="V31" i="23"/>
  <c r="P31" i="23"/>
  <c r="R31" i="23"/>
  <c r="BF27" i="23"/>
  <c r="BE27" i="23"/>
  <c r="BD27" i="23"/>
  <c r="BC27" i="23"/>
  <c r="BB27" i="23"/>
  <c r="BA27" i="23"/>
  <c r="AZ27" i="23"/>
  <c r="AY27" i="23"/>
  <c r="AX27" i="23"/>
  <c r="AW27" i="23"/>
  <c r="AV27" i="23"/>
  <c r="AU27" i="23"/>
  <c r="CK13" i="23"/>
  <c r="CK12" i="23"/>
  <c r="CK11" i="23"/>
  <c r="CK10" i="23"/>
  <c r="CK9" i="23"/>
  <c r="CK8" i="23"/>
  <c r="CK7" i="23"/>
  <c r="CK6" i="23"/>
  <c r="CK5" i="23"/>
  <c r="CK4" i="23"/>
  <c r="CK3" i="23"/>
  <c r="CI13" i="23"/>
  <c r="P107" i="8"/>
  <c r="P61" i="8" s="1"/>
  <c r="O107" i="8"/>
  <c r="O61" i="8" s="1"/>
  <c r="N107" i="8"/>
  <c r="N61" i="8" s="1"/>
  <c r="M107" i="8"/>
  <c r="M61" i="8" s="1"/>
  <c r="L107" i="8"/>
  <c r="L61" i="8" s="1"/>
  <c r="K107" i="8"/>
  <c r="K61" i="8" s="1"/>
  <c r="J107" i="8"/>
  <c r="J61" i="8" s="1"/>
  <c r="I107" i="8"/>
  <c r="I61" i="8" s="1"/>
  <c r="H107" i="8"/>
  <c r="H61" i="8" s="1"/>
  <c r="G107" i="8"/>
  <c r="G61" i="8" s="1"/>
  <c r="F107" i="8"/>
  <c r="F61" i="8" s="1"/>
  <c r="E107" i="8"/>
  <c r="E61" i="8" s="1"/>
  <c r="Q106" i="8"/>
  <c r="Q105" i="8"/>
  <c r="R24" i="23"/>
  <c r="Q24" i="23"/>
  <c r="R23" i="23"/>
  <c r="Q23" i="23"/>
  <c r="R22" i="23"/>
  <c r="Q22" i="23"/>
  <c r="R21" i="23"/>
  <c r="Q21" i="23"/>
  <c r="R20" i="23"/>
  <c r="Q20" i="23"/>
  <c r="R19" i="23"/>
  <c r="Q19" i="23"/>
  <c r="R18" i="23"/>
  <c r="Q18" i="23"/>
  <c r="R17" i="23"/>
  <c r="Q17" i="23"/>
  <c r="R16" i="23"/>
  <c r="Q16" i="23"/>
  <c r="R15" i="23"/>
  <c r="Q15" i="23"/>
  <c r="R12" i="23"/>
  <c r="AG12" i="23" s="1"/>
  <c r="Q12" i="23"/>
  <c r="AA12" i="23" s="1"/>
  <c r="R11" i="23"/>
  <c r="Q11" i="23"/>
  <c r="AD11" i="23" s="1"/>
  <c r="R10" i="23"/>
  <c r="AE10" i="23" s="1"/>
  <c r="Q10" i="23"/>
  <c r="AB10" i="23" s="1"/>
  <c r="R9" i="23"/>
  <c r="AJ9" i="23" s="1"/>
  <c r="Q9" i="23"/>
  <c r="AA9" i="23" s="1"/>
  <c r="R8" i="23"/>
  <c r="AJ8" i="23" s="1"/>
  <c r="Q8" i="23"/>
  <c r="Y8" i="23" s="1"/>
  <c r="R7" i="23"/>
  <c r="AJ7" i="23" s="1"/>
  <c r="Q7" i="23"/>
  <c r="AB7" i="23" s="1"/>
  <c r="R6" i="23"/>
  <c r="AE6" i="23" s="1"/>
  <c r="Q6" i="23"/>
  <c r="Y6" i="23" s="1"/>
  <c r="R5" i="23"/>
  <c r="AE5" i="23" s="1"/>
  <c r="Q5" i="23"/>
  <c r="AB5" i="23" s="1"/>
  <c r="R4" i="23"/>
  <c r="AE4" i="23" s="1"/>
  <c r="Q4" i="23"/>
  <c r="AA4" i="23" s="1"/>
  <c r="R3" i="23"/>
  <c r="AF3" i="23" s="1"/>
  <c r="Q3" i="23"/>
  <c r="AD3" i="23" s="1"/>
  <c r="P20" i="17"/>
  <c r="O20" i="17"/>
  <c r="N20" i="17"/>
  <c r="M20" i="17"/>
  <c r="L20" i="17"/>
  <c r="K20" i="17"/>
  <c r="G19" i="17"/>
  <c r="Q88" i="8"/>
  <c r="Q100" i="8" s="1"/>
  <c r="E74" i="8"/>
  <c r="E100" i="8"/>
  <c r="I4" i="24"/>
  <c r="H4" i="24"/>
  <c r="I2" i="24"/>
  <c r="P14" i="17"/>
  <c r="P15" i="17" s="1"/>
  <c r="M14" i="17"/>
  <c r="M15" i="17" s="1"/>
  <c r="G14" i="17"/>
  <c r="J14" i="17"/>
  <c r="J15" i="17" s="1"/>
  <c r="W33" i="23" l="1"/>
  <c r="P39" i="23"/>
  <c r="W38" i="23"/>
  <c r="AJ29" i="23"/>
  <c r="P30" i="23"/>
  <c r="R30" i="23"/>
  <c r="V30" i="23"/>
  <c r="W31" i="23"/>
  <c r="N29" i="23"/>
  <c r="R29" i="23" s="1"/>
  <c r="R39" i="23"/>
  <c r="AJ36" i="23"/>
  <c r="O37" i="23"/>
  <c r="N36" i="23"/>
  <c r="AJ27" i="23"/>
  <c r="V39" i="23"/>
  <c r="V40" i="23"/>
  <c r="P40" i="23"/>
  <c r="R40" i="23"/>
  <c r="CX37" i="23"/>
  <c r="CX30" i="23"/>
  <c r="CX32" i="23"/>
  <c r="CX38" i="23"/>
  <c r="CX40" i="23"/>
  <c r="CX39" i="23"/>
  <c r="CX33" i="23"/>
  <c r="CX34" i="23"/>
  <c r="CX31" i="23"/>
  <c r="CY32" i="23"/>
  <c r="CY38" i="23"/>
  <c r="CY39" i="23"/>
  <c r="CY37" i="23"/>
  <c r="CY34" i="23"/>
  <c r="CY31" i="23"/>
  <c r="CY33" i="23"/>
  <c r="CY40" i="23"/>
  <c r="CY30" i="23"/>
  <c r="CS30" i="23"/>
  <c r="CS40" i="23"/>
  <c r="CS37" i="23"/>
  <c r="CS32" i="23"/>
  <c r="CS31" i="23"/>
  <c r="CS34" i="23"/>
  <c r="CS38" i="23"/>
  <c r="CS39" i="23"/>
  <c r="CS33" i="23"/>
  <c r="CQ34" i="23"/>
  <c r="CQ31" i="23"/>
  <c r="CQ40" i="23"/>
  <c r="CQ37" i="23"/>
  <c r="CQ32" i="23"/>
  <c r="CQ38" i="23"/>
  <c r="CQ30" i="23"/>
  <c r="CQ33" i="23"/>
  <c r="CQ39" i="23"/>
  <c r="CV30" i="23"/>
  <c r="CV40" i="23"/>
  <c r="CV38" i="23"/>
  <c r="CV37" i="23"/>
  <c r="CV32" i="23"/>
  <c r="CV33" i="23"/>
  <c r="CV39" i="23"/>
  <c r="CV34" i="23"/>
  <c r="CV31" i="23"/>
  <c r="CP31" i="23"/>
  <c r="CP33" i="23"/>
  <c r="CP40" i="23"/>
  <c r="CP37" i="23"/>
  <c r="CP32" i="23"/>
  <c r="CP34" i="23"/>
  <c r="CP38" i="23"/>
  <c r="CP39" i="23"/>
  <c r="CP30" i="23"/>
  <c r="CU40" i="23"/>
  <c r="CU38" i="23"/>
  <c r="CU37" i="23"/>
  <c r="CU32" i="23"/>
  <c r="CU30" i="23"/>
  <c r="CU33" i="23"/>
  <c r="CU39" i="23"/>
  <c r="CU34" i="23"/>
  <c r="CU31" i="23"/>
  <c r="CO30" i="23"/>
  <c r="CO33" i="23"/>
  <c r="CO38" i="23"/>
  <c r="CO34" i="23"/>
  <c r="CO39" i="23"/>
  <c r="CO40" i="23"/>
  <c r="CO37" i="23"/>
  <c r="CO32" i="23"/>
  <c r="CO31" i="23"/>
  <c r="CW40" i="23"/>
  <c r="CW37" i="23"/>
  <c r="CW32" i="23"/>
  <c r="CW30" i="23"/>
  <c r="CW38" i="23"/>
  <c r="CW39" i="23"/>
  <c r="CW34" i="23"/>
  <c r="CW31" i="23"/>
  <c r="CW33" i="23"/>
  <c r="CN31" i="23"/>
  <c r="CN32" i="23"/>
  <c r="CN33" i="23"/>
  <c r="CN34" i="23"/>
  <c r="CN37" i="23"/>
  <c r="CN38" i="23"/>
  <c r="CN39" i="23"/>
  <c r="CN40" i="23"/>
  <c r="CN30" i="23"/>
  <c r="CT40" i="23"/>
  <c r="CT37" i="23"/>
  <c r="CT32" i="23"/>
  <c r="CT31" i="23"/>
  <c r="CT38" i="23"/>
  <c r="CT30" i="23"/>
  <c r="CT33" i="23"/>
  <c r="CT39" i="23"/>
  <c r="CT34" i="23"/>
  <c r="CR38" i="23"/>
  <c r="CR34" i="23"/>
  <c r="CR40" i="23"/>
  <c r="CR37" i="23"/>
  <c r="CR31" i="23"/>
  <c r="CR32" i="23"/>
  <c r="CR30" i="23"/>
  <c r="CR33" i="23"/>
  <c r="CR39" i="23"/>
  <c r="BJ27" i="23"/>
  <c r="AU40" i="23"/>
  <c r="AU31" i="23"/>
  <c r="AU30" i="23"/>
  <c r="AU32" i="23"/>
  <c r="AU33" i="23"/>
  <c r="AU34" i="23"/>
  <c r="AU37" i="23"/>
  <c r="AU39" i="23"/>
  <c r="AU38" i="23"/>
  <c r="AV40" i="23"/>
  <c r="AV31" i="23"/>
  <c r="AV30" i="23"/>
  <c r="AV33" i="23"/>
  <c r="AV38" i="23"/>
  <c r="AV32" i="23"/>
  <c r="AV34" i="23"/>
  <c r="AV39" i="23"/>
  <c r="AV37" i="23"/>
  <c r="AW31" i="23"/>
  <c r="AW30" i="23"/>
  <c r="AW33" i="23"/>
  <c r="AW38" i="23"/>
  <c r="AW37" i="23"/>
  <c r="AW39" i="23"/>
  <c r="AW34" i="23"/>
  <c r="AW32" i="23"/>
  <c r="AW40" i="23"/>
  <c r="AX31" i="23"/>
  <c r="AX39" i="23"/>
  <c r="AX32" i="23"/>
  <c r="AX30" i="23"/>
  <c r="AX34" i="23"/>
  <c r="AX33" i="23"/>
  <c r="AX38" i="23"/>
  <c r="AX40" i="23"/>
  <c r="BK27" i="23"/>
  <c r="AX37" i="23"/>
  <c r="AY37" i="23"/>
  <c r="AY31" i="23"/>
  <c r="AY39" i="23"/>
  <c r="AY32" i="23"/>
  <c r="AY30" i="23"/>
  <c r="AY33" i="23"/>
  <c r="AY34" i="23"/>
  <c r="AY38" i="23"/>
  <c r="AY40" i="23"/>
  <c r="AZ40" i="23"/>
  <c r="AZ31" i="23"/>
  <c r="AZ32" i="23"/>
  <c r="AZ34" i="23"/>
  <c r="AZ30" i="23"/>
  <c r="AZ33" i="23"/>
  <c r="AZ38" i="23"/>
  <c r="AZ39" i="23"/>
  <c r="AZ37" i="23"/>
  <c r="BA37" i="23"/>
  <c r="BA40" i="23"/>
  <c r="BA39" i="23"/>
  <c r="BA32" i="23"/>
  <c r="BA31" i="23"/>
  <c r="BL27" i="23"/>
  <c r="BA30" i="23"/>
  <c r="BA33" i="23"/>
  <c r="BA38" i="23"/>
  <c r="BA34" i="23"/>
  <c r="BI27" i="23"/>
  <c r="BP27" i="23" s="1"/>
  <c r="BB32" i="23"/>
  <c r="BB31" i="23"/>
  <c r="BB37" i="23"/>
  <c r="BB34" i="23"/>
  <c r="BB40" i="23"/>
  <c r="BB30" i="23"/>
  <c r="BB33" i="23"/>
  <c r="BB39" i="23"/>
  <c r="BB38" i="23"/>
  <c r="BC32" i="23"/>
  <c r="BC39" i="23"/>
  <c r="BC37" i="23"/>
  <c r="BC40" i="23"/>
  <c r="BC31" i="23"/>
  <c r="BC34" i="23"/>
  <c r="BC30" i="23"/>
  <c r="BC33" i="23"/>
  <c r="BC38" i="23"/>
  <c r="BM27" i="23"/>
  <c r="BD32" i="23"/>
  <c r="BD37" i="23"/>
  <c r="BD40" i="23"/>
  <c r="BD34" i="23"/>
  <c r="BD31" i="23"/>
  <c r="BD39" i="23"/>
  <c r="BD30" i="23"/>
  <c r="BD33" i="23"/>
  <c r="BD38" i="23"/>
  <c r="BE38" i="23"/>
  <c r="BE39" i="23"/>
  <c r="BE31" i="23"/>
  <c r="BE32" i="23"/>
  <c r="BE37" i="23"/>
  <c r="BE40" i="23"/>
  <c r="BE34" i="23"/>
  <c r="BE30" i="23"/>
  <c r="BE33" i="23"/>
  <c r="BF33" i="23"/>
  <c r="BF34" i="23"/>
  <c r="BF31" i="23"/>
  <c r="BF32" i="23"/>
  <c r="BF37" i="23"/>
  <c r="BF40" i="23"/>
  <c r="BF38" i="23"/>
  <c r="BF39" i="23"/>
  <c r="BF30" i="23"/>
  <c r="AD98" i="26"/>
  <c r="AD74" i="26" s="1"/>
  <c r="S98" i="26"/>
  <c r="S74" i="26" s="1"/>
  <c r="AB98" i="26"/>
  <c r="AB74" i="26" s="1"/>
  <c r="T98" i="26"/>
  <c r="T74" i="26" s="1"/>
  <c r="U98" i="26"/>
  <c r="U74" i="26" s="1"/>
  <c r="V98" i="26"/>
  <c r="V74" i="26" s="1"/>
  <c r="W98" i="26"/>
  <c r="W74" i="26" s="1"/>
  <c r="AC98" i="26"/>
  <c r="AC74" i="26" s="1"/>
  <c r="X98" i="26"/>
  <c r="X74" i="26" s="1"/>
  <c r="AA98" i="26"/>
  <c r="AA74" i="26" s="1"/>
  <c r="Y98" i="26"/>
  <c r="Y74" i="26" s="1"/>
  <c r="Z98" i="26"/>
  <c r="Z74" i="26" s="1"/>
  <c r="BH27" i="23"/>
  <c r="BO27" i="23" s="1"/>
  <c r="DA27" i="23"/>
  <c r="DH27" i="23" s="1"/>
  <c r="BG27" i="23"/>
  <c r="BN27" i="23" s="1"/>
  <c r="DB27" i="23"/>
  <c r="DI27" i="23" s="1"/>
  <c r="DG27" i="23"/>
  <c r="Q107" i="8"/>
  <c r="AG6" i="23"/>
  <c r="AC7" i="23"/>
  <c r="AD7" i="23"/>
  <c r="AF4" i="23"/>
  <c r="Z8" i="23"/>
  <c r="AA8" i="23"/>
  <c r="Y4" i="23"/>
  <c r="AB4" i="23"/>
  <c r="AC4" i="23"/>
  <c r="AD4" i="23"/>
  <c r="AD8" i="23"/>
  <c r="AC10" i="23"/>
  <c r="AF5" i="23"/>
  <c r="AG5" i="23"/>
  <c r="AD10" i="23"/>
  <c r="AI10" i="23"/>
  <c r="AH6" i="23"/>
  <c r="AJ10" i="23"/>
  <c r="AI6" i="23"/>
  <c r="Y11" i="23"/>
  <c r="AB8" i="23"/>
  <c r="AC8" i="23"/>
  <c r="Y7" i="23"/>
  <c r="AJ6" i="23"/>
  <c r="Z7" i="23"/>
  <c r="Z4" i="23"/>
  <c r="AG8" i="23"/>
  <c r="AI8" i="23"/>
  <c r="AB9" i="23"/>
  <c r="AC9" i="23"/>
  <c r="AD9" i="23"/>
  <c r="AE9" i="23"/>
  <c r="AA11" i="23"/>
  <c r="AF9" i="23"/>
  <c r="AB11" i="23"/>
  <c r="AG9" i="23"/>
  <c r="AC11" i="23"/>
  <c r="AH9" i="23"/>
  <c r="AF12" i="23"/>
  <c r="AI9" i="23"/>
  <c r="AI5" i="23"/>
  <c r="AH12" i="23"/>
  <c r="Y10" i="23"/>
  <c r="Z6" i="23"/>
  <c r="AE8" i="23"/>
  <c r="AA10" i="23"/>
  <c r="AH8" i="23"/>
  <c r="Z11" i="23"/>
  <c r="AH5" i="23"/>
  <c r="AJ5" i="23"/>
  <c r="Z10" i="23"/>
  <c r="AF6" i="23"/>
  <c r="AF8" i="23"/>
  <c r="AI11" i="23"/>
  <c r="AH11" i="23"/>
  <c r="AG11" i="23"/>
  <c r="AF11" i="23"/>
  <c r="AE11" i="23"/>
  <c r="Y12" i="23"/>
  <c r="AJ4" i="23"/>
  <c r="AI4" i="23"/>
  <c r="AG4" i="23"/>
  <c r="AH4" i="23"/>
  <c r="AF10" i="23"/>
  <c r="AC12" i="23"/>
  <c r="AJ12" i="23"/>
  <c r="AI12" i="23"/>
  <c r="Z12" i="23"/>
  <c r="AA5" i="23"/>
  <c r="Z5" i="23"/>
  <c r="Y5" i="23"/>
  <c r="AB12" i="23"/>
  <c r="AD5" i="23"/>
  <c r="AA7" i="23"/>
  <c r="AG10" i="23"/>
  <c r="AD12" i="23"/>
  <c r="AG3" i="23"/>
  <c r="AH3" i="23"/>
  <c r="AI3" i="23"/>
  <c r="AJ3" i="23"/>
  <c r="AE3" i="23"/>
  <c r="AJ11" i="23"/>
  <c r="AD6" i="23"/>
  <c r="AC6" i="23"/>
  <c r="AB6" i="23"/>
  <c r="AA6" i="23"/>
  <c r="AC5" i="23"/>
  <c r="AH10" i="23"/>
  <c r="AE12" i="23"/>
  <c r="AI7" i="23"/>
  <c r="AH7" i="23"/>
  <c r="AG7" i="23"/>
  <c r="AF7" i="23"/>
  <c r="AE7" i="23"/>
  <c r="Y9" i="23"/>
  <c r="Z9" i="23"/>
  <c r="Z3" i="23"/>
  <c r="AA3" i="23"/>
  <c r="AB3" i="23"/>
  <c r="Y3" i="23"/>
  <c r="AC3" i="23"/>
  <c r="O25" i="23"/>
  <c r="N25" i="23"/>
  <c r="M25" i="23"/>
  <c r="L25" i="23"/>
  <c r="K25" i="23"/>
  <c r="J25" i="23"/>
  <c r="I25" i="23"/>
  <c r="H25" i="23"/>
  <c r="G25" i="23"/>
  <c r="F25" i="23"/>
  <c r="E25" i="23"/>
  <c r="D25" i="23"/>
  <c r="O13" i="23"/>
  <c r="N13" i="23"/>
  <c r="M13" i="23"/>
  <c r="L13" i="23"/>
  <c r="K13" i="23"/>
  <c r="J13" i="23"/>
  <c r="I13" i="23"/>
  <c r="H13" i="23"/>
  <c r="G13" i="23"/>
  <c r="F13" i="23"/>
  <c r="E13" i="23"/>
  <c r="D13" i="23"/>
  <c r="DF40" i="23" l="1"/>
  <c r="DF30" i="23"/>
  <c r="DF39" i="23"/>
  <c r="DF38" i="23"/>
  <c r="DF32" i="23"/>
  <c r="DD40" i="23"/>
  <c r="DE32" i="23"/>
  <c r="DD31" i="23"/>
  <c r="DD39" i="23"/>
  <c r="DE31" i="23"/>
  <c r="DE37" i="23"/>
  <c r="DD34" i="23"/>
  <c r="DE40" i="23"/>
  <c r="DE30" i="23"/>
  <c r="DC30" i="23"/>
  <c r="DD30" i="23"/>
  <c r="DE38" i="23"/>
  <c r="DC40" i="23"/>
  <c r="DC39" i="23"/>
  <c r="DC38" i="23"/>
  <c r="DD32" i="23"/>
  <c r="DC37" i="23"/>
  <c r="DC34" i="23"/>
  <c r="DE39" i="23"/>
  <c r="DD37" i="23"/>
  <c r="DC33" i="23"/>
  <c r="DC32" i="23"/>
  <c r="DF37" i="23"/>
  <c r="DE34" i="23"/>
  <c r="DE33" i="23"/>
  <c r="DC31" i="23"/>
  <c r="DD38" i="23"/>
  <c r="DF33" i="23"/>
  <c r="DF34" i="23"/>
  <c r="DD33" i="23"/>
  <c r="DF31" i="23"/>
  <c r="W30" i="23"/>
  <c r="W39" i="23"/>
  <c r="V29" i="23"/>
  <c r="P29" i="23"/>
  <c r="W29" i="23" s="1"/>
  <c r="DB32" i="23"/>
  <c r="DI32" i="23" s="1"/>
  <c r="DB40" i="23"/>
  <c r="DI40" i="23" s="1"/>
  <c r="CN29" i="23"/>
  <c r="CP29" i="23"/>
  <c r="AV36" i="23"/>
  <c r="DB38" i="23"/>
  <c r="DI38" i="23" s="1"/>
  <c r="CQ36" i="23"/>
  <c r="W40" i="23"/>
  <c r="O36" i="23"/>
  <c r="P37" i="23"/>
  <c r="V37" i="23"/>
  <c r="R37" i="23"/>
  <c r="BC29" i="23"/>
  <c r="CO29" i="23"/>
  <c r="BF29" i="23"/>
  <c r="AX36" i="23"/>
  <c r="CY29" i="23"/>
  <c r="BD29" i="23"/>
  <c r="CR29" i="23"/>
  <c r="CO36" i="23"/>
  <c r="AW36" i="23"/>
  <c r="CN36" i="23"/>
  <c r="AU36" i="23"/>
  <c r="BB36" i="23"/>
  <c r="BE36" i="23"/>
  <c r="CP36" i="23"/>
  <c r="AU29" i="23"/>
  <c r="AV29" i="23"/>
  <c r="BB29" i="23"/>
  <c r="AY36" i="23"/>
  <c r="CU29" i="23"/>
  <c r="BE29" i="23"/>
  <c r="DB37" i="23"/>
  <c r="DI37" i="23" s="1"/>
  <c r="CT36" i="23"/>
  <c r="CS29" i="23"/>
  <c r="AX29" i="23"/>
  <c r="CY36" i="23"/>
  <c r="DB30" i="23"/>
  <c r="DI30" i="23" s="1"/>
  <c r="CT29" i="23"/>
  <c r="BC36" i="23"/>
  <c r="BF36" i="23"/>
  <c r="CU36" i="23"/>
  <c r="CS36" i="23"/>
  <c r="BA29" i="23"/>
  <c r="CW29" i="23"/>
  <c r="AY29" i="23"/>
  <c r="CW36" i="23"/>
  <c r="CV36" i="23"/>
  <c r="CR36" i="23"/>
  <c r="BA36" i="23"/>
  <c r="BD36" i="23"/>
  <c r="AZ36" i="23"/>
  <c r="CV29" i="23"/>
  <c r="AW29" i="23"/>
  <c r="CQ29" i="23"/>
  <c r="CX29" i="23"/>
  <c r="AZ29" i="23"/>
  <c r="CX36" i="23"/>
  <c r="DA31" i="23"/>
  <c r="DH31" i="23" s="1"/>
  <c r="CZ31" i="23"/>
  <c r="DG31" i="23" s="1"/>
  <c r="DB31" i="23"/>
  <c r="DI31" i="23" s="1"/>
  <c r="DA32" i="23"/>
  <c r="DH32" i="23" s="1"/>
  <c r="CZ32" i="23"/>
  <c r="DG32" i="23" s="1"/>
  <c r="DA38" i="23"/>
  <c r="DH38" i="23" s="1"/>
  <c r="CZ38" i="23"/>
  <c r="DG38" i="23" s="1"/>
  <c r="DA30" i="23"/>
  <c r="DH30" i="23" s="1"/>
  <c r="CZ30" i="23"/>
  <c r="DG30" i="23" s="1"/>
  <c r="DA40" i="23"/>
  <c r="DH40" i="23" s="1"/>
  <c r="CZ40" i="23"/>
  <c r="DG40" i="23" s="1"/>
  <c r="DA39" i="23"/>
  <c r="DH39" i="23" s="1"/>
  <c r="CZ39" i="23"/>
  <c r="DG39" i="23" s="1"/>
  <c r="DA37" i="23"/>
  <c r="DH37" i="23" s="1"/>
  <c r="CZ37" i="23"/>
  <c r="DG37" i="23" s="1"/>
  <c r="CZ33" i="23"/>
  <c r="DG33" i="23" s="1"/>
  <c r="DA33" i="23"/>
  <c r="DH33" i="23" s="1"/>
  <c r="DA34" i="23"/>
  <c r="DH34" i="23" s="1"/>
  <c r="CZ34" i="23"/>
  <c r="DG34" i="23" s="1"/>
  <c r="BK39" i="23"/>
  <c r="BM30" i="23"/>
  <c r="BK31" i="23"/>
  <c r="BM39" i="23"/>
  <c r="BM31" i="23"/>
  <c r="BM34" i="23"/>
  <c r="BM40" i="23"/>
  <c r="BM37" i="23"/>
  <c r="BM32" i="23"/>
  <c r="DB34" i="23"/>
  <c r="DI34" i="23" s="1"/>
  <c r="DB39" i="23"/>
  <c r="DI39" i="23" s="1"/>
  <c r="DB33" i="23"/>
  <c r="DI33" i="23" s="1"/>
  <c r="BL37" i="23"/>
  <c r="BI37" i="23"/>
  <c r="BP37" i="23" s="1"/>
  <c r="BI31" i="23"/>
  <c r="BP31" i="23" s="1"/>
  <c r="BL31" i="23"/>
  <c r="BL39" i="23"/>
  <c r="BI39" i="23"/>
  <c r="BP39" i="23" s="1"/>
  <c r="BL32" i="23"/>
  <c r="BI32" i="23"/>
  <c r="BP32" i="23" s="1"/>
  <c r="BJ38" i="23"/>
  <c r="BG38" i="23"/>
  <c r="BN38" i="23" s="1"/>
  <c r="BH38" i="23"/>
  <c r="BO38" i="23" s="1"/>
  <c r="BJ39" i="23"/>
  <c r="BH39" i="23"/>
  <c r="BO39" i="23" s="1"/>
  <c r="BG39" i="23"/>
  <c r="BN39" i="23" s="1"/>
  <c r="BH37" i="23"/>
  <c r="BO37" i="23" s="1"/>
  <c r="BJ37" i="23"/>
  <c r="BG37" i="23"/>
  <c r="BN37" i="23" s="1"/>
  <c r="BK37" i="23"/>
  <c r="BJ34" i="23"/>
  <c r="BH34" i="23"/>
  <c r="BO34" i="23" s="1"/>
  <c r="BG34" i="23"/>
  <c r="BN34" i="23" s="1"/>
  <c r="BJ33" i="23"/>
  <c r="BH33" i="23"/>
  <c r="BO33" i="23" s="1"/>
  <c r="BG33" i="23"/>
  <c r="BN33" i="23" s="1"/>
  <c r="BK40" i="23"/>
  <c r="BG32" i="23"/>
  <c r="BN32" i="23" s="1"/>
  <c r="BJ32" i="23"/>
  <c r="BH32" i="23"/>
  <c r="BO32" i="23" s="1"/>
  <c r="BI34" i="23"/>
  <c r="BP34" i="23" s="1"/>
  <c r="BL34" i="23"/>
  <c r="BK38" i="23"/>
  <c r="BJ30" i="23"/>
  <c r="BH30" i="23"/>
  <c r="BO30" i="23" s="1"/>
  <c r="BG30" i="23"/>
  <c r="BN30" i="23" s="1"/>
  <c r="BL40" i="23"/>
  <c r="BI40" i="23"/>
  <c r="BP40" i="23" s="1"/>
  <c r="BI38" i="23"/>
  <c r="BP38" i="23" s="1"/>
  <c r="BL38" i="23"/>
  <c r="BK33" i="23"/>
  <c r="BH31" i="23"/>
  <c r="BO31" i="23" s="1"/>
  <c r="BG31" i="23"/>
  <c r="BN31" i="23" s="1"/>
  <c r="BJ31" i="23"/>
  <c r="BK34" i="23"/>
  <c r="BM38" i="23"/>
  <c r="BL33" i="23"/>
  <c r="BI33" i="23"/>
  <c r="BP33" i="23" s="1"/>
  <c r="BK30" i="23"/>
  <c r="BJ40" i="23"/>
  <c r="BH40" i="23"/>
  <c r="BO40" i="23" s="1"/>
  <c r="BG40" i="23"/>
  <c r="BN40" i="23" s="1"/>
  <c r="BM33" i="23"/>
  <c r="BI30" i="23"/>
  <c r="BP30" i="23" s="1"/>
  <c r="BL30" i="23"/>
  <c r="BK32" i="23"/>
  <c r="AK74" i="26"/>
  <c r="AK98" i="26"/>
  <c r="AJ74" i="26"/>
  <c r="AJ98" i="26"/>
  <c r="AI98" i="26"/>
  <c r="AI74" i="26"/>
  <c r="AL98" i="26"/>
  <c r="AL74" i="26"/>
  <c r="AE98" i="26"/>
  <c r="AG98" i="26" s="1"/>
  <c r="AH98" i="26" s="1"/>
  <c r="AE74" i="26"/>
  <c r="V25" i="23"/>
  <c r="AQ24" i="23" s="1"/>
  <c r="S13" i="23"/>
  <c r="U25" i="23"/>
  <c r="AP25" i="23" s="1"/>
  <c r="T13" i="23"/>
  <c r="U13" i="23"/>
  <c r="T25" i="23"/>
  <c r="V13" i="23"/>
  <c r="S25" i="23"/>
  <c r="P60" i="8"/>
  <c r="M64" i="8"/>
  <c r="O64" i="8"/>
  <c r="P64" i="8"/>
  <c r="F60" i="8"/>
  <c r="L64" i="8"/>
  <c r="G60" i="8"/>
  <c r="F64" i="8"/>
  <c r="H64" i="8"/>
  <c r="H60" i="8"/>
  <c r="J60" i="8"/>
  <c r="G64" i="8"/>
  <c r="L60" i="8"/>
  <c r="I64" i="8"/>
  <c r="M60" i="8"/>
  <c r="N64" i="8"/>
  <c r="I60" i="8"/>
  <c r="J64" i="8"/>
  <c r="N60" i="8"/>
  <c r="O60" i="8"/>
  <c r="K64" i="8"/>
  <c r="R13" i="23"/>
  <c r="AM13" i="23" s="1"/>
  <c r="E60" i="8"/>
  <c r="Q25" i="23"/>
  <c r="E64" i="8"/>
  <c r="Q13" i="23"/>
  <c r="AL13" i="23" s="1"/>
  <c r="K60" i="8"/>
  <c r="R25" i="23"/>
  <c r="P24" i="23"/>
  <c r="P23" i="23"/>
  <c r="P22" i="23"/>
  <c r="P21" i="23"/>
  <c r="P20" i="23"/>
  <c r="P19" i="23"/>
  <c r="P12" i="23"/>
  <c r="P11" i="23"/>
  <c r="P10" i="23"/>
  <c r="P9" i="23"/>
  <c r="P8" i="23"/>
  <c r="P7" i="23"/>
  <c r="P6" i="23"/>
  <c r="P5" i="23"/>
  <c r="P4" i="23"/>
  <c r="P3" i="23"/>
  <c r="W27" i="23"/>
  <c r="P18" i="23"/>
  <c r="P17" i="23"/>
  <c r="P16" i="23"/>
  <c r="DD29" i="23" l="1"/>
  <c r="DF29" i="23"/>
  <c r="DE29" i="23"/>
  <c r="DD36" i="23"/>
  <c r="DF36" i="23"/>
  <c r="DC29" i="23"/>
  <c r="DE36" i="23"/>
  <c r="DC36" i="23"/>
  <c r="W37" i="23"/>
  <c r="P36" i="23"/>
  <c r="V36" i="23"/>
  <c r="R36" i="23"/>
  <c r="BM29" i="23"/>
  <c r="BM36" i="23"/>
  <c r="BG36" i="23"/>
  <c r="BN36" i="23" s="1"/>
  <c r="DA29" i="23"/>
  <c r="DH29" i="23" s="1"/>
  <c r="BK29" i="23"/>
  <c r="DB36" i="23"/>
  <c r="DI36" i="23" s="1"/>
  <c r="DB29" i="23"/>
  <c r="DI29" i="23" s="1"/>
  <c r="BJ29" i="23"/>
  <c r="BG29" i="23"/>
  <c r="BN29" i="23" s="1"/>
  <c r="BH29" i="23"/>
  <c r="BO29" i="23" s="1"/>
  <c r="CZ29" i="23"/>
  <c r="DG29" i="23" s="1"/>
  <c r="BL29" i="23"/>
  <c r="BI29" i="23"/>
  <c r="BP29" i="23" s="1"/>
  <c r="BK36" i="23"/>
  <c r="BL36" i="23"/>
  <c r="BI36" i="23"/>
  <c r="BP36" i="23" s="1"/>
  <c r="BH36" i="23"/>
  <c r="BO36" i="23" s="1"/>
  <c r="BJ36" i="23"/>
  <c r="DA36" i="23"/>
  <c r="DH36" i="23" s="1"/>
  <c r="CZ36" i="23"/>
  <c r="DG36" i="23" s="1"/>
  <c r="AQ74" i="26"/>
  <c r="AQ98" i="26"/>
  <c r="AP98" i="26"/>
  <c r="AM74" i="26"/>
  <c r="AN74" i="26" s="1"/>
  <c r="AM98" i="26"/>
  <c r="AN98" i="26" s="1"/>
  <c r="AP74" i="26"/>
  <c r="AQ19" i="23"/>
  <c r="AQ15" i="23"/>
  <c r="AQ17" i="23"/>
  <c r="AP24" i="23"/>
  <c r="AP21" i="23"/>
  <c r="AQ16" i="23"/>
  <c r="AQ22" i="23"/>
  <c r="AQ25" i="23"/>
  <c r="AQ21" i="23"/>
  <c r="AQ18" i="23"/>
  <c r="AQ23" i="23"/>
  <c r="AQ20" i="23"/>
  <c r="AP17" i="23"/>
  <c r="AP22" i="23"/>
  <c r="AP18" i="23"/>
  <c r="AP15" i="23"/>
  <c r="AP20" i="23"/>
  <c r="AP16" i="23"/>
  <c r="AP23" i="23"/>
  <c r="AP19" i="23"/>
  <c r="AO25" i="23"/>
  <c r="AO22" i="23"/>
  <c r="AO17" i="23"/>
  <c r="AO21" i="23"/>
  <c r="AO23" i="23"/>
  <c r="AO16" i="23"/>
  <c r="AO18" i="23"/>
  <c r="AO19" i="23"/>
  <c r="AO20" i="23"/>
  <c r="AO15" i="23"/>
  <c r="AO24" i="23"/>
  <c r="AN25" i="23"/>
  <c r="AN23" i="23"/>
  <c r="AN18" i="23"/>
  <c r="AN15" i="23"/>
  <c r="AN17" i="23"/>
  <c r="AN19" i="23"/>
  <c r="AN24" i="23"/>
  <c r="AN20" i="23"/>
  <c r="AN16" i="23"/>
  <c r="AN22" i="23"/>
  <c r="AN21" i="23"/>
  <c r="Z13" i="23"/>
  <c r="AL3" i="23"/>
  <c r="AL11" i="23"/>
  <c r="AL10" i="23"/>
  <c r="AL8" i="23"/>
  <c r="AL7" i="23"/>
  <c r="AL6" i="23"/>
  <c r="AL5" i="23"/>
  <c r="AL9" i="23"/>
  <c r="AL4" i="23"/>
  <c r="AL12" i="23"/>
  <c r="AH13" i="23"/>
  <c r="CD13" i="23" s="1"/>
  <c r="AM10" i="23"/>
  <c r="AM8" i="23"/>
  <c r="AM6" i="23"/>
  <c r="AM5" i="23"/>
  <c r="AM11" i="23"/>
  <c r="AM3" i="23"/>
  <c r="AM7" i="23"/>
  <c r="AM9" i="23"/>
  <c r="AM12" i="23"/>
  <c r="AM4" i="23"/>
  <c r="AC19" i="23"/>
  <c r="Z19" i="23"/>
  <c r="AB19" i="23"/>
  <c r="AA19" i="23"/>
  <c r="Y19" i="23"/>
  <c r="AJ19" i="23"/>
  <c r="AH19" i="23"/>
  <c r="AE19" i="23"/>
  <c r="AD19" i="23"/>
  <c r="AI19" i="23"/>
  <c r="AF19" i="23"/>
  <c r="AG19" i="23"/>
  <c r="AG20" i="23"/>
  <c r="AE20" i="23"/>
  <c r="AA20" i="23"/>
  <c r="Z20" i="23"/>
  <c r="AF20" i="23"/>
  <c r="AD20" i="23"/>
  <c r="AC20" i="23"/>
  <c r="AB20" i="23"/>
  <c r="Y20" i="23"/>
  <c r="AH20" i="23"/>
  <c r="AJ20" i="23"/>
  <c r="AI20" i="23"/>
  <c r="AG16" i="23"/>
  <c r="AD16" i="23"/>
  <c r="AA16" i="23"/>
  <c r="AF16" i="23"/>
  <c r="AE16" i="23"/>
  <c r="AC16" i="23"/>
  <c r="AB16" i="23"/>
  <c r="Z16" i="23"/>
  <c r="AI16" i="23"/>
  <c r="AH16" i="23"/>
  <c r="AJ16" i="23"/>
  <c r="Y16" i="23"/>
  <c r="AH21" i="23"/>
  <c r="AF21" i="23"/>
  <c r="AE21" i="23"/>
  <c r="AJ21" i="23"/>
  <c r="AI21" i="23"/>
  <c r="AG21" i="23"/>
  <c r="AD21" i="23"/>
  <c r="AC21" i="23"/>
  <c r="AB21" i="23"/>
  <c r="AA21" i="23"/>
  <c r="Z21" i="23"/>
  <c r="Y21" i="23"/>
  <c r="AI17" i="23"/>
  <c r="AF17" i="23"/>
  <c r="AE17" i="23"/>
  <c r="AD17" i="23"/>
  <c r="AJ17" i="23"/>
  <c r="AH17" i="23"/>
  <c r="AG17" i="23"/>
  <c r="AB17" i="23"/>
  <c r="AA17" i="23"/>
  <c r="Z17" i="23"/>
  <c r="AC17" i="23"/>
  <c r="Y17" i="23"/>
  <c r="Y22" i="23"/>
  <c r="AI22" i="23"/>
  <c r="AH22" i="23"/>
  <c r="AJ22" i="23"/>
  <c r="AF22" i="23"/>
  <c r="AD22" i="23"/>
  <c r="Z22" i="23"/>
  <c r="AE22" i="23"/>
  <c r="AG22" i="23"/>
  <c r="AC22" i="23"/>
  <c r="AB22" i="23"/>
  <c r="AA22" i="23"/>
  <c r="Y18" i="23"/>
  <c r="AI18" i="23"/>
  <c r="AG18" i="23"/>
  <c r="AJ18" i="23"/>
  <c r="AH18" i="23"/>
  <c r="AF18" i="23"/>
  <c r="AD18" i="23"/>
  <c r="Z18" i="23"/>
  <c r="AE18" i="23"/>
  <c r="AC18" i="23"/>
  <c r="AB18" i="23"/>
  <c r="AA18" i="23"/>
  <c r="AC23" i="23"/>
  <c r="AA23" i="23"/>
  <c r="AB23" i="23"/>
  <c r="Z23" i="23"/>
  <c r="Y23" i="23"/>
  <c r="AJ23" i="23"/>
  <c r="AH23" i="23"/>
  <c r="AI23" i="23"/>
  <c r="AE23" i="23"/>
  <c r="AG23" i="23"/>
  <c r="AF23" i="23"/>
  <c r="AD23" i="23"/>
  <c r="AG24" i="23"/>
  <c r="AE24" i="23"/>
  <c r="AD24" i="23"/>
  <c r="AA24" i="23"/>
  <c r="Z24" i="23"/>
  <c r="AF24" i="23"/>
  <c r="AC24" i="23"/>
  <c r="AB24" i="23"/>
  <c r="Y24" i="23"/>
  <c r="AI24" i="23"/>
  <c r="AH24" i="23"/>
  <c r="AJ24" i="23"/>
  <c r="W18" i="23"/>
  <c r="W8" i="23"/>
  <c r="W10" i="23"/>
  <c r="W22" i="23"/>
  <c r="W23" i="23"/>
  <c r="W24" i="23"/>
  <c r="W3" i="23"/>
  <c r="W11" i="23"/>
  <c r="W21" i="23"/>
  <c r="W6" i="23"/>
  <c r="W7" i="23"/>
  <c r="W12" i="23"/>
  <c r="W17" i="23"/>
  <c r="W4" i="23"/>
  <c r="W9" i="23"/>
  <c r="W19" i="23"/>
  <c r="W16" i="23"/>
  <c r="W5" i="23"/>
  <c r="W20" i="23"/>
  <c r="R60" i="8"/>
  <c r="R64" i="8"/>
  <c r="G7" i="17" s="1"/>
  <c r="G8" i="17" s="1"/>
  <c r="S64" i="8"/>
  <c r="O7" i="17" s="1"/>
  <c r="O8" i="17" s="1"/>
  <c r="AC13" i="23"/>
  <c r="AD13" i="23"/>
  <c r="Y13" i="23"/>
  <c r="AA13" i="23"/>
  <c r="S60" i="8"/>
  <c r="AE13" i="23"/>
  <c r="CA13" i="23" s="1"/>
  <c r="AI13" i="23"/>
  <c r="CE13" i="23" s="1"/>
  <c r="AF13" i="23"/>
  <c r="CB13" i="23" s="1"/>
  <c r="AJ13" i="23"/>
  <c r="CF13" i="23" s="1"/>
  <c r="AB13" i="23"/>
  <c r="AG13" i="23"/>
  <c r="CC13" i="23" s="1"/>
  <c r="P15" i="23"/>
  <c r="P13" i="23"/>
  <c r="AK4" i="23" s="1"/>
  <c r="CI4" i="23" s="1"/>
  <c r="W36" i="23" l="1"/>
  <c r="AR98" i="26"/>
  <c r="AR74" i="26"/>
  <c r="CF4" i="23"/>
  <c r="CA4" i="23"/>
  <c r="CC4" i="23"/>
  <c r="CE4" i="23"/>
  <c r="CD4" i="23"/>
  <c r="CB4" i="23"/>
  <c r="CL13" i="23"/>
  <c r="CJ13" i="23"/>
  <c r="AC15" i="23"/>
  <c r="AB15" i="23"/>
  <c r="AA15" i="23"/>
  <c r="Z15" i="23"/>
  <c r="Y15" i="23"/>
  <c r="AJ15" i="23"/>
  <c r="AH15" i="23"/>
  <c r="AE15" i="23"/>
  <c r="AI15" i="23"/>
  <c r="AG15" i="23"/>
  <c r="AF15" i="23"/>
  <c r="AD15" i="23"/>
  <c r="AK3" i="23"/>
  <c r="CI3" i="23" s="1"/>
  <c r="AK12" i="23"/>
  <c r="CI12" i="23" s="1"/>
  <c r="AK11" i="23"/>
  <c r="CI11" i="23" s="1"/>
  <c r="AK9" i="23"/>
  <c r="CI9" i="23" s="1"/>
  <c r="E7" i="17"/>
  <c r="E8" i="17" s="1"/>
  <c r="L7" i="17"/>
  <c r="L8" i="17" s="1"/>
  <c r="W13" i="23"/>
  <c r="AK13" i="23"/>
  <c r="AK7" i="23"/>
  <c r="CI7" i="23" s="1"/>
  <c r="AK10" i="23"/>
  <c r="CI10" i="23" s="1"/>
  <c r="AK6" i="23"/>
  <c r="CI6" i="23" s="1"/>
  <c r="AK8" i="23"/>
  <c r="CI8" i="23" s="1"/>
  <c r="F7" i="17"/>
  <c r="F8" i="17" s="1"/>
  <c r="AK5" i="23"/>
  <c r="CI5" i="23" s="1"/>
  <c r="J7" i="17"/>
  <c r="J8" i="17" s="1"/>
  <c r="I7" i="17"/>
  <c r="I8" i="17" s="1"/>
  <c r="H7" i="17"/>
  <c r="H8" i="17" s="1"/>
  <c r="M7" i="17"/>
  <c r="M8" i="17" s="1"/>
  <c r="N7" i="17"/>
  <c r="N8" i="17" s="1"/>
  <c r="P7" i="17"/>
  <c r="P8" i="17" s="1"/>
  <c r="K7" i="17"/>
  <c r="K8" i="17" s="1"/>
  <c r="P25" i="23"/>
  <c r="W15" i="23"/>
  <c r="H65" i="22"/>
  <c r="F52" i="22"/>
  <c r="I51" i="22"/>
  <c r="G51" i="22"/>
  <c r="F51" i="22"/>
  <c r="I50" i="22"/>
  <c r="F47" i="22"/>
  <c r="U46" i="22"/>
  <c r="T46" i="22"/>
  <c r="S46" i="22"/>
  <c r="R46" i="22"/>
  <c r="Q46" i="22"/>
  <c r="P46" i="22"/>
  <c r="O46" i="22"/>
  <c r="N46" i="22"/>
  <c r="M46" i="22"/>
  <c r="L46" i="22"/>
  <c r="K46" i="22"/>
  <c r="J46" i="22"/>
  <c r="I46" i="22"/>
  <c r="H46" i="22"/>
  <c r="G46" i="22"/>
  <c r="F46" i="22"/>
  <c r="N45" i="22"/>
  <c r="M45" i="22"/>
  <c r="L45" i="22"/>
  <c r="K45" i="22"/>
  <c r="J45" i="22"/>
  <c r="I45" i="22"/>
  <c r="H45" i="22"/>
  <c r="G45" i="22"/>
  <c r="F45" i="22"/>
  <c r="I44" i="22"/>
  <c r="H44" i="22"/>
  <c r="G44" i="22"/>
  <c r="F44" i="22"/>
  <c r="U43" i="22"/>
  <c r="T43" i="22"/>
  <c r="S43" i="22"/>
  <c r="R43" i="22"/>
  <c r="Q43" i="22"/>
  <c r="P43" i="22"/>
  <c r="O43" i="22"/>
  <c r="N43" i="22"/>
  <c r="M43" i="22"/>
  <c r="L43" i="22"/>
  <c r="K43" i="22"/>
  <c r="I43" i="22"/>
  <c r="H43" i="22"/>
  <c r="G43" i="22"/>
  <c r="F43" i="22"/>
  <c r="H40" i="22"/>
  <c r="I40" i="22" s="1"/>
  <c r="G40" i="22"/>
  <c r="F40" i="22"/>
  <c r="T38" i="22"/>
  <c r="T51" i="22" s="1"/>
  <c r="S38" i="22"/>
  <c r="S51" i="22" s="1"/>
  <c r="R38" i="22"/>
  <c r="R51" i="22" s="1"/>
  <c r="Q38" i="22"/>
  <c r="Q51" i="22" s="1"/>
  <c r="P38" i="22"/>
  <c r="P51" i="22" s="1"/>
  <c r="O38" i="22"/>
  <c r="O51" i="22" s="1"/>
  <c r="N38" i="22"/>
  <c r="N51" i="22" s="1"/>
  <c r="M38" i="22"/>
  <c r="M51" i="22" s="1"/>
  <c r="L38" i="22"/>
  <c r="L51" i="22" s="1"/>
  <c r="K38" i="22"/>
  <c r="K51" i="22" s="1"/>
  <c r="J38" i="22"/>
  <c r="U37" i="22"/>
  <c r="T37" i="22"/>
  <c r="S37" i="22"/>
  <c r="R37" i="22"/>
  <c r="Q37" i="22"/>
  <c r="P37" i="22"/>
  <c r="O37" i="22"/>
  <c r="N37" i="22"/>
  <c r="M37" i="22"/>
  <c r="L37" i="22"/>
  <c r="K37" i="22"/>
  <c r="J37" i="22"/>
  <c r="H36" i="22"/>
  <c r="I36" i="22" s="1"/>
  <c r="G36" i="22"/>
  <c r="F36" i="22"/>
  <c r="H35" i="22"/>
  <c r="I35" i="22" s="1"/>
  <c r="G35" i="22"/>
  <c r="F35" i="22"/>
  <c r="J34" i="22"/>
  <c r="J36" i="22" s="1"/>
  <c r="V33" i="22"/>
  <c r="U32" i="22"/>
  <c r="U45" i="22" s="1"/>
  <c r="T32" i="22"/>
  <c r="T45" i="22" s="1"/>
  <c r="S32" i="22"/>
  <c r="S45" i="22" s="1"/>
  <c r="R32" i="22"/>
  <c r="R45" i="22" s="1"/>
  <c r="Q32" i="22"/>
  <c r="Q45" i="22" s="1"/>
  <c r="P32" i="22"/>
  <c r="P45" i="22" s="1"/>
  <c r="O32" i="22"/>
  <c r="O45" i="22" s="1"/>
  <c r="Y31" i="22"/>
  <c r="Y37" i="22" s="1"/>
  <c r="Y50" i="22" s="1"/>
  <c r="X31" i="22"/>
  <c r="X37" i="22" s="1"/>
  <c r="X50" i="22" s="1"/>
  <c r="W31" i="22"/>
  <c r="W37" i="22" s="1"/>
  <c r="W50" i="22" s="1"/>
  <c r="V31" i="22"/>
  <c r="V30" i="22"/>
  <c r="F27" i="22"/>
  <c r="Y25" i="22"/>
  <c r="X25" i="22"/>
  <c r="W25" i="22"/>
  <c r="V25" i="22"/>
  <c r="H25" i="22"/>
  <c r="H51" i="22" s="1"/>
  <c r="H24" i="22"/>
  <c r="G24" i="22"/>
  <c r="G26" i="22" s="1"/>
  <c r="F24" i="22"/>
  <c r="F22" i="22"/>
  <c r="G21" i="22"/>
  <c r="V20" i="22"/>
  <c r="V19" i="22"/>
  <c r="U18" i="22"/>
  <c r="U24" i="22" s="1"/>
  <c r="T18" i="22"/>
  <c r="X18" i="22" s="1"/>
  <c r="S18" i="22"/>
  <c r="W18" i="22" s="1"/>
  <c r="R18" i="22"/>
  <c r="R24" i="22" s="1"/>
  <c r="Q18" i="22"/>
  <c r="Q24" i="22" s="1"/>
  <c r="P18" i="22"/>
  <c r="P24" i="22" s="1"/>
  <c r="O18" i="22"/>
  <c r="O24" i="22" s="1"/>
  <c r="N18" i="22"/>
  <c r="N24" i="22" s="1"/>
  <c r="M18" i="22"/>
  <c r="M24" i="22" s="1"/>
  <c r="L18" i="22"/>
  <c r="L24" i="22" s="1"/>
  <c r="K18" i="22"/>
  <c r="K24" i="22" s="1"/>
  <c r="J18" i="22"/>
  <c r="J24" i="22" s="1"/>
  <c r="V17" i="22"/>
  <c r="F15" i="22"/>
  <c r="F14" i="22"/>
  <c r="Y12" i="22"/>
  <c r="X12" i="22"/>
  <c r="W12" i="22"/>
  <c r="V12" i="22"/>
  <c r="H11" i="22"/>
  <c r="G11" i="22"/>
  <c r="F11" i="22"/>
  <c r="F9" i="22"/>
  <c r="G8" i="22"/>
  <c r="H8" i="22" s="1"/>
  <c r="V7" i="22"/>
  <c r="V6" i="22"/>
  <c r="AH5" i="22"/>
  <c r="U5" i="22"/>
  <c r="T5" i="22"/>
  <c r="S5" i="22"/>
  <c r="S11" i="22" s="1"/>
  <c r="R5" i="22"/>
  <c r="Q5" i="22"/>
  <c r="P5" i="22"/>
  <c r="P11" i="22" s="1"/>
  <c r="O5" i="22"/>
  <c r="O11" i="22" s="1"/>
  <c r="N5" i="22"/>
  <c r="M5" i="22"/>
  <c r="L5" i="22"/>
  <c r="L11" i="22" s="1"/>
  <c r="K5" i="22"/>
  <c r="K11" i="22" s="1"/>
  <c r="J5" i="22"/>
  <c r="J11" i="22" s="1"/>
  <c r="AH4" i="22"/>
  <c r="J4" i="22"/>
  <c r="V4" i="22" s="1"/>
  <c r="CE10" i="23" l="1"/>
  <c r="CF10" i="23"/>
  <c r="CC10" i="23"/>
  <c r="CD10" i="23"/>
  <c r="CB10" i="23"/>
  <c r="CA10" i="23"/>
  <c r="CA7" i="23"/>
  <c r="CD7" i="23"/>
  <c r="CC7" i="23"/>
  <c r="CE7" i="23"/>
  <c r="CB7" i="23"/>
  <c r="CF7" i="23"/>
  <c r="CA6" i="23"/>
  <c r="CF6" i="23"/>
  <c r="CE6" i="23"/>
  <c r="CD6" i="23"/>
  <c r="CC6" i="23"/>
  <c r="CB6" i="23"/>
  <c r="CF9" i="23"/>
  <c r="CE9" i="23"/>
  <c r="CD9" i="23"/>
  <c r="CC9" i="23"/>
  <c r="CB9" i="23"/>
  <c r="CA9" i="23"/>
  <c r="CC8" i="23"/>
  <c r="CA8" i="23"/>
  <c r="CB8" i="23"/>
  <c r="CD8" i="23"/>
  <c r="CF8" i="23"/>
  <c r="CE8" i="23"/>
  <c r="CD11" i="23"/>
  <c r="CE11" i="23"/>
  <c r="CC11" i="23"/>
  <c r="CB11" i="23"/>
  <c r="CA11" i="23"/>
  <c r="CF11" i="23"/>
  <c r="CF12" i="23"/>
  <c r="CE12" i="23"/>
  <c r="CD12" i="23"/>
  <c r="CA12" i="23"/>
  <c r="CB12" i="23"/>
  <c r="CC12" i="23"/>
  <c r="CA3" i="23"/>
  <c r="CI14" i="23"/>
  <c r="CF3" i="23"/>
  <c r="CE3" i="23"/>
  <c r="CD3" i="23"/>
  <c r="CC3" i="23"/>
  <c r="CB3" i="23"/>
  <c r="CB5" i="23"/>
  <c r="CA5" i="23"/>
  <c r="CC5" i="23"/>
  <c r="CE5" i="23"/>
  <c r="CF5" i="23"/>
  <c r="CD5" i="23"/>
  <c r="CL4" i="23"/>
  <c r="CG4" i="23"/>
  <c r="CJ4" i="23" s="1"/>
  <c r="AK15" i="23"/>
  <c r="AG25" i="23"/>
  <c r="Y25" i="23"/>
  <c r="AH25" i="23"/>
  <c r="Z25" i="23"/>
  <c r="AI25" i="23"/>
  <c r="AJ25" i="23"/>
  <c r="AA25" i="23"/>
  <c r="AC25" i="23"/>
  <c r="AD25" i="23"/>
  <c r="AE25" i="23"/>
  <c r="AF25" i="23"/>
  <c r="AB25" i="23"/>
  <c r="W25" i="23"/>
  <c r="AK25" i="23"/>
  <c r="AK18" i="23"/>
  <c r="AK21" i="23"/>
  <c r="AK16" i="23"/>
  <c r="AK23" i="23"/>
  <c r="AK17" i="23"/>
  <c r="AK19" i="23"/>
  <c r="AK20" i="23"/>
  <c r="AK22" i="23"/>
  <c r="AK24" i="23"/>
  <c r="Y51" i="22"/>
  <c r="O50" i="22"/>
  <c r="W51" i="22"/>
  <c r="G28" i="22"/>
  <c r="J39" i="22"/>
  <c r="J41" i="22" s="1"/>
  <c r="T44" i="22"/>
  <c r="U44" i="22"/>
  <c r="M44" i="22"/>
  <c r="AH6" i="22"/>
  <c r="AI5" i="22" s="1"/>
  <c r="K50" i="22"/>
  <c r="L50" i="22"/>
  <c r="G50" i="22"/>
  <c r="G52" i="22" s="1"/>
  <c r="V46" i="22"/>
  <c r="F50" i="22"/>
  <c r="N44" i="22"/>
  <c r="M11" i="22"/>
  <c r="M50" i="22" s="1"/>
  <c r="N11" i="22"/>
  <c r="N50" i="22" s="1"/>
  <c r="H50" i="22"/>
  <c r="G23" i="22"/>
  <c r="I8" i="22"/>
  <c r="J8" i="22" s="1"/>
  <c r="J9" i="22" s="1"/>
  <c r="H10" i="22"/>
  <c r="I10" i="22" s="1"/>
  <c r="H9" i="22"/>
  <c r="I9" i="22" s="1"/>
  <c r="K44" i="22"/>
  <c r="G9" i="22"/>
  <c r="X51" i="22"/>
  <c r="L44" i="22"/>
  <c r="F10" i="22"/>
  <c r="G10" i="22"/>
  <c r="V45" i="22"/>
  <c r="Q44" i="22"/>
  <c r="F23" i="22"/>
  <c r="F28" i="22"/>
  <c r="J43" i="22"/>
  <c r="V43" i="22" s="1"/>
  <c r="R44" i="22"/>
  <c r="H41" i="22"/>
  <c r="I41" i="22"/>
  <c r="J44" i="22"/>
  <c r="F49" i="22" s="1"/>
  <c r="O44" i="22"/>
  <c r="P50" i="22"/>
  <c r="V32" i="22"/>
  <c r="G13" i="22"/>
  <c r="H26" i="22"/>
  <c r="G27" i="22"/>
  <c r="K34" i="22"/>
  <c r="J35" i="22"/>
  <c r="W5" i="22"/>
  <c r="V18" i="22"/>
  <c r="P44" i="22"/>
  <c r="V5" i="22"/>
  <c r="Y18" i="22"/>
  <c r="Q11" i="22"/>
  <c r="Q50" i="22" s="1"/>
  <c r="S24" i="22"/>
  <c r="S50" i="22" s="1"/>
  <c r="F48" i="22"/>
  <c r="X5" i="22"/>
  <c r="J50" i="22"/>
  <c r="R11" i="22"/>
  <c r="R50" i="22" s="1"/>
  <c r="T24" i="22"/>
  <c r="S44" i="22"/>
  <c r="J51" i="22"/>
  <c r="Y5" i="22"/>
  <c r="T11" i="22"/>
  <c r="H21" i="22"/>
  <c r="G22" i="22"/>
  <c r="F41" i="22"/>
  <c r="F53" i="22"/>
  <c r="U11" i="22"/>
  <c r="U50" i="22" s="1"/>
  <c r="V37" i="22"/>
  <c r="G41" i="22"/>
  <c r="G47" i="22"/>
  <c r="CC14" i="23" l="1"/>
  <c r="CD14" i="23"/>
  <c r="CE14" i="23"/>
  <c r="CF14" i="23"/>
  <c r="CL6" i="23"/>
  <c r="CG6" i="23"/>
  <c r="CJ6" i="23" s="1"/>
  <c r="CA14" i="23"/>
  <c r="CL3" i="23"/>
  <c r="CG3" i="23"/>
  <c r="CG8" i="23"/>
  <c r="CJ8" i="23" s="1"/>
  <c r="CL8" i="23"/>
  <c r="CG12" i="23"/>
  <c r="CJ12" i="23" s="1"/>
  <c r="CL12" i="23"/>
  <c r="CG9" i="23"/>
  <c r="CJ9" i="23" s="1"/>
  <c r="CL9" i="23"/>
  <c r="CL7" i="23"/>
  <c r="CG7" i="23"/>
  <c r="CJ7" i="23" s="1"/>
  <c r="CG10" i="23"/>
  <c r="CJ10" i="23" s="1"/>
  <c r="CL10" i="23"/>
  <c r="CL5" i="23"/>
  <c r="CG5" i="23"/>
  <c r="CJ5" i="23" s="1"/>
  <c r="CG11" i="23"/>
  <c r="CJ11" i="23" s="1"/>
  <c r="CL11" i="23"/>
  <c r="CB14" i="23"/>
  <c r="J40" i="22"/>
  <c r="K39" i="22"/>
  <c r="K40" i="22" s="1"/>
  <c r="K8" i="22"/>
  <c r="K10" i="22" s="1"/>
  <c r="V24" i="22"/>
  <c r="J10" i="22"/>
  <c r="V44" i="22"/>
  <c r="J47" i="22"/>
  <c r="K47" i="22" s="1"/>
  <c r="T50" i="22"/>
  <c r="V50" i="22" s="1"/>
  <c r="F54" i="22"/>
  <c r="V11" i="22"/>
  <c r="G54" i="22"/>
  <c r="G53" i="22"/>
  <c r="H52" i="22"/>
  <c r="H27" i="22"/>
  <c r="I27" i="22" s="1"/>
  <c r="I26" i="22"/>
  <c r="H28" i="22"/>
  <c r="H13" i="22"/>
  <c r="G14" i="22"/>
  <c r="G15" i="22"/>
  <c r="G48" i="22"/>
  <c r="G49" i="22"/>
  <c r="H47" i="22"/>
  <c r="H23" i="22"/>
  <c r="I23" i="22" s="1"/>
  <c r="H22" i="22"/>
  <c r="I22" i="22" s="1"/>
  <c r="I21" i="22"/>
  <c r="J21" i="22" s="1"/>
  <c r="K35" i="22"/>
  <c r="L34" i="22"/>
  <c r="K36" i="22"/>
  <c r="CG14" i="23" l="1"/>
  <c r="CJ3" i="23"/>
  <c r="K41" i="22"/>
  <c r="L39" i="22"/>
  <c r="L40" i="22" s="1"/>
  <c r="L8" i="22"/>
  <c r="L9" i="22" s="1"/>
  <c r="K9" i="22"/>
  <c r="J49" i="22"/>
  <c r="J48" i="22"/>
  <c r="H15" i="22"/>
  <c r="H14" i="22"/>
  <c r="I14" i="22" s="1"/>
  <c r="I13" i="22"/>
  <c r="J22" i="22"/>
  <c r="K21" i="22"/>
  <c r="J23" i="22"/>
  <c r="K49" i="22"/>
  <c r="K48" i="22"/>
  <c r="L47" i="22"/>
  <c r="L36" i="22"/>
  <c r="L35" i="22"/>
  <c r="M34" i="22"/>
  <c r="I28" i="22"/>
  <c r="J26" i="22"/>
  <c r="H53" i="22"/>
  <c r="I53" i="22" s="1"/>
  <c r="H54" i="22"/>
  <c r="H49" i="22"/>
  <c r="I49" i="22" s="1"/>
  <c r="H48" i="22"/>
  <c r="I48" i="22" s="1"/>
  <c r="L41" i="22" l="1"/>
  <c r="M39" i="22"/>
  <c r="N39" i="22" s="1"/>
  <c r="L10" i="22"/>
  <c r="M8" i="22"/>
  <c r="M9" i="22" s="1"/>
  <c r="M47" i="22"/>
  <c r="L48" i="22"/>
  <c r="L49" i="22"/>
  <c r="K23" i="22"/>
  <c r="K22" i="22"/>
  <c r="L21" i="22"/>
  <c r="M36" i="22"/>
  <c r="M35" i="22"/>
  <c r="N34" i="22"/>
  <c r="J28" i="22"/>
  <c r="J27" i="22"/>
  <c r="K26" i="22"/>
  <c r="I52" i="22"/>
  <c r="I15" i="22"/>
  <c r="J13" i="22"/>
  <c r="M41" i="22" l="1"/>
  <c r="M40" i="22"/>
  <c r="N8" i="22"/>
  <c r="N9" i="22" s="1"/>
  <c r="M10" i="22"/>
  <c r="L22" i="22"/>
  <c r="M21" i="22"/>
  <c r="L23" i="22"/>
  <c r="N35" i="22"/>
  <c r="O34" i="22"/>
  <c r="N36" i="22"/>
  <c r="N41" i="22"/>
  <c r="N40" i="22"/>
  <c r="O39" i="22"/>
  <c r="I54" i="22"/>
  <c r="J52" i="22"/>
  <c r="K27" i="22"/>
  <c r="L26" i="22"/>
  <c r="K28" i="22"/>
  <c r="J15" i="22"/>
  <c r="K13" i="22"/>
  <c r="J14" i="22"/>
  <c r="M49" i="22"/>
  <c r="M48" i="22"/>
  <c r="N47" i="22"/>
  <c r="O8" i="22" l="1"/>
  <c r="O9" i="22" s="1"/>
  <c r="N10" i="22"/>
  <c r="K15" i="22"/>
  <c r="K14" i="22"/>
  <c r="L13" i="22"/>
  <c r="J53" i="22"/>
  <c r="K52" i="22"/>
  <c r="J54" i="22"/>
  <c r="O40" i="22"/>
  <c r="P39" i="22"/>
  <c r="O41" i="22"/>
  <c r="N49" i="22"/>
  <c r="N48" i="22"/>
  <c r="O47" i="22"/>
  <c r="M22" i="22"/>
  <c r="N21" i="22"/>
  <c r="M23" i="22"/>
  <c r="L28" i="22"/>
  <c r="L27" i="22"/>
  <c r="M26" i="22"/>
  <c r="O36" i="22"/>
  <c r="O35" i="22"/>
  <c r="P34" i="22"/>
  <c r="O10" i="22" l="1"/>
  <c r="P8" i="22"/>
  <c r="P10" i="22" s="1"/>
  <c r="P41" i="22"/>
  <c r="P40" i="22"/>
  <c r="Q39" i="22"/>
  <c r="P36" i="22"/>
  <c r="P35" i="22"/>
  <c r="Q34" i="22"/>
  <c r="O49" i="22"/>
  <c r="O48" i="22"/>
  <c r="P47" i="22"/>
  <c r="M28" i="22"/>
  <c r="M27" i="22"/>
  <c r="N26" i="22"/>
  <c r="K53" i="22"/>
  <c r="L52" i="22"/>
  <c r="K54" i="22"/>
  <c r="L15" i="22"/>
  <c r="L14" i="22"/>
  <c r="M13" i="22"/>
  <c r="N23" i="22"/>
  <c r="N22" i="22"/>
  <c r="O21" i="22"/>
  <c r="Q8" i="22" l="1"/>
  <c r="R8" i="22" s="1"/>
  <c r="P9" i="22"/>
  <c r="O22" i="22"/>
  <c r="P21" i="22"/>
  <c r="O23" i="22"/>
  <c r="N28" i="22"/>
  <c r="N27" i="22"/>
  <c r="O26" i="22"/>
  <c r="P49" i="22"/>
  <c r="P48" i="22"/>
  <c r="Q47" i="22"/>
  <c r="Q36" i="22"/>
  <c r="Q35" i="22"/>
  <c r="R34" i="22"/>
  <c r="M15" i="22"/>
  <c r="M14" i="22"/>
  <c r="N13" i="22"/>
  <c r="Q41" i="22"/>
  <c r="Q40" i="22"/>
  <c r="R39" i="22"/>
  <c r="L54" i="22"/>
  <c r="L53" i="22"/>
  <c r="M52" i="22"/>
  <c r="Q9" i="22" l="1"/>
  <c r="Q10" i="22"/>
  <c r="S34" i="22"/>
  <c r="R36" i="22"/>
  <c r="R35" i="22"/>
  <c r="N52" i="22"/>
  <c r="M53" i="22"/>
  <c r="M54" i="22"/>
  <c r="R40" i="22"/>
  <c r="S39" i="22"/>
  <c r="N14" i="22"/>
  <c r="O13" i="22"/>
  <c r="N15" i="22"/>
  <c r="Q49" i="22"/>
  <c r="Q48" i="22"/>
  <c r="R47" i="22"/>
  <c r="O27" i="22"/>
  <c r="O28" i="22"/>
  <c r="P26" i="22"/>
  <c r="P23" i="22"/>
  <c r="P22" i="22"/>
  <c r="Q21" i="22"/>
  <c r="R10" i="22"/>
  <c r="R9" i="22"/>
  <c r="S8" i="22"/>
  <c r="O14" i="22" l="1"/>
  <c r="P13" i="22"/>
  <c r="O15" i="22"/>
  <c r="S10" i="22"/>
  <c r="S9" i="22"/>
  <c r="T8" i="22"/>
  <c r="Q23" i="22"/>
  <c r="Q22" i="22"/>
  <c r="R21" i="22"/>
  <c r="N54" i="22"/>
  <c r="N53" i="22"/>
  <c r="O52" i="22"/>
  <c r="P28" i="22"/>
  <c r="P27" i="22"/>
  <c r="Q26" i="22"/>
  <c r="R49" i="22"/>
  <c r="R48" i="22"/>
  <c r="S47" i="22"/>
  <c r="S40" i="22"/>
  <c r="T39" i="22"/>
  <c r="S36" i="22"/>
  <c r="S35" i="22"/>
  <c r="T34" i="22"/>
  <c r="Q28" i="22" l="1"/>
  <c r="Q27" i="22"/>
  <c r="R26" i="22"/>
  <c r="T36" i="22"/>
  <c r="T35" i="22"/>
  <c r="U34" i="22"/>
  <c r="T40" i="22"/>
  <c r="S48" i="22"/>
  <c r="T47" i="22"/>
  <c r="S49" i="22"/>
  <c r="Q13" i="22"/>
  <c r="P15" i="22"/>
  <c r="P14" i="22"/>
  <c r="O54" i="22"/>
  <c r="O53" i="22"/>
  <c r="P52" i="22"/>
  <c r="R22" i="22"/>
  <c r="S21" i="22"/>
  <c r="R23" i="22"/>
  <c r="U8" i="22"/>
  <c r="T10" i="22"/>
  <c r="T9" i="22"/>
  <c r="R13" i="22" l="1"/>
  <c r="Q14" i="22"/>
  <c r="Q15" i="22"/>
  <c r="T48" i="22"/>
  <c r="U47" i="22"/>
  <c r="T49" i="22"/>
  <c r="U35" i="22"/>
  <c r="V35" i="22" s="1"/>
  <c r="V34" i="22"/>
  <c r="U36" i="22"/>
  <c r="V36" i="22" s="1"/>
  <c r="S23" i="22"/>
  <c r="S22" i="22"/>
  <c r="T21" i="22"/>
  <c r="P53" i="22"/>
  <c r="Q52" i="22"/>
  <c r="P54" i="22"/>
  <c r="U10" i="22"/>
  <c r="V10" i="22" s="1"/>
  <c r="U9" i="22"/>
  <c r="V9" i="22" s="1"/>
  <c r="V8" i="22"/>
  <c r="R27" i="22"/>
  <c r="S26" i="22"/>
  <c r="R28" i="22"/>
  <c r="T23" i="22" l="1"/>
  <c r="T22" i="22"/>
  <c r="U21" i="22"/>
  <c r="S27" i="22"/>
  <c r="T26" i="22"/>
  <c r="S28" i="22"/>
  <c r="U49" i="22"/>
  <c r="V49" i="22" s="1"/>
  <c r="U48" i="22"/>
  <c r="V48" i="22" s="1"/>
  <c r="V47" i="22"/>
  <c r="Q53" i="22"/>
  <c r="R52" i="22"/>
  <c r="Q54" i="22"/>
  <c r="S13" i="22"/>
  <c r="R14" i="22"/>
  <c r="R15" i="22"/>
  <c r="S15" i="22" l="1"/>
  <c r="S14" i="22"/>
  <c r="T13" i="22"/>
  <c r="T28" i="22"/>
  <c r="T27" i="22"/>
  <c r="U26" i="22"/>
  <c r="U23" i="22"/>
  <c r="V23" i="22" s="1"/>
  <c r="U22" i="22"/>
  <c r="V22" i="22" s="1"/>
  <c r="V21" i="22"/>
  <c r="R53" i="22"/>
  <c r="S52" i="22"/>
  <c r="S53" i="22" l="1"/>
  <c r="T52" i="22"/>
  <c r="U27" i="22"/>
  <c r="V27" i="22" s="1"/>
  <c r="V26" i="22"/>
  <c r="U28" i="22"/>
  <c r="V28" i="22" s="1"/>
  <c r="U13" i="22"/>
  <c r="T14" i="22"/>
  <c r="T15" i="22"/>
  <c r="U15" i="22" l="1"/>
  <c r="V15" i="22" s="1"/>
  <c r="U14" i="22"/>
  <c r="V14" i="22" s="1"/>
  <c r="V13" i="22"/>
  <c r="X13" i="22" s="1"/>
  <c r="W13" i="22"/>
  <c r="Y13" i="22" s="1"/>
  <c r="T53" i="22"/>
  <c r="O21" i="2" l="1"/>
  <c r="M31" i="18"/>
  <c r="U24" i="18"/>
  <c r="U22" i="18"/>
  <c r="U23" i="18" s="1"/>
  <c r="O80" i="8" l="1"/>
  <c r="P80" i="8"/>
  <c r="P84" i="8"/>
  <c r="O84" i="8"/>
  <c r="N84" i="8"/>
  <c r="M84" i="8"/>
  <c r="L84" i="8"/>
  <c r="K84" i="8"/>
  <c r="J84" i="8"/>
  <c r="I84" i="8"/>
  <c r="H84" i="8"/>
  <c r="G84" i="8"/>
  <c r="F84" i="8"/>
  <c r="E84" i="8"/>
  <c r="P83" i="8"/>
  <c r="O83" i="8"/>
  <c r="N83" i="8"/>
  <c r="M83" i="8"/>
  <c r="L83" i="8"/>
  <c r="K83" i="8"/>
  <c r="J83" i="8"/>
  <c r="I83" i="8"/>
  <c r="H83" i="8"/>
  <c r="G83" i="8"/>
  <c r="F83" i="8"/>
  <c r="E83" i="8"/>
  <c r="P82" i="8"/>
  <c r="O82" i="8"/>
  <c r="N82" i="8"/>
  <c r="M82" i="8"/>
  <c r="L82" i="8"/>
  <c r="K82" i="8"/>
  <c r="J82" i="8"/>
  <c r="I82" i="8"/>
  <c r="H82" i="8"/>
  <c r="G82" i="8"/>
  <c r="F82" i="8"/>
  <c r="E82" i="8"/>
  <c r="P81" i="8"/>
  <c r="O81" i="8"/>
  <c r="N81" i="8"/>
  <c r="M81" i="8"/>
  <c r="L81" i="8"/>
  <c r="K81" i="8"/>
  <c r="J81" i="8"/>
  <c r="I81" i="8"/>
  <c r="H81" i="8"/>
  <c r="G81" i="8"/>
  <c r="F81" i="8"/>
  <c r="E81" i="8"/>
  <c r="N80" i="8"/>
  <c r="M80" i="8"/>
  <c r="L80" i="8"/>
  <c r="K80" i="8"/>
  <c r="J80" i="8"/>
  <c r="I80" i="8"/>
  <c r="H80" i="8"/>
  <c r="G80" i="8"/>
  <c r="F80" i="8"/>
  <c r="E80" i="8"/>
  <c r="E75" i="8"/>
  <c r="E65" i="8" s="1"/>
  <c r="Q73" i="8"/>
  <c r="D29" i="8"/>
  <c r="F29" i="8"/>
  <c r="G29" i="8"/>
  <c r="E29" i="8"/>
  <c r="O13" i="8"/>
  <c r="O8" i="8"/>
  <c r="E76" i="8" l="1"/>
  <c r="M85" i="8"/>
  <c r="N85" i="8"/>
  <c r="E85" i="8"/>
  <c r="F85" i="8"/>
  <c r="G85" i="8"/>
  <c r="K85" i="8"/>
  <c r="H85" i="8"/>
  <c r="I85" i="8"/>
  <c r="J85" i="8"/>
  <c r="L85" i="8"/>
  <c r="P85" i="8"/>
  <c r="O85" i="8"/>
  <c r="Q84" i="8"/>
  <c r="Q82" i="8"/>
  <c r="Q80" i="8"/>
  <c r="Q83" i="8"/>
  <c r="Q81" i="8"/>
  <c r="U1" i="20"/>
  <c r="T1" i="20"/>
  <c r="S1" i="20"/>
  <c r="R1" i="20"/>
  <c r="Q1" i="20"/>
  <c r="P1" i="20"/>
  <c r="O1" i="20"/>
  <c r="N1" i="20"/>
  <c r="M1" i="20"/>
  <c r="L1" i="20"/>
  <c r="K4" i="20"/>
  <c r="K1" i="20" s="1"/>
  <c r="J4" i="20"/>
  <c r="J1" i="20" s="1"/>
  <c r="N4" i="2"/>
  <c r="O4" i="2" s="1"/>
  <c r="G24" i="20"/>
  <c r="G26" i="20" s="1"/>
  <c r="H24" i="20"/>
  <c r="E16" i="18"/>
  <c r="E17" i="18"/>
  <c r="J17" i="20" s="1"/>
  <c r="E58" i="8"/>
  <c r="E57" i="8"/>
  <c r="D46" i="8"/>
  <c r="F58" i="8"/>
  <c r="F57" i="8"/>
  <c r="F62" i="8" s="1"/>
  <c r="G58" i="8"/>
  <c r="G57" i="8"/>
  <c r="D5" i="18"/>
  <c r="E11" i="18" s="1"/>
  <c r="G5" i="18"/>
  <c r="J5" i="18"/>
  <c r="H58" i="8"/>
  <c r="H57" i="8"/>
  <c r="E46" i="8"/>
  <c r="I58" i="8"/>
  <c r="I57" i="8"/>
  <c r="J58" i="8"/>
  <c r="J57" i="8"/>
  <c r="K58" i="8"/>
  <c r="K57" i="8"/>
  <c r="F46" i="8"/>
  <c r="L58" i="8"/>
  <c r="L57" i="8"/>
  <c r="M58" i="8"/>
  <c r="M57" i="8"/>
  <c r="D4" i="18"/>
  <c r="D6" i="18" s="1"/>
  <c r="I11" i="18" s="1"/>
  <c r="G4" i="18"/>
  <c r="G6" i="18" s="1"/>
  <c r="I12" i="18" s="1"/>
  <c r="J4" i="18"/>
  <c r="J6" i="18" s="1"/>
  <c r="N58" i="8"/>
  <c r="N57" i="8"/>
  <c r="G46" i="8"/>
  <c r="O58" i="8"/>
  <c r="O57" i="8"/>
  <c r="P58" i="8"/>
  <c r="P57" i="8"/>
  <c r="I51" i="20"/>
  <c r="I50" i="20"/>
  <c r="F52" i="20"/>
  <c r="G11" i="20"/>
  <c r="G51" i="20"/>
  <c r="H11" i="20"/>
  <c r="H51" i="20"/>
  <c r="F51" i="20"/>
  <c r="F11" i="20"/>
  <c r="F24" i="20"/>
  <c r="U46" i="20"/>
  <c r="T46" i="20"/>
  <c r="S46" i="20"/>
  <c r="R46" i="20"/>
  <c r="Q46" i="20"/>
  <c r="P46" i="20"/>
  <c r="O46" i="20"/>
  <c r="N46" i="20"/>
  <c r="M46" i="20"/>
  <c r="L46" i="20"/>
  <c r="U32" i="20"/>
  <c r="U45" i="20" s="1"/>
  <c r="T32" i="20"/>
  <c r="T45" i="20" s="1"/>
  <c r="S32" i="20"/>
  <c r="S45" i="20" s="1"/>
  <c r="R32" i="20"/>
  <c r="R45" i="20" s="1"/>
  <c r="Q32" i="20"/>
  <c r="Q45" i="20" s="1"/>
  <c r="P32" i="20"/>
  <c r="P45" i="20" s="1"/>
  <c r="O32" i="20"/>
  <c r="O45" i="20" s="1"/>
  <c r="N45" i="20"/>
  <c r="M45" i="20"/>
  <c r="L45" i="20"/>
  <c r="K45" i="20"/>
  <c r="K46" i="20"/>
  <c r="J45" i="20"/>
  <c r="J46" i="20"/>
  <c r="F47" i="20"/>
  <c r="G43" i="20"/>
  <c r="G44" i="20"/>
  <c r="G45" i="20"/>
  <c r="G46" i="20"/>
  <c r="H43" i="20"/>
  <c r="H44" i="20"/>
  <c r="H45" i="20"/>
  <c r="H46" i="20"/>
  <c r="F46" i="20"/>
  <c r="F45" i="20"/>
  <c r="F44" i="20"/>
  <c r="F43" i="20"/>
  <c r="I46" i="20"/>
  <c r="I45" i="20"/>
  <c r="I44" i="20"/>
  <c r="I43" i="20"/>
  <c r="G21" i="20"/>
  <c r="H21" i="20" s="1"/>
  <c r="H35" i="20"/>
  <c r="I35" i="20" s="1"/>
  <c r="G35" i="20"/>
  <c r="F35" i="20"/>
  <c r="H40" i="20"/>
  <c r="I40" i="20" s="1"/>
  <c r="G40" i="20"/>
  <c r="F40" i="20"/>
  <c r="F27" i="20"/>
  <c r="F22" i="20"/>
  <c r="F14" i="20"/>
  <c r="H65" i="20"/>
  <c r="G8" i="20"/>
  <c r="G9" i="20" s="1"/>
  <c r="F9" i="20"/>
  <c r="E20" i="14"/>
  <c r="D20" i="14"/>
  <c r="V33" i="20"/>
  <c r="V30" i="20"/>
  <c r="V20" i="20"/>
  <c r="V19" i="20"/>
  <c r="V7" i="20"/>
  <c r="V6" i="20"/>
  <c r="H43" i="8"/>
  <c r="H49" i="8" s="1"/>
  <c r="H34" i="8"/>
  <c r="G25" i="8"/>
  <c r="G27" i="8" s="1"/>
  <c r="P21" i="18"/>
  <c r="W11" i="17"/>
  <c r="D46" i="11"/>
  <c r="D51" i="11" s="1"/>
  <c r="E46" i="11"/>
  <c r="G51" i="11" s="1"/>
  <c r="F46" i="11"/>
  <c r="L51" i="11" s="1"/>
  <c r="G46" i="11"/>
  <c r="N51" i="11" s="1"/>
  <c r="D30" i="11"/>
  <c r="D31" i="11"/>
  <c r="D32" i="11"/>
  <c r="D33" i="11"/>
  <c r="E30" i="11"/>
  <c r="E31" i="11"/>
  <c r="E32" i="11"/>
  <c r="E33" i="11"/>
  <c r="F30" i="11"/>
  <c r="F31" i="11"/>
  <c r="F32" i="11"/>
  <c r="F33" i="11"/>
  <c r="G30" i="11"/>
  <c r="G31" i="11"/>
  <c r="G32" i="11"/>
  <c r="G33" i="11"/>
  <c r="D18" i="11"/>
  <c r="D19" i="11"/>
  <c r="D20" i="11"/>
  <c r="E18" i="11"/>
  <c r="E19" i="11"/>
  <c r="E20" i="11"/>
  <c r="F18" i="11"/>
  <c r="F19" i="11"/>
  <c r="F20" i="11"/>
  <c r="G18" i="11"/>
  <c r="G19" i="11"/>
  <c r="G20" i="11"/>
  <c r="X34" i="15"/>
  <c r="E1" i="15"/>
  <c r="O22" i="15" s="1"/>
  <c r="P22" i="15" s="1"/>
  <c r="Q22" i="15" s="1"/>
  <c r="E14" i="15"/>
  <c r="W34" i="15"/>
  <c r="W33" i="15"/>
  <c r="W20" i="15"/>
  <c r="W19" i="15"/>
  <c r="W12" i="15"/>
  <c r="W11" i="15"/>
  <c r="N14" i="15"/>
  <c r="O14" i="15" s="1"/>
  <c r="P14" i="15" s="1"/>
  <c r="Q14" i="15" s="1"/>
  <c r="N32" i="15"/>
  <c r="N35" i="15" s="1"/>
  <c r="E35" i="15"/>
  <c r="O34" i="15"/>
  <c r="P34" i="15" s="1"/>
  <c r="Q34" i="15" s="1"/>
  <c r="F34" i="15"/>
  <c r="G34" i="15" s="1"/>
  <c r="H34" i="15" s="1"/>
  <c r="AF155" i="10"/>
  <c r="AF235" i="10"/>
  <c r="Y32" i="15"/>
  <c r="Z32" i="15" s="1"/>
  <c r="AF152" i="10"/>
  <c r="X21" i="15"/>
  <c r="Y21" i="15" s="1"/>
  <c r="Z21" i="15" s="1"/>
  <c r="X19" i="15"/>
  <c r="Y14" i="15"/>
  <c r="Z14" i="15" s="1"/>
  <c r="Y13" i="15"/>
  <c r="Z13" i="15" s="1"/>
  <c r="E13" i="15"/>
  <c r="Y10" i="15"/>
  <c r="Z10" i="15" s="1"/>
  <c r="P10" i="15"/>
  <c r="Q10" i="15" s="1"/>
  <c r="G10" i="15"/>
  <c r="H10" i="15" s="1"/>
  <c r="Y9" i="15"/>
  <c r="Z9" i="15" s="1"/>
  <c r="P9" i="15"/>
  <c r="Q9" i="15" s="1"/>
  <c r="G9" i="15"/>
  <c r="H9" i="15" s="1"/>
  <c r="AF153" i="10"/>
  <c r="AF233" i="10"/>
  <c r="E1" i="2"/>
  <c r="O8" i="2" s="1"/>
  <c r="O12" i="2" s="1"/>
  <c r="P12" i="2" s="1"/>
  <c r="Q12" i="2" s="1"/>
  <c r="O14" i="2"/>
  <c r="P14" i="2" s="1"/>
  <c r="Q14" i="2" s="1"/>
  <c r="N15" i="2"/>
  <c r="D8" i="13"/>
  <c r="E8" i="13" s="1"/>
  <c r="D9" i="13"/>
  <c r="E9" i="13" s="1"/>
  <c r="C6" i="13"/>
  <c r="C7" i="13" s="1"/>
  <c r="C10" i="13" s="1"/>
  <c r="D10" i="13" s="1"/>
  <c r="E10" i="13" s="1"/>
  <c r="AF228" i="10"/>
  <c r="AF151" i="10"/>
  <c r="AF154" i="10"/>
  <c r="AF234" i="10"/>
  <c r="AF150" i="10"/>
  <c r="AF227" i="10"/>
  <c r="AF229" i="10"/>
  <c r="C28" i="13"/>
  <c r="C29" i="13" s="1"/>
  <c r="C30" i="13" s="1"/>
  <c r="X21" i="2"/>
  <c r="Y21" i="2" s="1"/>
  <c r="Z21" i="2" s="1"/>
  <c r="X19" i="2"/>
  <c r="Y19" i="2" s="1"/>
  <c r="Z19" i="2" s="1"/>
  <c r="W39" i="2"/>
  <c r="X34" i="2"/>
  <c r="Y34" i="2" s="1"/>
  <c r="Z34" i="2" s="1"/>
  <c r="W15" i="2"/>
  <c r="W16" i="2" s="1"/>
  <c r="Y14" i="2"/>
  <c r="Z14" i="2" s="1"/>
  <c r="Y13" i="2"/>
  <c r="Z13" i="2" s="1"/>
  <c r="Y10" i="2"/>
  <c r="Z10" i="2" s="1"/>
  <c r="Y9" i="2"/>
  <c r="Z9" i="2" s="1"/>
  <c r="C18" i="13"/>
  <c r="C19" i="13" s="1"/>
  <c r="C20" i="13" s="1"/>
  <c r="W35" i="2"/>
  <c r="W38" i="2" s="1"/>
  <c r="Y32" i="2"/>
  <c r="Z32" i="2" s="1"/>
  <c r="G28" i="11"/>
  <c r="F28" i="11"/>
  <c r="E28" i="11"/>
  <c r="D28" i="11"/>
  <c r="H24" i="11"/>
  <c r="H25" i="11"/>
  <c r="H26" i="11"/>
  <c r="H27" i="11"/>
  <c r="N32" i="2"/>
  <c r="N35" i="2" s="1"/>
  <c r="O34" i="2"/>
  <c r="P34" i="2" s="1"/>
  <c r="Q34" i="2" s="1"/>
  <c r="F34" i="2"/>
  <c r="G34" i="2" s="1"/>
  <c r="H34" i="2" s="1"/>
  <c r="P10" i="2"/>
  <c r="Q10" i="2" s="1"/>
  <c r="P9" i="2"/>
  <c r="Q9" i="2" s="1"/>
  <c r="E35" i="2"/>
  <c r="G10" i="2"/>
  <c r="H10" i="2" s="1"/>
  <c r="G9" i="2"/>
  <c r="H9" i="2" s="1"/>
  <c r="E13" i="2"/>
  <c r="E11" i="2"/>
  <c r="H100" i="14"/>
  <c r="G100" i="14"/>
  <c r="F100" i="14"/>
  <c r="E100" i="14"/>
  <c r="F89" i="14"/>
  <c r="E89" i="14"/>
  <c r="G78" i="14"/>
  <c r="F78" i="14"/>
  <c r="E78" i="14"/>
  <c r="F67" i="14"/>
  <c r="E67" i="14"/>
  <c r="F56" i="14"/>
  <c r="E56" i="14"/>
  <c r="E45" i="14"/>
  <c r="E34" i="14"/>
  <c r="F23" i="14"/>
  <c r="E23" i="14"/>
  <c r="F12" i="14"/>
  <c r="E12" i="14"/>
  <c r="C9" i="5"/>
  <c r="C16" i="5"/>
  <c r="C14" i="5"/>
  <c r="C8" i="5"/>
  <c r="F2" i="3"/>
  <c r="AF232" i="10"/>
  <c r="AF231" i="10"/>
  <c r="AF230" i="10"/>
  <c r="D45" i="11"/>
  <c r="E45" i="11"/>
  <c r="F45" i="11"/>
  <c r="G45" i="11"/>
  <c r="D44" i="11"/>
  <c r="E44" i="11"/>
  <c r="F44" i="11"/>
  <c r="G44" i="11"/>
  <c r="D43" i="11"/>
  <c r="E43" i="11"/>
  <c r="F43" i="11"/>
  <c r="G43" i="11"/>
  <c r="G41" i="11"/>
  <c r="H41" i="11" s="1"/>
  <c r="H40" i="11"/>
  <c r="H39" i="11"/>
  <c r="H38" i="11"/>
  <c r="H37" i="11"/>
  <c r="H15" i="11"/>
  <c r="H14" i="11"/>
  <c r="H13" i="11"/>
  <c r="G16" i="11"/>
  <c r="H16" i="11" s="1"/>
  <c r="F16" i="11"/>
  <c r="E16" i="11"/>
  <c r="D16" i="11"/>
  <c r="F41" i="11"/>
  <c r="E41" i="11"/>
  <c r="D41" i="11"/>
  <c r="F30" i="7"/>
  <c r="F34" i="7" s="1"/>
  <c r="M7" i="8"/>
  <c r="H10" i="8" s="1"/>
  <c r="E10" i="8" s="1"/>
  <c r="H47" i="8"/>
  <c r="F45" i="8"/>
  <c r="E45" i="8"/>
  <c r="G45" i="8"/>
  <c r="F36" i="8"/>
  <c r="E36" i="8"/>
  <c r="G36" i="8"/>
  <c r="M14" i="8"/>
  <c r="I38" i="8"/>
  <c r="F27" i="8"/>
  <c r="E27" i="8"/>
  <c r="H29" i="8"/>
  <c r="H11" i="8"/>
  <c r="G9" i="8"/>
  <c r="F9" i="8"/>
  <c r="E9" i="8"/>
  <c r="H7" i="8"/>
  <c r="D8" i="8" s="1"/>
  <c r="D37" i="3"/>
  <c r="D38" i="3" s="1"/>
  <c r="F10" i="7"/>
  <c r="F12" i="7"/>
  <c r="H12" i="7" s="1"/>
  <c r="I12" i="7" s="1"/>
  <c r="F18" i="7"/>
  <c r="F37" i="7"/>
  <c r="F38" i="7" s="1"/>
  <c r="G38" i="7" s="1"/>
  <c r="D4" i="7"/>
  <c r="H4" i="7" s="1"/>
  <c r="I4" i="7" s="1"/>
  <c r="D6" i="7"/>
  <c r="H6" i="7" s="1"/>
  <c r="I6" i="7" s="1"/>
  <c r="D7" i="7"/>
  <c r="H7" i="7" s="1"/>
  <c r="I7" i="7" s="1"/>
  <c r="D8" i="7"/>
  <c r="H8" i="7" s="1"/>
  <c r="I8" i="7" s="1"/>
  <c r="D9" i="7"/>
  <c r="H9" i="7" s="1"/>
  <c r="I9" i="7" s="1"/>
  <c r="D14" i="7"/>
  <c r="H14" i="7" s="1"/>
  <c r="I14" i="7" s="1"/>
  <c r="D15" i="7"/>
  <c r="H15" i="7" s="1"/>
  <c r="I15" i="7" s="1"/>
  <c r="D17" i="7"/>
  <c r="H17" i="7" s="1"/>
  <c r="I17" i="7" s="1"/>
  <c r="D37" i="7"/>
  <c r="D38" i="7" s="1"/>
  <c r="F38" i="3"/>
  <c r="H38" i="3" s="1"/>
  <c r="F10" i="6"/>
  <c r="F18" i="6"/>
  <c r="F8" i="3"/>
  <c r="F9" i="3"/>
  <c r="F18" i="3"/>
  <c r="D26" i="3"/>
  <c r="D4" i="3"/>
  <c r="H4" i="3" s="1"/>
  <c r="I4" i="3" s="1"/>
  <c r="D6" i="3"/>
  <c r="H6" i="3" s="1"/>
  <c r="I6" i="3" s="1"/>
  <c r="D7" i="3"/>
  <c r="H7" i="3" s="1"/>
  <c r="I7" i="3" s="1"/>
  <c r="D8" i="3"/>
  <c r="D9" i="3"/>
  <c r="D18" i="3"/>
  <c r="D34" i="7"/>
  <c r="F34" i="3"/>
  <c r="D34" i="3"/>
  <c r="F31" i="3"/>
  <c r="F35" i="3" s="1"/>
  <c r="D31" i="3"/>
  <c r="D35" i="3" s="1"/>
  <c r="D31" i="7"/>
  <c r="D35" i="7" s="1"/>
  <c r="D10" i="6"/>
  <c r="D18" i="6"/>
  <c r="H5" i="7"/>
  <c r="I5" i="7" s="1"/>
  <c r="H16" i="7"/>
  <c r="I16" i="7" s="1"/>
  <c r="T7" i="7"/>
  <c r="T6" i="7"/>
  <c r="T5" i="7"/>
  <c r="T4" i="7"/>
  <c r="K17" i="6"/>
  <c r="L17" i="6" s="1"/>
  <c r="M17" i="6" s="1"/>
  <c r="H17" i="6"/>
  <c r="I17" i="6" s="1"/>
  <c r="K16" i="6"/>
  <c r="L16" i="6" s="1"/>
  <c r="M16" i="6" s="1"/>
  <c r="H16" i="6"/>
  <c r="I16" i="6" s="1"/>
  <c r="K15" i="6"/>
  <c r="L15" i="6" s="1"/>
  <c r="M15" i="6" s="1"/>
  <c r="H15" i="6"/>
  <c r="I15" i="6" s="1"/>
  <c r="K14" i="6"/>
  <c r="L14" i="6" s="1"/>
  <c r="M14" i="6" s="1"/>
  <c r="H14" i="6"/>
  <c r="I14" i="6" s="1"/>
  <c r="L12" i="6"/>
  <c r="M12" i="6" s="1"/>
  <c r="H12" i="6"/>
  <c r="I12" i="6" s="1"/>
  <c r="H9" i="6"/>
  <c r="I9" i="6" s="1"/>
  <c r="H8" i="6"/>
  <c r="I8" i="6" s="1"/>
  <c r="T7" i="6"/>
  <c r="T6" i="6"/>
  <c r="H6" i="6"/>
  <c r="I6" i="6" s="1"/>
  <c r="T5" i="6"/>
  <c r="H5" i="6"/>
  <c r="I5" i="6" s="1"/>
  <c r="T4" i="6"/>
  <c r="H4" i="6"/>
  <c r="I4" i="6" s="1"/>
  <c r="K17" i="3"/>
  <c r="L17" i="3" s="1"/>
  <c r="M17" i="3" s="1"/>
  <c r="K16" i="3"/>
  <c r="L16" i="3" s="1"/>
  <c r="M16" i="3" s="1"/>
  <c r="K15" i="3"/>
  <c r="L15" i="3" s="1"/>
  <c r="M15" i="3" s="1"/>
  <c r="K14" i="3"/>
  <c r="L14" i="3" s="1"/>
  <c r="M14" i="3" s="1"/>
  <c r="L12" i="3"/>
  <c r="M12" i="3" s="1"/>
  <c r="F4" i="4"/>
  <c r="G4" i="4" s="1"/>
  <c r="E8" i="1"/>
  <c r="E19" i="4"/>
  <c r="D19" i="4"/>
  <c r="F18" i="4"/>
  <c r="G18" i="4" s="1"/>
  <c r="F17" i="4"/>
  <c r="G17" i="4" s="1"/>
  <c r="F16" i="4"/>
  <c r="G16" i="4" s="1"/>
  <c r="F15" i="4"/>
  <c r="G15" i="4" s="1"/>
  <c r="F13" i="4"/>
  <c r="G13" i="4" s="1"/>
  <c r="F9" i="4"/>
  <c r="G9" i="4" s="1"/>
  <c r="N8" i="4"/>
  <c r="F8" i="4"/>
  <c r="G8" i="4" s="1"/>
  <c r="N7" i="4"/>
  <c r="F7" i="4"/>
  <c r="G7" i="4" s="1"/>
  <c r="N6" i="4"/>
  <c r="F6" i="4"/>
  <c r="G6" i="4" s="1"/>
  <c r="N4" i="4"/>
  <c r="H17" i="3"/>
  <c r="I17" i="3" s="1"/>
  <c r="H16" i="3"/>
  <c r="I16" i="3" s="1"/>
  <c r="H15" i="3"/>
  <c r="I15" i="3" s="1"/>
  <c r="H14" i="3"/>
  <c r="I14" i="3" s="1"/>
  <c r="H7" i="6"/>
  <c r="I7" i="6" s="1"/>
  <c r="F10" i="4"/>
  <c r="G10" i="4" s="1"/>
  <c r="E11" i="4"/>
  <c r="D11" i="4"/>
  <c r="H12" i="3"/>
  <c r="I12" i="3" s="1"/>
  <c r="H5" i="3"/>
  <c r="I5" i="3" s="1"/>
  <c r="T7" i="3"/>
  <c r="T6" i="3"/>
  <c r="T5" i="3"/>
  <c r="T4" i="3"/>
  <c r="E6" i="1"/>
  <c r="E5" i="1"/>
  <c r="E4" i="1"/>
  <c r="E3" i="1"/>
  <c r="P21" i="2"/>
  <c r="Q21" i="2" s="1"/>
  <c r="R39" i="17" l="1"/>
  <c r="T39" i="17"/>
  <c r="V39" i="17"/>
  <c r="U39" i="17"/>
  <c r="I39" i="17"/>
  <c r="P39" i="17"/>
  <c r="J39" i="17"/>
  <c r="H39" i="17"/>
  <c r="G39" i="17"/>
  <c r="F39" i="17"/>
  <c r="E39" i="17"/>
  <c r="N39" i="17"/>
  <c r="M39" i="17"/>
  <c r="L39" i="17"/>
  <c r="K39" i="17"/>
  <c r="O39" i="17"/>
  <c r="Q39" i="17"/>
  <c r="S39" i="17"/>
  <c r="R12" i="17"/>
  <c r="Q12" i="17"/>
  <c r="V12" i="17"/>
  <c r="T12" i="17"/>
  <c r="U12" i="17"/>
  <c r="S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G86" i="8"/>
  <c r="F86" i="8"/>
  <c r="M86" i="8"/>
  <c r="K86" i="8"/>
  <c r="J86" i="8"/>
  <c r="I86" i="8"/>
  <c r="L86" i="8"/>
  <c r="H86" i="8"/>
  <c r="O86" i="8"/>
  <c r="N86" i="8"/>
  <c r="D23" i="18"/>
  <c r="J5" i="20" s="1"/>
  <c r="F10" i="20" s="1"/>
  <c r="E62" i="8"/>
  <c r="L37" i="20"/>
  <c r="F31" i="18"/>
  <c r="P37" i="20"/>
  <c r="J31" i="18"/>
  <c r="K37" i="20"/>
  <c r="E31" i="18"/>
  <c r="J37" i="20"/>
  <c r="D31" i="18"/>
  <c r="Q37" i="20"/>
  <c r="K31" i="18"/>
  <c r="R37" i="20"/>
  <c r="L31" i="18"/>
  <c r="U38" i="20"/>
  <c r="Y38" i="20" s="1"/>
  <c r="S38" i="20"/>
  <c r="W38" i="20" s="1"/>
  <c r="T38" i="20"/>
  <c r="X38" i="20" s="1"/>
  <c r="M38" i="20"/>
  <c r="O38" i="20"/>
  <c r="N38" i="20"/>
  <c r="K38" i="20"/>
  <c r="L38" i="20"/>
  <c r="J38" i="20"/>
  <c r="R38" i="20"/>
  <c r="Q38" i="20"/>
  <c r="P38" i="20"/>
  <c r="Q85" i="8"/>
  <c r="L78" i="8" s="1"/>
  <c r="E66" i="8"/>
  <c r="F10" i="8"/>
  <c r="F13" i="8" s="1"/>
  <c r="G10" i="8"/>
  <c r="D10" i="8"/>
  <c r="E12" i="8" s="1"/>
  <c r="D30" i="18"/>
  <c r="E13" i="8"/>
  <c r="H62" i="8"/>
  <c r="E23" i="18"/>
  <c r="F23" i="18"/>
  <c r="F16" i="18"/>
  <c r="G50" i="20"/>
  <c r="G52" i="20" s="1"/>
  <c r="G49" i="8"/>
  <c r="L62" i="8"/>
  <c r="M62" i="8"/>
  <c r="G13" i="20"/>
  <c r="H13" i="20" s="1"/>
  <c r="H14" i="20" s="1"/>
  <c r="I14" i="20" s="1"/>
  <c r="F48" i="20"/>
  <c r="G31" i="18"/>
  <c r="H18" i="18"/>
  <c r="F10" i="3"/>
  <c r="F20" i="3" s="1"/>
  <c r="G15" i="3" s="1"/>
  <c r="F50" i="20"/>
  <c r="L31" i="20"/>
  <c r="F17" i="18"/>
  <c r="X31" i="15"/>
  <c r="Y31" i="15" s="1"/>
  <c r="Z31" i="15" s="1"/>
  <c r="H13" i="8"/>
  <c r="J43" i="20"/>
  <c r="G17" i="18"/>
  <c r="H17" i="18" s="1"/>
  <c r="V4" i="20"/>
  <c r="E15" i="2"/>
  <c r="J31" i="20"/>
  <c r="J34" i="20" s="1"/>
  <c r="J35" i="20" s="1"/>
  <c r="M51" i="11"/>
  <c r="J51" i="11"/>
  <c r="H50" i="20"/>
  <c r="H18" i="6"/>
  <c r="I18" i="6" s="1"/>
  <c r="E12" i="18"/>
  <c r="F12" i="18" s="1"/>
  <c r="H18" i="3"/>
  <c r="I18" i="3" s="1"/>
  <c r="X25" i="15"/>
  <c r="Y25" i="15" s="1"/>
  <c r="Z25" i="15" s="1"/>
  <c r="X26" i="15"/>
  <c r="Y26" i="15" s="1"/>
  <c r="Z26" i="15" s="1"/>
  <c r="O26" i="15"/>
  <c r="P26" i="15" s="1"/>
  <c r="Q26" i="15" s="1"/>
  <c r="F14" i="15"/>
  <c r="G14" i="15" s="1"/>
  <c r="H14" i="15" s="1"/>
  <c r="F24" i="15"/>
  <c r="G24" i="15" s="1"/>
  <c r="H24" i="15" s="1"/>
  <c r="F30" i="15"/>
  <c r="G30" i="15" s="1"/>
  <c r="H30" i="15" s="1"/>
  <c r="H51" i="11"/>
  <c r="O30" i="15"/>
  <c r="P30" i="15" s="1"/>
  <c r="Q30" i="15" s="1"/>
  <c r="P31" i="20"/>
  <c r="F26" i="15"/>
  <c r="G26" i="15" s="1"/>
  <c r="H26" i="15" s="1"/>
  <c r="O25" i="15"/>
  <c r="P25" i="15" s="1"/>
  <c r="Q25" i="15" s="1"/>
  <c r="F19" i="4"/>
  <c r="G19" i="4" s="1"/>
  <c r="I51" i="11"/>
  <c r="F23" i="15"/>
  <c r="G23" i="15" s="1"/>
  <c r="H23" i="15" s="1"/>
  <c r="O29" i="15"/>
  <c r="P29" i="15" s="1"/>
  <c r="Q29" i="15" s="1"/>
  <c r="F32" i="15"/>
  <c r="G32" i="15" s="1"/>
  <c r="H32" i="15" s="1"/>
  <c r="F30" i="2"/>
  <c r="G30" i="2" s="1"/>
  <c r="H30" i="2" s="1"/>
  <c r="O8" i="15"/>
  <c r="O12" i="15" s="1"/>
  <c r="P12" i="15" s="1"/>
  <c r="Q12" i="15" s="1"/>
  <c r="F25" i="2"/>
  <c r="G25" i="2" s="1"/>
  <c r="H25" i="2" s="1"/>
  <c r="X26" i="2"/>
  <c r="Y26" i="2" s="1"/>
  <c r="Z26" i="2" s="1"/>
  <c r="F27" i="15"/>
  <c r="G27" i="15" s="1"/>
  <c r="H27" i="15" s="1"/>
  <c r="X23" i="15"/>
  <c r="Y23" i="15" s="1"/>
  <c r="Z23" i="15" s="1"/>
  <c r="X23" i="2"/>
  <c r="Y23" i="2" s="1"/>
  <c r="Z23" i="2" s="1"/>
  <c r="F13" i="2"/>
  <c r="G13" i="2" s="1"/>
  <c r="H13" i="2" s="1"/>
  <c r="F31" i="15"/>
  <c r="G31" i="15" s="1"/>
  <c r="H31" i="15" s="1"/>
  <c r="O23" i="2"/>
  <c r="P23" i="2" s="1"/>
  <c r="Q23" i="2" s="1"/>
  <c r="F28" i="15"/>
  <c r="G28" i="15" s="1"/>
  <c r="H28" i="15" s="1"/>
  <c r="F29" i="15"/>
  <c r="G29" i="15" s="1"/>
  <c r="H29" i="15" s="1"/>
  <c r="H19" i="11"/>
  <c r="F11" i="15"/>
  <c r="G11" i="15" s="1"/>
  <c r="H11" i="15" s="1"/>
  <c r="X28" i="15"/>
  <c r="Y28" i="15" s="1"/>
  <c r="Z28" i="15" s="1"/>
  <c r="O32" i="15"/>
  <c r="P32" i="15" s="1"/>
  <c r="Q32" i="15" s="1"/>
  <c r="N8" i="15"/>
  <c r="N39" i="15" s="1"/>
  <c r="H8" i="3"/>
  <c r="I8" i="3" s="1"/>
  <c r="C17" i="5"/>
  <c r="C18" i="5" s="1"/>
  <c r="F13" i="15"/>
  <c r="G13" i="15" s="1"/>
  <c r="H13" i="15" s="1"/>
  <c r="D21" i="4"/>
  <c r="F34" i="11"/>
  <c r="O27" i="15"/>
  <c r="P27" i="15" s="1"/>
  <c r="Q27" i="15" s="1"/>
  <c r="O23" i="15"/>
  <c r="P23" i="15" s="1"/>
  <c r="Q23" i="15" s="1"/>
  <c r="D20" i="6"/>
  <c r="E10" i="6" s="1"/>
  <c r="W15" i="15"/>
  <c r="N8" i="2"/>
  <c r="N16" i="2" s="1"/>
  <c r="N18" i="2" s="1"/>
  <c r="O13" i="15"/>
  <c r="P13" i="15" s="1"/>
  <c r="Q13" i="15" s="1"/>
  <c r="F22" i="15"/>
  <c r="G22" i="15" s="1"/>
  <c r="H22" i="15" s="1"/>
  <c r="O19" i="15"/>
  <c r="P19" i="15" s="1"/>
  <c r="Q19" i="15" s="1"/>
  <c r="O24" i="15"/>
  <c r="P24" i="15" s="1"/>
  <c r="Q24" i="15" s="1"/>
  <c r="X30" i="15"/>
  <c r="Y30" i="15" s="1"/>
  <c r="Z30" i="15" s="1"/>
  <c r="E8" i="15"/>
  <c r="E39" i="15" s="1"/>
  <c r="O31" i="2"/>
  <c r="P31" i="2" s="1"/>
  <c r="Q31" i="2" s="1"/>
  <c r="F21" i="11"/>
  <c r="J49" i="11" s="1"/>
  <c r="H45" i="11"/>
  <c r="H20" i="11"/>
  <c r="H25" i="8"/>
  <c r="D35" i="8" s="1"/>
  <c r="X24" i="15"/>
  <c r="Y24" i="15" s="1"/>
  <c r="Z24" i="15" s="1"/>
  <c r="F8" i="15"/>
  <c r="H12" i="8"/>
  <c r="F48" i="8"/>
  <c r="F21" i="15"/>
  <c r="G21" i="15" s="1"/>
  <c r="H21" i="15" s="1"/>
  <c r="F19" i="15"/>
  <c r="G19" i="15" s="1"/>
  <c r="H19" i="15" s="1"/>
  <c r="W8" i="15"/>
  <c r="E15" i="15"/>
  <c r="W35" i="15"/>
  <c r="E21" i="11"/>
  <c r="H49" i="11" s="1"/>
  <c r="F25" i="15"/>
  <c r="G25" i="15" s="1"/>
  <c r="H25" i="15" s="1"/>
  <c r="X27" i="15"/>
  <c r="Y27" i="15" s="1"/>
  <c r="Z27" i="15" s="1"/>
  <c r="J62" i="8"/>
  <c r="X11" i="15"/>
  <c r="Y11" i="15" s="1"/>
  <c r="Z11" i="15" s="1"/>
  <c r="X8" i="15"/>
  <c r="X12" i="15" s="1"/>
  <c r="O28" i="15"/>
  <c r="P28" i="15" s="1"/>
  <c r="Q28" i="15" s="1"/>
  <c r="H31" i="11"/>
  <c r="O21" i="15"/>
  <c r="P21" i="15" s="1"/>
  <c r="Q21" i="15" s="1"/>
  <c r="O11" i="15"/>
  <c r="P11" i="15" s="1"/>
  <c r="Q11" i="15" s="1"/>
  <c r="X22" i="15"/>
  <c r="Y22" i="15" s="1"/>
  <c r="Z22" i="15" s="1"/>
  <c r="E21" i="4"/>
  <c r="Y19" i="15"/>
  <c r="Z19" i="15" s="1"/>
  <c r="D21" i="11"/>
  <c r="F49" i="11" s="1"/>
  <c r="H30" i="11"/>
  <c r="H9" i="3"/>
  <c r="I9" i="3" s="1"/>
  <c r="H43" i="11"/>
  <c r="D10" i="3"/>
  <c r="D20" i="3" s="1"/>
  <c r="E5" i="3" s="1"/>
  <c r="O51" i="11"/>
  <c r="D18" i="7"/>
  <c r="H18" i="7" s="1"/>
  <c r="I18" i="7" s="1"/>
  <c r="G47" i="20"/>
  <c r="H47" i="20" s="1"/>
  <c r="H48" i="20" s="1"/>
  <c r="I48" i="20" s="1"/>
  <c r="E19" i="8"/>
  <c r="E22" i="8" s="1"/>
  <c r="G19" i="8"/>
  <c r="G22" i="8" s="1"/>
  <c r="I62" i="8"/>
  <c r="D10" i="7"/>
  <c r="N62" i="8"/>
  <c r="C10" i="5"/>
  <c r="Y34" i="15"/>
  <c r="Z34" i="15" s="1"/>
  <c r="G34" i="11"/>
  <c r="V32" i="20"/>
  <c r="F53" i="20"/>
  <c r="H33" i="11"/>
  <c r="E49" i="8"/>
  <c r="X29" i="15"/>
  <c r="Y29" i="15" s="1"/>
  <c r="Z29" i="15" s="1"/>
  <c r="G21" i="11"/>
  <c r="M49" i="11" s="1"/>
  <c r="F31" i="7"/>
  <c r="F35" i="7" s="1"/>
  <c r="D34" i="11"/>
  <c r="R31" i="20"/>
  <c r="F11" i="4"/>
  <c r="G11" i="4" s="1"/>
  <c r="F20" i="6"/>
  <c r="G8" i="6" s="1"/>
  <c r="I21" i="20"/>
  <c r="H22" i="20"/>
  <c r="I22" i="20" s="1"/>
  <c r="X11" i="2"/>
  <c r="Y11" i="2" s="1"/>
  <c r="Z11" i="2" s="1"/>
  <c r="E51" i="11"/>
  <c r="F22" i="2"/>
  <c r="G22" i="2" s="1"/>
  <c r="H22" i="2" s="1"/>
  <c r="E48" i="8"/>
  <c r="Q61" i="8"/>
  <c r="F26" i="2"/>
  <c r="G26" i="2" s="1"/>
  <c r="H26" i="2" s="1"/>
  <c r="K18" i="3"/>
  <c r="L18" i="3" s="1"/>
  <c r="M18" i="3" s="1"/>
  <c r="O24" i="2"/>
  <c r="P24" i="2" s="1"/>
  <c r="Q24" i="2" s="1"/>
  <c r="X8" i="2"/>
  <c r="F8" i="8"/>
  <c r="O31" i="15"/>
  <c r="P31" i="15" s="1"/>
  <c r="Q31" i="15" s="1"/>
  <c r="H46" i="11"/>
  <c r="X33" i="2" s="1"/>
  <c r="Y33" i="2" s="1"/>
  <c r="Z33" i="2" s="1"/>
  <c r="E8" i="8"/>
  <c r="K51" i="11"/>
  <c r="O11" i="2"/>
  <c r="P11" i="2" s="1"/>
  <c r="Q11" i="2" s="1"/>
  <c r="K18" i="6"/>
  <c r="L18" i="6" s="1"/>
  <c r="M18" i="6" s="1"/>
  <c r="F21" i="2"/>
  <c r="G21" i="2" s="1"/>
  <c r="H21" i="2" s="1"/>
  <c r="O29" i="2"/>
  <c r="P29" i="2" s="1"/>
  <c r="Q29" i="2" s="1"/>
  <c r="F51" i="11"/>
  <c r="F11" i="2"/>
  <c r="G11" i="2" s="1"/>
  <c r="H11" i="2" s="1"/>
  <c r="X31" i="2"/>
  <c r="Y31" i="2" s="1"/>
  <c r="Z31" i="2" s="1"/>
  <c r="D48" i="8"/>
  <c r="Q31" i="20"/>
  <c r="V46" i="20"/>
  <c r="V45" i="20"/>
  <c r="F8" i="2"/>
  <c r="E8" i="2"/>
  <c r="H8" i="20"/>
  <c r="F20" i="7"/>
  <c r="D49" i="8"/>
  <c r="X30" i="2"/>
  <c r="Y30" i="2" s="1"/>
  <c r="Z30" i="2" s="1"/>
  <c r="O28" i="2"/>
  <c r="P28" i="2" s="1"/>
  <c r="Q28" i="2" s="1"/>
  <c r="O19" i="2"/>
  <c r="P19" i="2" s="1"/>
  <c r="Q19" i="2" s="1"/>
  <c r="O62" i="8"/>
  <c r="O30" i="2"/>
  <c r="P30" i="2" s="1"/>
  <c r="Q30" i="2" s="1"/>
  <c r="K31" i="20"/>
  <c r="F27" i="2"/>
  <c r="G27" i="2" s="1"/>
  <c r="H27" i="2" s="1"/>
  <c r="X29" i="2"/>
  <c r="Y29" i="2" s="1"/>
  <c r="Z29" i="2" s="1"/>
  <c r="F32" i="2"/>
  <c r="G32" i="2" s="1"/>
  <c r="H32" i="2" s="1"/>
  <c r="F49" i="8"/>
  <c r="X27" i="2"/>
  <c r="Y27" i="2" s="1"/>
  <c r="Z27" i="2" s="1"/>
  <c r="F31" i="2"/>
  <c r="G31" i="2" s="1"/>
  <c r="H31" i="2" s="1"/>
  <c r="F23" i="2"/>
  <c r="G23" i="2" s="1"/>
  <c r="H23" i="2" s="1"/>
  <c r="G48" i="8"/>
  <c r="E34" i="11"/>
  <c r="F28" i="2"/>
  <c r="G28" i="2" s="1"/>
  <c r="H28" i="2" s="1"/>
  <c r="O26" i="2"/>
  <c r="P26" i="2" s="1"/>
  <c r="Q26" i="2" s="1"/>
  <c r="G8" i="8"/>
  <c r="F29" i="2"/>
  <c r="G29" i="2" s="1"/>
  <c r="H29" i="2" s="1"/>
  <c r="F14" i="2"/>
  <c r="G14" i="2" s="1"/>
  <c r="H14" i="2" s="1"/>
  <c r="Q57" i="8"/>
  <c r="F24" i="2"/>
  <c r="G24" i="2" s="1"/>
  <c r="H24" i="2" s="1"/>
  <c r="Q58" i="8"/>
  <c r="O22" i="2"/>
  <c r="G22" i="20"/>
  <c r="P62" i="8"/>
  <c r="H28" i="11"/>
  <c r="O27" i="2"/>
  <c r="P27" i="2" s="1"/>
  <c r="Q27" i="2" s="1"/>
  <c r="O25" i="2"/>
  <c r="P25" i="2" s="1"/>
  <c r="Q25" i="2" s="1"/>
  <c r="O32" i="2"/>
  <c r="P32" i="2" s="1"/>
  <c r="Q32" i="2" s="1"/>
  <c r="X28" i="2"/>
  <c r="Y28" i="2" s="1"/>
  <c r="Z28" i="2" s="1"/>
  <c r="H44" i="11"/>
  <c r="E11" i="13"/>
  <c r="E12" i="13" s="1"/>
  <c r="X22" i="2"/>
  <c r="Y22" i="2" s="1"/>
  <c r="Z22" i="2" s="1"/>
  <c r="F19" i="2"/>
  <c r="G19" i="2" s="1"/>
  <c r="H19" i="2" s="1"/>
  <c r="X24" i="2"/>
  <c r="Y24" i="2" s="1"/>
  <c r="Z24" i="2" s="1"/>
  <c r="X25" i="2"/>
  <c r="Y25" i="2" s="1"/>
  <c r="Z25" i="2" s="1"/>
  <c r="F19" i="8"/>
  <c r="K62" i="8"/>
  <c r="G16" i="18"/>
  <c r="H11" i="18"/>
  <c r="F11" i="18"/>
  <c r="H26" i="20"/>
  <c r="G27" i="20"/>
  <c r="H10" i="6"/>
  <c r="I10" i="6" s="1"/>
  <c r="H32" i="11"/>
  <c r="D19" i="8"/>
  <c r="H18" i="11"/>
  <c r="N15" i="15"/>
  <c r="W36" i="2"/>
  <c r="W37" i="2" s="1"/>
  <c r="I31" i="18"/>
  <c r="J18" i="18"/>
  <c r="J18" i="20"/>
  <c r="J24" i="20"/>
  <c r="L18" i="18"/>
  <c r="O13" i="2"/>
  <c r="M78" i="8" l="1"/>
  <c r="O78" i="8"/>
  <c r="G78" i="8"/>
  <c r="F78" i="8"/>
  <c r="K78" i="8"/>
  <c r="H78" i="8"/>
  <c r="I78" i="8"/>
  <c r="J78" i="8"/>
  <c r="N78" i="8"/>
  <c r="E78" i="8"/>
  <c r="P78" i="8"/>
  <c r="J11" i="20"/>
  <c r="J50" i="20" s="1"/>
  <c r="F97" i="8"/>
  <c r="P86" i="8"/>
  <c r="P88" i="8" s="1"/>
  <c r="F96" i="8"/>
  <c r="F88" i="8"/>
  <c r="F89" i="8"/>
  <c r="F90" i="8"/>
  <c r="F91" i="8"/>
  <c r="F92" i="8"/>
  <c r="F95" i="8"/>
  <c r="F93" i="8"/>
  <c r="F94" i="8"/>
  <c r="F98" i="8"/>
  <c r="F99" i="8"/>
  <c r="I93" i="8"/>
  <c r="I94" i="8"/>
  <c r="I91" i="8"/>
  <c r="I88" i="8"/>
  <c r="I97" i="8"/>
  <c r="I92" i="8"/>
  <c r="I89" i="8"/>
  <c r="I95" i="8"/>
  <c r="I98" i="8"/>
  <c r="I96" i="8"/>
  <c r="I99" i="8"/>
  <c r="I90" i="8"/>
  <c r="J97" i="8"/>
  <c r="J91" i="8"/>
  <c r="J88" i="8"/>
  <c r="J94" i="8"/>
  <c r="J92" i="8"/>
  <c r="J89" i="8"/>
  <c r="J95" i="8"/>
  <c r="J99" i="8"/>
  <c r="J98" i="8"/>
  <c r="J90" i="8"/>
  <c r="J96" i="8"/>
  <c r="J93" i="8"/>
  <c r="K99" i="8"/>
  <c r="K91" i="8"/>
  <c r="K88" i="8"/>
  <c r="K94" i="8"/>
  <c r="K97" i="8"/>
  <c r="K92" i="8"/>
  <c r="K89" i="8"/>
  <c r="K95" i="8"/>
  <c r="K98" i="8"/>
  <c r="K93" i="8"/>
  <c r="K90" i="8"/>
  <c r="K96" i="8"/>
  <c r="M97" i="8"/>
  <c r="M92" i="8"/>
  <c r="M89" i="8"/>
  <c r="M95" i="8"/>
  <c r="M98" i="8"/>
  <c r="M90" i="8"/>
  <c r="M93" i="8"/>
  <c r="M91" i="8"/>
  <c r="M88" i="8"/>
  <c r="M94" i="8"/>
  <c r="M96" i="8"/>
  <c r="M99" i="8"/>
  <c r="N95" i="8"/>
  <c r="N92" i="8"/>
  <c r="N89" i="8"/>
  <c r="N98" i="8"/>
  <c r="N90" i="8"/>
  <c r="N93" i="8"/>
  <c r="N96" i="8"/>
  <c r="N91" i="8"/>
  <c r="N88" i="8"/>
  <c r="N97" i="8"/>
  <c r="N99" i="8"/>
  <c r="N94" i="8"/>
  <c r="O98" i="8"/>
  <c r="O92" i="8"/>
  <c r="O89" i="8"/>
  <c r="O95" i="8"/>
  <c r="O90" i="8"/>
  <c r="O93" i="8"/>
  <c r="O96" i="8"/>
  <c r="O94" i="8"/>
  <c r="O97" i="8"/>
  <c r="O91" i="8"/>
  <c r="O88" i="8"/>
  <c r="G90" i="8"/>
  <c r="G96" i="8"/>
  <c r="G99" i="8"/>
  <c r="G94" i="8"/>
  <c r="G97" i="8"/>
  <c r="G91" i="8"/>
  <c r="G88" i="8"/>
  <c r="G98" i="8"/>
  <c r="G92" i="8"/>
  <c r="G89" i="8"/>
  <c r="G95" i="8"/>
  <c r="G93" i="8"/>
  <c r="H99" i="8"/>
  <c r="H91" i="8"/>
  <c r="H97" i="8"/>
  <c r="H88" i="8"/>
  <c r="H94" i="8"/>
  <c r="H92" i="8"/>
  <c r="H89" i="8"/>
  <c r="H95" i="8"/>
  <c r="H98" i="8"/>
  <c r="H90" i="8"/>
  <c r="H93" i="8"/>
  <c r="H96" i="8"/>
  <c r="L94" i="8"/>
  <c r="L97" i="8"/>
  <c r="L95" i="8"/>
  <c r="L98" i="8"/>
  <c r="L92" i="8"/>
  <c r="L89" i="8"/>
  <c r="L90" i="8"/>
  <c r="L96" i="8"/>
  <c r="L91" i="8"/>
  <c r="L93" i="8"/>
  <c r="L99" i="8"/>
  <c r="L88" i="8"/>
  <c r="D29" i="18"/>
  <c r="D32" i="18" s="1"/>
  <c r="D36" i="18" s="1"/>
  <c r="J39" i="20"/>
  <c r="K39" i="20" s="1"/>
  <c r="N31" i="20"/>
  <c r="H31" i="18"/>
  <c r="J50" i="11"/>
  <c r="J53" i="11" s="1"/>
  <c r="K50" i="11"/>
  <c r="K53" i="11" s="1"/>
  <c r="L50" i="11"/>
  <c r="L53" i="11" s="1"/>
  <c r="M50" i="11"/>
  <c r="M53" i="11" s="1"/>
  <c r="N50" i="11"/>
  <c r="N53" i="11" s="1"/>
  <c r="O50" i="11"/>
  <c r="O53" i="11" s="1"/>
  <c r="G50" i="11"/>
  <c r="G53" i="11" s="1"/>
  <c r="H50" i="11"/>
  <c r="H53" i="11" s="1"/>
  <c r="I50" i="11"/>
  <c r="I53" i="11" s="1"/>
  <c r="E50" i="11"/>
  <c r="E53" i="11" s="1"/>
  <c r="F50" i="11"/>
  <c r="F53" i="11" s="1"/>
  <c r="D50" i="11"/>
  <c r="D53" i="11" s="1"/>
  <c r="N37" i="20"/>
  <c r="O31" i="18"/>
  <c r="M18" i="18"/>
  <c r="G13" i="18" s="1"/>
  <c r="N31" i="18"/>
  <c r="D13" i="8"/>
  <c r="G12" i="8"/>
  <c r="G13" i="8"/>
  <c r="F12" i="8"/>
  <c r="D12" i="8"/>
  <c r="G62" i="8"/>
  <c r="L25" i="20" s="1"/>
  <c r="Q25" i="20"/>
  <c r="T25" i="20"/>
  <c r="X25" i="20" s="1"/>
  <c r="O25" i="20"/>
  <c r="U25" i="20"/>
  <c r="Y25" i="20" s="1"/>
  <c r="R25" i="20"/>
  <c r="P25" i="20"/>
  <c r="K25" i="20"/>
  <c r="J25" i="20"/>
  <c r="F28" i="20" s="1"/>
  <c r="S25" i="20"/>
  <c r="W25" i="20" s="1"/>
  <c r="M25" i="20"/>
  <c r="N25" i="20"/>
  <c r="J12" i="20"/>
  <c r="F15" i="20" s="1"/>
  <c r="G14" i="20"/>
  <c r="K5" i="20"/>
  <c r="K11" i="20" s="1"/>
  <c r="E29" i="18"/>
  <c r="M31" i="20"/>
  <c r="J36" i="20" s="1"/>
  <c r="K24" i="20"/>
  <c r="E30" i="18"/>
  <c r="L24" i="20"/>
  <c r="F30" i="18"/>
  <c r="L5" i="20"/>
  <c r="L11" i="20" s="1"/>
  <c r="F29" i="18"/>
  <c r="E9" i="3"/>
  <c r="E17" i="3"/>
  <c r="E10" i="3"/>
  <c r="M37" i="20"/>
  <c r="L18" i="20"/>
  <c r="L17" i="20"/>
  <c r="L43" i="20" s="1"/>
  <c r="G41" i="20"/>
  <c r="L49" i="11"/>
  <c r="K49" i="11"/>
  <c r="F41" i="20"/>
  <c r="H52" i="20"/>
  <c r="H53" i="20" s="1"/>
  <c r="I53" i="20" s="1"/>
  <c r="I17" i="18"/>
  <c r="K17" i="20"/>
  <c r="K43" i="20" s="1"/>
  <c r="K6" i="6"/>
  <c r="L6" i="6" s="1"/>
  <c r="M6" i="6" s="1"/>
  <c r="H21" i="11"/>
  <c r="O33" i="2" s="1"/>
  <c r="I49" i="11"/>
  <c r="E49" i="11"/>
  <c r="G49" i="11"/>
  <c r="Q64" i="8"/>
  <c r="G53" i="20"/>
  <c r="K18" i="20"/>
  <c r="P8" i="15"/>
  <c r="Q8" i="15" s="1"/>
  <c r="N38" i="15"/>
  <c r="F12" i="2"/>
  <c r="F15" i="2" s="1"/>
  <c r="E16" i="3"/>
  <c r="E6" i="3"/>
  <c r="F26" i="8"/>
  <c r="D28" i="3"/>
  <c r="D32" i="3" s="1"/>
  <c r="E26" i="8"/>
  <c r="E8" i="3"/>
  <c r="F44" i="8"/>
  <c r="F35" i="8"/>
  <c r="D26" i="8"/>
  <c r="F36" i="20"/>
  <c r="J44" i="20"/>
  <c r="J47" i="20" s="1"/>
  <c r="G26" i="8"/>
  <c r="K34" i="20"/>
  <c r="K35" i="20" s="1"/>
  <c r="E35" i="8"/>
  <c r="G35" i="8"/>
  <c r="F12" i="15"/>
  <c r="F15" i="15" s="1"/>
  <c r="X15" i="15"/>
  <c r="X16" i="15" s="1"/>
  <c r="E4" i="3"/>
  <c r="H10" i="3"/>
  <c r="I10" i="3" s="1"/>
  <c r="H41" i="20"/>
  <c r="H12" i="18"/>
  <c r="E18" i="3"/>
  <c r="N17" i="2"/>
  <c r="P8" i="2"/>
  <c r="Q8" i="2" s="1"/>
  <c r="N38" i="2"/>
  <c r="E7" i="3"/>
  <c r="N39" i="2"/>
  <c r="N36" i="2"/>
  <c r="N37" i="2" s="1"/>
  <c r="E14" i="3"/>
  <c r="E20" i="3"/>
  <c r="D49" i="11"/>
  <c r="K6" i="3"/>
  <c r="L6" i="3" s="1"/>
  <c r="M6" i="3" s="1"/>
  <c r="E38" i="15"/>
  <c r="N16" i="15"/>
  <c r="N17" i="15" s="1"/>
  <c r="G8" i="15"/>
  <c r="H8" i="15" s="1"/>
  <c r="X33" i="15"/>
  <c r="Y33" i="15" s="1"/>
  <c r="Z33" i="15" s="1"/>
  <c r="K7" i="3"/>
  <c r="L7" i="3" s="1"/>
  <c r="M7" i="3" s="1"/>
  <c r="H20" i="3"/>
  <c r="I20" i="3" s="1"/>
  <c r="G14" i="3"/>
  <c r="G20" i="3"/>
  <c r="G16" i="3"/>
  <c r="G10" i="3"/>
  <c r="E44" i="8"/>
  <c r="K20" i="3"/>
  <c r="L20" i="3" s="1"/>
  <c r="M20" i="3" s="1"/>
  <c r="Y12" i="15"/>
  <c r="Z12" i="15" s="1"/>
  <c r="G17" i="3"/>
  <c r="K4" i="3"/>
  <c r="L4" i="3" s="1"/>
  <c r="M4" i="3" s="1"/>
  <c r="G6" i="3"/>
  <c r="G7" i="3"/>
  <c r="H34" i="11"/>
  <c r="G18" i="3"/>
  <c r="E5" i="6"/>
  <c r="G12" i="3"/>
  <c r="G4" i="3"/>
  <c r="E6" i="6"/>
  <c r="G5" i="3"/>
  <c r="X20" i="15"/>
  <c r="Y20" i="15" s="1"/>
  <c r="Z20" i="15" s="1"/>
  <c r="G9" i="3"/>
  <c r="F21" i="4"/>
  <c r="G21" i="4" s="1"/>
  <c r="Y8" i="15"/>
  <c r="Z8" i="15" s="1"/>
  <c r="K9" i="3"/>
  <c r="L9" i="3" s="1"/>
  <c r="M9" i="3" s="1"/>
  <c r="K8" i="3"/>
  <c r="L8" i="3" s="1"/>
  <c r="M8" i="3" s="1"/>
  <c r="E15" i="3"/>
  <c r="G21" i="8"/>
  <c r="G8" i="3"/>
  <c r="K5" i="3"/>
  <c r="L5" i="3" s="1"/>
  <c r="M5" i="3" s="1"/>
  <c r="K7" i="6"/>
  <c r="L7" i="6" s="1"/>
  <c r="M7" i="6" s="1"/>
  <c r="G44" i="8"/>
  <c r="P51" i="11"/>
  <c r="D20" i="7"/>
  <c r="E18" i="7" s="1"/>
  <c r="D44" i="8"/>
  <c r="F20" i="15"/>
  <c r="G20" i="15" s="1"/>
  <c r="H20" i="15" s="1"/>
  <c r="E20" i="6"/>
  <c r="E16" i="15"/>
  <c r="E15" i="6"/>
  <c r="O20" i="2"/>
  <c r="P20" i="2" s="1"/>
  <c r="Q20" i="2" s="1"/>
  <c r="E8" i="6"/>
  <c r="E14" i="6"/>
  <c r="E12" i="3"/>
  <c r="H10" i="7"/>
  <c r="I10" i="7" s="1"/>
  <c r="E4" i="6"/>
  <c r="E12" i="6"/>
  <c r="E16" i="6"/>
  <c r="E18" i="6"/>
  <c r="G48" i="20"/>
  <c r="O15" i="15"/>
  <c r="O16" i="15" s="1"/>
  <c r="V38" i="20"/>
  <c r="E7" i="6"/>
  <c r="E9" i="6"/>
  <c r="E17" i="6"/>
  <c r="O20" i="15"/>
  <c r="P20" i="15" s="1"/>
  <c r="Q20" i="15" s="1"/>
  <c r="K20" i="6"/>
  <c r="L20" i="6" s="1"/>
  <c r="M20" i="6" s="1"/>
  <c r="G15" i="6"/>
  <c r="H20" i="6"/>
  <c r="I20" i="6" s="1"/>
  <c r="G16" i="6"/>
  <c r="G6" i="6"/>
  <c r="W38" i="15"/>
  <c r="H36" i="20"/>
  <c r="I36" i="20" s="1"/>
  <c r="K5" i="6"/>
  <c r="L5" i="6" s="1"/>
  <c r="M5" i="6" s="1"/>
  <c r="G10" i="6"/>
  <c r="G14" i="6"/>
  <c r="I41" i="20"/>
  <c r="W39" i="15"/>
  <c r="W16" i="15"/>
  <c r="W36" i="15" s="1"/>
  <c r="W37" i="15" s="1"/>
  <c r="G7" i="6"/>
  <c r="F26" i="6"/>
  <c r="G17" i="6"/>
  <c r="G20" i="6"/>
  <c r="K8" i="6"/>
  <c r="L8" i="6" s="1"/>
  <c r="M8" i="6" s="1"/>
  <c r="K9" i="6"/>
  <c r="L9" i="6" s="1"/>
  <c r="M9" i="6" s="1"/>
  <c r="O49" i="11"/>
  <c r="G4" i="6"/>
  <c r="G5" i="6"/>
  <c r="N49" i="11"/>
  <c r="G9" i="6"/>
  <c r="G18" i="6"/>
  <c r="Q68" i="8"/>
  <c r="C20" i="5"/>
  <c r="F23" i="3" s="1"/>
  <c r="K4" i="6"/>
  <c r="L4" i="6" s="1"/>
  <c r="M4" i="6" s="1"/>
  <c r="G12" i="6"/>
  <c r="H8" i="8"/>
  <c r="P22" i="2"/>
  <c r="Q22" i="2" s="1"/>
  <c r="Q60" i="8"/>
  <c r="O4" i="17" s="1"/>
  <c r="O5" i="17" s="1"/>
  <c r="G18" i="7"/>
  <c r="K17" i="7"/>
  <c r="L17" i="7" s="1"/>
  <c r="M17" i="7" s="1"/>
  <c r="K18" i="7"/>
  <c r="L18" i="7" s="1"/>
  <c r="M18" i="7" s="1"/>
  <c r="K11" i="7"/>
  <c r="G8" i="7"/>
  <c r="K13" i="7"/>
  <c r="G9" i="7"/>
  <c r="K15" i="7"/>
  <c r="L15" i="7" s="1"/>
  <c r="M15" i="7" s="1"/>
  <c r="G6" i="7"/>
  <c r="G17" i="7"/>
  <c r="K14" i="7"/>
  <c r="L14" i="7" s="1"/>
  <c r="M14" i="7" s="1"/>
  <c r="K6" i="7"/>
  <c r="L6" i="7" s="1"/>
  <c r="M6" i="7" s="1"/>
  <c r="K8" i="7"/>
  <c r="L8" i="7" s="1"/>
  <c r="M8" i="7" s="1"/>
  <c r="G20" i="7"/>
  <c r="G14" i="7"/>
  <c r="K7" i="7"/>
  <c r="L7" i="7" s="1"/>
  <c r="M7" i="7" s="1"/>
  <c r="F28" i="7"/>
  <c r="G7" i="7"/>
  <c r="G15" i="7"/>
  <c r="K4" i="7"/>
  <c r="G16" i="7"/>
  <c r="G12" i="7"/>
  <c r="G5" i="7"/>
  <c r="K16" i="7"/>
  <c r="L16" i="7" s="1"/>
  <c r="M16" i="7" s="1"/>
  <c r="K9" i="7"/>
  <c r="L9" i="7" s="1"/>
  <c r="M9" i="7" s="1"/>
  <c r="K5" i="7"/>
  <c r="L5" i="7" s="1"/>
  <c r="M5" i="7" s="1"/>
  <c r="G4" i="7"/>
  <c r="K12" i="7"/>
  <c r="L12" i="7" s="1"/>
  <c r="M12" i="7" s="1"/>
  <c r="I8" i="20"/>
  <c r="J8" i="20" s="1"/>
  <c r="H9" i="20"/>
  <c r="I9" i="20" s="1"/>
  <c r="E38" i="2"/>
  <c r="E16" i="2"/>
  <c r="E39" i="2"/>
  <c r="G8" i="2"/>
  <c r="H8" i="2" s="1"/>
  <c r="X20" i="2"/>
  <c r="Y20" i="2" s="1"/>
  <c r="Z20" i="2" s="1"/>
  <c r="G36" i="20"/>
  <c r="F20" i="2"/>
  <c r="F39" i="2" s="1"/>
  <c r="G10" i="7"/>
  <c r="Y8" i="2"/>
  <c r="Z8" i="2" s="1"/>
  <c r="X12" i="2"/>
  <c r="Y12" i="2" s="1"/>
  <c r="Z12" i="2" s="1"/>
  <c r="H23" i="18"/>
  <c r="I23" i="18"/>
  <c r="G23" i="18"/>
  <c r="H16" i="18"/>
  <c r="I16" i="18"/>
  <c r="D22" i="8"/>
  <c r="E21" i="8"/>
  <c r="H19" i="8"/>
  <c r="D20" i="8" s="1"/>
  <c r="F22" i="8"/>
  <c r="F21" i="8"/>
  <c r="I26" i="20"/>
  <c r="H27" i="20"/>
  <c r="I27" i="20" s="1"/>
  <c r="P13" i="2"/>
  <c r="Q13" i="2" s="1"/>
  <c r="O15" i="2"/>
  <c r="F23" i="20"/>
  <c r="J21" i="20"/>
  <c r="O37" i="20"/>
  <c r="O31" i="20"/>
  <c r="P96" i="25" l="1"/>
  <c r="P92" i="25"/>
  <c r="P88" i="25"/>
  <c r="Q84" i="25"/>
  <c r="N77" i="25"/>
  <c r="N73" i="25"/>
  <c r="O69" i="25"/>
  <c r="O65" i="25"/>
  <c r="P61" i="25"/>
  <c r="P57" i="25"/>
  <c r="Q53" i="25"/>
  <c r="Q49" i="25"/>
  <c r="N46" i="25"/>
  <c r="N42" i="25"/>
  <c r="P80" i="25"/>
  <c r="P72" i="25"/>
  <c r="N61" i="25"/>
  <c r="O53" i="25"/>
  <c r="P68" i="25"/>
  <c r="Q56" i="25"/>
  <c r="O45" i="25"/>
  <c r="Q52" i="25"/>
  <c r="P52" i="25"/>
  <c r="O52" i="25"/>
  <c r="O44" i="25"/>
  <c r="O47" i="25"/>
  <c r="N74" i="25"/>
  <c r="Q50" i="25"/>
  <c r="P81" i="25"/>
  <c r="O62" i="25"/>
  <c r="P73" i="25"/>
  <c r="N54" i="25"/>
  <c r="N81" i="25"/>
  <c r="Q61" i="25"/>
  <c r="O96" i="25"/>
  <c r="O92" i="25"/>
  <c r="O88" i="25"/>
  <c r="P84" i="25"/>
  <c r="Q80" i="25"/>
  <c r="Q76" i="25"/>
  <c r="Q72" i="25"/>
  <c r="N69" i="25"/>
  <c r="N65" i="25"/>
  <c r="O61" i="25"/>
  <c r="O57" i="25"/>
  <c r="P53" i="25"/>
  <c r="P49" i="25"/>
  <c r="Q45" i="25"/>
  <c r="O84" i="25"/>
  <c r="P76" i="25"/>
  <c r="N57" i="25"/>
  <c r="O49" i="25"/>
  <c r="O72" i="25"/>
  <c r="Q60" i="25"/>
  <c r="N49" i="25"/>
  <c r="P64" i="25"/>
  <c r="N45" i="25"/>
  <c r="Q48" i="25"/>
  <c r="P48" i="25"/>
  <c r="P51" i="25"/>
  <c r="O97" i="25"/>
  <c r="O66" i="25"/>
  <c r="Q77" i="25"/>
  <c r="N93" i="25"/>
  <c r="Q69" i="25"/>
  <c r="P42" i="25"/>
  <c r="O77" i="25"/>
  <c r="O42" i="25"/>
  <c r="Q99" i="25"/>
  <c r="N96" i="25"/>
  <c r="N92" i="25"/>
  <c r="N88" i="25"/>
  <c r="Q68" i="25"/>
  <c r="P45" i="25"/>
  <c r="N53" i="25"/>
  <c r="O56" i="25"/>
  <c r="O48" i="25"/>
  <c r="Q81" i="25"/>
  <c r="O89" i="25"/>
  <c r="N89" i="25"/>
  <c r="Q96" i="25"/>
  <c r="P99" i="25"/>
  <c r="Q95" i="25"/>
  <c r="Q91" i="25"/>
  <c r="Q87" i="25"/>
  <c r="N84" i="25"/>
  <c r="O80" i="25"/>
  <c r="O76" i="25"/>
  <c r="Q64" i="25"/>
  <c r="P56" i="25"/>
  <c r="N56" i="25"/>
  <c r="N51" i="25"/>
  <c r="P54" i="25"/>
  <c r="Q73" i="25"/>
  <c r="O81" i="25"/>
  <c r="N85" i="25"/>
  <c r="O46" i="25"/>
  <c r="O99" i="25"/>
  <c r="P95" i="25"/>
  <c r="P91" i="25"/>
  <c r="P87" i="25"/>
  <c r="Q83" i="25"/>
  <c r="N80" i="25"/>
  <c r="N76" i="25"/>
  <c r="N72" i="25"/>
  <c r="O68" i="25"/>
  <c r="P60" i="25"/>
  <c r="Q44" i="25"/>
  <c r="Q43" i="25"/>
  <c r="P62" i="25"/>
  <c r="O85" i="25"/>
  <c r="Q92" i="25"/>
  <c r="N99" i="25"/>
  <c r="O95" i="25"/>
  <c r="O91" i="25"/>
  <c r="O87" i="25"/>
  <c r="P83" i="25"/>
  <c r="Q79" i="25"/>
  <c r="Q75" i="25"/>
  <c r="Q71" i="25"/>
  <c r="N68" i="25"/>
  <c r="O64" i="25"/>
  <c r="O60" i="25"/>
  <c r="P44" i="25"/>
  <c r="P93" i="25"/>
  <c r="N47" i="25"/>
  <c r="O54" i="25"/>
  <c r="N62" i="25"/>
  <c r="Q98" i="25"/>
  <c r="N95" i="25"/>
  <c r="N91" i="25"/>
  <c r="N87" i="25"/>
  <c r="O83" i="25"/>
  <c r="P79" i="25"/>
  <c r="P75" i="25"/>
  <c r="P71" i="25"/>
  <c r="Q67" i="25"/>
  <c r="N64" i="25"/>
  <c r="N60" i="25"/>
  <c r="N52" i="25"/>
  <c r="Q85" i="25"/>
  <c r="N97" i="25"/>
  <c r="Q42" i="25"/>
  <c r="P46" i="25"/>
  <c r="Q57" i="25"/>
  <c r="P98" i="25"/>
  <c r="Q94" i="25"/>
  <c r="Q90" i="25"/>
  <c r="Q86" i="25"/>
  <c r="N83" i="25"/>
  <c r="O79" i="25"/>
  <c r="O75" i="25"/>
  <c r="O71" i="25"/>
  <c r="P67" i="25"/>
  <c r="Q63" i="25"/>
  <c r="Q59" i="25"/>
  <c r="Q55" i="25"/>
  <c r="P89" i="25"/>
  <c r="N43" i="25"/>
  <c r="P50" i="25"/>
  <c r="N58" i="25"/>
  <c r="O73" i="25"/>
  <c r="O98" i="25"/>
  <c r="P94" i="25"/>
  <c r="P90" i="25"/>
  <c r="P86" i="25"/>
  <c r="Q82" i="25"/>
  <c r="N79" i="25"/>
  <c r="N75" i="25"/>
  <c r="N71" i="25"/>
  <c r="O67" i="25"/>
  <c r="P63" i="25"/>
  <c r="P59" i="25"/>
  <c r="P55" i="25"/>
  <c r="Q51" i="25"/>
  <c r="N48" i="25"/>
  <c r="N44" i="25"/>
  <c r="O59" i="25"/>
  <c r="Q47" i="25"/>
  <c r="P58" i="25"/>
  <c r="O58" i="25"/>
  <c r="Q65" i="25"/>
  <c r="P65" i="25"/>
  <c r="N98" i="25"/>
  <c r="O94" i="25"/>
  <c r="O90" i="25"/>
  <c r="O86" i="25"/>
  <c r="P82" i="25"/>
  <c r="Q78" i="25"/>
  <c r="Q74" i="25"/>
  <c r="Q70" i="25"/>
  <c r="N67" i="25"/>
  <c r="O63" i="25"/>
  <c r="O55" i="25"/>
  <c r="N78" i="25"/>
  <c r="P85" i="25"/>
  <c r="Q46" i="25"/>
  <c r="O50" i="25"/>
  <c r="P69" i="25"/>
  <c r="Q97" i="25"/>
  <c r="N94" i="25"/>
  <c r="N90" i="25"/>
  <c r="N86" i="25"/>
  <c r="O82" i="25"/>
  <c r="P78" i="25"/>
  <c r="P74" i="25"/>
  <c r="P70" i="25"/>
  <c r="Q66" i="25"/>
  <c r="N63" i="25"/>
  <c r="N59" i="25"/>
  <c r="N55" i="25"/>
  <c r="O51" i="25"/>
  <c r="P47" i="25"/>
  <c r="P43" i="25"/>
  <c r="P97" i="25"/>
  <c r="Q93" i="25"/>
  <c r="Q89" i="25"/>
  <c r="N82" i="25"/>
  <c r="O78" i="25"/>
  <c r="O74" i="25"/>
  <c r="O70" i="25"/>
  <c r="P66" i="25"/>
  <c r="Q62" i="25"/>
  <c r="Q58" i="25"/>
  <c r="Q54" i="25"/>
  <c r="O43" i="25"/>
  <c r="N70" i="25"/>
  <c r="O93" i="25"/>
  <c r="N66" i="25"/>
  <c r="P77" i="25"/>
  <c r="Q88" i="25"/>
  <c r="N50" i="25"/>
  <c r="Q41" i="25"/>
  <c r="N38" i="25"/>
  <c r="N34" i="25"/>
  <c r="N30" i="25"/>
  <c r="N26" i="25"/>
  <c r="O22" i="25"/>
  <c r="O18" i="25"/>
  <c r="O14" i="25"/>
  <c r="O33" i="25"/>
  <c r="P13" i="25"/>
  <c r="N17" i="25"/>
  <c r="N24" i="25"/>
  <c r="P7" i="25"/>
  <c r="N15" i="25"/>
  <c r="O34" i="25"/>
  <c r="P41" i="25"/>
  <c r="Q37" i="25"/>
  <c r="Q33" i="25"/>
  <c r="Q29" i="25"/>
  <c r="Q25" i="25"/>
  <c r="N22" i="25"/>
  <c r="N18" i="25"/>
  <c r="N14" i="25"/>
  <c r="Q17" i="25"/>
  <c r="P9" i="25"/>
  <c r="N13" i="25"/>
  <c r="P16" i="25"/>
  <c r="Q7" i="25"/>
  <c r="N27" i="25"/>
  <c r="P38" i="25"/>
  <c r="O41" i="25"/>
  <c r="P37" i="25"/>
  <c r="P33" i="25"/>
  <c r="P29" i="25"/>
  <c r="P25" i="25"/>
  <c r="Q21" i="25"/>
  <c r="Q13" i="25"/>
  <c r="Q9" i="25"/>
  <c r="O29" i="25"/>
  <c r="P21" i="25"/>
  <c r="Q24" i="25"/>
  <c r="Q8" i="25"/>
  <c r="O28" i="25"/>
  <c r="N32" i="25"/>
  <c r="Q31" i="25"/>
  <c r="N16" i="25"/>
  <c r="N35" i="25"/>
  <c r="Q34" i="25"/>
  <c r="N7" i="25"/>
  <c r="N11" i="25"/>
  <c r="P18" i="25"/>
  <c r="N41" i="25"/>
  <c r="O37" i="25"/>
  <c r="O25" i="25"/>
  <c r="P17" i="25"/>
  <c r="N21" i="25"/>
  <c r="O36" i="25"/>
  <c r="O24" i="25"/>
  <c r="O8" i="25"/>
  <c r="N28" i="25"/>
  <c r="O12" i="25"/>
  <c r="O19" i="25"/>
  <c r="Q38" i="25"/>
  <c r="Q18" i="25"/>
  <c r="O26" i="25"/>
  <c r="Q40" i="25"/>
  <c r="N37" i="25"/>
  <c r="N33" i="25"/>
  <c r="N29" i="25"/>
  <c r="N25" i="25"/>
  <c r="O21" i="25"/>
  <c r="O17" i="25"/>
  <c r="O13" i="25"/>
  <c r="O9" i="25"/>
  <c r="Q36" i="25"/>
  <c r="Q32" i="25"/>
  <c r="Q28" i="25"/>
  <c r="O32" i="25"/>
  <c r="P20" i="25"/>
  <c r="N36" i="25"/>
  <c r="O20" i="25"/>
  <c r="N20" i="25"/>
  <c r="N9" i="25"/>
  <c r="N8" i="25"/>
  <c r="Q26" i="25"/>
  <c r="P26" i="25"/>
  <c r="O30" i="25"/>
  <c r="P40" i="25"/>
  <c r="Q23" i="25"/>
  <c r="N23" i="25"/>
  <c r="O11" i="25"/>
  <c r="P22" i="25"/>
  <c r="O40" i="25"/>
  <c r="P36" i="25"/>
  <c r="P32" i="25"/>
  <c r="P28" i="25"/>
  <c r="P24" i="25"/>
  <c r="Q20" i="25"/>
  <c r="Q16" i="25"/>
  <c r="P8" i="25"/>
  <c r="Q12" i="25"/>
  <c r="O16" i="25"/>
  <c r="Q11" i="25"/>
  <c r="N19" i="25"/>
  <c r="O38" i="25"/>
  <c r="N40" i="25"/>
  <c r="Q27" i="25"/>
  <c r="P11" i="25"/>
  <c r="Q22" i="25"/>
  <c r="Q39" i="25"/>
  <c r="P12" i="25"/>
  <c r="N31" i="25"/>
  <c r="P30" i="25"/>
  <c r="P14" i="25"/>
  <c r="P39" i="25"/>
  <c r="Q35" i="25"/>
  <c r="O15" i="25"/>
  <c r="P34" i="25"/>
  <c r="O39" i="25"/>
  <c r="P35" i="25"/>
  <c r="P31" i="25"/>
  <c r="P27" i="25"/>
  <c r="P23" i="25"/>
  <c r="Q19" i="25"/>
  <c r="Q15" i="25"/>
  <c r="N12" i="25"/>
  <c r="O7" i="25"/>
  <c r="N39" i="25"/>
  <c r="O35" i="25"/>
  <c r="O31" i="25"/>
  <c r="O27" i="25"/>
  <c r="O23" i="25"/>
  <c r="P19" i="25"/>
  <c r="P15" i="25"/>
  <c r="Q30" i="25"/>
  <c r="Q14" i="25"/>
  <c r="O3" i="25"/>
  <c r="N5" i="25"/>
  <c r="N3" i="25"/>
  <c r="Q2" i="25"/>
  <c r="P2" i="25"/>
  <c r="O2" i="25"/>
  <c r="N2" i="25"/>
  <c r="Q5" i="25"/>
  <c r="P5" i="25"/>
  <c r="O5" i="25"/>
  <c r="Q4" i="25"/>
  <c r="P4" i="25"/>
  <c r="O4" i="25"/>
  <c r="N4" i="25"/>
  <c r="Q3" i="25"/>
  <c r="P3" i="25"/>
  <c r="P96" i="8"/>
  <c r="S96" i="8" s="1"/>
  <c r="P93" i="8"/>
  <c r="S93" i="8" s="1"/>
  <c r="P95" i="8"/>
  <c r="S95" i="8" s="1"/>
  <c r="P91" i="8"/>
  <c r="S91" i="8" s="1"/>
  <c r="G74" i="8"/>
  <c r="G75" i="8" s="1"/>
  <c r="J74" i="8"/>
  <c r="M74" i="8"/>
  <c r="L74" i="8"/>
  <c r="K74" i="8"/>
  <c r="N74" i="8"/>
  <c r="H74" i="8"/>
  <c r="O74" i="8"/>
  <c r="F74" i="8"/>
  <c r="I74" i="8"/>
  <c r="J100" i="8"/>
  <c r="S99" i="8"/>
  <c r="P92" i="8"/>
  <c r="S92" i="8" s="1"/>
  <c r="P94" i="8"/>
  <c r="S94" i="8" s="1"/>
  <c r="P90" i="8"/>
  <c r="S90" i="8" s="1"/>
  <c r="P89" i="8"/>
  <c r="S89" i="8" s="1"/>
  <c r="P97" i="8"/>
  <c r="S97" i="8" s="1"/>
  <c r="P98" i="8"/>
  <c r="S98" i="8" s="1"/>
  <c r="G100" i="8"/>
  <c r="F100" i="8"/>
  <c r="K100" i="8"/>
  <c r="L100" i="8"/>
  <c r="O100" i="8"/>
  <c r="N100" i="8"/>
  <c r="M100" i="8"/>
  <c r="H100" i="8"/>
  <c r="I100" i="8"/>
  <c r="J40" i="20"/>
  <c r="J41" i="20"/>
  <c r="P10" i="17"/>
  <c r="H10" i="17"/>
  <c r="O10" i="17"/>
  <c r="K10" i="17"/>
  <c r="F10" i="17"/>
  <c r="N10" i="17"/>
  <c r="L10" i="17"/>
  <c r="I10" i="17"/>
  <c r="M10" i="17"/>
  <c r="G10" i="17"/>
  <c r="E10" i="17"/>
  <c r="J10" i="17"/>
  <c r="P53" i="11"/>
  <c r="K34" i="11"/>
  <c r="U37" i="20"/>
  <c r="U31" i="20"/>
  <c r="Y31" i="20" s="1"/>
  <c r="Y37" i="20" s="1"/>
  <c r="Y50" i="20" s="1"/>
  <c r="K13" i="18"/>
  <c r="I13" i="18"/>
  <c r="E13" i="18"/>
  <c r="P26" i="18"/>
  <c r="S31" i="20"/>
  <c r="W31" i="20" s="1"/>
  <c r="W37" i="20" s="1"/>
  <c r="W50" i="20" s="1"/>
  <c r="S37" i="20"/>
  <c r="T31" i="20"/>
  <c r="X31" i="20" s="1"/>
  <c r="X37" i="20" s="1"/>
  <c r="X50" i="20" s="1"/>
  <c r="T37" i="20"/>
  <c r="Q62" i="8"/>
  <c r="J13" i="20"/>
  <c r="J14" i="20" s="1"/>
  <c r="H28" i="20"/>
  <c r="G28" i="20"/>
  <c r="V25" i="20"/>
  <c r="J51" i="20"/>
  <c r="F54" i="20" s="1"/>
  <c r="J26" i="20"/>
  <c r="J28" i="20" s="1"/>
  <c r="K44" i="20"/>
  <c r="G49" i="20" s="1"/>
  <c r="G10" i="20"/>
  <c r="K50" i="20"/>
  <c r="L50" i="20"/>
  <c r="H10" i="20"/>
  <c r="I10" i="20" s="1"/>
  <c r="F32" i="18"/>
  <c r="F36" i="18" s="1"/>
  <c r="L44" i="20"/>
  <c r="N5" i="20"/>
  <c r="N11" i="20" s="1"/>
  <c r="H29" i="18"/>
  <c r="N18" i="20"/>
  <c r="H30" i="18"/>
  <c r="O18" i="20"/>
  <c r="I30" i="18"/>
  <c r="M18" i="20"/>
  <c r="J23" i="20" s="1"/>
  <c r="G30" i="18"/>
  <c r="Q18" i="20"/>
  <c r="K30" i="18"/>
  <c r="M5" i="20"/>
  <c r="G29" i="18"/>
  <c r="E32" i="18"/>
  <c r="E36" i="18" s="1"/>
  <c r="O5" i="20"/>
  <c r="O11" i="20" s="1"/>
  <c r="I29" i="18"/>
  <c r="N18" i="15"/>
  <c r="M17" i="20"/>
  <c r="M43" i="20" s="1"/>
  <c r="M24" i="20"/>
  <c r="O24" i="20"/>
  <c r="O17" i="20"/>
  <c r="O43" i="20" s="1"/>
  <c r="G23" i="20"/>
  <c r="H23" i="20"/>
  <c r="I23" i="20" s="1"/>
  <c r="H35" i="8"/>
  <c r="G12" i="2"/>
  <c r="H12" i="2" s="1"/>
  <c r="N24" i="20"/>
  <c r="N17" i="20"/>
  <c r="N43" i="20" s="1"/>
  <c r="Y15" i="15"/>
  <c r="Z15" i="15" s="1"/>
  <c r="F33" i="15"/>
  <c r="G33" i="15" s="1"/>
  <c r="H33" i="15" s="1"/>
  <c r="F33" i="2"/>
  <c r="G33" i="2" s="1"/>
  <c r="H33" i="2" s="1"/>
  <c r="Q24" i="20"/>
  <c r="J17" i="18"/>
  <c r="K17" i="18"/>
  <c r="M17" i="18" s="1"/>
  <c r="H26" i="8"/>
  <c r="Q17" i="20"/>
  <c r="Q43" i="20" s="1"/>
  <c r="J30" i="18"/>
  <c r="D39" i="3"/>
  <c r="X39" i="15"/>
  <c r="Y39" i="15" s="1"/>
  <c r="O33" i="15"/>
  <c r="P33" i="15" s="1"/>
  <c r="Q33" i="15" s="1"/>
  <c r="K21" i="11"/>
  <c r="N36" i="15"/>
  <c r="N37" i="15" s="1"/>
  <c r="G12" i="15"/>
  <c r="H12" i="15" s="1"/>
  <c r="O39" i="15"/>
  <c r="P39" i="15" s="1"/>
  <c r="F49" i="20"/>
  <c r="L34" i="20"/>
  <c r="L36" i="20" s="1"/>
  <c r="K36" i="20"/>
  <c r="G15" i="15"/>
  <c r="H15" i="15" s="1"/>
  <c r="F16" i="15"/>
  <c r="F17" i="15" s="1"/>
  <c r="K10" i="3"/>
  <c r="L10" i="3" s="1"/>
  <c r="M10" i="3" s="1"/>
  <c r="P49" i="11"/>
  <c r="H44" i="8"/>
  <c r="H20" i="7"/>
  <c r="I20" i="7" s="1"/>
  <c r="K10" i="6"/>
  <c r="L10" i="6" s="1"/>
  <c r="M10" i="6" s="1"/>
  <c r="X35" i="15"/>
  <c r="X38" i="15" s="1"/>
  <c r="Y38" i="15" s="1"/>
  <c r="E4" i="7"/>
  <c r="X35" i="2"/>
  <c r="Y35" i="2" s="1"/>
  <c r="Z35" i="2" s="1"/>
  <c r="D28" i="7"/>
  <c r="D39" i="7" s="1"/>
  <c r="P15" i="15"/>
  <c r="Q15" i="15" s="1"/>
  <c r="E16" i="7"/>
  <c r="E8" i="7"/>
  <c r="E17" i="7"/>
  <c r="E5" i="7"/>
  <c r="E14" i="7"/>
  <c r="E10" i="7"/>
  <c r="E12" i="7"/>
  <c r="E6" i="7"/>
  <c r="E9" i="7"/>
  <c r="E15" i="7"/>
  <c r="E20" i="7"/>
  <c r="E7" i="7"/>
  <c r="F39" i="15"/>
  <c r="G39" i="15" s="1"/>
  <c r="E4" i="17"/>
  <c r="E5" i="17" s="1"/>
  <c r="P50" i="11"/>
  <c r="E18" i="15"/>
  <c r="E36" i="15"/>
  <c r="E37" i="15" s="1"/>
  <c r="E17" i="15"/>
  <c r="G39" i="2"/>
  <c r="O39" i="2"/>
  <c r="P39" i="2" s="1"/>
  <c r="X39" i="2"/>
  <c r="Y39" i="2" s="1"/>
  <c r="X15" i="2"/>
  <c r="Y15" i="2" s="1"/>
  <c r="Z15" i="2" s="1"/>
  <c r="J4" i="17"/>
  <c r="J5" i="17" s="1"/>
  <c r="F28" i="3"/>
  <c r="F28" i="6" s="1"/>
  <c r="F21" i="3"/>
  <c r="N4" i="17"/>
  <c r="N5" i="17" s="1"/>
  <c r="G20" i="2"/>
  <c r="H20" i="2" s="1"/>
  <c r="P4" i="17"/>
  <c r="P5" i="17" s="1"/>
  <c r="M4" i="17"/>
  <c r="M5" i="17" s="1"/>
  <c r="H4" i="17"/>
  <c r="H5" i="17" s="1"/>
  <c r="K4" i="17"/>
  <c r="K5" i="17" s="1"/>
  <c r="G4" i="17"/>
  <c r="G5" i="17" s="1"/>
  <c r="F4" i="17"/>
  <c r="F5" i="17" s="1"/>
  <c r="I4" i="17"/>
  <c r="I5" i="17" s="1"/>
  <c r="L4" i="17"/>
  <c r="L5" i="17" s="1"/>
  <c r="F32" i="7"/>
  <c r="F39" i="7"/>
  <c r="K8" i="20"/>
  <c r="J9" i="20"/>
  <c r="E18" i="2"/>
  <c r="E17" i="2"/>
  <c r="E36" i="2"/>
  <c r="E37" i="2" s="1"/>
  <c r="L4" i="7"/>
  <c r="M4" i="7" s="1"/>
  <c r="K10" i="7"/>
  <c r="F20" i="8"/>
  <c r="L23" i="18"/>
  <c r="J16" i="18"/>
  <c r="K23" i="18"/>
  <c r="K16" i="18"/>
  <c r="P33" i="2"/>
  <c r="Q33" i="2" s="1"/>
  <c r="O35" i="2"/>
  <c r="O18" i="15"/>
  <c r="P16" i="15"/>
  <c r="Q16" i="15" s="1"/>
  <c r="O17" i="15"/>
  <c r="P17" i="15" s="1"/>
  <c r="G15" i="2"/>
  <c r="H15" i="2" s="1"/>
  <c r="F16" i="2"/>
  <c r="I52" i="20"/>
  <c r="I28" i="20"/>
  <c r="H20" i="8"/>
  <c r="E20" i="8"/>
  <c r="G20" i="8"/>
  <c r="H22" i="8"/>
  <c r="H21" i="8"/>
  <c r="X17" i="15"/>
  <c r="Y17" i="15" s="1"/>
  <c r="X18" i="15"/>
  <c r="Y18" i="15" s="1"/>
  <c r="Y16" i="15"/>
  <c r="Z16" i="15" s="1"/>
  <c r="K21" i="20"/>
  <c r="J22" i="20"/>
  <c r="K41" i="20"/>
  <c r="L39" i="20"/>
  <c r="K40" i="20"/>
  <c r="J48" i="20"/>
  <c r="P15" i="2"/>
  <c r="Q15" i="2" s="1"/>
  <c r="O16" i="2"/>
  <c r="AA14" i="25" l="1"/>
  <c r="Z14" i="25"/>
  <c r="Y14" i="25"/>
  <c r="R45" i="25"/>
  <c r="AE45" i="25"/>
  <c r="AF45" i="25"/>
  <c r="AG45" i="25"/>
  <c r="AA18" i="25"/>
  <c r="Z18" i="25"/>
  <c r="Y18" i="25"/>
  <c r="AA89" i="25"/>
  <c r="Z89" i="25"/>
  <c r="Y89" i="25"/>
  <c r="AD66" i="25"/>
  <c r="AB66" i="25"/>
  <c r="AC66" i="25"/>
  <c r="W47" i="25"/>
  <c r="V47" i="25"/>
  <c r="X47" i="25"/>
  <c r="Z4" i="25"/>
  <c r="Y4" i="25"/>
  <c r="AA4" i="25"/>
  <c r="AF26" i="25"/>
  <c r="AE26" i="25"/>
  <c r="AG26" i="25"/>
  <c r="V22" i="25"/>
  <c r="W22" i="25"/>
  <c r="X22" i="25"/>
  <c r="AF78" i="25"/>
  <c r="AE78" i="25"/>
  <c r="AG78" i="25"/>
  <c r="AG43" i="25"/>
  <c r="AF43" i="25"/>
  <c r="AE43" i="25"/>
  <c r="AD35" i="25"/>
  <c r="AC35" i="25"/>
  <c r="AB35" i="25"/>
  <c r="R62" i="25"/>
  <c r="X62" i="25"/>
  <c r="W62" i="25"/>
  <c r="V62" i="25"/>
  <c r="AG62" i="25"/>
  <c r="AF62" i="25"/>
  <c r="AE62" i="25"/>
  <c r="AD49" i="25"/>
  <c r="AC49" i="25"/>
  <c r="AB49" i="25"/>
  <c r="AG9" i="25"/>
  <c r="AF9" i="25"/>
  <c r="AE9" i="25"/>
  <c r="AD62" i="25"/>
  <c r="AC62" i="25"/>
  <c r="AB62" i="25"/>
  <c r="AE12" i="25"/>
  <c r="AG12" i="25"/>
  <c r="AF12" i="25"/>
  <c r="AA70" i="25"/>
  <c r="Y70" i="25"/>
  <c r="Z70" i="25"/>
  <c r="AB59" i="25"/>
  <c r="AC59" i="25"/>
  <c r="AD59" i="25"/>
  <c r="AD93" i="25"/>
  <c r="AC93" i="25"/>
  <c r="AB93" i="25"/>
  <c r="AA48" i="25"/>
  <c r="Z48" i="25"/>
  <c r="Y48" i="25"/>
  <c r="AA57" i="25"/>
  <c r="Z57" i="25"/>
  <c r="Y57" i="25"/>
  <c r="X46" i="25"/>
  <c r="W46" i="25"/>
  <c r="V46" i="25"/>
  <c r="AD4" i="25"/>
  <c r="AC4" i="25"/>
  <c r="AB4" i="25"/>
  <c r="Z23" i="25"/>
  <c r="Y23" i="25"/>
  <c r="AA23" i="25"/>
  <c r="AG35" i="25"/>
  <c r="AE35" i="25"/>
  <c r="AF35" i="25"/>
  <c r="AD8" i="25"/>
  <c r="AC8" i="25"/>
  <c r="AB8" i="25"/>
  <c r="V8" i="25"/>
  <c r="X8" i="25"/>
  <c r="W8" i="25"/>
  <c r="W33" i="25"/>
  <c r="V33" i="25"/>
  <c r="X33" i="25"/>
  <c r="V41" i="25"/>
  <c r="W41" i="25"/>
  <c r="X41" i="25"/>
  <c r="AG21" i="25"/>
  <c r="AF21" i="25"/>
  <c r="AE21" i="25"/>
  <c r="AG25" i="25"/>
  <c r="AF25" i="25"/>
  <c r="AE25" i="25"/>
  <c r="X30" i="25"/>
  <c r="W30" i="25"/>
  <c r="V30" i="25"/>
  <c r="Y74" i="25"/>
  <c r="AA74" i="25"/>
  <c r="Z74" i="25"/>
  <c r="AA82" i="25"/>
  <c r="Z82" i="25"/>
  <c r="Y82" i="25"/>
  <c r="AD82" i="25"/>
  <c r="AC82" i="25"/>
  <c r="AB82" i="25"/>
  <c r="AB63" i="25"/>
  <c r="AD63" i="25"/>
  <c r="AC63" i="25"/>
  <c r="AG59" i="25"/>
  <c r="AE59" i="25"/>
  <c r="AF59" i="25"/>
  <c r="R52" i="25"/>
  <c r="X52" i="25"/>
  <c r="W52" i="25"/>
  <c r="V52" i="25"/>
  <c r="AC44" i="25"/>
  <c r="AD44" i="25"/>
  <c r="AB44" i="25"/>
  <c r="AG44" i="25"/>
  <c r="AF44" i="25"/>
  <c r="AE44" i="25"/>
  <c r="W51" i="25"/>
  <c r="V51" i="25"/>
  <c r="X51" i="25"/>
  <c r="AA56" i="25"/>
  <c r="Z56" i="25"/>
  <c r="Y56" i="25"/>
  <c r="AC51" i="25"/>
  <c r="AB51" i="25"/>
  <c r="AD51" i="25"/>
  <c r="AA61" i="25"/>
  <c r="Z61" i="25"/>
  <c r="Y61" i="25"/>
  <c r="AG50" i="25"/>
  <c r="AF50" i="25"/>
  <c r="AE50" i="25"/>
  <c r="AE49" i="25"/>
  <c r="AG49" i="25"/>
  <c r="AF49" i="25"/>
  <c r="AG17" i="25"/>
  <c r="AF17" i="25"/>
  <c r="AE17" i="25"/>
  <c r="R89" i="25"/>
  <c r="X89" i="25"/>
  <c r="W89" i="25"/>
  <c r="V89" i="25"/>
  <c r="AG30" i="25"/>
  <c r="AF30" i="25"/>
  <c r="AE30" i="25"/>
  <c r="R77" i="25"/>
  <c r="AG77" i="25"/>
  <c r="AF77" i="25"/>
  <c r="AE77" i="25"/>
  <c r="AD34" i="25"/>
  <c r="AC34" i="25"/>
  <c r="AB34" i="25"/>
  <c r="R74" i="25"/>
  <c r="AD74" i="25"/>
  <c r="AC74" i="25"/>
  <c r="AB74" i="25"/>
  <c r="AG73" i="25"/>
  <c r="AF73" i="25"/>
  <c r="AE73" i="25"/>
  <c r="W29" i="25"/>
  <c r="V29" i="25"/>
  <c r="X29" i="25"/>
  <c r="V26" i="25"/>
  <c r="W26" i="25"/>
  <c r="X26" i="25"/>
  <c r="AG4" i="25"/>
  <c r="AF4" i="25"/>
  <c r="AE4" i="25"/>
  <c r="Y27" i="25"/>
  <c r="AA27" i="25"/>
  <c r="Z27" i="25"/>
  <c r="AD39" i="25"/>
  <c r="AC39" i="25"/>
  <c r="AB39" i="25"/>
  <c r="AE16" i="25"/>
  <c r="AG16" i="25"/>
  <c r="AF16" i="25"/>
  <c r="V9" i="25"/>
  <c r="X9" i="25"/>
  <c r="W9" i="25"/>
  <c r="V37" i="25"/>
  <c r="X37" i="25"/>
  <c r="W37" i="25"/>
  <c r="AC18" i="25"/>
  <c r="AB18" i="25"/>
  <c r="AD18" i="25"/>
  <c r="AD25" i="25"/>
  <c r="AC25" i="25"/>
  <c r="AB25" i="25"/>
  <c r="AG29" i="25"/>
  <c r="AF29" i="25"/>
  <c r="AE29" i="25"/>
  <c r="W34" i="25"/>
  <c r="V34" i="25"/>
  <c r="X34" i="25"/>
  <c r="AA78" i="25"/>
  <c r="Y78" i="25"/>
  <c r="Z78" i="25"/>
  <c r="W86" i="25"/>
  <c r="V86" i="25"/>
  <c r="X86" i="25"/>
  <c r="AA86" i="25"/>
  <c r="Z86" i="25"/>
  <c r="Y86" i="25"/>
  <c r="AA67" i="25"/>
  <c r="Z67" i="25"/>
  <c r="Y67" i="25"/>
  <c r="AF63" i="25"/>
  <c r="AE63" i="25"/>
  <c r="AG63" i="25"/>
  <c r="X60" i="25"/>
  <c r="W60" i="25"/>
  <c r="V60" i="25"/>
  <c r="Z60" i="25"/>
  <c r="Y60" i="25"/>
  <c r="AA60" i="25"/>
  <c r="AD60" i="25"/>
  <c r="AC60" i="25"/>
  <c r="AB60" i="25"/>
  <c r="X56" i="25"/>
  <c r="W56" i="25"/>
  <c r="V56" i="25"/>
  <c r="X53" i="25"/>
  <c r="V53" i="25"/>
  <c r="W53" i="25"/>
  <c r="AD48" i="25"/>
  <c r="AC48" i="25"/>
  <c r="AB48" i="25"/>
  <c r="X65" i="25"/>
  <c r="W65" i="25"/>
  <c r="V65" i="25"/>
  <c r="W74" i="25"/>
  <c r="V74" i="25"/>
  <c r="X74" i="25"/>
  <c r="AE53" i="25"/>
  <c r="AF53" i="25"/>
  <c r="AG53" i="25"/>
  <c r="X19" i="25"/>
  <c r="W19" i="25"/>
  <c r="V19" i="25"/>
  <c r="R67" i="25"/>
  <c r="X67" i="25"/>
  <c r="V67" i="25"/>
  <c r="W67" i="25"/>
  <c r="AD72" i="25"/>
  <c r="AB72" i="25"/>
  <c r="AC72" i="25"/>
  <c r="AG11" i="25"/>
  <c r="AF11" i="25"/>
  <c r="AE11" i="25"/>
  <c r="AG42" i="25"/>
  <c r="AF42" i="25"/>
  <c r="AE42" i="25"/>
  <c r="AA25" i="25"/>
  <c r="Z25" i="25"/>
  <c r="Y25" i="25"/>
  <c r="AC55" i="25"/>
  <c r="AB55" i="25"/>
  <c r="AD55" i="25"/>
  <c r="AD53" i="25"/>
  <c r="AC53" i="25"/>
  <c r="AB53" i="25"/>
  <c r="AC19" i="25"/>
  <c r="AD19" i="25"/>
  <c r="AB19" i="25"/>
  <c r="AG13" i="25"/>
  <c r="AF13" i="25"/>
  <c r="AE13" i="25"/>
  <c r="AD78" i="25"/>
  <c r="AC78" i="25"/>
  <c r="AB78" i="25"/>
  <c r="AG55" i="25"/>
  <c r="AF55" i="25"/>
  <c r="AE55" i="25"/>
  <c r="AG85" i="25"/>
  <c r="AF85" i="25"/>
  <c r="AE85" i="25"/>
  <c r="AD54" i="25"/>
  <c r="AB54" i="25"/>
  <c r="AC54" i="25"/>
  <c r="Z97" i="25"/>
  <c r="Y97" i="25"/>
  <c r="AA97" i="25"/>
  <c r="AB81" i="25"/>
  <c r="AD81" i="25"/>
  <c r="AC81" i="25"/>
  <c r="Z5" i="25"/>
  <c r="Y5" i="25"/>
  <c r="AA5" i="25"/>
  <c r="Y31" i="25"/>
  <c r="AA31" i="25"/>
  <c r="Z31" i="25"/>
  <c r="AC14" i="25"/>
  <c r="AB14" i="25"/>
  <c r="AD14" i="25"/>
  <c r="AF20" i="25"/>
  <c r="AE20" i="25"/>
  <c r="AG20" i="25"/>
  <c r="X20" i="25"/>
  <c r="W20" i="25"/>
  <c r="V20" i="25"/>
  <c r="AG40" i="25"/>
  <c r="AE40" i="25"/>
  <c r="AF40" i="25"/>
  <c r="X11" i="25"/>
  <c r="W11" i="25"/>
  <c r="V11" i="25"/>
  <c r="AD29" i="25"/>
  <c r="AC29" i="25"/>
  <c r="AB29" i="25"/>
  <c r="AG33" i="25"/>
  <c r="AF33" i="25"/>
  <c r="AE33" i="25"/>
  <c r="W38" i="25"/>
  <c r="V38" i="25"/>
  <c r="X38" i="25"/>
  <c r="V82" i="25"/>
  <c r="X82" i="25"/>
  <c r="W82" i="25"/>
  <c r="X90" i="25"/>
  <c r="V90" i="25"/>
  <c r="W90" i="25"/>
  <c r="AA90" i="25"/>
  <c r="Y90" i="25"/>
  <c r="Z90" i="25"/>
  <c r="W71" i="25"/>
  <c r="V71" i="25"/>
  <c r="X71" i="25"/>
  <c r="AD67" i="25"/>
  <c r="AC67" i="25"/>
  <c r="AB67" i="25"/>
  <c r="R64" i="25"/>
  <c r="X64" i="25"/>
  <c r="W64" i="25"/>
  <c r="V64" i="25"/>
  <c r="Z64" i="25"/>
  <c r="Y64" i="25"/>
  <c r="AA64" i="25"/>
  <c r="Y68" i="25"/>
  <c r="AA68" i="25"/>
  <c r="Z68" i="25"/>
  <c r="AD56" i="25"/>
  <c r="AC56" i="25"/>
  <c r="AB56" i="25"/>
  <c r="AD45" i="25"/>
  <c r="AC45" i="25"/>
  <c r="AB45" i="25"/>
  <c r="AG48" i="25"/>
  <c r="AF48" i="25"/>
  <c r="AE48" i="25"/>
  <c r="W69" i="25"/>
  <c r="V69" i="25"/>
  <c r="X69" i="25"/>
  <c r="AA47" i="25"/>
  <c r="Z47" i="25"/>
  <c r="Y47" i="25"/>
  <c r="AD57" i="25"/>
  <c r="AC57" i="25"/>
  <c r="AB57" i="25"/>
  <c r="AF14" i="25"/>
  <c r="AG14" i="25"/>
  <c r="AE14" i="25"/>
  <c r="AE92" i="25"/>
  <c r="AF92" i="25"/>
  <c r="AG92" i="25"/>
  <c r="AD70" i="25"/>
  <c r="AC70" i="25"/>
  <c r="AB70" i="25"/>
  <c r="AC73" i="25"/>
  <c r="AB73" i="25"/>
  <c r="AD73" i="25"/>
  <c r="AD5" i="25"/>
  <c r="AC5" i="25"/>
  <c r="AB5" i="25"/>
  <c r="Z35" i="25"/>
  <c r="AA35" i="25"/>
  <c r="Y35" i="25"/>
  <c r="AC30" i="25"/>
  <c r="AD30" i="25"/>
  <c r="AB30" i="25"/>
  <c r="AD24" i="25"/>
  <c r="AC24" i="25"/>
  <c r="AB24" i="25"/>
  <c r="AA20" i="25"/>
  <c r="Z20" i="25"/>
  <c r="Y20" i="25"/>
  <c r="AA26" i="25"/>
  <c r="Z26" i="25"/>
  <c r="Y26" i="25"/>
  <c r="X7" i="25"/>
  <c r="W7" i="25"/>
  <c r="V7" i="25"/>
  <c r="AD33" i="25"/>
  <c r="AC33" i="25"/>
  <c r="AB33" i="25"/>
  <c r="AF37" i="25"/>
  <c r="AE37" i="25"/>
  <c r="AG37" i="25"/>
  <c r="AF41" i="25"/>
  <c r="AE41" i="25"/>
  <c r="AG41" i="25"/>
  <c r="AG89" i="25"/>
  <c r="AF89" i="25"/>
  <c r="AE89" i="25"/>
  <c r="W94" i="25"/>
  <c r="V94" i="25"/>
  <c r="X94" i="25"/>
  <c r="AA94" i="25"/>
  <c r="Z94" i="25"/>
  <c r="Y94" i="25"/>
  <c r="X75" i="25"/>
  <c r="W75" i="25"/>
  <c r="V75" i="25"/>
  <c r="AA71" i="25"/>
  <c r="Z71" i="25"/>
  <c r="Y71" i="25"/>
  <c r="AG67" i="25"/>
  <c r="AF67" i="25"/>
  <c r="AE67" i="25"/>
  <c r="R68" i="25"/>
  <c r="X68" i="25"/>
  <c r="W68" i="25"/>
  <c r="V68" i="25"/>
  <c r="X72" i="25"/>
  <c r="W72" i="25"/>
  <c r="V72" i="25"/>
  <c r="AF64" i="25"/>
  <c r="AE64" i="25"/>
  <c r="AG64" i="25"/>
  <c r="AE68" i="25"/>
  <c r="AG68" i="25"/>
  <c r="AF68" i="25"/>
  <c r="W45" i="25"/>
  <c r="V45" i="25"/>
  <c r="X45" i="25"/>
  <c r="AE72" i="25"/>
  <c r="AF72" i="25"/>
  <c r="AG72" i="25"/>
  <c r="AA44" i="25"/>
  <c r="Z44" i="25"/>
  <c r="Y44" i="25"/>
  <c r="AD61" i="25"/>
  <c r="AC61" i="25"/>
  <c r="AB61" i="25"/>
  <c r="AA30" i="25"/>
  <c r="Z30" i="25"/>
  <c r="Y30" i="25"/>
  <c r="R43" i="25"/>
  <c r="W43" i="25"/>
  <c r="V43" i="25"/>
  <c r="X43" i="25"/>
  <c r="AD15" i="25"/>
  <c r="AB15" i="25"/>
  <c r="AC15" i="25"/>
  <c r="AA22" i="25"/>
  <c r="Y22" i="25"/>
  <c r="Z22" i="25"/>
  <c r="AA62" i="25"/>
  <c r="Y62" i="25"/>
  <c r="Z62" i="25"/>
  <c r="AA37" i="25"/>
  <c r="Z37" i="25"/>
  <c r="Y37" i="25"/>
  <c r="AG5" i="25"/>
  <c r="AF5" i="25"/>
  <c r="AE5" i="25"/>
  <c r="X39" i="25"/>
  <c r="W39" i="25"/>
  <c r="V39" i="25"/>
  <c r="X31" i="25"/>
  <c r="W31" i="25"/>
  <c r="V31" i="25"/>
  <c r="AC28" i="25"/>
  <c r="AB28" i="25"/>
  <c r="AD28" i="25"/>
  <c r="X36" i="25"/>
  <c r="W36" i="25"/>
  <c r="V36" i="25"/>
  <c r="AG18" i="25"/>
  <c r="AF18" i="25"/>
  <c r="AE18" i="25"/>
  <c r="AG34" i="25"/>
  <c r="AE34" i="25"/>
  <c r="AF34" i="25"/>
  <c r="AD37" i="25"/>
  <c r="AC37" i="25"/>
  <c r="AB37" i="25"/>
  <c r="AD41" i="25"/>
  <c r="AC41" i="25"/>
  <c r="AB41" i="25"/>
  <c r="X50" i="25"/>
  <c r="W50" i="25"/>
  <c r="V50" i="25"/>
  <c r="AF93" i="25"/>
  <c r="AE93" i="25"/>
  <c r="AG93" i="25"/>
  <c r="AF97" i="25"/>
  <c r="AE97" i="25"/>
  <c r="AG97" i="25"/>
  <c r="W98" i="25"/>
  <c r="V98" i="25"/>
  <c r="X98" i="25"/>
  <c r="X79" i="25"/>
  <c r="W79" i="25"/>
  <c r="V79" i="25"/>
  <c r="Z75" i="25"/>
  <c r="Y75" i="25"/>
  <c r="AA75" i="25"/>
  <c r="AC71" i="25"/>
  <c r="AB71" i="25"/>
  <c r="AD71" i="25"/>
  <c r="AG71" i="25"/>
  <c r="AE71" i="25"/>
  <c r="AF71" i="25"/>
  <c r="X76" i="25"/>
  <c r="W76" i="25"/>
  <c r="V76" i="25"/>
  <c r="Z76" i="25"/>
  <c r="Y76" i="25"/>
  <c r="AA76" i="25"/>
  <c r="W88" i="25"/>
  <c r="V88" i="25"/>
  <c r="X88" i="25"/>
  <c r="AC64" i="25"/>
  <c r="AB64" i="25"/>
  <c r="AD64" i="25"/>
  <c r="AG76" i="25"/>
  <c r="AF76" i="25"/>
  <c r="AE76" i="25"/>
  <c r="AA52" i="25"/>
  <c r="Z52" i="25"/>
  <c r="Y52" i="25"/>
  <c r="AA65" i="25"/>
  <c r="Z65" i="25"/>
  <c r="Y65" i="25"/>
  <c r="AB40" i="25"/>
  <c r="AC40" i="25"/>
  <c r="AD40" i="25"/>
  <c r="R48" i="25"/>
  <c r="X48" i="25"/>
  <c r="W48" i="25"/>
  <c r="V48" i="25"/>
  <c r="AE3" i="25"/>
  <c r="AG3" i="25"/>
  <c r="AF3" i="25"/>
  <c r="W14" i="25"/>
  <c r="V14" i="25"/>
  <c r="X14" i="25"/>
  <c r="Y54" i="25"/>
  <c r="AA54" i="25"/>
  <c r="Z54" i="25"/>
  <c r="AA16" i="25"/>
  <c r="Z16" i="25"/>
  <c r="Y16" i="25"/>
  <c r="AG74" i="25"/>
  <c r="AF74" i="25"/>
  <c r="AE74" i="25"/>
  <c r="AG81" i="25"/>
  <c r="AF81" i="25"/>
  <c r="AE81" i="25"/>
  <c r="AA15" i="25"/>
  <c r="Z15" i="25"/>
  <c r="Y15" i="25"/>
  <c r="X2" i="25"/>
  <c r="W2" i="25"/>
  <c r="V2" i="25"/>
  <c r="AA7" i="25"/>
  <c r="Z7" i="25"/>
  <c r="Y7" i="25"/>
  <c r="AD12" i="25"/>
  <c r="AC12" i="25"/>
  <c r="AB12" i="25"/>
  <c r="AC32" i="25"/>
  <c r="AB32" i="25"/>
  <c r="AD32" i="25"/>
  <c r="AD20" i="25"/>
  <c r="AC20" i="25"/>
  <c r="AB20" i="25"/>
  <c r="AG38" i="25"/>
  <c r="AF38" i="25"/>
  <c r="AE38" i="25"/>
  <c r="X35" i="25"/>
  <c r="W35" i="25"/>
  <c r="V35" i="25"/>
  <c r="AA41" i="25"/>
  <c r="Z41" i="25"/>
  <c r="Y41" i="25"/>
  <c r="AA34" i="25"/>
  <c r="Z34" i="25"/>
  <c r="Y34" i="25"/>
  <c r="AF88" i="25"/>
  <c r="AE88" i="25"/>
  <c r="AG88" i="25"/>
  <c r="AD97" i="25"/>
  <c r="AC97" i="25"/>
  <c r="AB97" i="25"/>
  <c r="AC69" i="25"/>
  <c r="AB69" i="25"/>
  <c r="AD69" i="25"/>
  <c r="AD65" i="25"/>
  <c r="AC65" i="25"/>
  <c r="AB65" i="25"/>
  <c r="AF82" i="25"/>
  <c r="AE82" i="25"/>
  <c r="AG82" i="25"/>
  <c r="Z79" i="25"/>
  <c r="Y79" i="25"/>
  <c r="AA79" i="25"/>
  <c r="AC75" i="25"/>
  <c r="AB75" i="25"/>
  <c r="AD75" i="25"/>
  <c r="AG75" i="25"/>
  <c r="AF75" i="25"/>
  <c r="AE75" i="25"/>
  <c r="X80" i="25"/>
  <c r="W80" i="25"/>
  <c r="V80" i="25"/>
  <c r="AA80" i="25"/>
  <c r="Z80" i="25"/>
  <c r="Y80" i="25"/>
  <c r="V92" i="25"/>
  <c r="X92" i="25"/>
  <c r="W92" i="25"/>
  <c r="V49" i="25"/>
  <c r="X49" i="25"/>
  <c r="W49" i="25"/>
  <c r="AG80" i="25"/>
  <c r="AE80" i="25"/>
  <c r="AF80" i="25"/>
  <c r="AC52" i="25"/>
  <c r="AD52" i="25"/>
  <c r="AB52" i="25"/>
  <c r="AA69" i="25"/>
  <c r="Z69" i="25"/>
  <c r="Y69" i="25"/>
  <c r="Y17" i="25"/>
  <c r="Z17" i="25"/>
  <c r="AA17" i="25"/>
  <c r="AD50" i="25"/>
  <c r="AC50" i="25"/>
  <c r="AB50" i="25"/>
  <c r="AA21" i="25"/>
  <c r="Z21" i="25"/>
  <c r="Y21" i="25"/>
  <c r="AA2" i="25"/>
  <c r="Z2" i="25"/>
  <c r="Y2" i="25"/>
  <c r="X12" i="25"/>
  <c r="W12" i="25"/>
  <c r="V12" i="25"/>
  <c r="AG39" i="25"/>
  <c r="AF39" i="25"/>
  <c r="AE39" i="25"/>
  <c r="AB36" i="25"/>
  <c r="AD36" i="25"/>
  <c r="AC36" i="25"/>
  <c r="AA32" i="25"/>
  <c r="Z32" i="25"/>
  <c r="Y32" i="25"/>
  <c r="Z19" i="25"/>
  <c r="Y19" i="25"/>
  <c r="AA19" i="25"/>
  <c r="W16" i="25"/>
  <c r="V16" i="25"/>
  <c r="X16" i="25"/>
  <c r="AC38" i="25"/>
  <c r="AB38" i="25"/>
  <c r="AD38" i="25"/>
  <c r="X15" i="25"/>
  <c r="W15" i="25"/>
  <c r="V15" i="25"/>
  <c r="AB77" i="25"/>
  <c r="AC77" i="25"/>
  <c r="AD77" i="25"/>
  <c r="AC43" i="25"/>
  <c r="AB43" i="25"/>
  <c r="AD43" i="25"/>
  <c r="Y50" i="25"/>
  <c r="AA50" i="25"/>
  <c r="Z50" i="25"/>
  <c r="AG65" i="25"/>
  <c r="AF65" i="25"/>
  <c r="AE65" i="25"/>
  <c r="AD86" i="25"/>
  <c r="AC86" i="25"/>
  <c r="AB86" i="25"/>
  <c r="R83" i="25"/>
  <c r="X83" i="25"/>
  <c r="W83" i="25"/>
  <c r="V83" i="25"/>
  <c r="AB79" i="25"/>
  <c r="AD79" i="25"/>
  <c r="AC79" i="25"/>
  <c r="AG79" i="25"/>
  <c r="AF79" i="25"/>
  <c r="AE79" i="25"/>
  <c r="AG83" i="25"/>
  <c r="AF83" i="25"/>
  <c r="AE83" i="25"/>
  <c r="R84" i="25"/>
  <c r="W84" i="25"/>
  <c r="V84" i="25"/>
  <c r="X84" i="25"/>
  <c r="V96" i="25"/>
  <c r="X96" i="25"/>
  <c r="W96" i="25"/>
  <c r="AF60" i="25"/>
  <c r="AE60" i="25"/>
  <c r="AG60" i="25"/>
  <c r="AC84" i="25"/>
  <c r="AB84" i="25"/>
  <c r="AD84" i="25"/>
  <c r="AG52" i="25"/>
  <c r="AF52" i="25"/>
  <c r="AE52" i="25"/>
  <c r="X73" i="25"/>
  <c r="W73" i="25"/>
  <c r="V73" i="25"/>
  <c r="AD3" i="25"/>
  <c r="AC3" i="25"/>
  <c r="AB3" i="25"/>
  <c r="AG58" i="25"/>
  <c r="AF58" i="25"/>
  <c r="AE58" i="25"/>
  <c r="X93" i="25"/>
  <c r="W93" i="25"/>
  <c r="V93" i="25"/>
  <c r="Y29" i="25"/>
  <c r="AA29" i="25"/>
  <c r="Z29" i="25"/>
  <c r="AA81" i="25"/>
  <c r="Z81" i="25"/>
  <c r="Y81" i="25"/>
  <c r="AB26" i="25"/>
  <c r="AD26" i="25"/>
  <c r="AC26" i="25"/>
  <c r="R97" i="25"/>
  <c r="X97" i="25"/>
  <c r="W97" i="25"/>
  <c r="V97" i="25"/>
  <c r="AB2" i="25"/>
  <c r="AD2" i="25"/>
  <c r="AC2" i="25"/>
  <c r="AG15" i="25"/>
  <c r="AF15" i="25"/>
  <c r="AE15" i="25"/>
  <c r="AG22" i="25"/>
  <c r="AF22" i="25"/>
  <c r="AE22" i="25"/>
  <c r="AA40" i="25"/>
  <c r="Z40" i="25"/>
  <c r="Y40" i="25"/>
  <c r="AG28" i="25"/>
  <c r="AE28" i="25"/>
  <c r="AF28" i="25"/>
  <c r="AA12" i="25"/>
  <c r="Z12" i="25"/>
  <c r="Y12" i="25"/>
  <c r="AE31" i="25"/>
  <c r="AG31" i="25"/>
  <c r="AF31" i="25"/>
  <c r="X27" i="25"/>
  <c r="W27" i="25"/>
  <c r="V27" i="25"/>
  <c r="AB7" i="25"/>
  <c r="AC7" i="25"/>
  <c r="AD7" i="25"/>
  <c r="X66" i="25"/>
  <c r="W66" i="25"/>
  <c r="V66" i="25"/>
  <c r="AC47" i="25"/>
  <c r="AB47" i="25"/>
  <c r="AD47" i="25"/>
  <c r="AG46" i="25"/>
  <c r="AF46" i="25"/>
  <c r="AE46" i="25"/>
  <c r="Y58" i="25"/>
  <c r="AA58" i="25"/>
  <c r="Z58" i="25"/>
  <c r="AD90" i="25"/>
  <c r="AC90" i="25"/>
  <c r="AB90" i="25"/>
  <c r="AE86" i="25"/>
  <c r="AG86" i="25"/>
  <c r="AF86" i="25"/>
  <c r="Y83" i="25"/>
  <c r="AA83" i="25"/>
  <c r="Z83" i="25"/>
  <c r="AD83" i="25"/>
  <c r="AC83" i="25"/>
  <c r="AB83" i="25"/>
  <c r="AD87" i="25"/>
  <c r="AC87" i="25"/>
  <c r="AB87" i="25"/>
  <c r="AG87" i="25"/>
  <c r="AF87" i="25"/>
  <c r="AE87" i="25"/>
  <c r="AG99" i="25"/>
  <c r="AF99" i="25"/>
  <c r="AE99" i="25"/>
  <c r="Y72" i="25"/>
  <c r="AA72" i="25"/>
  <c r="Z72" i="25"/>
  <c r="AA88" i="25"/>
  <c r="Z88" i="25"/>
  <c r="Y88" i="25"/>
  <c r="AA45" i="25"/>
  <c r="Y45" i="25"/>
  <c r="Z45" i="25"/>
  <c r="X77" i="25"/>
  <c r="V77" i="25"/>
  <c r="W77" i="25"/>
  <c r="R66" i="25"/>
  <c r="AG66" i="25"/>
  <c r="AF66" i="25"/>
  <c r="AE66" i="25"/>
  <c r="R54" i="25"/>
  <c r="X54" i="25"/>
  <c r="V54" i="25"/>
  <c r="W54" i="25"/>
  <c r="AA39" i="25"/>
  <c r="Z39" i="25"/>
  <c r="Y39" i="25"/>
  <c r="AG51" i="25"/>
  <c r="AE51" i="25"/>
  <c r="AF51" i="25"/>
  <c r="W4" i="25"/>
  <c r="V4" i="25"/>
  <c r="X4" i="25"/>
  <c r="W18" i="25"/>
  <c r="V18" i="25"/>
  <c r="X18" i="25"/>
  <c r="Z66" i="25"/>
  <c r="Y66" i="25"/>
  <c r="AA66" i="25"/>
  <c r="AG2" i="25"/>
  <c r="AF2" i="25"/>
  <c r="AE2" i="25"/>
  <c r="AF19" i="25"/>
  <c r="AE19" i="25"/>
  <c r="AG19" i="25"/>
  <c r="AB11" i="25"/>
  <c r="AC11" i="25"/>
  <c r="AD11" i="25"/>
  <c r="AB22" i="25"/>
  <c r="AD22" i="25"/>
  <c r="AC22" i="25"/>
  <c r="AE32" i="25"/>
  <c r="AG32" i="25"/>
  <c r="AF32" i="25"/>
  <c r="V28" i="25"/>
  <c r="W28" i="25"/>
  <c r="X28" i="25"/>
  <c r="X32" i="25"/>
  <c r="W32" i="25"/>
  <c r="V32" i="25"/>
  <c r="AG7" i="25"/>
  <c r="AF7" i="25"/>
  <c r="AE7" i="25"/>
  <c r="X24" i="25"/>
  <c r="V24" i="25"/>
  <c r="W24" i="25"/>
  <c r="Z93" i="25"/>
  <c r="Y93" i="25"/>
  <c r="AA93" i="25"/>
  <c r="Z51" i="25"/>
  <c r="Y51" i="25"/>
  <c r="AA51" i="25"/>
  <c r="AD85" i="25"/>
  <c r="AB85" i="25"/>
  <c r="AC85" i="25"/>
  <c r="AC58" i="25"/>
  <c r="AB58" i="25"/>
  <c r="AD58" i="25"/>
  <c r="AD94" i="25"/>
  <c r="AC94" i="25"/>
  <c r="AB94" i="25"/>
  <c r="AE90" i="25"/>
  <c r="AG90" i="25"/>
  <c r="AF90" i="25"/>
  <c r="X87" i="25"/>
  <c r="W87" i="25"/>
  <c r="V87" i="25"/>
  <c r="Y87" i="25"/>
  <c r="Z87" i="25"/>
  <c r="AA87" i="25"/>
  <c r="AD91" i="25"/>
  <c r="AC91" i="25"/>
  <c r="AB91" i="25"/>
  <c r="AG91" i="25"/>
  <c r="AF91" i="25"/>
  <c r="AE91" i="25"/>
  <c r="Z42" i="25"/>
  <c r="Y42" i="25"/>
  <c r="AA42" i="25"/>
  <c r="AA49" i="25"/>
  <c r="Z49" i="25"/>
  <c r="Y49" i="25"/>
  <c r="AA92" i="25"/>
  <c r="Z92" i="25"/>
  <c r="Y92" i="25"/>
  <c r="AG56" i="25"/>
  <c r="AF56" i="25"/>
  <c r="AE56" i="25"/>
  <c r="AG84" i="25"/>
  <c r="AF84" i="25"/>
  <c r="AE84" i="25"/>
  <c r="X21" i="25"/>
  <c r="W21" i="25"/>
  <c r="V21" i="25"/>
  <c r="AB46" i="25"/>
  <c r="AD46" i="25"/>
  <c r="AC46" i="25"/>
  <c r="AB17" i="25"/>
  <c r="AD17" i="25"/>
  <c r="AC17" i="25"/>
  <c r="AA85" i="25"/>
  <c r="Z85" i="25"/>
  <c r="Y85" i="25"/>
  <c r="X25" i="25"/>
  <c r="W25" i="25"/>
  <c r="V25" i="25"/>
  <c r="AD89" i="25"/>
  <c r="AC89" i="25"/>
  <c r="AB89" i="25"/>
  <c r="V42" i="25"/>
  <c r="X42" i="25"/>
  <c r="W42" i="25"/>
  <c r="AD23" i="25"/>
  <c r="AC23" i="25"/>
  <c r="AB23" i="25"/>
  <c r="AE27" i="25"/>
  <c r="AF27" i="25"/>
  <c r="AG27" i="25"/>
  <c r="AA11" i="25"/>
  <c r="Z11" i="25"/>
  <c r="Y11" i="25"/>
  <c r="AG36" i="25"/>
  <c r="AF36" i="25"/>
  <c r="AE36" i="25"/>
  <c r="AA8" i="25"/>
  <c r="Y8" i="25"/>
  <c r="Z8" i="25"/>
  <c r="AA28" i="25"/>
  <c r="Z28" i="25"/>
  <c r="Y28" i="25"/>
  <c r="AD16" i="25"/>
  <c r="AC16" i="25"/>
  <c r="AB16" i="25"/>
  <c r="X17" i="25"/>
  <c r="V17" i="25"/>
  <c r="W17" i="25"/>
  <c r="W70" i="25"/>
  <c r="V70" i="25"/>
  <c r="X70" i="25"/>
  <c r="W55" i="25"/>
  <c r="V55" i="25"/>
  <c r="X55" i="25"/>
  <c r="R78" i="25"/>
  <c r="V78" i="25"/>
  <c r="W78" i="25"/>
  <c r="X78" i="25"/>
  <c r="AG47" i="25"/>
  <c r="AE47" i="25"/>
  <c r="AF47" i="25"/>
  <c r="AA98" i="25"/>
  <c r="Z98" i="25"/>
  <c r="Y98" i="25"/>
  <c r="AF94" i="25"/>
  <c r="AE94" i="25"/>
  <c r="AG94" i="25"/>
  <c r="R91" i="25"/>
  <c r="X91" i="25"/>
  <c r="W91" i="25"/>
  <c r="V91" i="25"/>
  <c r="AA91" i="25"/>
  <c r="Z91" i="25"/>
  <c r="Y91" i="25"/>
  <c r="AD95" i="25"/>
  <c r="AB95" i="25"/>
  <c r="AC95" i="25"/>
  <c r="AG95" i="25"/>
  <c r="AF95" i="25"/>
  <c r="AE95" i="25"/>
  <c r="AA77" i="25"/>
  <c r="Z77" i="25"/>
  <c r="Y77" i="25"/>
  <c r="X57" i="25"/>
  <c r="V57" i="25"/>
  <c r="W57" i="25"/>
  <c r="AA96" i="25"/>
  <c r="Z96" i="25"/>
  <c r="Y96" i="25"/>
  <c r="AD68" i="25"/>
  <c r="AC68" i="25"/>
  <c r="AB68" i="25"/>
  <c r="AC88" i="25"/>
  <c r="AB88" i="25"/>
  <c r="AD88" i="25"/>
  <c r="AD21" i="25"/>
  <c r="AB21" i="25"/>
  <c r="AC21" i="25"/>
  <c r="R85" i="25"/>
  <c r="X85" i="25"/>
  <c r="W85" i="25"/>
  <c r="V85" i="25"/>
  <c r="AG70" i="25"/>
  <c r="AF70" i="25"/>
  <c r="AE70" i="25"/>
  <c r="AD80" i="25"/>
  <c r="AC80" i="25"/>
  <c r="AB80" i="25"/>
  <c r="W3" i="25"/>
  <c r="X3" i="25"/>
  <c r="V3" i="25"/>
  <c r="V5" i="25"/>
  <c r="X5" i="25"/>
  <c r="W5" i="25"/>
  <c r="AD27" i="25"/>
  <c r="AC27" i="25"/>
  <c r="AB27" i="25"/>
  <c r="X40" i="25"/>
  <c r="W40" i="25"/>
  <c r="V40" i="25"/>
  <c r="X23" i="25"/>
  <c r="W23" i="25"/>
  <c r="V23" i="25"/>
  <c r="Z9" i="25"/>
  <c r="Y9" i="25"/>
  <c r="AA9" i="25"/>
  <c r="AA24" i="25"/>
  <c r="Z24" i="25"/>
  <c r="Y24" i="25"/>
  <c r="AF8" i="25"/>
  <c r="AE8" i="25"/>
  <c r="AG8" i="25"/>
  <c r="X13" i="25"/>
  <c r="W13" i="25"/>
  <c r="V13" i="25"/>
  <c r="AC13" i="25"/>
  <c r="AB13" i="25"/>
  <c r="AD13" i="25"/>
  <c r="Z43" i="25"/>
  <c r="Y43" i="25"/>
  <c r="AA43" i="25"/>
  <c r="R59" i="25"/>
  <c r="V59" i="25"/>
  <c r="X59" i="25"/>
  <c r="W59" i="25"/>
  <c r="Y55" i="25"/>
  <c r="Z55" i="25"/>
  <c r="AA55" i="25"/>
  <c r="AA59" i="25"/>
  <c r="Y59" i="25"/>
  <c r="Z59" i="25"/>
  <c r="AA73" i="25"/>
  <c r="Z73" i="25"/>
  <c r="Y73" i="25"/>
  <c r="AD98" i="25"/>
  <c r="AC98" i="25"/>
  <c r="AB98" i="25"/>
  <c r="X95" i="25"/>
  <c r="W95" i="25"/>
  <c r="V95" i="25"/>
  <c r="AA95" i="25"/>
  <c r="Z95" i="25"/>
  <c r="Y95" i="25"/>
  <c r="Z99" i="25"/>
  <c r="Y99" i="25"/>
  <c r="AA99" i="25"/>
  <c r="AD99" i="25"/>
  <c r="AC99" i="25"/>
  <c r="AB99" i="25"/>
  <c r="AD42" i="25"/>
  <c r="AC42" i="25"/>
  <c r="AB42" i="25"/>
  <c r="AD76" i="25"/>
  <c r="AC76" i="25"/>
  <c r="AB76" i="25"/>
  <c r="AG61" i="25"/>
  <c r="AE61" i="25"/>
  <c r="AF61" i="25"/>
  <c r="AA53" i="25"/>
  <c r="Z53" i="25"/>
  <c r="Y53" i="25"/>
  <c r="AB92" i="25"/>
  <c r="AD92" i="25"/>
  <c r="AC92" i="25"/>
  <c r="AA3" i="25"/>
  <c r="Z3" i="25"/>
  <c r="Y3" i="25"/>
  <c r="AD31" i="25"/>
  <c r="AC31" i="25"/>
  <c r="AB31" i="25"/>
  <c r="Z38" i="25"/>
  <c r="Y38" i="25"/>
  <c r="AA38" i="25"/>
  <c r="AF23" i="25"/>
  <c r="AE23" i="25"/>
  <c r="AG23" i="25"/>
  <c r="R13" i="25"/>
  <c r="Y13" i="25"/>
  <c r="AA13" i="25"/>
  <c r="Z13" i="25"/>
  <c r="AA36" i="25"/>
  <c r="Z36" i="25"/>
  <c r="Y36" i="25"/>
  <c r="AE24" i="25"/>
  <c r="AF24" i="25"/>
  <c r="AG24" i="25"/>
  <c r="AD9" i="25"/>
  <c r="AC9" i="25"/>
  <c r="AB9" i="25"/>
  <c r="Z33" i="25"/>
  <c r="Y33" i="25"/>
  <c r="AA33" i="25"/>
  <c r="AG54" i="25"/>
  <c r="AF54" i="25"/>
  <c r="AE54" i="25"/>
  <c r="V63" i="25"/>
  <c r="X63" i="25"/>
  <c r="W63" i="25"/>
  <c r="AA63" i="25"/>
  <c r="Z63" i="25"/>
  <c r="Y63" i="25"/>
  <c r="X44" i="25"/>
  <c r="W44" i="25"/>
  <c r="V44" i="25"/>
  <c r="X58" i="25"/>
  <c r="W58" i="25"/>
  <c r="V58" i="25"/>
  <c r="AE57" i="25"/>
  <c r="AG57" i="25"/>
  <c r="AF57" i="25"/>
  <c r="AG98" i="25"/>
  <c r="AF98" i="25"/>
  <c r="AE98" i="25"/>
  <c r="R99" i="25"/>
  <c r="W99" i="25"/>
  <c r="V99" i="25"/>
  <c r="X99" i="25"/>
  <c r="Y46" i="25"/>
  <c r="AA46" i="25"/>
  <c r="Z46" i="25"/>
  <c r="AE96" i="25"/>
  <c r="AG96" i="25"/>
  <c r="AF96" i="25"/>
  <c r="AG69" i="25"/>
  <c r="AF69" i="25"/>
  <c r="AE69" i="25"/>
  <c r="AA84" i="25"/>
  <c r="Z84" i="25"/>
  <c r="Y84" i="25"/>
  <c r="X81" i="25"/>
  <c r="W81" i="25"/>
  <c r="V81" i="25"/>
  <c r="V61" i="25"/>
  <c r="W61" i="25"/>
  <c r="X61" i="25"/>
  <c r="AD96" i="25"/>
  <c r="AB96" i="25"/>
  <c r="AC96" i="25"/>
  <c r="R94" i="25"/>
  <c r="R95" i="25"/>
  <c r="R46" i="25"/>
  <c r="R63" i="25"/>
  <c r="R51" i="25"/>
  <c r="R50" i="25"/>
  <c r="R86" i="25"/>
  <c r="R60" i="25"/>
  <c r="R56" i="25"/>
  <c r="R53" i="25"/>
  <c r="R65" i="25"/>
  <c r="R69" i="25"/>
  <c r="R75" i="25"/>
  <c r="R71" i="25"/>
  <c r="R72" i="25"/>
  <c r="R44" i="25"/>
  <c r="R93" i="25"/>
  <c r="R76" i="25"/>
  <c r="R88" i="25"/>
  <c r="R32" i="25"/>
  <c r="R82" i="25"/>
  <c r="R80" i="25"/>
  <c r="R49" i="25"/>
  <c r="R79" i="25"/>
  <c r="R96" i="25"/>
  <c r="R73" i="25"/>
  <c r="R47" i="25"/>
  <c r="R90" i="25"/>
  <c r="R58" i="25"/>
  <c r="R87" i="25"/>
  <c r="R92" i="25"/>
  <c r="R70" i="25"/>
  <c r="R57" i="25"/>
  <c r="R55" i="25"/>
  <c r="R42" i="25"/>
  <c r="R61" i="25"/>
  <c r="R98" i="25"/>
  <c r="R81" i="25"/>
  <c r="R37" i="25"/>
  <c r="R9" i="25"/>
  <c r="R19" i="25"/>
  <c r="R27" i="25"/>
  <c r="R14" i="25"/>
  <c r="R30" i="25"/>
  <c r="R39" i="25"/>
  <c r="R36" i="25"/>
  <c r="R12" i="25"/>
  <c r="R15" i="25"/>
  <c r="R24" i="25"/>
  <c r="R11" i="25"/>
  <c r="R28" i="25"/>
  <c r="R16" i="25"/>
  <c r="R17" i="25"/>
  <c r="R40" i="25"/>
  <c r="R23" i="25"/>
  <c r="R31" i="25"/>
  <c r="R21" i="25"/>
  <c r="R29" i="25"/>
  <c r="R25" i="25"/>
  <c r="R18" i="25"/>
  <c r="R22" i="25"/>
  <c r="R26" i="25"/>
  <c r="R35" i="25"/>
  <c r="R8" i="25"/>
  <c r="R41" i="25"/>
  <c r="R34" i="25"/>
  <c r="R20" i="25"/>
  <c r="R33" i="25"/>
  <c r="R38" i="25"/>
  <c r="R7" i="25"/>
  <c r="R2" i="25"/>
  <c r="R4" i="25"/>
  <c r="R3" i="25"/>
  <c r="R5" i="25"/>
  <c r="T70" i="8"/>
  <c r="I75" i="8"/>
  <c r="F75" i="8"/>
  <c r="Z70" i="8"/>
  <c r="O75" i="8"/>
  <c r="P100" i="8"/>
  <c r="S100" i="8" s="1"/>
  <c r="P74" i="8"/>
  <c r="S70" i="8"/>
  <c r="H75" i="8"/>
  <c r="Y70" i="8"/>
  <c r="N75" i="8"/>
  <c r="V70" i="8"/>
  <c r="K75" i="8"/>
  <c r="W70" i="8"/>
  <c r="L75" i="8"/>
  <c r="X70" i="8"/>
  <c r="M75" i="8"/>
  <c r="U70" i="8"/>
  <c r="J75" i="8"/>
  <c r="G65" i="8"/>
  <c r="G66" i="8" s="1"/>
  <c r="L12" i="20" s="1"/>
  <c r="L51" i="20" s="1"/>
  <c r="G76" i="8"/>
  <c r="S88" i="8"/>
  <c r="M16" i="18"/>
  <c r="K19" i="18" s="1"/>
  <c r="V37" i="20"/>
  <c r="V31" i="20"/>
  <c r="J52" i="20"/>
  <c r="J27" i="20"/>
  <c r="K26" i="20"/>
  <c r="K28" i="20" s="1"/>
  <c r="H49" i="20"/>
  <c r="I49" i="20" s="1"/>
  <c r="K47" i="20"/>
  <c r="L47" i="20" s="1"/>
  <c r="M44" i="20"/>
  <c r="J49" i="20" s="1"/>
  <c r="O44" i="20"/>
  <c r="J10" i="20"/>
  <c r="M11" i="20"/>
  <c r="M50" i="20" s="1"/>
  <c r="N44" i="20"/>
  <c r="N50" i="20"/>
  <c r="I32" i="18"/>
  <c r="I37" i="18" s="1"/>
  <c r="O50" i="20"/>
  <c r="G32" i="18"/>
  <c r="G37" i="18" s="1"/>
  <c r="Q5" i="20"/>
  <c r="Q11" i="20" s="1"/>
  <c r="Q50" i="20" s="1"/>
  <c r="K29" i="18"/>
  <c r="K32" i="18" s="1"/>
  <c r="K36" i="18" s="1"/>
  <c r="R17" i="20"/>
  <c r="R43" i="20" s="1"/>
  <c r="L30" i="18"/>
  <c r="R5" i="20"/>
  <c r="R11" i="20" s="1"/>
  <c r="L29" i="18"/>
  <c r="H32" i="18"/>
  <c r="X36" i="15"/>
  <c r="Y36" i="15" s="1"/>
  <c r="Z36" i="15" s="1"/>
  <c r="P18" i="15"/>
  <c r="F35" i="2"/>
  <c r="F38" i="2" s="1"/>
  <c r="G38" i="2" s="1"/>
  <c r="Y35" i="15"/>
  <c r="Z35" i="15" s="1"/>
  <c r="R24" i="20"/>
  <c r="R18" i="20"/>
  <c r="L17" i="18"/>
  <c r="F35" i="15"/>
  <c r="G35" i="15" s="1"/>
  <c r="H35" i="15" s="1"/>
  <c r="W8" i="17"/>
  <c r="O35" i="15"/>
  <c r="O38" i="15" s="1"/>
  <c r="P38" i="15" s="1"/>
  <c r="X38" i="2"/>
  <c r="Y38" i="2" s="1"/>
  <c r="P17" i="20"/>
  <c r="P43" i="20" s="1"/>
  <c r="P18" i="20"/>
  <c r="P24" i="20"/>
  <c r="G16" i="15"/>
  <c r="H16" i="15" s="1"/>
  <c r="G17" i="15"/>
  <c r="F18" i="15"/>
  <c r="G18" i="15" s="1"/>
  <c r="D32" i="7"/>
  <c r="L35" i="20"/>
  <c r="M34" i="20"/>
  <c r="X16" i="2"/>
  <c r="X36" i="2" s="1"/>
  <c r="Y36" i="2" s="1"/>
  <c r="Z36" i="2" s="1"/>
  <c r="W5" i="17"/>
  <c r="BG25" i="23" s="1"/>
  <c r="F39" i="3"/>
  <c r="F32" i="3"/>
  <c r="H32" i="3" s="1"/>
  <c r="L10" i="7"/>
  <c r="M10" i="7" s="1"/>
  <c r="K20" i="7"/>
  <c r="L20" i="7" s="1"/>
  <c r="M20" i="7" s="1"/>
  <c r="G39" i="7"/>
  <c r="H39" i="7"/>
  <c r="I39" i="7" s="1"/>
  <c r="L8" i="20"/>
  <c r="K9" i="20"/>
  <c r="K10" i="20"/>
  <c r="F18" i="2"/>
  <c r="G18" i="2" s="1"/>
  <c r="G16" i="2"/>
  <c r="H16" i="2" s="1"/>
  <c r="F17" i="2"/>
  <c r="G17" i="2" s="1"/>
  <c r="L16" i="18"/>
  <c r="M23" i="18"/>
  <c r="O23" i="18"/>
  <c r="N23" i="18"/>
  <c r="J23" i="18"/>
  <c r="J29" i="18" s="1"/>
  <c r="J32" i="18" s="1"/>
  <c r="J36" i="18" s="1"/>
  <c r="P35" i="2"/>
  <c r="Q35" i="2" s="1"/>
  <c r="O38" i="2"/>
  <c r="P38" i="2" s="1"/>
  <c r="K22" i="20"/>
  <c r="L21" i="20"/>
  <c r="K23" i="20"/>
  <c r="O18" i="2"/>
  <c r="P18" i="2" s="1"/>
  <c r="O17" i="2"/>
  <c r="P17" i="2" s="1"/>
  <c r="P16" i="2"/>
  <c r="Q16" i="2" s="1"/>
  <c r="O36" i="2"/>
  <c r="M39" i="20"/>
  <c r="L41" i="20"/>
  <c r="L40" i="20"/>
  <c r="Y19" i="26" l="1"/>
  <c r="Z8" i="26"/>
  <c r="T5" i="26"/>
  <c r="AA8" i="26"/>
  <c r="AB6" i="26"/>
  <c r="X12" i="26"/>
  <c r="AC6" i="26"/>
  <c r="T11" i="26"/>
  <c r="U11" i="26"/>
  <c r="V12" i="26"/>
  <c r="U4" i="26"/>
  <c r="U3" i="26"/>
  <c r="Z6" i="26"/>
  <c r="Z3" i="26"/>
  <c r="S4" i="26"/>
  <c r="AA21" i="26"/>
  <c r="Y6" i="26"/>
  <c r="AC14" i="26"/>
  <c r="T21" i="26"/>
  <c r="Y3" i="26"/>
  <c r="AD14" i="26"/>
  <c r="S16" i="26"/>
  <c r="AA3" i="26"/>
  <c r="T8" i="26"/>
  <c r="W6" i="26"/>
  <c r="AB20" i="26"/>
  <c r="Z21" i="26"/>
  <c r="S10" i="26"/>
  <c r="S11" i="26"/>
  <c r="T16" i="26"/>
  <c r="S8" i="26"/>
  <c r="AC20" i="26"/>
  <c r="T10" i="26"/>
  <c r="AC17" i="26"/>
  <c r="U16" i="26"/>
  <c r="U10" i="26"/>
  <c r="W17" i="26"/>
  <c r="X17" i="26"/>
  <c r="W12" i="26"/>
  <c r="X6" i="26"/>
  <c r="V17" i="26"/>
  <c r="U8" i="26"/>
  <c r="U21" i="26"/>
  <c r="V6" i="26"/>
  <c r="U19" i="26"/>
  <c r="S19" i="26"/>
  <c r="AA6" i="26"/>
  <c r="T4" i="26"/>
  <c r="AB17" i="26"/>
  <c r="S9" i="26"/>
  <c r="U9" i="26"/>
  <c r="V8" i="26"/>
  <c r="Z5" i="26"/>
  <c r="Y10" i="26"/>
  <c r="U18" i="26"/>
  <c r="Y14" i="26"/>
  <c r="AC12" i="26"/>
  <c r="U7" i="26"/>
  <c r="T3" i="26"/>
  <c r="Z12" i="26"/>
  <c r="X11" i="26"/>
  <c r="T15" i="26"/>
  <c r="Z19" i="26"/>
  <c r="Y8" i="26"/>
  <c r="T22" i="26"/>
  <c r="AD15" i="26"/>
  <c r="Z10" i="26"/>
  <c r="AB14" i="26"/>
  <c r="W16" i="26"/>
  <c r="AD6" i="26"/>
  <c r="W13" i="26"/>
  <c r="AA14" i="26"/>
  <c r="S15" i="26"/>
  <c r="AC5" i="26"/>
  <c r="AC21" i="26"/>
  <c r="AC22" i="26"/>
  <c r="V10" i="26"/>
  <c r="W3" i="26"/>
  <c r="AD12" i="26"/>
  <c r="S7" i="26"/>
  <c r="W14" i="26"/>
  <c r="S6" i="26"/>
  <c r="Z18" i="26"/>
  <c r="U22" i="26"/>
  <c r="AC13" i="26"/>
  <c r="AD16" i="26"/>
  <c r="Y18" i="26"/>
  <c r="AD3" i="26"/>
  <c r="AA19" i="26"/>
  <c r="AC10" i="26"/>
  <c r="U15" i="26"/>
  <c r="AD21" i="26"/>
  <c r="W10" i="26"/>
  <c r="X3" i="26"/>
  <c r="T7" i="26"/>
  <c r="X14" i="26"/>
  <c r="T6" i="26"/>
  <c r="AA18" i="26"/>
  <c r="AD13" i="26"/>
  <c r="Y16" i="26"/>
  <c r="AB21" i="26"/>
  <c r="V3" i="26"/>
  <c r="W5" i="26"/>
  <c r="Z17" i="26"/>
  <c r="AD10" i="26"/>
  <c r="AD5" i="26"/>
  <c r="X10" i="26"/>
  <c r="Y13" i="26"/>
  <c r="U6" i="26"/>
  <c r="AA16" i="26"/>
  <c r="AB13" i="26"/>
  <c r="V5" i="26"/>
  <c r="AB5" i="26"/>
  <c r="X5" i="26"/>
  <c r="T19" i="26"/>
  <c r="AA17" i="26"/>
  <c r="AB10" i="26"/>
  <c r="Z13" i="26"/>
  <c r="V4" i="26"/>
  <c r="Z16" i="26"/>
  <c r="AB22" i="26"/>
  <c r="V14" i="26"/>
  <c r="AC16" i="26"/>
  <c r="S5" i="26"/>
  <c r="AB15" i="26"/>
  <c r="Y17" i="26"/>
  <c r="X19" i="26"/>
  <c r="AA9" i="26"/>
  <c r="AA13" i="26"/>
  <c r="AA10" i="26"/>
  <c r="W4" i="26"/>
  <c r="S14" i="26"/>
  <c r="AC15" i="26"/>
  <c r="S3" i="26"/>
  <c r="V19" i="26"/>
  <c r="Z9" i="26"/>
  <c r="X8" i="26"/>
  <c r="S18" i="26"/>
  <c r="AB18" i="26"/>
  <c r="X4" i="26"/>
  <c r="S20" i="26"/>
  <c r="T14" i="26"/>
  <c r="S17" i="26"/>
  <c r="W19" i="26"/>
  <c r="Y9" i="26"/>
  <c r="W8" i="26"/>
  <c r="T18" i="26"/>
  <c r="S13" i="26"/>
  <c r="AC18" i="26"/>
  <c r="AB19" i="26"/>
  <c r="T20" i="26"/>
  <c r="Y4" i="26"/>
  <c r="U14" i="26"/>
  <c r="T17" i="26"/>
  <c r="AA12" i="26"/>
  <c r="T13" i="26"/>
  <c r="AD18" i="26"/>
  <c r="U12" i="26"/>
  <c r="AC19" i="26"/>
  <c r="U20" i="26"/>
  <c r="Z4" i="26"/>
  <c r="U17" i="26"/>
  <c r="S21" i="26"/>
  <c r="AB9" i="26"/>
  <c r="W21" i="26"/>
  <c r="Y12" i="26"/>
  <c r="U13" i="26"/>
  <c r="AA5" i="26"/>
  <c r="S12" i="26"/>
  <c r="AD19" i="26"/>
  <c r="Y22" i="26"/>
  <c r="AA4" i="26"/>
  <c r="V20" i="26"/>
  <c r="AC9" i="26"/>
  <c r="X21" i="26"/>
  <c r="Y5" i="26"/>
  <c r="AB7" i="26"/>
  <c r="T12" i="26"/>
  <c r="Z22" i="26"/>
  <c r="AB8" i="26"/>
  <c r="W20" i="26"/>
  <c r="Y21" i="26"/>
  <c r="AD9" i="26"/>
  <c r="V21" i="26"/>
  <c r="V9" i="26"/>
  <c r="V16" i="26"/>
  <c r="V11" i="26"/>
  <c r="AD7" i="26"/>
  <c r="AA22" i="26"/>
  <c r="AC8" i="26"/>
  <c r="X20" i="26"/>
  <c r="AB4" i="26"/>
  <c r="Y11" i="26"/>
  <c r="W9" i="26"/>
  <c r="AC7" i="26"/>
  <c r="Y20" i="26"/>
  <c r="Z15" i="26"/>
  <c r="X22" i="26"/>
  <c r="AD8" i="26"/>
  <c r="AC4" i="26"/>
  <c r="V18" i="26"/>
  <c r="Z11" i="26"/>
  <c r="X13" i="26"/>
  <c r="X9" i="26"/>
  <c r="W15" i="26"/>
  <c r="X16" i="26"/>
  <c r="T9" i="26"/>
  <c r="W11" i="26"/>
  <c r="Z20" i="26"/>
  <c r="AA7" i="26"/>
  <c r="Y15" i="26"/>
  <c r="V22" i="26"/>
  <c r="AD4" i="26"/>
  <c r="AC11" i="26"/>
  <c r="W18" i="26"/>
  <c r="AA11" i="26"/>
  <c r="V7" i="26"/>
  <c r="AD17" i="26"/>
  <c r="X15" i="26"/>
  <c r="AA20" i="26"/>
  <c r="Y7" i="26"/>
  <c r="AA15" i="26"/>
  <c r="W22" i="26"/>
  <c r="AB3" i="26"/>
  <c r="AB11" i="26"/>
  <c r="X18" i="26"/>
  <c r="W7" i="26"/>
  <c r="AD20" i="26"/>
  <c r="V13" i="26"/>
  <c r="Z14" i="26"/>
  <c r="U5" i="26"/>
  <c r="AD22" i="26"/>
  <c r="AB12" i="26"/>
  <c r="V15" i="26"/>
  <c r="Z7" i="26"/>
  <c r="S22" i="26"/>
  <c r="AB16" i="26"/>
  <c r="AC3" i="26"/>
  <c r="AD11" i="26"/>
  <c r="X7" i="26"/>
  <c r="AH99" i="25"/>
  <c r="AI99" i="25" s="1"/>
  <c r="AH95" i="25"/>
  <c r="AI95" i="25" s="1"/>
  <c r="AH40" i="25"/>
  <c r="AI40" i="25" s="1"/>
  <c r="AH11" i="25"/>
  <c r="AI11" i="25" s="1"/>
  <c r="AH18" i="25"/>
  <c r="AI18" i="25" s="1"/>
  <c r="AH4" i="25"/>
  <c r="AI4" i="25" s="1"/>
  <c r="AH62" i="25"/>
  <c r="AI62" i="25" s="1"/>
  <c r="AH65" i="25"/>
  <c r="AI65" i="25" s="1"/>
  <c r="AH46" i="25"/>
  <c r="AI46" i="25" s="1"/>
  <c r="AH35" i="25"/>
  <c r="AI35" i="25" s="1"/>
  <c r="AH47" i="25"/>
  <c r="AI47" i="25" s="1"/>
  <c r="AH23" i="25"/>
  <c r="AI23" i="25" s="1"/>
  <c r="AH34" i="25"/>
  <c r="AI34" i="25" s="1"/>
  <c r="AH97" i="25"/>
  <c r="AI97" i="25" s="1"/>
  <c r="AH45" i="25"/>
  <c r="AI45" i="25" s="1"/>
  <c r="AH90" i="25"/>
  <c r="AI90" i="25" s="1"/>
  <c r="AH53" i="25"/>
  <c r="AI53" i="25" s="1"/>
  <c r="AH28" i="25"/>
  <c r="AI28" i="25" s="1"/>
  <c r="AH79" i="25"/>
  <c r="AI79" i="25" s="1"/>
  <c r="AH96" i="25"/>
  <c r="AI96" i="25" s="1"/>
  <c r="AH69" i="25"/>
  <c r="AI69" i="25" s="1"/>
  <c r="AH19" i="25"/>
  <c r="AI19" i="25" s="1"/>
  <c r="AH29" i="25"/>
  <c r="AI29" i="25" s="1"/>
  <c r="AH16" i="25"/>
  <c r="AI16" i="25" s="1"/>
  <c r="AH26" i="25"/>
  <c r="AI26" i="25" s="1"/>
  <c r="AH66" i="25"/>
  <c r="AI66" i="25" s="1"/>
  <c r="AH83" i="25"/>
  <c r="AI83" i="25" s="1"/>
  <c r="AH43" i="25"/>
  <c r="AI43" i="25" s="1"/>
  <c r="AH55" i="25"/>
  <c r="AI55" i="25" s="1"/>
  <c r="AH91" i="25"/>
  <c r="AI91" i="25" s="1"/>
  <c r="AH32" i="25"/>
  <c r="AI32" i="25" s="1"/>
  <c r="AH81" i="25"/>
  <c r="AI81" i="25" s="1"/>
  <c r="AH41" i="25"/>
  <c r="AI41" i="25" s="1"/>
  <c r="AH64" i="25"/>
  <c r="AI64" i="25" s="1"/>
  <c r="AH52" i="25"/>
  <c r="AI52" i="25" s="1"/>
  <c r="AH70" i="25"/>
  <c r="AI70" i="25" s="1"/>
  <c r="AH57" i="25"/>
  <c r="AI57" i="25" s="1"/>
  <c r="AH13" i="25"/>
  <c r="AI13" i="25" s="1"/>
  <c r="AH42" i="25"/>
  <c r="AI42" i="25" s="1"/>
  <c r="AH84" i="25"/>
  <c r="AI84" i="25" s="1"/>
  <c r="AH48" i="25"/>
  <c r="AI48" i="25" s="1"/>
  <c r="AH71" i="25"/>
  <c r="AI71" i="25" s="1"/>
  <c r="AH36" i="25"/>
  <c r="AI36" i="25" s="1"/>
  <c r="AH30" i="25"/>
  <c r="AI30" i="25" s="1"/>
  <c r="AH56" i="25"/>
  <c r="AI56" i="25" s="1"/>
  <c r="AH39" i="25"/>
  <c r="AI39" i="25" s="1"/>
  <c r="AH73" i="25"/>
  <c r="AI73" i="25" s="1"/>
  <c r="AH21" i="25"/>
  <c r="AI21" i="25" s="1"/>
  <c r="AH7" i="25"/>
  <c r="AI7" i="25" s="1"/>
  <c r="AH92" i="25"/>
  <c r="AI92" i="25" s="1"/>
  <c r="AH75" i="25"/>
  <c r="AI75" i="25" s="1"/>
  <c r="AH24" i="25"/>
  <c r="AI24" i="25" s="1"/>
  <c r="AH82" i="25"/>
  <c r="AI82" i="25" s="1"/>
  <c r="AH20" i="25"/>
  <c r="AI20" i="25" s="1"/>
  <c r="AH27" i="25"/>
  <c r="AI27" i="25" s="1"/>
  <c r="AH89" i="25"/>
  <c r="AI89" i="25" s="1"/>
  <c r="AH67" i="25"/>
  <c r="AI67" i="25" s="1"/>
  <c r="AH58" i="25"/>
  <c r="AI58" i="25" s="1"/>
  <c r="AH77" i="25"/>
  <c r="AI77" i="25" s="1"/>
  <c r="AH86" i="25"/>
  <c r="AI86" i="25" s="1"/>
  <c r="AH87" i="25"/>
  <c r="AI87" i="25" s="1"/>
  <c r="AH12" i="25"/>
  <c r="AI12" i="25" s="1"/>
  <c r="AH88" i="25"/>
  <c r="AI88" i="25" s="1"/>
  <c r="AH72" i="25"/>
  <c r="AI72" i="25" s="1"/>
  <c r="AH85" i="25"/>
  <c r="AI85" i="25" s="1"/>
  <c r="AH80" i="25"/>
  <c r="AI80" i="25" s="1"/>
  <c r="AH22" i="25"/>
  <c r="AI22" i="25" s="1"/>
  <c r="AH94" i="25"/>
  <c r="AI94" i="25" s="1"/>
  <c r="AH74" i="25"/>
  <c r="AI74" i="25" s="1"/>
  <c r="AH17" i="25"/>
  <c r="AI17" i="25" s="1"/>
  <c r="AH44" i="25"/>
  <c r="AI44" i="25" s="1"/>
  <c r="AH5" i="25"/>
  <c r="AI5" i="25" s="1"/>
  <c r="AH50" i="25"/>
  <c r="AI50" i="25" s="1"/>
  <c r="AH33" i="25"/>
  <c r="AI33" i="25" s="1"/>
  <c r="AH25" i="25"/>
  <c r="AI25" i="25" s="1"/>
  <c r="AH8" i="25"/>
  <c r="AI8" i="25" s="1"/>
  <c r="AH38" i="25"/>
  <c r="AI38" i="25" s="1"/>
  <c r="AH59" i="25"/>
  <c r="AI59" i="25" s="1"/>
  <c r="AH3" i="25"/>
  <c r="AI3" i="25" s="1"/>
  <c r="AH93" i="25"/>
  <c r="AI93" i="25" s="1"/>
  <c r="AH54" i="25"/>
  <c r="AI54" i="25" s="1"/>
  <c r="AH68" i="25"/>
  <c r="AI68" i="25" s="1"/>
  <c r="AH37" i="25"/>
  <c r="AI37" i="25" s="1"/>
  <c r="AH49" i="25"/>
  <c r="AI49" i="25" s="1"/>
  <c r="AH51" i="25"/>
  <c r="AI51" i="25" s="1"/>
  <c r="AH31" i="25"/>
  <c r="AI31" i="25" s="1"/>
  <c r="AH2" i="25"/>
  <c r="AI2" i="25" s="1"/>
  <c r="AH78" i="25"/>
  <c r="AI78" i="25" s="1"/>
  <c r="AH63" i="25"/>
  <c r="AI63" i="25" s="1"/>
  <c r="AH14" i="25"/>
  <c r="AI14" i="25" s="1"/>
  <c r="AH61" i="25"/>
  <c r="AI61" i="25" s="1"/>
  <c r="AH76" i="25"/>
  <c r="AI76" i="25" s="1"/>
  <c r="AH98" i="25"/>
  <c r="AI98" i="25" s="1"/>
  <c r="AH15" i="25"/>
  <c r="AI15" i="25" s="1"/>
  <c r="AH60" i="25"/>
  <c r="AI60" i="25" s="1"/>
  <c r="AH9" i="25"/>
  <c r="AI9" i="25" s="1"/>
  <c r="S99" i="25"/>
  <c r="T99" i="25" s="1"/>
  <c r="S41" i="25"/>
  <c r="T41" i="25" s="1"/>
  <c r="S5" i="25"/>
  <c r="T5" i="25" s="1"/>
  <c r="BG4" i="23"/>
  <c r="BG8" i="23"/>
  <c r="BG6" i="23"/>
  <c r="BG13" i="23"/>
  <c r="BG10" i="23"/>
  <c r="BG7" i="23"/>
  <c r="BG9" i="23"/>
  <c r="BG5" i="23"/>
  <c r="BG11" i="23"/>
  <c r="BG12" i="23"/>
  <c r="BG3" i="23"/>
  <c r="L65" i="8"/>
  <c r="L66" i="8" s="1"/>
  <c r="Q12" i="20" s="1"/>
  <c r="Q51" i="20" s="1"/>
  <c r="L76" i="8"/>
  <c r="K65" i="8"/>
  <c r="K76" i="8"/>
  <c r="N65" i="8"/>
  <c r="N76" i="8"/>
  <c r="H65" i="8"/>
  <c r="H76" i="8"/>
  <c r="AA70" i="8"/>
  <c r="P75" i="8"/>
  <c r="Q75" i="8" s="1"/>
  <c r="O65" i="8"/>
  <c r="O66" i="8" s="1"/>
  <c r="T12" i="20" s="1"/>
  <c r="O76" i="8"/>
  <c r="J65" i="8"/>
  <c r="J66" i="8" s="1"/>
  <c r="O12" i="20" s="1"/>
  <c r="O51" i="20" s="1"/>
  <c r="J76" i="8"/>
  <c r="Q74" i="8"/>
  <c r="F65" i="8"/>
  <c r="F76" i="8"/>
  <c r="M65" i="8"/>
  <c r="M66" i="8" s="1"/>
  <c r="R12" i="20" s="1"/>
  <c r="R51" i="20" s="1"/>
  <c r="M76" i="8"/>
  <c r="I65" i="8"/>
  <c r="I66" i="8" s="1"/>
  <c r="N12" i="20" s="1"/>
  <c r="N51" i="20" s="1"/>
  <c r="I76" i="8"/>
  <c r="E19" i="18"/>
  <c r="G19" i="18"/>
  <c r="I19" i="18"/>
  <c r="L26" i="20"/>
  <c r="L27" i="20" s="1"/>
  <c r="K27" i="20"/>
  <c r="J53" i="20"/>
  <c r="K48" i="20"/>
  <c r="K49" i="20"/>
  <c r="I36" i="18"/>
  <c r="I39" i="18"/>
  <c r="G36" i="18"/>
  <c r="Q44" i="20"/>
  <c r="L32" i="18"/>
  <c r="L36" i="18" s="1"/>
  <c r="R44" i="20"/>
  <c r="S5" i="20"/>
  <c r="S11" i="20" s="1"/>
  <c r="M29" i="18"/>
  <c r="T17" i="20"/>
  <c r="T43" i="20" s="1"/>
  <c r="N30" i="18"/>
  <c r="T5" i="20"/>
  <c r="T11" i="20" s="1"/>
  <c r="N29" i="18"/>
  <c r="S24" i="20"/>
  <c r="M30" i="18"/>
  <c r="H37" i="18"/>
  <c r="H39" i="18"/>
  <c r="H36" i="18"/>
  <c r="U5" i="20"/>
  <c r="U11" i="20" s="1"/>
  <c r="O29" i="18"/>
  <c r="U17" i="20"/>
  <c r="U43" i="20" s="1"/>
  <c r="O30" i="18"/>
  <c r="X37" i="15"/>
  <c r="Y37" i="15" s="1"/>
  <c r="T24" i="20"/>
  <c r="P35" i="15"/>
  <c r="Q35" i="15" s="1"/>
  <c r="S18" i="20"/>
  <c r="W18" i="20" s="1"/>
  <c r="O36" i="15"/>
  <c r="P36" i="15" s="1"/>
  <c r="Q36" i="15" s="1"/>
  <c r="T18" i="20"/>
  <c r="X18" i="20" s="1"/>
  <c r="R50" i="20"/>
  <c r="G35" i="2"/>
  <c r="H35" i="2" s="1"/>
  <c r="U24" i="20"/>
  <c r="F36" i="2"/>
  <c r="F37" i="2" s="1"/>
  <c r="G37" i="2" s="1"/>
  <c r="U18" i="20"/>
  <c r="Y18" i="20" s="1"/>
  <c r="F38" i="15"/>
  <c r="G38" i="15" s="1"/>
  <c r="S17" i="20"/>
  <c r="S43" i="20" s="1"/>
  <c r="P25" i="18"/>
  <c r="F36" i="15"/>
  <c r="F37" i="15" s="1"/>
  <c r="G37" i="15" s="1"/>
  <c r="N34" i="20"/>
  <c r="M36" i="20"/>
  <c r="M35" i="20"/>
  <c r="X17" i="2"/>
  <c r="Y17" i="2" s="1"/>
  <c r="X37" i="2"/>
  <c r="Y37" i="2" s="1"/>
  <c r="Y16" i="2"/>
  <c r="Z16" i="2" s="1"/>
  <c r="X18" i="2"/>
  <c r="Y18" i="2" s="1"/>
  <c r="P22" i="18"/>
  <c r="L9" i="20"/>
  <c r="L10" i="20"/>
  <c r="M8" i="20"/>
  <c r="P5" i="20"/>
  <c r="P23" i="18"/>
  <c r="M21" i="20"/>
  <c r="L23" i="20"/>
  <c r="L22" i="20"/>
  <c r="N39" i="20"/>
  <c r="M40" i="20"/>
  <c r="M41" i="20"/>
  <c r="P36" i="2"/>
  <c r="Q36" i="2" s="1"/>
  <c r="O37" i="2"/>
  <c r="P37" i="2" s="1"/>
  <c r="L49" i="20"/>
  <c r="L48" i="20"/>
  <c r="M47" i="20"/>
  <c r="AL14" i="26" l="1"/>
  <c r="AI23" i="26"/>
  <c r="AI8" i="26"/>
  <c r="AJ14" i="26"/>
  <c r="AK21" i="26"/>
  <c r="AL12" i="26"/>
  <c r="AJ22" i="26"/>
  <c r="AL16" i="26"/>
  <c r="AJ11" i="26"/>
  <c r="AL23" i="26"/>
  <c r="AI12" i="26"/>
  <c r="AJ19" i="26"/>
  <c r="AJ6" i="26"/>
  <c r="AI21" i="26"/>
  <c r="AK17" i="26"/>
  <c r="AJ23" i="26"/>
  <c r="AJ20" i="26"/>
  <c r="AL15" i="26"/>
  <c r="AI22" i="26"/>
  <c r="AK13" i="26"/>
  <c r="AI18" i="26"/>
  <c r="AJ18" i="26"/>
  <c r="AI19" i="26"/>
  <c r="AK3" i="26"/>
  <c r="AJ7" i="26"/>
  <c r="AJ21" i="26"/>
  <c r="AK18" i="26"/>
  <c r="AK20" i="26"/>
  <c r="AL8" i="26"/>
  <c r="AL9" i="26"/>
  <c r="AI13" i="26"/>
  <c r="AI14" i="26"/>
  <c r="AK16" i="26"/>
  <c r="AI4" i="26"/>
  <c r="AK15" i="26"/>
  <c r="AK23" i="26"/>
  <c r="AI6" i="26"/>
  <c r="AJ8" i="26"/>
  <c r="AI11" i="26"/>
  <c r="AJ16" i="26"/>
  <c r="AL11" i="26"/>
  <c r="AK11" i="26"/>
  <c r="AL7" i="26"/>
  <c r="AK9" i="26"/>
  <c r="AL5" i="26"/>
  <c r="AI10" i="26"/>
  <c r="AL3" i="26"/>
  <c r="AL4" i="26"/>
  <c r="AK5" i="26"/>
  <c r="AJ5" i="26"/>
  <c r="AI7" i="26"/>
  <c r="AK8" i="26"/>
  <c r="AJ17" i="26"/>
  <c r="AI17" i="26"/>
  <c r="AL13" i="26"/>
  <c r="AL20" i="26"/>
  <c r="AJ12" i="26"/>
  <c r="AI20" i="26"/>
  <c r="AJ10" i="26"/>
  <c r="AI9" i="26"/>
  <c r="AI5" i="26"/>
  <c r="AL17" i="26"/>
  <c r="AK22" i="26"/>
  <c r="AL18" i="26"/>
  <c r="AI16" i="26"/>
  <c r="AL22" i="26"/>
  <c r="AI15" i="26"/>
  <c r="AL6" i="26"/>
  <c r="AJ15" i="26"/>
  <c r="AK4" i="26"/>
  <c r="AK14" i="26"/>
  <c r="AJ4" i="26"/>
  <c r="AK7" i="26"/>
  <c r="AK12" i="26"/>
  <c r="AL19" i="26"/>
  <c r="AI3" i="26"/>
  <c r="AJ3" i="26"/>
  <c r="AK10" i="26"/>
  <c r="AK6" i="26"/>
  <c r="AJ9" i="26"/>
  <c r="AJ13" i="26"/>
  <c r="AL10" i="26"/>
  <c r="AL21" i="26"/>
  <c r="AK19" i="26"/>
  <c r="T103" i="25"/>
  <c r="T104" i="25" s="1"/>
  <c r="T105" i="25" s="1"/>
  <c r="AE23" i="26"/>
  <c r="AG23" i="26" s="1"/>
  <c r="AE22" i="26"/>
  <c r="AE9" i="26"/>
  <c r="AE10" i="26"/>
  <c r="AE15" i="26"/>
  <c r="AE11" i="26"/>
  <c r="AE4" i="26"/>
  <c r="AE8" i="26"/>
  <c r="AE3" i="26"/>
  <c r="AE16" i="26"/>
  <c r="AE13" i="26"/>
  <c r="AE6" i="26"/>
  <c r="AE19" i="26"/>
  <c r="AE5" i="26"/>
  <c r="AE17" i="26"/>
  <c r="AE7" i="26"/>
  <c r="AE14" i="26"/>
  <c r="AE20" i="26"/>
  <c r="AE12" i="26"/>
  <c r="AE18" i="26"/>
  <c r="AE21" i="26"/>
  <c r="BG14" i="23"/>
  <c r="BH13" i="23"/>
  <c r="BI13" i="23"/>
  <c r="BI3" i="23"/>
  <c r="BH3" i="23"/>
  <c r="BI12" i="23"/>
  <c r="BH12" i="23"/>
  <c r="BH11" i="23"/>
  <c r="BI11" i="23"/>
  <c r="BI5" i="23"/>
  <c r="BH5" i="23"/>
  <c r="BH9" i="23"/>
  <c r="BI9" i="23"/>
  <c r="BI7" i="23"/>
  <c r="BH7" i="23"/>
  <c r="BI10" i="23"/>
  <c r="BH10" i="23"/>
  <c r="BI6" i="23"/>
  <c r="BH6" i="23"/>
  <c r="BI8" i="23"/>
  <c r="BH8" i="23"/>
  <c r="BI4" i="23"/>
  <c r="BH4" i="23"/>
  <c r="N77" i="8"/>
  <c r="H77" i="8"/>
  <c r="O77" i="8"/>
  <c r="X12" i="20"/>
  <c r="X51" i="20" s="1"/>
  <c r="T51" i="20"/>
  <c r="I77" i="8"/>
  <c r="P65" i="8"/>
  <c r="P66" i="8" s="1"/>
  <c r="U12" i="20" s="1"/>
  <c r="P76" i="8"/>
  <c r="P77" i="8"/>
  <c r="E37" i="8"/>
  <c r="H66" i="8"/>
  <c r="M12" i="20" s="1"/>
  <c r="M51" i="20" s="1"/>
  <c r="F77" i="8"/>
  <c r="M77" i="8"/>
  <c r="E77" i="8"/>
  <c r="G77" i="8"/>
  <c r="N66" i="8"/>
  <c r="S12" i="20" s="1"/>
  <c r="D37" i="8"/>
  <c r="F66" i="8"/>
  <c r="K77" i="8"/>
  <c r="J77" i="8"/>
  <c r="F37" i="8"/>
  <c r="K66" i="8"/>
  <c r="P12" i="20" s="1"/>
  <c r="P51" i="20" s="1"/>
  <c r="L77" i="8"/>
  <c r="M26" i="20"/>
  <c r="M28" i="20" s="1"/>
  <c r="L28" i="20"/>
  <c r="S50" i="20"/>
  <c r="T50" i="20"/>
  <c r="V5" i="20"/>
  <c r="X5" i="20"/>
  <c r="N32" i="18"/>
  <c r="N39" i="18" s="1"/>
  <c r="W5" i="20"/>
  <c r="O32" i="18"/>
  <c r="O40" i="18" s="1"/>
  <c r="M32" i="18"/>
  <c r="Y5" i="20"/>
  <c r="V43" i="20"/>
  <c r="S44" i="20"/>
  <c r="T44" i="20"/>
  <c r="V24" i="20"/>
  <c r="U50" i="20"/>
  <c r="O37" i="15"/>
  <c r="P37" i="15" s="1"/>
  <c r="U44" i="20"/>
  <c r="G36" i="2"/>
  <c r="H36" i="2" s="1"/>
  <c r="V17" i="20"/>
  <c r="V18" i="20"/>
  <c r="G36" i="15"/>
  <c r="H36" i="15" s="1"/>
  <c r="N35" i="20"/>
  <c r="N36" i="20"/>
  <c r="O34" i="20"/>
  <c r="N8" i="20"/>
  <c r="M9" i="20"/>
  <c r="P11" i="20"/>
  <c r="P44" i="20"/>
  <c r="M10" i="20"/>
  <c r="O39" i="20"/>
  <c r="N41" i="20"/>
  <c r="N40" i="20"/>
  <c r="M22" i="20"/>
  <c r="M23" i="20"/>
  <c r="N21" i="20"/>
  <c r="M48" i="20"/>
  <c r="N47" i="20"/>
  <c r="AQ14" i="26" l="1"/>
  <c r="AQ12" i="26"/>
  <c r="AP8" i="26"/>
  <c r="AP23" i="26"/>
  <c r="AQ20" i="26"/>
  <c r="AQ15" i="26"/>
  <c r="AP16" i="26"/>
  <c r="AP14" i="26"/>
  <c r="AQ16" i="26"/>
  <c r="AQ6" i="26"/>
  <c r="AP12" i="26"/>
  <c r="AP15" i="26"/>
  <c r="AP7" i="26"/>
  <c r="AQ17" i="26"/>
  <c r="AP18" i="26"/>
  <c r="AP5" i="26"/>
  <c r="AQ11" i="26"/>
  <c r="AQ5" i="26"/>
  <c r="AQ22" i="26"/>
  <c r="AQ18" i="26"/>
  <c r="AP3" i="26"/>
  <c r="AP6" i="26"/>
  <c r="AP13" i="26"/>
  <c r="AQ10" i="26"/>
  <c r="AP10" i="26"/>
  <c r="AP21" i="26"/>
  <c r="AP9" i="26"/>
  <c r="AQ9" i="26"/>
  <c r="AP20" i="26"/>
  <c r="AQ7" i="26"/>
  <c r="AQ3" i="26"/>
  <c r="AP11" i="26"/>
  <c r="AP19" i="26"/>
  <c r="AQ4" i="26"/>
  <c r="AP17" i="26"/>
  <c r="AQ21" i="26"/>
  <c r="AQ19" i="26"/>
  <c r="AQ8" i="26"/>
  <c r="AQ23" i="26"/>
  <c r="AQ13" i="26"/>
  <c r="AP22" i="26"/>
  <c r="AP4" i="26"/>
  <c r="AM23" i="26"/>
  <c r="AN23" i="26" s="1"/>
  <c r="AM21" i="26"/>
  <c r="AN21" i="26" s="1"/>
  <c r="AM22" i="26"/>
  <c r="AN22" i="26" s="1"/>
  <c r="AM8" i="26"/>
  <c r="AN8" i="26" s="1"/>
  <c r="AM13" i="26"/>
  <c r="AN13" i="26" s="1"/>
  <c r="AM5" i="26"/>
  <c r="AN5" i="26" s="1"/>
  <c r="AM3" i="26"/>
  <c r="AN3" i="26" s="1"/>
  <c r="AM12" i="26"/>
  <c r="AN12" i="26" s="1"/>
  <c r="AM16" i="26"/>
  <c r="AN16" i="26" s="1"/>
  <c r="AM18" i="26"/>
  <c r="AN18" i="26" s="1"/>
  <c r="AM14" i="26"/>
  <c r="AN14" i="26" s="1"/>
  <c r="AM19" i="26"/>
  <c r="AN19" i="26" s="1"/>
  <c r="AM4" i="26"/>
  <c r="AN4" i="26" s="1"/>
  <c r="AM11" i="26"/>
  <c r="AN11" i="26" s="1"/>
  <c r="AM17" i="26"/>
  <c r="AN17" i="26" s="1"/>
  <c r="AM6" i="26"/>
  <c r="AN6" i="26" s="1"/>
  <c r="AM15" i="26"/>
  <c r="AN15" i="26" s="1"/>
  <c r="AM7" i="26"/>
  <c r="AN7" i="26" s="1"/>
  <c r="AM10" i="26"/>
  <c r="AN10" i="26" s="1"/>
  <c r="AM9" i="26"/>
  <c r="AN9" i="26" s="1"/>
  <c r="AM20" i="26"/>
  <c r="AN20" i="26" s="1"/>
  <c r="AH23" i="26"/>
  <c r="AG22" i="26"/>
  <c r="AH22" i="26" s="1"/>
  <c r="AG12" i="26"/>
  <c r="AH12" i="26" s="1"/>
  <c r="BH14" i="23"/>
  <c r="BI14" i="23"/>
  <c r="BF7" i="23"/>
  <c r="CY7" i="23" s="1"/>
  <c r="BB7" i="23"/>
  <c r="CU7" i="23" s="1"/>
  <c r="BC7" i="23"/>
  <c r="CV7" i="23" s="1"/>
  <c r="BE7" i="23"/>
  <c r="CX7" i="23" s="1"/>
  <c r="BD7" i="23"/>
  <c r="BA7" i="23"/>
  <c r="BF9" i="23"/>
  <c r="CY9" i="23" s="1"/>
  <c r="BB9" i="23"/>
  <c r="CU9" i="23" s="1"/>
  <c r="BE9" i="23"/>
  <c r="CX9" i="23" s="1"/>
  <c r="BD9" i="23"/>
  <c r="BA9" i="23"/>
  <c r="BC9" i="23"/>
  <c r="CV9" i="23" s="1"/>
  <c r="AW9" i="23"/>
  <c r="CP9" i="23" s="1"/>
  <c r="AZ9" i="23"/>
  <c r="CS9" i="23" s="1"/>
  <c r="AX9" i="23"/>
  <c r="AV9" i="23"/>
  <c r="CO9" i="23" s="1"/>
  <c r="AU9" i="23"/>
  <c r="AY9" i="23"/>
  <c r="CR9" i="23" s="1"/>
  <c r="AX5" i="23"/>
  <c r="AZ5" i="23"/>
  <c r="CS5" i="23" s="1"/>
  <c r="AW5" i="23"/>
  <c r="CP5" i="23" s="1"/>
  <c r="AV5" i="23"/>
  <c r="CO5" i="23" s="1"/>
  <c r="AY5" i="23"/>
  <c r="CR5" i="23" s="1"/>
  <c r="AU5" i="23"/>
  <c r="AX10" i="23"/>
  <c r="AZ10" i="23"/>
  <c r="CS10" i="23" s="1"/>
  <c r="AV10" i="23"/>
  <c r="CO10" i="23" s="1"/>
  <c r="AY10" i="23"/>
  <c r="CR10" i="23" s="1"/>
  <c r="AW10" i="23"/>
  <c r="CP10" i="23" s="1"/>
  <c r="AU10" i="23"/>
  <c r="AX7" i="23"/>
  <c r="AZ7" i="23"/>
  <c r="CS7" i="23" s="1"/>
  <c r="AU7" i="23"/>
  <c r="AW7" i="23"/>
  <c r="CP7" i="23" s="1"/>
  <c r="AV7" i="23"/>
  <c r="CO7" i="23" s="1"/>
  <c r="AY7" i="23"/>
  <c r="CR7" i="23" s="1"/>
  <c r="BA5" i="23"/>
  <c r="BB5" i="23"/>
  <c r="CU5" i="23" s="1"/>
  <c r="BF5" i="23"/>
  <c r="CY5" i="23" s="1"/>
  <c r="BD5" i="23"/>
  <c r="BC5" i="23"/>
  <c r="CV5" i="23" s="1"/>
  <c r="BE5" i="23"/>
  <c r="CX5" i="23" s="1"/>
  <c r="BC11" i="23"/>
  <c r="CV11" i="23" s="1"/>
  <c r="BD11" i="23"/>
  <c r="BE11" i="23"/>
  <c r="CX11" i="23" s="1"/>
  <c r="BA11" i="23"/>
  <c r="BF11" i="23"/>
  <c r="CY11" i="23" s="1"/>
  <c r="BB11" i="23"/>
  <c r="CU11" i="23" s="1"/>
  <c r="AZ11" i="23"/>
  <c r="CS11" i="23" s="1"/>
  <c r="AX11" i="23"/>
  <c r="AU11" i="23"/>
  <c r="AY11" i="23"/>
  <c r="CR11" i="23" s="1"/>
  <c r="AW11" i="23"/>
  <c r="CP11" i="23" s="1"/>
  <c r="AV11" i="23"/>
  <c r="CO11" i="23" s="1"/>
  <c r="AW4" i="23"/>
  <c r="CP4" i="23" s="1"/>
  <c r="AV4" i="23"/>
  <c r="CO4" i="23" s="1"/>
  <c r="AU4" i="23"/>
  <c r="AY4" i="23"/>
  <c r="CR4" i="23" s="1"/>
  <c r="AZ4" i="23"/>
  <c r="CS4" i="23" s="1"/>
  <c r="AX4" i="23"/>
  <c r="AW12" i="23"/>
  <c r="CP12" i="23" s="1"/>
  <c r="AX12" i="23"/>
  <c r="AZ12" i="23"/>
  <c r="CS12" i="23" s="1"/>
  <c r="AU12" i="23"/>
  <c r="AY12" i="23"/>
  <c r="CR12" i="23" s="1"/>
  <c r="AV12" i="23"/>
  <c r="CO12" i="23" s="1"/>
  <c r="BA4" i="23"/>
  <c r="BB4" i="23"/>
  <c r="CU4" i="23" s="1"/>
  <c r="BD4" i="23"/>
  <c r="BE4" i="23"/>
  <c r="CX4" i="23" s="1"/>
  <c r="BF4" i="23"/>
  <c r="CY4" i="23" s="1"/>
  <c r="BC4" i="23"/>
  <c r="CV4" i="23" s="1"/>
  <c r="BC12" i="23"/>
  <c r="CV12" i="23" s="1"/>
  <c r="BF12" i="23"/>
  <c r="CY12" i="23" s="1"/>
  <c r="BD12" i="23"/>
  <c r="BE12" i="23"/>
  <c r="CX12" i="23" s="1"/>
  <c r="BB12" i="23"/>
  <c r="CU12" i="23" s="1"/>
  <c r="BA12" i="23"/>
  <c r="BA10" i="23"/>
  <c r="BC10" i="23"/>
  <c r="CV10" i="23" s="1"/>
  <c r="BF10" i="23"/>
  <c r="CY10" i="23" s="1"/>
  <c r="BD10" i="23"/>
  <c r="BB10" i="23"/>
  <c r="CU10" i="23" s="1"/>
  <c r="BE10" i="23"/>
  <c r="CX10" i="23" s="1"/>
  <c r="AU8" i="23"/>
  <c r="AZ8" i="23"/>
  <c r="CS8" i="23" s="1"/>
  <c r="AW8" i="23"/>
  <c r="CP8" i="23" s="1"/>
  <c r="AX8" i="23"/>
  <c r="AY8" i="23"/>
  <c r="CR8" i="23" s="1"/>
  <c r="AV8" i="23"/>
  <c r="CO8" i="23" s="1"/>
  <c r="BF8" i="23"/>
  <c r="CY8" i="23" s="1"/>
  <c r="BB8" i="23"/>
  <c r="CU8" i="23" s="1"/>
  <c r="BD8" i="23"/>
  <c r="BA8" i="23"/>
  <c r="BE8" i="23"/>
  <c r="CX8" i="23" s="1"/>
  <c r="BC8" i="23"/>
  <c r="CV8" i="23" s="1"/>
  <c r="AU6" i="23"/>
  <c r="AV6" i="23"/>
  <c r="CO6" i="23" s="1"/>
  <c r="AX6" i="23"/>
  <c r="AY6" i="23"/>
  <c r="CR6" i="23" s="1"/>
  <c r="AZ6" i="23"/>
  <c r="CS6" i="23" s="1"/>
  <c r="AW6" i="23"/>
  <c r="CP6" i="23" s="1"/>
  <c r="BA6" i="23"/>
  <c r="BE6" i="23"/>
  <c r="CX6" i="23" s="1"/>
  <c r="BF6" i="23"/>
  <c r="CY6" i="23" s="1"/>
  <c r="BB6" i="23"/>
  <c r="CU6" i="23" s="1"/>
  <c r="BC6" i="23"/>
  <c r="CV6" i="23" s="1"/>
  <c r="BD6" i="23"/>
  <c r="AZ3" i="23"/>
  <c r="AX3" i="23"/>
  <c r="AW3" i="23"/>
  <c r="AY3" i="23"/>
  <c r="AU3" i="23"/>
  <c r="AV3" i="23"/>
  <c r="BB3" i="23"/>
  <c r="BD3" i="23"/>
  <c r="BC3" i="23"/>
  <c r="BF3" i="23"/>
  <c r="BA3" i="23"/>
  <c r="BE3" i="23"/>
  <c r="G37" i="8"/>
  <c r="G28" i="8" s="1"/>
  <c r="Q65" i="8"/>
  <c r="E72" i="8" s="1"/>
  <c r="F72" i="8" s="1"/>
  <c r="G72" i="8" s="1"/>
  <c r="H72" i="8" s="1"/>
  <c r="I72" i="8" s="1"/>
  <c r="J72" i="8" s="1"/>
  <c r="K72" i="8" s="1"/>
  <c r="L72" i="8" s="1"/>
  <c r="M72" i="8" s="1"/>
  <c r="N72" i="8" s="1"/>
  <c r="O72" i="8" s="1"/>
  <c r="P72" i="8" s="1"/>
  <c r="D38" i="8"/>
  <c r="D28" i="8"/>
  <c r="K12" i="20"/>
  <c r="Q66" i="8"/>
  <c r="S66" i="8" s="1"/>
  <c r="Q77" i="8"/>
  <c r="W12" i="20"/>
  <c r="W51" i="20" s="1"/>
  <c r="S51" i="20"/>
  <c r="E38" i="8"/>
  <c r="E28" i="8"/>
  <c r="E40" i="8"/>
  <c r="F38" i="8"/>
  <c r="F28" i="8"/>
  <c r="F39" i="8"/>
  <c r="F40" i="8"/>
  <c r="Y12" i="20"/>
  <c r="Y51" i="20" s="1"/>
  <c r="U51" i="20"/>
  <c r="M27" i="20"/>
  <c r="N26" i="20"/>
  <c r="N27" i="20" s="1"/>
  <c r="N36" i="18"/>
  <c r="N40" i="18"/>
  <c r="P40" i="18" s="1"/>
  <c r="N37" i="18"/>
  <c r="N38" i="18"/>
  <c r="O37" i="18"/>
  <c r="O38" i="18"/>
  <c r="O36" i="18"/>
  <c r="O39" i="18"/>
  <c r="P39" i="18" s="1"/>
  <c r="M37" i="18"/>
  <c r="M36" i="18"/>
  <c r="M38" i="18"/>
  <c r="V44" i="20"/>
  <c r="O35" i="20"/>
  <c r="P34" i="20"/>
  <c r="O36" i="20"/>
  <c r="M49" i="20"/>
  <c r="N9" i="20"/>
  <c r="O8" i="20"/>
  <c r="N10" i="20"/>
  <c r="P50" i="20"/>
  <c r="V50" i="20" s="1"/>
  <c r="V11" i="20"/>
  <c r="O21" i="20"/>
  <c r="N23" i="20"/>
  <c r="N22" i="20"/>
  <c r="O47" i="20"/>
  <c r="N49" i="20"/>
  <c r="N48" i="20"/>
  <c r="P39" i="20"/>
  <c r="O40" i="20"/>
  <c r="O41" i="20"/>
  <c r="AD94" i="26" l="1"/>
  <c r="AD70" i="26" s="1"/>
  <c r="W97" i="26"/>
  <c r="W73" i="26" s="1"/>
  <c r="X96" i="26"/>
  <c r="X72" i="26" s="1"/>
  <c r="AD91" i="26"/>
  <c r="AD67" i="26" s="1"/>
  <c r="AA94" i="26"/>
  <c r="AA70" i="26" s="1"/>
  <c r="Z96" i="26"/>
  <c r="Z72" i="26" s="1"/>
  <c r="X91" i="26"/>
  <c r="X67" i="26" s="1"/>
  <c r="T93" i="26"/>
  <c r="T69" i="26" s="1"/>
  <c r="X95" i="26"/>
  <c r="X71" i="26" s="1"/>
  <c r="U96" i="26"/>
  <c r="U72" i="26" s="1"/>
  <c r="U90" i="26"/>
  <c r="U66" i="26" s="1"/>
  <c r="W95" i="26"/>
  <c r="W71" i="26" s="1"/>
  <c r="Z89" i="26"/>
  <c r="Z65" i="26" s="1"/>
  <c r="W96" i="26"/>
  <c r="W72" i="26" s="1"/>
  <c r="W91" i="26"/>
  <c r="W67" i="26" s="1"/>
  <c r="X90" i="26"/>
  <c r="X66" i="26" s="1"/>
  <c r="AC91" i="26"/>
  <c r="AC67" i="26" s="1"/>
  <c r="Z94" i="26"/>
  <c r="Z70" i="26" s="1"/>
  <c r="T91" i="26"/>
  <c r="T67" i="26" s="1"/>
  <c r="AA91" i="26"/>
  <c r="AA67" i="26" s="1"/>
  <c r="T97" i="26"/>
  <c r="T73" i="26" s="1"/>
  <c r="AA92" i="26"/>
  <c r="AA68" i="26" s="1"/>
  <c r="AC92" i="26"/>
  <c r="AC68" i="26" s="1"/>
  <c r="X97" i="26"/>
  <c r="X73" i="26" s="1"/>
  <c r="AD96" i="26"/>
  <c r="AD72" i="26" s="1"/>
  <c r="X93" i="26"/>
  <c r="X69" i="26" s="1"/>
  <c r="Z97" i="26"/>
  <c r="Z73" i="26" s="1"/>
  <c r="U97" i="26"/>
  <c r="U73" i="26" s="1"/>
  <c r="AC96" i="26"/>
  <c r="AC72" i="26" s="1"/>
  <c r="U94" i="26"/>
  <c r="U70" i="26" s="1"/>
  <c r="U93" i="26"/>
  <c r="U69" i="26" s="1"/>
  <c r="Z92" i="26"/>
  <c r="Z68" i="26" s="1"/>
  <c r="AC97" i="26"/>
  <c r="AC73" i="26" s="1"/>
  <c r="W94" i="26"/>
  <c r="W70" i="26" s="1"/>
  <c r="AA93" i="26"/>
  <c r="AA69" i="26" s="1"/>
  <c r="AC94" i="26"/>
  <c r="AC70" i="26" s="1"/>
  <c r="T95" i="26"/>
  <c r="T71" i="26" s="1"/>
  <c r="U91" i="26"/>
  <c r="U67" i="26" s="1"/>
  <c r="W93" i="26"/>
  <c r="W69" i="26" s="1"/>
  <c r="Z91" i="26"/>
  <c r="Z67" i="26" s="1"/>
  <c r="AA95" i="26"/>
  <c r="AA71" i="26" s="1"/>
  <c r="AD92" i="26"/>
  <c r="AD68" i="26" s="1"/>
  <c r="X89" i="26"/>
  <c r="X65" i="26" s="1"/>
  <c r="AA96" i="26"/>
  <c r="AA72" i="26" s="1"/>
  <c r="T94" i="26"/>
  <c r="T70" i="26" s="1"/>
  <c r="AA89" i="26"/>
  <c r="AA65" i="26" s="1"/>
  <c r="Z95" i="26"/>
  <c r="Z71" i="26" s="1"/>
  <c r="T92" i="26"/>
  <c r="T68" i="26" s="1"/>
  <c r="AD97" i="26"/>
  <c r="AD73" i="26" s="1"/>
  <c r="W89" i="26"/>
  <c r="W65" i="26" s="1"/>
  <c r="AC90" i="26"/>
  <c r="AC66" i="26" s="1"/>
  <c r="X94" i="26"/>
  <c r="X70" i="26" s="1"/>
  <c r="AA97" i="26"/>
  <c r="AA73" i="26" s="1"/>
  <c r="AA90" i="26"/>
  <c r="AA66" i="26" s="1"/>
  <c r="AC93" i="26"/>
  <c r="AC69" i="26" s="1"/>
  <c r="AC95" i="26"/>
  <c r="AC71" i="26" s="1"/>
  <c r="Z93" i="26"/>
  <c r="Z69" i="26" s="1"/>
  <c r="U92" i="26"/>
  <c r="U68" i="26" s="1"/>
  <c r="AD89" i="26"/>
  <c r="AD65" i="26" s="1"/>
  <c r="U89" i="26"/>
  <c r="U65" i="26" s="1"/>
  <c r="AD90" i="26"/>
  <c r="AD66" i="26" s="1"/>
  <c r="W90" i="26"/>
  <c r="W66" i="26" s="1"/>
  <c r="AD93" i="26"/>
  <c r="AD69" i="26" s="1"/>
  <c r="AD95" i="26"/>
  <c r="AD71" i="26" s="1"/>
  <c r="W92" i="26"/>
  <c r="W68" i="26" s="1"/>
  <c r="T89" i="26"/>
  <c r="T65" i="26" s="1"/>
  <c r="U95" i="26"/>
  <c r="U71" i="26" s="1"/>
  <c r="X92" i="26"/>
  <c r="X68" i="26" s="1"/>
  <c r="AC89" i="26"/>
  <c r="AC65" i="26" s="1"/>
  <c r="T96" i="26"/>
  <c r="T72" i="26" s="1"/>
  <c r="Z90" i="26"/>
  <c r="Z66" i="26" s="1"/>
  <c r="T90" i="26"/>
  <c r="T66" i="26" s="1"/>
  <c r="AR5" i="26"/>
  <c r="AR20" i="26"/>
  <c r="AR7" i="26"/>
  <c r="AR3" i="26"/>
  <c r="AR4" i="26"/>
  <c r="AR8" i="26"/>
  <c r="AR22" i="26"/>
  <c r="AR23" i="26"/>
  <c r="AR10" i="26"/>
  <c r="AR21" i="26"/>
  <c r="AR18" i="26"/>
  <c r="AR6" i="26"/>
  <c r="AR13" i="26"/>
  <c r="AR9" i="26"/>
  <c r="AR17" i="26"/>
  <c r="AR14" i="26"/>
  <c r="AR16" i="26"/>
  <c r="AR19" i="26"/>
  <c r="AR11" i="26"/>
  <c r="AR15" i="26"/>
  <c r="AR12" i="26"/>
  <c r="BK3" i="23"/>
  <c r="BL3" i="23"/>
  <c r="BJ3" i="23"/>
  <c r="CT12" i="23"/>
  <c r="BL12" i="23"/>
  <c r="CQ12" i="23"/>
  <c r="BK12" i="23"/>
  <c r="CW8" i="23"/>
  <c r="BM8" i="23"/>
  <c r="CW6" i="23"/>
  <c r="BM6" i="23"/>
  <c r="CQ4" i="23"/>
  <c r="BK4" i="23"/>
  <c r="CW11" i="23"/>
  <c r="BM11" i="23"/>
  <c r="CQ8" i="23"/>
  <c r="BK8" i="23"/>
  <c r="CT7" i="23"/>
  <c r="BL7" i="23"/>
  <c r="CW9" i="23"/>
  <c r="BM9" i="23"/>
  <c r="CW5" i="23"/>
  <c r="BM5" i="23"/>
  <c r="CN8" i="23"/>
  <c r="BJ8" i="23"/>
  <c r="CW4" i="23"/>
  <c r="BM4" i="23"/>
  <c r="CT5" i="23"/>
  <c r="BL5" i="23"/>
  <c r="CW7" i="23"/>
  <c r="BM7" i="23"/>
  <c r="CT11" i="23"/>
  <c r="BL11" i="23"/>
  <c r="CN4" i="23"/>
  <c r="BJ4" i="23"/>
  <c r="BM3" i="23"/>
  <c r="CQ10" i="23"/>
  <c r="BK10" i="23"/>
  <c r="CT6" i="23"/>
  <c r="BL6" i="23"/>
  <c r="CQ6" i="23"/>
  <c r="BK6" i="23"/>
  <c r="CT4" i="23"/>
  <c r="BL4" i="23"/>
  <c r="CN11" i="23"/>
  <c r="BJ11" i="23"/>
  <c r="CQ5" i="23"/>
  <c r="BK5" i="23"/>
  <c r="CT8" i="23"/>
  <c r="BL8" i="23"/>
  <c r="CN10" i="23"/>
  <c r="BJ10" i="23"/>
  <c r="CW12" i="23"/>
  <c r="BM12" i="23"/>
  <c r="CT9" i="23"/>
  <c r="BL9" i="23"/>
  <c r="CN5" i="23"/>
  <c r="BJ5" i="23"/>
  <c r="CW10" i="23"/>
  <c r="BM10" i="23"/>
  <c r="CQ11" i="23"/>
  <c r="BK11" i="23"/>
  <c r="CN6" i="23"/>
  <c r="BJ6" i="23"/>
  <c r="CN7" i="23"/>
  <c r="BJ7" i="23"/>
  <c r="CN9" i="23"/>
  <c r="BJ9" i="23"/>
  <c r="CN12" i="23"/>
  <c r="BJ12" i="23"/>
  <c r="CT10" i="23"/>
  <c r="BL10" i="23"/>
  <c r="CQ7" i="23"/>
  <c r="BK7" i="23"/>
  <c r="CQ9" i="23"/>
  <c r="BK9" i="23"/>
  <c r="CR3" i="23"/>
  <c r="AY13" i="23"/>
  <c r="AY14" i="23" s="1"/>
  <c r="CN3" i="23"/>
  <c r="AU13" i="23"/>
  <c r="CP3" i="23"/>
  <c r="AW13" i="23"/>
  <c r="AW14" i="23" s="1"/>
  <c r="CQ3" i="23"/>
  <c r="AX13" i="23"/>
  <c r="CS3" i="23"/>
  <c r="AZ13" i="23"/>
  <c r="AZ14" i="23" s="1"/>
  <c r="CX3" i="23"/>
  <c r="BE13" i="23"/>
  <c r="BE14" i="23" s="1"/>
  <c r="CT3" i="23"/>
  <c r="BA13" i="23"/>
  <c r="CY3" i="23"/>
  <c r="BF13" i="23"/>
  <c r="BF14" i="23" s="1"/>
  <c r="CV3" i="23"/>
  <c r="BC13" i="23"/>
  <c r="BC14" i="23" s="1"/>
  <c r="CW3" i="23"/>
  <c r="BD13" i="23"/>
  <c r="CO3" i="23"/>
  <c r="AV13" i="23"/>
  <c r="AV14" i="23" s="1"/>
  <c r="CU3" i="23"/>
  <c r="BB13" i="23"/>
  <c r="BB14" i="23" s="1"/>
  <c r="BP12" i="23"/>
  <c r="BP7" i="23"/>
  <c r="BP9" i="23"/>
  <c r="BP10" i="23"/>
  <c r="BP11" i="23"/>
  <c r="BN4" i="23"/>
  <c r="BO4" i="23"/>
  <c r="BO10" i="23"/>
  <c r="BN10" i="23"/>
  <c r="BN5" i="23"/>
  <c r="BO5" i="23"/>
  <c r="BN8" i="23"/>
  <c r="BO8" i="23"/>
  <c r="BP5" i="23"/>
  <c r="BO12" i="23"/>
  <c r="BN12" i="23"/>
  <c r="BP6" i="23"/>
  <c r="BP8" i="23"/>
  <c r="BP4" i="23"/>
  <c r="BO11" i="23"/>
  <c r="BN11" i="23"/>
  <c r="BO6" i="23"/>
  <c r="BN6" i="23"/>
  <c r="BN7" i="23"/>
  <c r="BO7" i="23"/>
  <c r="BO9" i="23"/>
  <c r="BN9" i="23"/>
  <c r="BP3" i="23"/>
  <c r="BN3" i="23"/>
  <c r="BO3" i="23"/>
  <c r="G40" i="8"/>
  <c r="G38" i="8"/>
  <c r="H38" i="8" s="1"/>
  <c r="G39" i="8"/>
  <c r="F31" i="8"/>
  <c r="F30" i="8"/>
  <c r="E31" i="8"/>
  <c r="E30" i="8"/>
  <c r="G31" i="8"/>
  <c r="G30" i="8"/>
  <c r="G15" i="20"/>
  <c r="K51" i="20"/>
  <c r="H15" i="20"/>
  <c r="V12" i="20"/>
  <c r="I15" i="20"/>
  <c r="K13" i="20"/>
  <c r="J15" i="20"/>
  <c r="D30" i="8"/>
  <c r="D31" i="8"/>
  <c r="H28" i="8"/>
  <c r="O26" i="20"/>
  <c r="P26" i="20" s="1"/>
  <c r="Q26" i="20" s="1"/>
  <c r="N28" i="20"/>
  <c r="P38" i="18"/>
  <c r="P37" i="18"/>
  <c r="P36" i="18"/>
  <c r="P36" i="20"/>
  <c r="Q34" i="20"/>
  <c r="P35" i="20"/>
  <c r="P8" i="20"/>
  <c r="O10" i="20"/>
  <c r="O9" i="20"/>
  <c r="O22" i="20"/>
  <c r="O23" i="20"/>
  <c r="P21" i="20"/>
  <c r="Q39" i="20"/>
  <c r="P40" i="20"/>
  <c r="P41" i="20"/>
  <c r="P47" i="20"/>
  <c r="O49" i="20"/>
  <c r="O48" i="20"/>
  <c r="S91" i="26" l="1"/>
  <c r="S67" i="26" s="1"/>
  <c r="AI67" i="26" s="1"/>
  <c r="Y92" i="26"/>
  <c r="AK92" i="26" s="1"/>
  <c r="Y96" i="26"/>
  <c r="Y72" i="26" s="1"/>
  <c r="AK72" i="26" s="1"/>
  <c r="V92" i="26"/>
  <c r="AJ92" i="26" s="1"/>
  <c r="AB88" i="26"/>
  <c r="AB64" i="26" s="1"/>
  <c r="S88" i="26"/>
  <c r="S64" i="26" s="1"/>
  <c r="S95" i="26"/>
  <c r="AI95" i="26" s="1"/>
  <c r="V90" i="26"/>
  <c r="AJ90" i="26" s="1"/>
  <c r="AB91" i="26"/>
  <c r="AB67" i="26" s="1"/>
  <c r="AL67" i="26" s="1"/>
  <c r="AB96" i="26"/>
  <c r="AB72" i="26" s="1"/>
  <c r="AL72" i="26" s="1"/>
  <c r="V96" i="26"/>
  <c r="V72" i="26" s="1"/>
  <c r="AJ72" i="26" s="1"/>
  <c r="S96" i="26"/>
  <c r="AI96" i="26" s="1"/>
  <c r="Y90" i="26"/>
  <c r="Y66" i="26" s="1"/>
  <c r="AK66" i="26" s="1"/>
  <c r="V89" i="26"/>
  <c r="AJ89" i="26" s="1"/>
  <c r="S92" i="26"/>
  <c r="V93" i="26"/>
  <c r="AJ93" i="26" s="1"/>
  <c r="AB94" i="26"/>
  <c r="AL94" i="26" s="1"/>
  <c r="Y89" i="26"/>
  <c r="Y65" i="26" s="1"/>
  <c r="AK65" i="26" s="1"/>
  <c r="AB89" i="26"/>
  <c r="AL89" i="26" s="1"/>
  <c r="AB92" i="26"/>
  <c r="AB68" i="26" s="1"/>
  <c r="AL68" i="26" s="1"/>
  <c r="S97" i="26"/>
  <c r="AI97" i="26" s="1"/>
  <c r="AB97" i="26"/>
  <c r="AB73" i="26" s="1"/>
  <c r="AL73" i="26" s="1"/>
  <c r="V94" i="26"/>
  <c r="AJ94" i="26" s="1"/>
  <c r="AB93" i="26"/>
  <c r="AB69" i="26" s="1"/>
  <c r="AL69" i="26" s="1"/>
  <c r="Y97" i="26"/>
  <c r="Y73" i="26" s="1"/>
  <c r="AK73" i="26" s="1"/>
  <c r="AB95" i="26"/>
  <c r="AB71" i="26" s="1"/>
  <c r="AL71" i="26" s="1"/>
  <c r="Y88" i="26"/>
  <c r="Y64" i="26" s="1"/>
  <c r="V91" i="26"/>
  <c r="AJ91" i="26" s="1"/>
  <c r="S90" i="26"/>
  <c r="S66" i="26" s="1"/>
  <c r="AI66" i="26" s="1"/>
  <c r="V95" i="26"/>
  <c r="AJ95" i="26" s="1"/>
  <c r="Y93" i="26"/>
  <c r="Y69" i="26" s="1"/>
  <c r="AK69" i="26" s="1"/>
  <c r="Y95" i="26"/>
  <c r="Y71" i="26" s="1"/>
  <c r="AK71" i="26" s="1"/>
  <c r="AB90" i="26"/>
  <c r="AL90" i="26" s="1"/>
  <c r="V97" i="26"/>
  <c r="V73" i="26" s="1"/>
  <c r="AJ73" i="26" s="1"/>
  <c r="V88" i="26"/>
  <c r="V64" i="26" s="1"/>
  <c r="S93" i="26"/>
  <c r="S94" i="26"/>
  <c r="S70" i="26" s="1"/>
  <c r="AI70" i="26" s="1"/>
  <c r="Y94" i="26"/>
  <c r="Y70" i="26" s="1"/>
  <c r="AK70" i="26" s="1"/>
  <c r="S89" i="26"/>
  <c r="AI89" i="26" s="1"/>
  <c r="Y91" i="26"/>
  <c r="CU13" i="23"/>
  <c r="CU14" i="23" s="1"/>
  <c r="Z88" i="26"/>
  <c r="Z64" i="26" s="1"/>
  <c r="CO13" i="23"/>
  <c r="CO14" i="23" s="1"/>
  <c r="T88" i="26"/>
  <c r="CV13" i="23"/>
  <c r="CV14" i="23" s="1"/>
  <c r="AA88" i="26"/>
  <c r="AA64" i="26" s="1"/>
  <c r="CY13" i="23"/>
  <c r="CY14" i="23" s="1"/>
  <c r="AD88" i="26"/>
  <c r="AD64" i="26" s="1"/>
  <c r="CX13" i="23"/>
  <c r="CX14" i="23" s="1"/>
  <c r="AC88" i="26"/>
  <c r="AC64" i="26" s="1"/>
  <c r="CS13" i="23"/>
  <c r="CS14" i="23" s="1"/>
  <c r="X88" i="26"/>
  <c r="X64" i="26" s="1"/>
  <c r="CP13" i="23"/>
  <c r="CP14" i="23" s="1"/>
  <c r="U88" i="26"/>
  <c r="U64" i="26" s="1"/>
  <c r="CR13" i="23"/>
  <c r="CR14" i="23" s="1"/>
  <c r="W88" i="26"/>
  <c r="W64" i="26" s="1"/>
  <c r="DA7" i="23"/>
  <c r="DH7" i="23" s="1"/>
  <c r="DB8" i="23"/>
  <c r="DI8" i="23" s="1"/>
  <c r="DB6" i="23"/>
  <c r="DI6" i="23" s="1"/>
  <c r="DB10" i="23"/>
  <c r="DI10" i="23" s="1"/>
  <c r="DB9" i="23"/>
  <c r="DI9" i="23" s="1"/>
  <c r="DB12" i="23"/>
  <c r="DI12" i="23" s="1"/>
  <c r="DA8" i="23"/>
  <c r="DH8" i="23" s="1"/>
  <c r="DA12" i="23"/>
  <c r="DH12" i="23" s="1"/>
  <c r="CZ6" i="23"/>
  <c r="DG6" i="23" s="1"/>
  <c r="DA5" i="23"/>
  <c r="DH5" i="23" s="1"/>
  <c r="DB5" i="23"/>
  <c r="DI5" i="23" s="1"/>
  <c r="DA4" i="23"/>
  <c r="DH4" i="23" s="1"/>
  <c r="DB7" i="23"/>
  <c r="DI7" i="23" s="1"/>
  <c r="DB4" i="23"/>
  <c r="DI4" i="23" s="1"/>
  <c r="DB11" i="23"/>
  <c r="DI11" i="23" s="1"/>
  <c r="CZ12" i="23"/>
  <c r="DG12" i="23" s="1"/>
  <c r="DA9" i="23"/>
  <c r="DH9" i="23" s="1"/>
  <c r="DA10" i="23"/>
  <c r="DH10" i="23" s="1"/>
  <c r="CW13" i="23"/>
  <c r="CW14" i="23" s="1"/>
  <c r="DA11" i="23"/>
  <c r="DH11" i="23" s="1"/>
  <c r="CZ11" i="23"/>
  <c r="DG11" i="23" s="1"/>
  <c r="BD14" i="23"/>
  <c r="BM13" i="23"/>
  <c r="CZ9" i="23"/>
  <c r="DG9" i="23" s="1"/>
  <c r="CZ7" i="23"/>
  <c r="DG7" i="23" s="1"/>
  <c r="CZ8" i="23"/>
  <c r="DG8" i="23" s="1"/>
  <c r="CZ5" i="23"/>
  <c r="DG5" i="23" s="1"/>
  <c r="BA14" i="23"/>
  <c r="BL13" i="23"/>
  <c r="CZ4" i="23"/>
  <c r="DG4" i="23" s="1"/>
  <c r="CT13" i="23"/>
  <c r="CT14" i="23" s="1"/>
  <c r="CZ10" i="23"/>
  <c r="DG10" i="23" s="1"/>
  <c r="DA6" i="23"/>
  <c r="DH6" i="23" s="1"/>
  <c r="AU14" i="23"/>
  <c r="BJ13" i="23"/>
  <c r="CN13" i="23"/>
  <c r="CN14" i="23" s="1"/>
  <c r="AX14" i="23"/>
  <c r="BK13" i="23"/>
  <c r="BO13" i="23"/>
  <c r="BP13" i="23"/>
  <c r="CZ3" i="23"/>
  <c r="DG3" i="23" s="1"/>
  <c r="BN13" i="23"/>
  <c r="DB3" i="23"/>
  <c r="DI3" i="23" s="1"/>
  <c r="CQ13" i="23"/>
  <c r="CQ14" i="23" s="1"/>
  <c r="DA3" i="23"/>
  <c r="DH3" i="23" s="1"/>
  <c r="K15" i="20"/>
  <c r="L13" i="20"/>
  <c r="K14" i="20"/>
  <c r="H30" i="8"/>
  <c r="H31" i="8"/>
  <c r="G54" i="20"/>
  <c r="I54" i="20"/>
  <c r="H54" i="20"/>
  <c r="V51" i="20"/>
  <c r="K52" i="20"/>
  <c r="J54" i="20"/>
  <c r="P27" i="20"/>
  <c r="P28" i="20"/>
  <c r="O28" i="20"/>
  <c r="O27" i="20"/>
  <c r="Q35" i="20"/>
  <c r="Q36" i="20"/>
  <c r="R34" i="20"/>
  <c r="P10" i="20"/>
  <c r="Q8" i="20"/>
  <c r="P9" i="20"/>
  <c r="Q41" i="20"/>
  <c r="Q40" i="20"/>
  <c r="R39" i="20"/>
  <c r="R26" i="20"/>
  <c r="Q27" i="20"/>
  <c r="Q28" i="20"/>
  <c r="P49" i="20"/>
  <c r="P48" i="20"/>
  <c r="Q47" i="20"/>
  <c r="P22" i="20"/>
  <c r="P23" i="20"/>
  <c r="Q21" i="20"/>
  <c r="V70" i="26" l="1"/>
  <c r="AJ70" i="26" s="1"/>
  <c r="AP70" i="26" s="1"/>
  <c r="AL97" i="26"/>
  <c r="Y68" i="26"/>
  <c r="AK68" i="26" s="1"/>
  <c r="AQ68" i="26" s="1"/>
  <c r="AE92" i="26"/>
  <c r="V68" i="26"/>
  <c r="AJ68" i="26" s="1"/>
  <c r="AE93" i="26"/>
  <c r="AB65" i="26"/>
  <c r="AL65" i="26" s="1"/>
  <c r="AQ65" i="26" s="1"/>
  <c r="AL92" i="26"/>
  <c r="AQ92" i="26" s="1"/>
  <c r="V66" i="26"/>
  <c r="AJ66" i="26" s="1"/>
  <c r="AP66" i="26" s="1"/>
  <c r="AP95" i="26"/>
  <c r="AE91" i="26"/>
  <c r="AI90" i="26"/>
  <c r="AP90" i="26" s="1"/>
  <c r="AE96" i="26"/>
  <c r="AE90" i="26"/>
  <c r="S73" i="26"/>
  <c r="AI73" i="26" s="1"/>
  <c r="AI92" i="26"/>
  <c r="AP92" i="26" s="1"/>
  <c r="S68" i="26"/>
  <c r="AI68" i="26" s="1"/>
  <c r="V67" i="26"/>
  <c r="AJ67" i="26" s="1"/>
  <c r="AP67" i="26" s="1"/>
  <c r="AI91" i="26"/>
  <c r="AP91" i="26" s="1"/>
  <c r="AK90" i="26"/>
  <c r="AI93" i="26"/>
  <c r="AP93" i="26" s="1"/>
  <c r="S69" i="26"/>
  <c r="AI69" i="26" s="1"/>
  <c r="AJ97" i="26"/>
  <c r="AP97" i="26" s="1"/>
  <c r="V69" i="26"/>
  <c r="AJ69" i="26" s="1"/>
  <c r="AL96" i="26"/>
  <c r="AL95" i="26"/>
  <c r="AK91" i="26"/>
  <c r="AI94" i="26"/>
  <c r="AP94" i="26" s="1"/>
  <c r="V65" i="26"/>
  <c r="AJ65" i="26" s="1"/>
  <c r="AK89" i="26"/>
  <c r="AM89" i="26" s="1"/>
  <c r="AE97" i="26"/>
  <c r="AB66" i="26"/>
  <c r="AL66" i="26" s="1"/>
  <c r="AQ66" i="26" s="1"/>
  <c r="Y67" i="26"/>
  <c r="AK67" i="26" s="1"/>
  <c r="AQ67" i="26" s="1"/>
  <c r="AL91" i="26"/>
  <c r="AK97" i="26"/>
  <c r="AP89" i="26"/>
  <c r="AE94" i="26"/>
  <c r="AK95" i="26"/>
  <c r="S72" i="26"/>
  <c r="AI72" i="26" s="1"/>
  <c r="AM72" i="26" s="1"/>
  <c r="AE95" i="26"/>
  <c r="AL93" i="26"/>
  <c r="AK94" i="26"/>
  <c r="AQ94" i="26" s="1"/>
  <c r="V71" i="26"/>
  <c r="AJ71" i="26" s="1"/>
  <c r="AB70" i="26"/>
  <c r="AL70" i="26" s="1"/>
  <c r="AJ96" i="26"/>
  <c r="AK93" i="26"/>
  <c r="S71" i="26"/>
  <c r="AI71" i="26" s="1"/>
  <c r="AK96" i="26"/>
  <c r="S65" i="26"/>
  <c r="AI65" i="26" s="1"/>
  <c r="AE89" i="26"/>
  <c r="AQ69" i="26"/>
  <c r="AQ73" i="26"/>
  <c r="AQ72" i="26"/>
  <c r="AQ71" i="26"/>
  <c r="AI88" i="26"/>
  <c r="AJ64" i="26"/>
  <c r="AK88" i="26"/>
  <c r="AK64" i="26"/>
  <c r="AL88" i="26"/>
  <c r="AJ88" i="26"/>
  <c r="AL64" i="26"/>
  <c r="AE88" i="26"/>
  <c r="T64" i="26"/>
  <c r="AE64" i="26" s="1"/>
  <c r="DB13" i="23"/>
  <c r="DI13" i="23" s="1"/>
  <c r="CZ13" i="23"/>
  <c r="DG13" i="23" s="1"/>
  <c r="DA13" i="23"/>
  <c r="DA14" i="23" s="1"/>
  <c r="K54" i="20"/>
  <c r="L52" i="20"/>
  <c r="K53" i="20"/>
  <c r="M13" i="20"/>
  <c r="L15" i="20"/>
  <c r="L14" i="20"/>
  <c r="S34" i="20"/>
  <c r="R35" i="20"/>
  <c r="R36" i="20"/>
  <c r="R8" i="20"/>
  <c r="Q10" i="20"/>
  <c r="Q9" i="20"/>
  <c r="S26" i="20"/>
  <c r="R27" i="20"/>
  <c r="R28" i="20"/>
  <c r="R21" i="20"/>
  <c r="Q23" i="20"/>
  <c r="Q22" i="20"/>
  <c r="S39" i="20"/>
  <c r="R41" i="20"/>
  <c r="R40" i="20"/>
  <c r="R47" i="20"/>
  <c r="Q48" i="20"/>
  <c r="Q49" i="20"/>
  <c r="AQ89" i="26" l="1"/>
  <c r="AR89" i="26" s="1"/>
  <c r="AM94" i="26"/>
  <c r="AN94" i="26" s="1"/>
  <c r="AQ95" i="26"/>
  <c r="AM70" i="26"/>
  <c r="AP69" i="26"/>
  <c r="AE69" i="26"/>
  <c r="AP68" i="26"/>
  <c r="AE73" i="26"/>
  <c r="AM97" i="26"/>
  <c r="AN97" i="26" s="1"/>
  <c r="AM90" i="26"/>
  <c r="AN90" i="26" s="1"/>
  <c r="AM66" i="26"/>
  <c r="AR66" i="26" s="1"/>
  <c r="AE67" i="26"/>
  <c r="AM68" i="26"/>
  <c r="AM69" i="26"/>
  <c r="AG97" i="26"/>
  <c r="AH97" i="26" s="1"/>
  <c r="AM92" i="26"/>
  <c r="AN92" i="26" s="1"/>
  <c r="AP72" i="26"/>
  <c r="AR72" i="26" s="1"/>
  <c r="AE66" i="26"/>
  <c r="AM93" i="26"/>
  <c r="AN93" i="26" s="1"/>
  <c r="AE68" i="26"/>
  <c r="AM67" i="26"/>
  <c r="AR67" i="26" s="1"/>
  <c r="AN89" i="26"/>
  <c r="AQ90" i="26"/>
  <c r="AQ96" i="26"/>
  <c r="AQ97" i="26"/>
  <c r="AM91" i="26"/>
  <c r="AN91" i="26" s="1"/>
  <c r="AQ91" i="26"/>
  <c r="AE65" i="26"/>
  <c r="AE72" i="26"/>
  <c r="AN72" i="26" s="1"/>
  <c r="AQ70" i="26"/>
  <c r="AE70" i="26"/>
  <c r="AM96" i="26"/>
  <c r="AN96" i="26" s="1"/>
  <c r="AE71" i="26"/>
  <c r="AQ93" i="26"/>
  <c r="AP96" i="26"/>
  <c r="AM95" i="26"/>
  <c r="AN95" i="26" s="1"/>
  <c r="AP88" i="26"/>
  <c r="AQ88" i="26"/>
  <c r="AM65" i="26"/>
  <c r="AP65" i="26"/>
  <c r="AM71" i="26"/>
  <c r="AP71" i="26"/>
  <c r="AM73" i="26"/>
  <c r="AP73" i="26"/>
  <c r="AQ64" i="26"/>
  <c r="AM88" i="26"/>
  <c r="AN88" i="26" s="1"/>
  <c r="AI64" i="26"/>
  <c r="DB14" i="23"/>
  <c r="CZ14" i="23"/>
  <c r="DH13" i="23"/>
  <c r="M15" i="20"/>
  <c r="N13" i="20"/>
  <c r="M14" i="20"/>
  <c r="L53" i="20"/>
  <c r="M52" i="20"/>
  <c r="L54" i="20"/>
  <c r="S36" i="20"/>
  <c r="T34" i="20"/>
  <c r="S35" i="20"/>
  <c r="R9" i="20"/>
  <c r="R10" i="20"/>
  <c r="S8" i="20"/>
  <c r="R22" i="20"/>
  <c r="R23" i="20"/>
  <c r="S21" i="20"/>
  <c r="S47" i="20"/>
  <c r="R48" i="20"/>
  <c r="R49" i="20"/>
  <c r="T39" i="20"/>
  <c r="S41" i="20"/>
  <c r="S40" i="20"/>
  <c r="T26" i="20"/>
  <c r="S28" i="20"/>
  <c r="S27" i="20"/>
  <c r="AR70" i="26" l="1"/>
  <c r="AR97" i="26"/>
  <c r="AR90" i="26"/>
  <c r="AR94" i="26"/>
  <c r="AN66" i="26"/>
  <c r="AN70" i="26"/>
  <c r="AN73" i="26"/>
  <c r="AR91" i="26"/>
  <c r="AR68" i="26"/>
  <c r="AR96" i="26"/>
  <c r="AN69" i="26"/>
  <c r="AN68" i="26"/>
  <c r="AR69" i="26"/>
  <c r="AR93" i="26"/>
  <c r="AN65" i="26"/>
  <c r="AR92" i="26"/>
  <c r="AN71" i="26"/>
  <c r="AN67" i="26"/>
  <c r="AR95" i="26"/>
  <c r="AR71" i="26"/>
  <c r="AR65" i="26"/>
  <c r="AR88" i="26"/>
  <c r="AR73" i="26"/>
  <c r="AM64" i="26"/>
  <c r="AN64" i="26" s="1"/>
  <c r="AP64" i="26"/>
  <c r="N52" i="20"/>
  <c r="M53" i="20"/>
  <c r="M54" i="20"/>
  <c r="N14" i="20"/>
  <c r="O13" i="20"/>
  <c r="N15" i="20"/>
  <c r="T35" i="20"/>
  <c r="U34" i="20"/>
  <c r="T36" i="20"/>
  <c r="S9" i="20"/>
  <c r="S10" i="20"/>
  <c r="T8" i="20"/>
  <c r="U26" i="20"/>
  <c r="T27" i="20"/>
  <c r="T28" i="20"/>
  <c r="S49" i="20"/>
  <c r="S48" i="20"/>
  <c r="T47" i="20"/>
  <c r="U39" i="20"/>
  <c r="T40" i="20"/>
  <c r="T41" i="20"/>
  <c r="S22" i="20"/>
  <c r="S23" i="20"/>
  <c r="T21" i="20"/>
  <c r="AR64" i="26" l="1"/>
  <c r="O14" i="20"/>
  <c r="O15" i="20"/>
  <c r="P13" i="20"/>
  <c r="N54" i="20"/>
  <c r="N53" i="20"/>
  <c r="O52" i="20"/>
  <c r="V34" i="20"/>
  <c r="U35" i="20"/>
  <c r="V35" i="20" s="1"/>
  <c r="U36" i="20"/>
  <c r="V36" i="20" s="1"/>
  <c r="T9" i="20"/>
  <c r="U8" i="20"/>
  <c r="T10" i="20"/>
  <c r="U41" i="20"/>
  <c r="V41" i="20" s="1"/>
  <c r="U40" i="20"/>
  <c r="V40" i="20" s="1"/>
  <c r="V39" i="20"/>
  <c r="U47" i="20"/>
  <c r="T48" i="20"/>
  <c r="T49" i="20"/>
  <c r="U28" i="20"/>
  <c r="V28" i="20" s="1"/>
  <c r="V26" i="20"/>
  <c r="U27" i="20"/>
  <c r="V27" i="20" s="1"/>
  <c r="U21" i="20"/>
  <c r="T23" i="20"/>
  <c r="T22" i="20"/>
  <c r="O53" i="20" l="1"/>
  <c r="P52" i="20"/>
  <c r="O54" i="20"/>
  <c r="Q13" i="20"/>
  <c r="P15" i="20"/>
  <c r="P14" i="20"/>
  <c r="U10" i="20"/>
  <c r="V10" i="20" s="1"/>
  <c r="U9" i="20"/>
  <c r="V9" i="20" s="1"/>
  <c r="V8" i="20"/>
  <c r="U48" i="20"/>
  <c r="V48" i="20" s="1"/>
  <c r="V47" i="20"/>
  <c r="U49" i="20"/>
  <c r="V49" i="20" s="1"/>
  <c r="U23" i="20"/>
  <c r="V23" i="20" s="1"/>
  <c r="V21" i="20"/>
  <c r="U22" i="20"/>
  <c r="V22" i="20" s="1"/>
  <c r="Q14" i="20" l="1"/>
  <c r="Q15" i="20"/>
  <c r="R13" i="20"/>
  <c r="Q52" i="20"/>
  <c r="P53" i="20"/>
  <c r="P54" i="20"/>
  <c r="R52" i="20" l="1"/>
  <c r="Q53" i="20"/>
  <c r="Q54" i="20"/>
  <c r="R15" i="20"/>
  <c r="R14" i="20"/>
  <c r="S13" i="20"/>
  <c r="H40" i="8"/>
  <c r="D39" i="8"/>
  <c r="D40" i="8"/>
  <c r="T13" i="20" l="1"/>
  <c r="S14" i="20"/>
  <c r="S15" i="20"/>
  <c r="R53" i="20"/>
  <c r="R54" i="20"/>
  <c r="S52" i="20"/>
  <c r="E39" i="8"/>
  <c r="S54" i="20" l="1"/>
  <c r="T52" i="20"/>
  <c r="S53" i="20"/>
  <c r="U13" i="20"/>
  <c r="T14" i="20"/>
  <c r="T15" i="20"/>
  <c r="U38" i="22"/>
  <c r="U58" i="20" l="1"/>
  <c r="U15" i="20"/>
  <c r="V15" i="20" s="1"/>
  <c r="V13" i="20"/>
  <c r="X13" i="20" s="1"/>
  <c r="U14" i="20"/>
  <c r="V14" i="20" s="1"/>
  <c r="W13" i="20"/>
  <c r="Y13" i="20" s="1"/>
  <c r="U52" i="20"/>
  <c r="T54" i="20"/>
  <c r="T53" i="20"/>
  <c r="U51" i="22"/>
  <c r="V38" i="22"/>
  <c r="R41" i="22"/>
  <c r="S41" i="22"/>
  <c r="T41" i="22"/>
  <c r="U39" i="22"/>
  <c r="U54" i="20" l="1"/>
  <c r="V54" i="20" s="1"/>
  <c r="V52" i="20"/>
  <c r="U53" i="20"/>
  <c r="V53" i="20" s="1"/>
  <c r="U41" i="22"/>
  <c r="V41" i="22" s="1"/>
  <c r="U40" i="22"/>
  <c r="V40" i="22" s="1"/>
  <c r="V39" i="22"/>
  <c r="V51" i="22"/>
  <c r="R54" i="22"/>
  <c r="S54" i="22"/>
  <c r="U52" i="22"/>
  <c r="T54" i="22"/>
  <c r="U54" i="22" l="1"/>
  <c r="V54" i="22" s="1"/>
  <c r="U53" i="22"/>
  <c r="V53" i="22" s="1"/>
  <c r="V52" i="22"/>
  <c r="BM25" i="23" l="1"/>
  <c r="BM17" i="23" s="1"/>
  <c r="BK25" i="23"/>
  <c r="BK16" i="23" s="1"/>
  <c r="BL25" i="23"/>
  <c r="BL17" i="23" s="1"/>
  <c r="BJ25" i="23"/>
  <c r="BJ24" i="23" s="1"/>
  <c r="BK21" i="23" l="1"/>
  <c r="AY21" i="23" s="1"/>
  <c r="CR21" i="23" s="1"/>
  <c r="BK17" i="23"/>
  <c r="AY17" i="23" s="1"/>
  <c r="CR17" i="23" s="1"/>
  <c r="BK20" i="23"/>
  <c r="AX20" i="23" s="1"/>
  <c r="CQ20" i="23" s="1"/>
  <c r="AV24" i="23"/>
  <c r="CO24" i="23" s="1"/>
  <c r="AU24" i="23"/>
  <c r="AW24" i="23"/>
  <c r="CP24" i="23" s="1"/>
  <c r="BK19" i="23"/>
  <c r="AZ19" i="23" s="1"/>
  <c r="CS19" i="23" s="1"/>
  <c r="BJ15" i="23"/>
  <c r="BJ16" i="23"/>
  <c r="BJ22" i="23"/>
  <c r="BK23" i="23"/>
  <c r="BM18" i="23"/>
  <c r="BF18" i="23" s="1"/>
  <c r="CY18" i="23" s="1"/>
  <c r="BK18" i="23"/>
  <c r="AX18" i="23" s="1"/>
  <c r="CQ18" i="23" s="1"/>
  <c r="BB17" i="23"/>
  <c r="CU17" i="23" s="1"/>
  <c r="BA17" i="23"/>
  <c r="BC17" i="23"/>
  <c r="CV17" i="23" s="1"/>
  <c r="AX16" i="23"/>
  <c r="CQ16" i="23" s="1"/>
  <c r="AY16" i="23"/>
  <c r="CR16" i="23" s="1"/>
  <c r="AZ16" i="23"/>
  <c r="CS16" i="23" s="1"/>
  <c r="BF17" i="23"/>
  <c r="CY17" i="23" s="1"/>
  <c r="BD17" i="23"/>
  <c r="CW17" i="23" s="1"/>
  <c r="BE17" i="23"/>
  <c r="CX17" i="23" s="1"/>
  <c r="BL18" i="23"/>
  <c r="BK24" i="23"/>
  <c r="BJ19" i="23"/>
  <c r="BJ23" i="23"/>
  <c r="BM16" i="23"/>
  <c r="BL22" i="23"/>
  <c r="BM15" i="23"/>
  <c r="BM22" i="23"/>
  <c r="BJ20" i="23"/>
  <c r="BL24" i="23"/>
  <c r="BM19" i="23"/>
  <c r="BK15" i="23"/>
  <c r="BL15" i="23"/>
  <c r="BJ17" i="23"/>
  <c r="BM23" i="23"/>
  <c r="BM20" i="23"/>
  <c r="BJ21" i="23"/>
  <c r="BM21" i="23"/>
  <c r="BK22" i="23"/>
  <c r="BM24" i="23"/>
  <c r="BL20" i="23"/>
  <c r="BL16" i="23"/>
  <c r="BJ18" i="23"/>
  <c r="BL23" i="23"/>
  <c r="BL21" i="23"/>
  <c r="BL19" i="23"/>
  <c r="AC80" i="26" l="1"/>
  <c r="AC56" i="26" s="1"/>
  <c r="AD80" i="26"/>
  <c r="AD56" i="26" s="1"/>
  <c r="W80" i="26"/>
  <c r="W56" i="26" s="1"/>
  <c r="V85" i="26"/>
  <c r="V61" i="26" s="1"/>
  <c r="X81" i="26"/>
  <c r="X57" i="26" s="1"/>
  <c r="X79" i="26"/>
  <c r="X55" i="26" s="1"/>
  <c r="Z80" i="26"/>
  <c r="Z56" i="26" s="1"/>
  <c r="AB80" i="26"/>
  <c r="AB56" i="26" s="1"/>
  <c r="T87" i="26"/>
  <c r="T63" i="26" s="1"/>
  <c r="V82" i="26"/>
  <c r="V58" i="26" s="1"/>
  <c r="W79" i="26"/>
  <c r="W55" i="26" s="1"/>
  <c r="V79" i="26"/>
  <c r="V55" i="26" s="1"/>
  <c r="W83" i="26"/>
  <c r="W59" i="26" s="1"/>
  <c r="AA80" i="26"/>
  <c r="AA56" i="26" s="1"/>
  <c r="AD85" i="26"/>
  <c r="AD61" i="26" s="1"/>
  <c r="U87" i="26"/>
  <c r="U63" i="26" s="1"/>
  <c r="AZ20" i="23"/>
  <c r="CS20" i="23" s="1"/>
  <c r="AX21" i="23"/>
  <c r="CQ21" i="23" s="1"/>
  <c r="AZ21" i="23"/>
  <c r="CS21" i="23" s="1"/>
  <c r="AY20" i="23"/>
  <c r="CR20" i="23" s="1"/>
  <c r="BE18" i="23"/>
  <c r="CX18" i="23" s="1"/>
  <c r="AZ17" i="23"/>
  <c r="CS17" i="23" s="1"/>
  <c r="AX17" i="23"/>
  <c r="CQ17" i="23" s="1"/>
  <c r="AY23" i="23"/>
  <c r="CR23" i="23" s="1"/>
  <c r="AX23" i="23"/>
  <c r="CQ23" i="23" s="1"/>
  <c r="AU22" i="23"/>
  <c r="AU16" i="23"/>
  <c r="AY19" i="23"/>
  <c r="CR19" i="23" s="1"/>
  <c r="AX19" i="23"/>
  <c r="CQ19" i="23" s="1"/>
  <c r="AW16" i="23"/>
  <c r="CP16" i="23" s="1"/>
  <c r="AV22" i="23"/>
  <c r="CO22" i="23" s="1"/>
  <c r="AW15" i="23"/>
  <c r="CP15" i="23" s="1"/>
  <c r="CN24" i="23"/>
  <c r="AZ23" i="23"/>
  <c r="CS23" i="23" s="1"/>
  <c r="AY18" i="23"/>
  <c r="CR18" i="23" s="1"/>
  <c r="BD18" i="23"/>
  <c r="CW18" i="23" s="1"/>
  <c r="AV15" i="23"/>
  <c r="CO15" i="23" s="1"/>
  <c r="AW22" i="23"/>
  <c r="CP22" i="23" s="1"/>
  <c r="AV16" i="23"/>
  <c r="CO16" i="23" s="1"/>
  <c r="AU15" i="23"/>
  <c r="CN15" i="23" s="1"/>
  <c r="AZ18" i="23"/>
  <c r="CS18" i="23" s="1"/>
  <c r="BA16" i="23"/>
  <c r="BC16" i="23"/>
  <c r="CV16" i="23" s="1"/>
  <c r="BB16" i="23"/>
  <c r="CU16" i="23" s="1"/>
  <c r="AX15" i="23"/>
  <c r="AY15" i="23"/>
  <c r="AZ15" i="23"/>
  <c r="AZ24" i="23"/>
  <c r="CS24" i="23" s="1"/>
  <c r="AX24" i="23"/>
  <c r="AY24" i="23"/>
  <c r="CR24" i="23" s="1"/>
  <c r="BC20" i="23"/>
  <c r="CV20" i="23" s="1"/>
  <c r="BB20" i="23"/>
  <c r="CU20" i="23" s="1"/>
  <c r="BA20" i="23"/>
  <c r="AW20" i="23"/>
  <c r="CP20" i="23" s="1"/>
  <c r="AV20" i="23"/>
  <c r="CO20" i="23" s="1"/>
  <c r="AU20" i="23"/>
  <c r="BB24" i="23"/>
  <c r="CU24" i="23" s="1"/>
  <c r="BC24" i="23"/>
  <c r="CV24" i="23" s="1"/>
  <c r="BA24" i="23"/>
  <c r="BE21" i="23"/>
  <c r="CX21" i="23" s="1"/>
  <c r="BF21" i="23"/>
  <c r="CY21" i="23" s="1"/>
  <c r="BD21" i="23"/>
  <c r="CW21" i="23" s="1"/>
  <c r="AW19" i="23"/>
  <c r="CP19" i="23" s="1"/>
  <c r="AU19" i="23"/>
  <c r="AV19" i="23"/>
  <c r="CO19" i="23" s="1"/>
  <c r="BF16" i="23"/>
  <c r="CY16" i="23" s="1"/>
  <c r="BD16" i="23"/>
  <c r="CW16" i="23" s="1"/>
  <c r="BE16" i="23"/>
  <c r="CX16" i="23" s="1"/>
  <c r="AZ22" i="23"/>
  <c r="CS22" i="23" s="1"/>
  <c r="AY22" i="23"/>
  <c r="CR22" i="23" s="1"/>
  <c r="AX22" i="23"/>
  <c r="AU21" i="23"/>
  <c r="AV21" i="23"/>
  <c r="CO21" i="23" s="1"/>
  <c r="AW21" i="23"/>
  <c r="CP21" i="23" s="1"/>
  <c r="BC19" i="23"/>
  <c r="CV19" i="23" s="1"/>
  <c r="BB19" i="23"/>
  <c r="CU19" i="23" s="1"/>
  <c r="BA19" i="23"/>
  <c r="AW23" i="23"/>
  <c r="CP23" i="23" s="1"/>
  <c r="AU23" i="23"/>
  <c r="AV23" i="23"/>
  <c r="CO23" i="23" s="1"/>
  <c r="BF24" i="23"/>
  <c r="CY24" i="23" s="1"/>
  <c r="BE24" i="23"/>
  <c r="CX24" i="23" s="1"/>
  <c r="BD24" i="23"/>
  <c r="CW24" i="23" s="1"/>
  <c r="BB18" i="23"/>
  <c r="CU18" i="23" s="1"/>
  <c r="BA18" i="23"/>
  <c r="BC18" i="23"/>
  <c r="CV18" i="23" s="1"/>
  <c r="BD23" i="23"/>
  <c r="CW23" i="23" s="1"/>
  <c r="BE23" i="23"/>
  <c r="CX23" i="23" s="1"/>
  <c r="BF23" i="23"/>
  <c r="CY23" i="23" s="1"/>
  <c r="BA21" i="23"/>
  <c r="BC21" i="23"/>
  <c r="CV21" i="23" s="1"/>
  <c r="BB21" i="23"/>
  <c r="CU21" i="23" s="1"/>
  <c r="BD15" i="23"/>
  <c r="BE15" i="23"/>
  <c r="BF15" i="23"/>
  <c r="CT17" i="23"/>
  <c r="BI17" i="23"/>
  <c r="BP17" i="23" s="1"/>
  <c r="BF19" i="23"/>
  <c r="CY19" i="23" s="1"/>
  <c r="BD19" i="23"/>
  <c r="CW19" i="23" s="1"/>
  <c r="BE19" i="23"/>
  <c r="CX19" i="23" s="1"/>
  <c r="BD22" i="23"/>
  <c r="CW22" i="23" s="1"/>
  <c r="BF22" i="23"/>
  <c r="CY22" i="23" s="1"/>
  <c r="BE22" i="23"/>
  <c r="CX22" i="23" s="1"/>
  <c r="BD20" i="23"/>
  <c r="CW20" i="23" s="1"/>
  <c r="BE20" i="23"/>
  <c r="CX20" i="23" s="1"/>
  <c r="BF20" i="23"/>
  <c r="CY20" i="23" s="1"/>
  <c r="AV17" i="23"/>
  <c r="CO17" i="23" s="1"/>
  <c r="AU17" i="23"/>
  <c r="AW17" i="23"/>
  <c r="CP17" i="23" s="1"/>
  <c r="BB15" i="23"/>
  <c r="BA15" i="23"/>
  <c r="BC15" i="23"/>
  <c r="BC23" i="23"/>
  <c r="CV23" i="23" s="1"/>
  <c r="BB23" i="23"/>
  <c r="CU23" i="23" s="1"/>
  <c r="BA23" i="23"/>
  <c r="AV18" i="23"/>
  <c r="CO18" i="23" s="1"/>
  <c r="AW18" i="23"/>
  <c r="CP18" i="23" s="1"/>
  <c r="AU18" i="23"/>
  <c r="BA22" i="23"/>
  <c r="BC22" i="23"/>
  <c r="CV22" i="23" s="1"/>
  <c r="BB22" i="23"/>
  <c r="CU22" i="23" s="1"/>
  <c r="AL56" i="26" l="1"/>
  <c r="AD84" i="26"/>
  <c r="AD60" i="26" s="1"/>
  <c r="AA85" i="26"/>
  <c r="AA61" i="26" s="1"/>
  <c r="W84" i="26"/>
  <c r="W60" i="26" s="1"/>
  <c r="U82" i="26"/>
  <c r="U58" i="26" s="1"/>
  <c r="U84" i="26"/>
  <c r="U60" i="26" s="1"/>
  <c r="X80" i="26"/>
  <c r="X56" i="26" s="1"/>
  <c r="U85" i="26"/>
  <c r="U61" i="26" s="1"/>
  <c r="AB84" i="26"/>
  <c r="AB60" i="26" s="1"/>
  <c r="X84" i="26"/>
  <c r="X60" i="26" s="1"/>
  <c r="T78" i="26"/>
  <c r="T54" i="26" s="1"/>
  <c r="AC85" i="26"/>
  <c r="AC61" i="26" s="1"/>
  <c r="AA87" i="26"/>
  <c r="AA63" i="26" s="1"/>
  <c r="AD86" i="26"/>
  <c r="AD62" i="26" s="1"/>
  <c r="V86" i="26"/>
  <c r="V62" i="26" s="1"/>
  <c r="W82" i="26"/>
  <c r="W58" i="26" s="1"/>
  <c r="AB81" i="26"/>
  <c r="AB57" i="26" s="1"/>
  <c r="AB87" i="26"/>
  <c r="AB63" i="26" s="1"/>
  <c r="AB79" i="26"/>
  <c r="AA82" i="26"/>
  <c r="AA58" i="26" s="1"/>
  <c r="W85" i="26"/>
  <c r="W61" i="26" s="1"/>
  <c r="X83" i="26"/>
  <c r="X59" i="26" s="1"/>
  <c r="T83" i="26"/>
  <c r="T59" i="26" s="1"/>
  <c r="AB82" i="26"/>
  <c r="AB58" i="26" s="1"/>
  <c r="X86" i="26"/>
  <c r="X62" i="26" s="1"/>
  <c r="AC82" i="26"/>
  <c r="AC58" i="26" s="1"/>
  <c r="Z87" i="26"/>
  <c r="Z63" i="26" s="1"/>
  <c r="AC86" i="26"/>
  <c r="AC62" i="26" s="1"/>
  <c r="S78" i="26"/>
  <c r="S54" i="26" s="1"/>
  <c r="AC84" i="26"/>
  <c r="AC60" i="26" s="1"/>
  <c r="T82" i="26"/>
  <c r="T58" i="26" s="1"/>
  <c r="AC79" i="26"/>
  <c r="AC55" i="26" s="1"/>
  <c r="W87" i="26"/>
  <c r="W63" i="26" s="1"/>
  <c r="V83" i="26"/>
  <c r="AA86" i="26"/>
  <c r="AA62" i="26" s="1"/>
  <c r="AD87" i="26"/>
  <c r="AD63" i="26" s="1"/>
  <c r="T81" i="26"/>
  <c r="T57" i="26" s="1"/>
  <c r="S87" i="26"/>
  <c r="S63" i="26" s="1"/>
  <c r="AI63" i="26" s="1"/>
  <c r="X82" i="26"/>
  <c r="X58" i="26" s="1"/>
  <c r="U78" i="26"/>
  <c r="U54" i="26" s="1"/>
  <c r="AD82" i="26"/>
  <c r="AD58" i="26" s="1"/>
  <c r="U83" i="26"/>
  <c r="U59" i="26" s="1"/>
  <c r="Z84" i="26"/>
  <c r="Z60" i="26" s="1"/>
  <c r="X85" i="26"/>
  <c r="X61" i="26" s="1"/>
  <c r="AA84" i="26"/>
  <c r="AA60" i="26" s="1"/>
  <c r="T85" i="26"/>
  <c r="T61" i="26" s="1"/>
  <c r="V80" i="26"/>
  <c r="V56" i="26" s="1"/>
  <c r="W86" i="26"/>
  <c r="W62" i="26" s="1"/>
  <c r="AB86" i="26"/>
  <c r="AC81" i="26"/>
  <c r="AC57" i="26" s="1"/>
  <c r="AB85" i="26"/>
  <c r="AB61" i="26" s="1"/>
  <c r="AC87" i="26"/>
  <c r="AC63" i="26" s="1"/>
  <c r="Y80" i="26"/>
  <c r="AK80" i="26" s="1"/>
  <c r="T84" i="26"/>
  <c r="T60" i="26" s="1"/>
  <c r="AL80" i="26"/>
  <c r="AD81" i="26"/>
  <c r="AD57" i="26" s="1"/>
  <c r="U86" i="26"/>
  <c r="U62" i="26" s="1"/>
  <c r="AB83" i="26"/>
  <c r="U79" i="26"/>
  <c r="U55" i="26" s="1"/>
  <c r="U80" i="26"/>
  <c r="U56" i="26" s="1"/>
  <c r="Z83" i="26"/>
  <c r="Z59" i="26" s="1"/>
  <c r="W81" i="26"/>
  <c r="W57" i="26" s="1"/>
  <c r="T79" i="26"/>
  <c r="T55" i="26" s="1"/>
  <c r="Z85" i="26"/>
  <c r="Z61" i="26" s="1"/>
  <c r="Z82" i="26"/>
  <c r="Z58" i="26" s="1"/>
  <c r="Z86" i="26"/>
  <c r="Z62" i="26" s="1"/>
  <c r="AD79" i="26"/>
  <c r="AD55" i="26" s="1"/>
  <c r="T86" i="26"/>
  <c r="T62" i="26" s="1"/>
  <c r="X87" i="26"/>
  <c r="X63" i="26" s="1"/>
  <c r="U81" i="26"/>
  <c r="U57" i="26" s="1"/>
  <c r="AD83" i="26"/>
  <c r="AD59" i="26" s="1"/>
  <c r="V81" i="26"/>
  <c r="AJ79" i="26"/>
  <c r="Z81" i="26"/>
  <c r="Z57" i="26" s="1"/>
  <c r="AC83" i="26"/>
  <c r="AC59" i="26" s="1"/>
  <c r="Z79" i="26"/>
  <c r="Z55" i="26" s="1"/>
  <c r="AJ55" i="26"/>
  <c r="T80" i="26"/>
  <c r="T56" i="26" s="1"/>
  <c r="AA83" i="26"/>
  <c r="AA59" i="26" s="1"/>
  <c r="AA81" i="26"/>
  <c r="AA57" i="26" s="1"/>
  <c r="AA79" i="26"/>
  <c r="AA55" i="26" s="1"/>
  <c r="BG24" i="23"/>
  <c r="BQ24" i="23" s="1"/>
  <c r="BG17" i="23"/>
  <c r="BQ17" i="23" s="1"/>
  <c r="BG21" i="23"/>
  <c r="BQ21" i="23" s="1"/>
  <c r="BG20" i="23"/>
  <c r="BQ20" i="23" s="1"/>
  <c r="BG16" i="23"/>
  <c r="BQ16" i="23" s="1"/>
  <c r="CN16" i="23"/>
  <c r="BG23" i="23"/>
  <c r="BQ23" i="23" s="1"/>
  <c r="BG19" i="23"/>
  <c r="BQ19" i="23" s="1"/>
  <c r="BG22" i="23"/>
  <c r="BQ22" i="23" s="1"/>
  <c r="CN22" i="23"/>
  <c r="BH16" i="23"/>
  <c r="BO16" i="23" s="1"/>
  <c r="BG18" i="23"/>
  <c r="BQ18" i="23" s="1"/>
  <c r="AW25" i="23"/>
  <c r="CP25" i="23" s="1"/>
  <c r="CQ24" i="23"/>
  <c r="BH24" i="23"/>
  <c r="BO24" i="23" s="1"/>
  <c r="CY15" i="23"/>
  <c r="BF25" i="23"/>
  <c r="CY25" i="23" s="1"/>
  <c r="DW25" i="23" s="1"/>
  <c r="BD25" i="23"/>
  <c r="CW25" i="23" s="1"/>
  <c r="DU25" i="23" s="1"/>
  <c r="CW15" i="23"/>
  <c r="CT24" i="23"/>
  <c r="BI24" i="23"/>
  <c r="BP24" i="23" s="1"/>
  <c r="AY25" i="23"/>
  <c r="CR25" i="23" s="1"/>
  <c r="DP25" i="23" s="1"/>
  <c r="CR15" i="23"/>
  <c r="AX25" i="23"/>
  <c r="CQ25" i="23" s="1"/>
  <c r="DO25" i="23" s="1"/>
  <c r="CQ15" i="23"/>
  <c r="BH21" i="23"/>
  <c r="BO21" i="23" s="1"/>
  <c r="CN21" i="23"/>
  <c r="BI21" i="23"/>
  <c r="BP21" i="23" s="1"/>
  <c r="CT21" i="23"/>
  <c r="CQ22" i="23"/>
  <c r="CN20" i="23"/>
  <c r="BH20" i="23"/>
  <c r="BO20" i="23" s="1"/>
  <c r="BG15" i="23"/>
  <c r="BN15" i="23" s="1"/>
  <c r="CT15" i="23"/>
  <c r="BA25" i="23"/>
  <c r="BI15" i="23"/>
  <c r="BP15" i="23" s="1"/>
  <c r="BB25" i="23"/>
  <c r="CU25" i="23" s="1"/>
  <c r="DS25" i="23" s="1"/>
  <c r="CU15" i="23"/>
  <c r="CN17" i="23"/>
  <c r="BH17" i="23"/>
  <c r="BO17" i="23" s="1"/>
  <c r="AZ25" i="23"/>
  <c r="CS25" i="23" s="1"/>
  <c r="DQ25" i="23" s="1"/>
  <c r="CS15" i="23"/>
  <c r="AV25" i="23"/>
  <c r="CO25" i="23" s="1"/>
  <c r="BH15" i="23"/>
  <c r="BO15" i="23" s="1"/>
  <c r="DB17" i="23"/>
  <c r="DI17" i="23" s="1"/>
  <c r="AU25" i="23"/>
  <c r="CN18" i="23"/>
  <c r="BH18" i="23"/>
  <c r="BO18" i="23" s="1"/>
  <c r="BH23" i="23"/>
  <c r="BO23" i="23" s="1"/>
  <c r="CN23" i="23"/>
  <c r="BI23" i="23"/>
  <c r="BP23" i="23" s="1"/>
  <c r="CT23" i="23"/>
  <c r="BI19" i="23"/>
  <c r="BP19" i="23" s="1"/>
  <c r="CT19" i="23"/>
  <c r="CX15" i="23"/>
  <c r="BE25" i="23"/>
  <c r="CX25" i="23" s="1"/>
  <c r="DV25" i="23" s="1"/>
  <c r="CT22" i="23"/>
  <c r="BI22" i="23"/>
  <c r="BP22" i="23" s="1"/>
  <c r="BI18" i="23"/>
  <c r="BP18" i="23" s="1"/>
  <c r="CT18" i="23"/>
  <c r="BH22" i="23"/>
  <c r="BO22" i="23" s="1"/>
  <c r="CT20" i="23"/>
  <c r="BI20" i="23"/>
  <c r="BP20" i="23" s="1"/>
  <c r="BC25" i="23"/>
  <c r="CV25" i="23" s="1"/>
  <c r="DT25" i="23" s="1"/>
  <c r="CV15" i="23"/>
  <c r="BH19" i="23"/>
  <c r="BO19" i="23" s="1"/>
  <c r="CN19" i="23"/>
  <c r="BI16" i="23"/>
  <c r="BP16" i="23" s="1"/>
  <c r="CT16" i="23"/>
  <c r="DN25" i="23" l="1"/>
  <c r="AJ58" i="26"/>
  <c r="AJ83" i="26"/>
  <c r="AJ61" i="26"/>
  <c r="AJ86" i="26"/>
  <c r="AL63" i="26"/>
  <c r="AL86" i="26"/>
  <c r="AQ80" i="26"/>
  <c r="AL79" i="26"/>
  <c r="AJ56" i="26"/>
  <c r="AB55" i="26"/>
  <c r="AL55" i="26" s="1"/>
  <c r="AJ80" i="26"/>
  <c r="AI78" i="26"/>
  <c r="AI54" i="26"/>
  <c r="AL81" i="26"/>
  <c r="AL85" i="26"/>
  <c r="AL58" i="26"/>
  <c r="AL83" i="26"/>
  <c r="AJ62" i="26"/>
  <c r="AL87" i="26"/>
  <c r="AJ81" i="26"/>
  <c r="Y56" i="26"/>
  <c r="AK56" i="26" s="1"/>
  <c r="AQ56" i="26" s="1"/>
  <c r="AI87" i="26"/>
  <c r="AL82" i="26"/>
  <c r="Y86" i="26"/>
  <c r="AK86" i="26" s="1"/>
  <c r="Y87" i="26"/>
  <c r="Y63" i="26" s="1"/>
  <c r="AK63" i="26" s="1"/>
  <c r="AL57" i="26"/>
  <c r="S81" i="26"/>
  <c r="S57" i="26" s="1"/>
  <c r="AI57" i="26" s="1"/>
  <c r="AB78" i="26"/>
  <c r="AB54" i="26" s="1"/>
  <c r="S86" i="26"/>
  <c r="S62" i="26" s="1"/>
  <c r="AI62" i="26" s="1"/>
  <c r="Y78" i="26"/>
  <c r="Y54" i="26" s="1"/>
  <c r="AJ82" i="26"/>
  <c r="AL61" i="26"/>
  <c r="AA78" i="26"/>
  <c r="AA54" i="26" s="1"/>
  <c r="Y81" i="26"/>
  <c r="Y57" i="26" s="1"/>
  <c r="AK57" i="26" s="1"/>
  <c r="S82" i="26"/>
  <c r="AL60" i="26"/>
  <c r="Y79" i="26"/>
  <c r="Y55" i="26" s="1"/>
  <c r="AK55" i="26" s="1"/>
  <c r="AD78" i="26"/>
  <c r="AD54" i="26" s="1"/>
  <c r="Y82" i="26"/>
  <c r="AK82" i="26" s="1"/>
  <c r="V87" i="26"/>
  <c r="AJ87" i="26" s="1"/>
  <c r="Y83" i="26"/>
  <c r="AK83" i="26" s="1"/>
  <c r="Y85" i="26"/>
  <c r="AK85" i="26" s="1"/>
  <c r="AJ85" i="26"/>
  <c r="X78" i="26"/>
  <c r="X54" i="26" s="1"/>
  <c r="S84" i="26"/>
  <c r="V57" i="26"/>
  <c r="AJ57" i="26" s="1"/>
  <c r="AB62" i="26"/>
  <c r="AL62" i="26" s="1"/>
  <c r="AB59" i="26"/>
  <c r="AL59" i="26" s="1"/>
  <c r="V59" i="26"/>
  <c r="AJ59" i="26" s="1"/>
  <c r="Z78" i="26"/>
  <c r="Z54" i="26" s="1"/>
  <c r="S79" i="26"/>
  <c r="S55" i="26" s="1"/>
  <c r="AI55" i="26" s="1"/>
  <c r="AP55" i="26" s="1"/>
  <c r="S85" i="26"/>
  <c r="S61" i="26" s="1"/>
  <c r="AI61" i="26" s="1"/>
  <c r="AL84" i="26"/>
  <c r="V84" i="26"/>
  <c r="V60" i="26" s="1"/>
  <c r="AJ60" i="26" s="1"/>
  <c r="S83" i="26"/>
  <c r="AI83" i="26" s="1"/>
  <c r="Y84" i="26"/>
  <c r="Y60" i="26" s="1"/>
  <c r="AK60" i="26" s="1"/>
  <c r="V78" i="26"/>
  <c r="V54" i="26" s="1"/>
  <c r="AC78" i="26"/>
  <c r="AC54" i="26" s="1"/>
  <c r="S80" i="26"/>
  <c r="AI80" i="26" s="1"/>
  <c r="W78" i="26"/>
  <c r="W54" i="26" s="1"/>
  <c r="BN17" i="23"/>
  <c r="BN24" i="23"/>
  <c r="BN21" i="23"/>
  <c r="BN19" i="23"/>
  <c r="BN16" i="23"/>
  <c r="BN23" i="23"/>
  <c r="BN20" i="23"/>
  <c r="BN18" i="23"/>
  <c r="DA15" i="23"/>
  <c r="DH15" i="23" s="1"/>
  <c r="CZ15" i="23"/>
  <c r="DG15" i="23" s="1"/>
  <c r="BN22" i="23"/>
  <c r="BQ25" i="23"/>
  <c r="DM25" i="23" s="1"/>
  <c r="BQ15" i="23"/>
  <c r="DA16" i="23"/>
  <c r="DH16" i="23" s="1"/>
  <c r="DA20" i="23"/>
  <c r="DH20" i="23" s="1"/>
  <c r="CZ20" i="23"/>
  <c r="DG20" i="23" s="1"/>
  <c r="CZ17" i="23"/>
  <c r="DG17" i="23" s="1"/>
  <c r="DA17" i="23"/>
  <c r="DH17" i="23" s="1"/>
  <c r="DA22" i="23"/>
  <c r="DH22" i="23" s="1"/>
  <c r="CZ22" i="23"/>
  <c r="DG22" i="23" s="1"/>
  <c r="DB24" i="23"/>
  <c r="DI24" i="23" s="1"/>
  <c r="CZ21" i="23"/>
  <c r="DG21" i="23" s="1"/>
  <c r="DA21" i="23"/>
  <c r="DH21" i="23" s="1"/>
  <c r="BN25" i="23"/>
  <c r="BH25" i="23"/>
  <c r="BO25" i="23" s="1"/>
  <c r="CN25" i="23"/>
  <c r="DB19" i="23"/>
  <c r="DI19" i="23" s="1"/>
  <c r="DB20" i="23"/>
  <c r="DI20" i="23" s="1"/>
  <c r="DB18" i="23"/>
  <c r="DI18" i="23" s="1"/>
  <c r="DB21" i="23"/>
  <c r="DI21" i="23" s="1"/>
  <c r="DA24" i="23"/>
  <c r="DH24" i="23" s="1"/>
  <c r="CZ24" i="23"/>
  <c r="DG24" i="23" s="1"/>
  <c r="BI25" i="23"/>
  <c r="BP25" i="23" s="1"/>
  <c r="CT25" i="23"/>
  <c r="DR25" i="23" s="1"/>
  <c r="DB22" i="23"/>
  <c r="DI22" i="23" s="1"/>
  <c r="DB23" i="23"/>
  <c r="DI23" i="23" s="1"/>
  <c r="CZ23" i="23"/>
  <c r="DG23" i="23" s="1"/>
  <c r="DA23" i="23"/>
  <c r="DH23" i="23" s="1"/>
  <c r="DB16" i="23"/>
  <c r="DI16" i="23" s="1"/>
  <c r="CZ16" i="23"/>
  <c r="DB15" i="23"/>
  <c r="DI15" i="23" s="1"/>
  <c r="CZ19" i="23"/>
  <c r="DG19" i="23" s="1"/>
  <c r="DA19" i="23"/>
  <c r="DH19" i="23" s="1"/>
  <c r="DA18" i="23"/>
  <c r="DH18" i="23" s="1"/>
  <c r="CZ18" i="23"/>
  <c r="DG18" i="23" s="1"/>
  <c r="DZ25" i="23" l="1"/>
  <c r="EG25" i="23" s="1"/>
  <c r="DX25" i="23"/>
  <c r="EE25" i="23" s="1"/>
  <c r="DY25" i="23"/>
  <c r="EF25" i="23" s="1"/>
  <c r="AP61" i="26"/>
  <c r="AP83" i="26"/>
  <c r="AQ83" i="26"/>
  <c r="AQ63" i="26"/>
  <c r="AQ85" i="26"/>
  <c r="AQ86" i="26"/>
  <c r="AQ57" i="26"/>
  <c r="AP80" i="26"/>
  <c r="AQ55" i="26"/>
  <c r="V63" i="26"/>
  <c r="AE63" i="26" s="1"/>
  <c r="Y62" i="26"/>
  <c r="AK62" i="26" s="1"/>
  <c r="AM62" i="26" s="1"/>
  <c r="AK54" i="26"/>
  <c r="AP62" i="26"/>
  <c r="AQ60" i="26"/>
  <c r="AQ82" i="26"/>
  <c r="AK79" i="26"/>
  <c r="AQ79" i="26" s="1"/>
  <c r="AE82" i="26"/>
  <c r="AK84" i="26"/>
  <c r="AQ84" i="26" s="1"/>
  <c r="AK78" i="26"/>
  <c r="AP87" i="26"/>
  <c r="AI86" i="26"/>
  <c r="AM86" i="26" s="1"/>
  <c r="AP57" i="26"/>
  <c r="Y58" i="26"/>
  <c r="AK58" i="26" s="1"/>
  <c r="AQ58" i="26" s="1"/>
  <c r="AE84" i="26"/>
  <c r="AI84" i="26"/>
  <c r="AE85" i="26"/>
  <c r="S60" i="26"/>
  <c r="AI60" i="26" s="1"/>
  <c r="AP60" i="26" s="1"/>
  <c r="S56" i="26"/>
  <c r="AE56" i="26" s="1"/>
  <c r="Y59" i="26"/>
  <c r="AK59" i="26" s="1"/>
  <c r="AQ59" i="26" s="1"/>
  <c r="AE86" i="26"/>
  <c r="AM80" i="26"/>
  <c r="AE81" i="26"/>
  <c r="AE79" i="26"/>
  <c r="AK81" i="26"/>
  <c r="AQ81" i="26" s="1"/>
  <c r="AI79" i="26"/>
  <c r="AP79" i="26" s="1"/>
  <c r="AE83" i="26"/>
  <c r="AJ84" i="26"/>
  <c r="AE80" i="26"/>
  <c r="AJ78" i="26"/>
  <c r="AP78" i="26" s="1"/>
  <c r="AE78" i="26"/>
  <c r="AL78" i="26"/>
  <c r="AI82" i="26"/>
  <c r="AP82" i="26" s="1"/>
  <c r="AI81" i="26"/>
  <c r="AP81" i="26" s="1"/>
  <c r="S59" i="26"/>
  <c r="AI59" i="26" s="1"/>
  <c r="AP59" i="26" s="1"/>
  <c r="AI85" i="26"/>
  <c r="AP85" i="26" s="1"/>
  <c r="AK87" i="26"/>
  <c r="AM87" i="26" s="1"/>
  <c r="Y61" i="26"/>
  <c r="AK61" i="26" s="1"/>
  <c r="AQ61" i="26" s="1"/>
  <c r="AE87" i="26"/>
  <c r="AL54" i="26"/>
  <c r="S58" i="26"/>
  <c r="AI58" i="26" s="1"/>
  <c r="AP58" i="26" s="1"/>
  <c r="AM57" i="26"/>
  <c r="AE55" i="26"/>
  <c r="AM55" i="26"/>
  <c r="AE57" i="26"/>
  <c r="AM83" i="26"/>
  <c r="AE54" i="26"/>
  <c r="AJ54" i="26"/>
  <c r="DB25" i="23"/>
  <c r="DI25" i="23" s="1"/>
  <c r="CZ25" i="23"/>
  <c r="DG25" i="23" s="1"/>
  <c r="DA25" i="23"/>
  <c r="DH25" i="23" s="1"/>
  <c r="DG16" i="23"/>
  <c r="AE60" i="26" l="1"/>
  <c r="AE62" i="26"/>
  <c r="AN62" i="26" s="1"/>
  <c r="AQ62" i="26"/>
  <c r="AR62" i="26" s="1"/>
  <c r="AJ63" i="26"/>
  <c r="AP63" i="26" s="1"/>
  <c r="AR80" i="26"/>
  <c r="AR55" i="26"/>
  <c r="AR57" i="26"/>
  <c r="AQ78" i="26"/>
  <c r="AM58" i="26"/>
  <c r="AR58" i="26" s="1"/>
  <c r="AM59" i="26"/>
  <c r="AR59" i="26" s="1"/>
  <c r="AP86" i="26"/>
  <c r="AR86" i="26" s="1"/>
  <c r="AQ54" i="26"/>
  <c r="AP84" i="26"/>
  <c r="AN83" i="26"/>
  <c r="AN80" i="26"/>
  <c r="AM84" i="26"/>
  <c r="AN84" i="26" s="1"/>
  <c r="AN86" i="26"/>
  <c r="AQ87" i="26"/>
  <c r="AR87" i="26" s="1"/>
  <c r="AE61" i="26"/>
  <c r="AI56" i="26"/>
  <c r="AM56" i="26" s="1"/>
  <c r="AN56" i="26" s="1"/>
  <c r="AM60" i="26"/>
  <c r="AR60" i="26" s="1"/>
  <c r="AG87" i="26"/>
  <c r="AH87" i="26" s="1"/>
  <c r="AM78" i="26"/>
  <c r="AN78" i="26" s="1"/>
  <c r="AM82" i="26"/>
  <c r="AN82" i="26" s="1"/>
  <c r="AM61" i="26"/>
  <c r="AR61" i="26" s="1"/>
  <c r="AN87" i="26"/>
  <c r="AM79" i="26"/>
  <c r="AN79" i="26" s="1"/>
  <c r="AM81" i="26"/>
  <c r="AN81" i="26" s="1"/>
  <c r="AE59" i="26"/>
  <c r="AE58" i="26"/>
  <c r="AM85" i="26"/>
  <c r="AN85" i="26" s="1"/>
  <c r="AR83" i="26"/>
  <c r="AM54" i="26"/>
  <c r="AN54" i="26" s="1"/>
  <c r="AP54" i="26"/>
  <c r="AN57" i="26"/>
  <c r="AN55" i="26"/>
  <c r="AN59" i="26" l="1"/>
  <c r="AM63" i="26"/>
  <c r="AN63" i="26" s="1"/>
  <c r="AR84" i="26"/>
  <c r="AN58" i="26"/>
  <c r="AN61" i="26"/>
  <c r="AR78" i="26"/>
  <c r="AR82" i="26"/>
  <c r="AR85" i="26"/>
  <c r="AN60" i="26"/>
  <c r="AP56" i="26"/>
  <c r="AR56" i="26" s="1"/>
  <c r="AR79" i="26"/>
  <c r="AR81" i="26"/>
  <c r="AR54" i="26"/>
  <c r="AR63" i="26" l="1"/>
  <c r="BD26" i="27" l="1"/>
  <c r="BD25" i="27" s="1"/>
  <c r="BE25" i="27" s="1"/>
  <c r="BE26" i="27" s="1"/>
  <c r="Q47" i="17"/>
  <c r="S47" i="17"/>
  <c r="S48" i="17" s="1"/>
  <c r="I48" i="17"/>
  <c r="DP27" i="23"/>
  <c r="DP31" i="23" s="1"/>
  <c r="K48" i="17"/>
  <c r="DR27" i="23"/>
  <c r="DR39" i="23" s="1"/>
  <c r="O48" i="17"/>
  <c r="DV27" i="23"/>
  <c r="DV34" i="23" s="1"/>
  <c r="DO27" i="23"/>
  <c r="DO40" i="23" s="1"/>
  <c r="DL27" i="23"/>
  <c r="DL30" i="23" s="1"/>
  <c r="G48" i="17"/>
  <c r="DN27" i="23"/>
  <c r="DN30" i="23" s="1"/>
  <c r="F48" i="17"/>
  <c r="DM27" i="23"/>
  <c r="DM31" i="23" s="1"/>
  <c r="M48" i="17"/>
  <c r="DT27" i="23"/>
  <c r="DT37" i="23" s="1"/>
  <c r="L48" i="17"/>
  <c r="DS27" i="23"/>
  <c r="DS34" i="23" s="1"/>
  <c r="J48" i="17"/>
  <c r="DQ27" i="23"/>
  <c r="DQ39" i="23" s="1"/>
  <c r="DU27" i="23"/>
  <c r="DU32" i="23" s="1"/>
  <c r="E48" i="17"/>
  <c r="W47" i="17"/>
  <c r="H48" i="17"/>
  <c r="R47" i="17"/>
  <c r="R48" i="17" s="1"/>
  <c r="N48" i="17"/>
  <c r="T47" i="17"/>
  <c r="T48" i="17" s="1"/>
  <c r="P48" i="17"/>
  <c r="DW27" i="23"/>
  <c r="DW40" i="23" s="1"/>
  <c r="DT34" i="23" l="1"/>
  <c r="DS39" i="23"/>
  <c r="DV38" i="23"/>
  <c r="DT39" i="23"/>
  <c r="DT31" i="23"/>
  <c r="DM34" i="23"/>
  <c r="DR40" i="23"/>
  <c r="DU38" i="23"/>
  <c r="DQ40" i="23"/>
  <c r="DU33" i="23"/>
  <c r="DQ31" i="23"/>
  <c r="DV39" i="23"/>
  <c r="DL31" i="23"/>
  <c r="DO32" i="23"/>
  <c r="DW32" i="23"/>
  <c r="DM40" i="23"/>
  <c r="DT30" i="23"/>
  <c r="DQ33" i="23"/>
  <c r="DV40" i="23"/>
  <c r="DW31" i="23"/>
  <c r="DQ38" i="23"/>
  <c r="DM33" i="23"/>
  <c r="DV33" i="23"/>
  <c r="DO38" i="23"/>
  <c r="DQ32" i="23"/>
  <c r="DN40" i="23"/>
  <c r="DV32" i="23"/>
  <c r="DQ34" i="23"/>
  <c r="EC27" i="23"/>
  <c r="DQ30" i="23"/>
  <c r="DO34" i="23"/>
  <c r="DN39" i="23"/>
  <c r="DP38" i="23"/>
  <c r="DR34" i="23"/>
  <c r="U47" i="17"/>
  <c r="U48" i="17" s="1"/>
  <c r="DO30" i="23"/>
  <c r="DN32" i="23"/>
  <c r="DR33" i="23"/>
  <c r="DN38" i="23"/>
  <c r="DU37" i="23"/>
  <c r="DN33" i="23"/>
  <c r="DV37" i="23"/>
  <c r="DT32" i="23"/>
  <c r="DN31" i="23"/>
  <c r="Q48" i="17"/>
  <c r="DP32" i="23"/>
  <c r="DW33" i="23"/>
  <c r="DS31" i="23"/>
  <c r="DN34" i="23"/>
  <c r="DV31" i="23"/>
  <c r="DP40" i="23"/>
  <c r="DS30" i="23"/>
  <c r="DQ37" i="23"/>
  <c r="DM30" i="23"/>
  <c r="DN37" i="23"/>
  <c r="DV30" i="23"/>
  <c r="DP34" i="23"/>
  <c r="ED27" i="23"/>
  <c r="DY27" i="23"/>
  <c r="EF27" i="23" s="1"/>
  <c r="DU31" i="23"/>
  <c r="DP39" i="23"/>
  <c r="DL33" i="23"/>
  <c r="DL39" i="23"/>
  <c r="DS38" i="23"/>
  <c r="DM39" i="23"/>
  <c r="DO39" i="23"/>
  <c r="DU39" i="23"/>
  <c r="DS37" i="23"/>
  <c r="DP30" i="23"/>
  <c r="DW34" i="23"/>
  <c r="DS33" i="23"/>
  <c r="DW37" i="23"/>
  <c r="DS32" i="23"/>
  <c r="DM32" i="23"/>
  <c r="DL34" i="23"/>
  <c r="DU30" i="23"/>
  <c r="DW38" i="23"/>
  <c r="DU40" i="23"/>
  <c r="DW30" i="23"/>
  <c r="DS40" i="23"/>
  <c r="DM38" i="23"/>
  <c r="DX27" i="23"/>
  <c r="EE27" i="23" s="1"/>
  <c r="DU34" i="23"/>
  <c r="DP33" i="23"/>
  <c r="DM37" i="23"/>
  <c r="DP37" i="23"/>
  <c r="DO31" i="23"/>
  <c r="DR38" i="23"/>
  <c r="DR30" i="23"/>
  <c r="DR37" i="23"/>
  <c r="DW39" i="23"/>
  <c r="DT40" i="23"/>
  <c r="EA27" i="23"/>
  <c r="DZ27" i="23"/>
  <c r="EG27" i="23" s="1"/>
  <c r="V47" i="17"/>
  <c r="V48" i="17" s="1"/>
  <c r="EB27" i="23"/>
  <c r="DL32" i="23"/>
  <c r="DL37" i="23"/>
  <c r="DL38" i="23"/>
  <c r="DR31" i="23"/>
  <c r="DO33" i="23"/>
  <c r="DT38" i="23"/>
  <c r="DL40" i="23"/>
  <c r="DO37" i="23"/>
  <c r="DR32" i="23"/>
  <c r="DT33" i="23"/>
  <c r="DW29" i="23" l="1"/>
  <c r="ED40" i="23"/>
  <c r="ED38" i="23"/>
  <c r="EC34" i="23"/>
  <c r="EC39" i="23"/>
  <c r="EB32" i="23"/>
  <c r="DT29" i="23"/>
  <c r="EB31" i="23"/>
  <c r="ED32" i="23"/>
  <c r="EA31" i="23"/>
  <c r="EB38" i="23"/>
  <c r="DS29" i="23"/>
  <c r="ED39" i="23"/>
  <c r="EB40" i="23"/>
  <c r="EB39" i="23"/>
  <c r="DX31" i="23"/>
  <c r="EE31" i="23" s="1"/>
  <c r="DL29" i="23"/>
  <c r="DZ40" i="23"/>
  <c r="EG40" i="23" s="1"/>
  <c r="DQ29" i="23"/>
  <c r="DV36" i="23"/>
  <c r="DM29" i="23"/>
  <c r="DN29" i="23"/>
  <c r="ED33" i="23"/>
  <c r="DT36" i="23"/>
  <c r="EB34" i="23"/>
  <c r="EB33" i="23"/>
  <c r="DN36" i="23"/>
  <c r="ED34" i="23"/>
  <c r="DQ36" i="23"/>
  <c r="DZ33" i="23"/>
  <c r="EG33" i="23" s="1"/>
  <c r="EB37" i="23"/>
  <c r="DO36" i="23"/>
  <c r="EA30" i="23"/>
  <c r="EA39" i="23"/>
  <c r="DX39" i="23"/>
  <c r="EE39" i="23" s="1"/>
  <c r="DY39" i="23"/>
  <c r="EF39" i="23" s="1"/>
  <c r="DY30" i="23"/>
  <c r="EF30" i="23" s="1"/>
  <c r="DX40" i="23"/>
  <c r="EE40" i="23" s="1"/>
  <c r="DY40" i="23"/>
  <c r="EF40" i="23" s="1"/>
  <c r="EA40" i="23"/>
  <c r="DZ32" i="23"/>
  <c r="EG32" i="23" s="1"/>
  <c r="EC32" i="23"/>
  <c r="DR36" i="23"/>
  <c r="DZ37" i="23"/>
  <c r="EG37" i="23" s="1"/>
  <c r="EC37" i="23"/>
  <c r="EC33" i="23"/>
  <c r="DX30" i="23"/>
  <c r="EE30" i="23" s="1"/>
  <c r="DY34" i="23"/>
  <c r="EF34" i="23" s="1"/>
  <c r="EA34" i="23"/>
  <c r="DX34" i="23"/>
  <c r="EE34" i="23" s="1"/>
  <c r="DU29" i="23"/>
  <c r="ED30" i="23"/>
  <c r="DP36" i="23"/>
  <c r="DY31" i="23"/>
  <c r="EF31" i="23" s="1"/>
  <c r="DM36" i="23"/>
  <c r="DV29" i="23"/>
  <c r="DR29" i="23"/>
  <c r="DZ30" i="23"/>
  <c r="EG30" i="23" s="1"/>
  <c r="EC30" i="23"/>
  <c r="EC38" i="23"/>
  <c r="DZ38" i="23"/>
  <c r="EG38" i="23" s="1"/>
  <c r="DZ31" i="23"/>
  <c r="EG31" i="23" s="1"/>
  <c r="EC31" i="23"/>
  <c r="ED37" i="23"/>
  <c r="DW36" i="23"/>
  <c r="DU36" i="23"/>
  <c r="DX32" i="23"/>
  <c r="EE32" i="23" s="1"/>
  <c r="DY32" i="23"/>
  <c r="EF32" i="23" s="1"/>
  <c r="EA32" i="23"/>
  <c r="DO29" i="23"/>
  <c r="DZ39" i="23"/>
  <c r="EG39" i="23" s="1"/>
  <c r="DY33" i="23"/>
  <c r="EF33" i="23" s="1"/>
  <c r="DX33" i="23"/>
  <c r="EE33" i="23" s="1"/>
  <c r="EA33" i="23"/>
  <c r="ED31" i="23"/>
  <c r="DX38" i="23"/>
  <c r="EE38" i="23" s="1"/>
  <c r="DY38" i="23"/>
  <c r="EF38" i="23" s="1"/>
  <c r="EA38" i="23"/>
  <c r="DX37" i="23"/>
  <c r="EE37" i="23" s="1"/>
  <c r="DY37" i="23"/>
  <c r="EF37" i="23" s="1"/>
  <c r="EA37" i="23"/>
  <c r="DL36" i="23"/>
  <c r="DZ34" i="23"/>
  <c r="EG34" i="23" s="1"/>
  <c r="EB30" i="23"/>
  <c r="DP29" i="23"/>
  <c r="EC40" i="23"/>
  <c r="DS36" i="23"/>
  <c r="ED36" i="23" l="1"/>
  <c r="EA29" i="23"/>
  <c r="DY29" i="23"/>
  <c r="EF29" i="23" s="1"/>
  <c r="DZ29" i="23"/>
  <c r="EG29" i="23" s="1"/>
  <c r="EC29" i="23"/>
  <c r="DX29" i="23"/>
  <c r="EE29" i="23" s="1"/>
  <c r="EB36" i="23"/>
  <c r="DY36" i="23"/>
  <c r="EF36" i="23" s="1"/>
  <c r="DX36" i="23"/>
  <c r="EE36" i="23" s="1"/>
  <c r="EA36" i="23"/>
  <c r="DZ36" i="23"/>
  <c r="EG36" i="23" s="1"/>
  <c r="EC36" i="23"/>
  <c r="EB29" i="23"/>
  <c r="ED29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tc={17896F1E-F093-4DA2-BEE3-04B771605BB7}</author>
  </authors>
  <commentList>
    <comment ref="Y30" authorId="0" shapeId="0" xr:uid="{17896F1E-F093-4DA2-BEE3-04B771605BB7}">
      <text>
        <t>[线程批注]
你的Excel版本可读取此线程批注; 但如果在更新版本的Excel中打开文件，则对批注所作的任何改动都将被删除。了解详细信息: https://go.microsoft.com/fwlink/?linkid=870924
注释:
    修改这里</t>
      </text>
    </comment>
  </commentList>
</comments>
</file>

<file path=xl/sharedStrings.xml><?xml version="1.0" encoding="utf-8"?>
<sst xmlns="http://schemas.openxmlformats.org/spreadsheetml/2006/main" count="8814" uniqueCount="1191">
  <si>
    <t>MA</t>
    <phoneticPr fontId="8" type="noConversion"/>
  </si>
  <si>
    <t>Nef</t>
    <phoneticPr fontId="8" type="noConversion"/>
  </si>
  <si>
    <t>MKT</t>
    <phoneticPr fontId="8" type="noConversion"/>
  </si>
  <si>
    <t>BI</t>
    <phoneticPr fontId="8" type="noConversion"/>
  </si>
  <si>
    <t>Sales</t>
    <phoneticPr fontId="8" type="noConversion"/>
  </si>
  <si>
    <t>In-MKT</t>
    <phoneticPr fontId="8" type="noConversion"/>
  </si>
  <si>
    <t>万</t>
    <phoneticPr fontId="8" type="noConversion"/>
  </si>
  <si>
    <t>To-MKT</t>
    <phoneticPr fontId="8" type="noConversion"/>
  </si>
  <si>
    <t>Nefecon</t>
    <phoneticPr fontId="8" type="noConversion"/>
  </si>
  <si>
    <t>In-Market Vol.</t>
    <phoneticPr fontId="8" type="noConversion"/>
  </si>
  <si>
    <t>Cost of goods</t>
    <phoneticPr fontId="8" type="noConversion"/>
  </si>
  <si>
    <t>Royalty</t>
    <phoneticPr fontId="8" type="noConversion"/>
  </si>
  <si>
    <t>Sales Milestone</t>
    <phoneticPr fontId="8" type="noConversion"/>
  </si>
  <si>
    <t>AM for License</t>
    <phoneticPr fontId="8" type="noConversion"/>
  </si>
  <si>
    <t>COGS</t>
    <phoneticPr fontId="8" type="noConversion"/>
  </si>
  <si>
    <t>Gross Margin</t>
    <phoneticPr fontId="8" type="noConversion"/>
  </si>
  <si>
    <t>C&amp;B</t>
    <phoneticPr fontId="8" type="noConversion"/>
  </si>
  <si>
    <t>A&amp;P</t>
    <phoneticPr fontId="8" type="noConversion"/>
  </si>
  <si>
    <t>CSO</t>
    <phoneticPr fontId="8" type="noConversion"/>
  </si>
  <si>
    <t>T&amp;E</t>
    <phoneticPr fontId="8" type="noConversion"/>
  </si>
  <si>
    <t>Others</t>
    <phoneticPr fontId="8" type="noConversion"/>
  </si>
  <si>
    <t>Expense</t>
    <phoneticPr fontId="8" type="noConversion"/>
  </si>
  <si>
    <t>Marginal Profit</t>
    <phoneticPr fontId="8" type="noConversion"/>
  </si>
  <si>
    <t>费销比</t>
    <phoneticPr fontId="8" type="noConversion"/>
  </si>
  <si>
    <t>Price</t>
    <phoneticPr fontId="8" type="noConversion"/>
  </si>
  <si>
    <t>2025 Est</t>
    <phoneticPr fontId="8" type="noConversion"/>
  </si>
  <si>
    <t>CSO-Comission</t>
    <phoneticPr fontId="8" type="noConversion"/>
  </si>
  <si>
    <t>CSO-A&amp;P</t>
    <phoneticPr fontId="8" type="noConversion"/>
  </si>
  <si>
    <t>KA</t>
    <phoneticPr fontId="8" type="noConversion"/>
  </si>
  <si>
    <t>MME</t>
    <phoneticPr fontId="8" type="noConversion"/>
  </si>
  <si>
    <t>比例</t>
    <phoneticPr fontId="8" type="noConversion"/>
  </si>
  <si>
    <t>金额</t>
    <phoneticPr fontId="8" type="noConversion"/>
  </si>
  <si>
    <t>SCM</t>
    <phoneticPr fontId="8" type="noConversion"/>
  </si>
  <si>
    <t>SFE</t>
    <phoneticPr fontId="8" type="noConversion"/>
  </si>
  <si>
    <t>Channel</t>
    <phoneticPr fontId="8" type="noConversion"/>
  </si>
  <si>
    <t>Total A&amp;P</t>
    <phoneticPr fontId="8" type="noConversion"/>
  </si>
  <si>
    <t>Gr</t>
    <phoneticPr fontId="8" type="noConversion"/>
  </si>
  <si>
    <t>Gr%</t>
  </si>
  <si>
    <t>Gr%</t>
    <phoneticPr fontId="8" type="noConversion"/>
  </si>
  <si>
    <t>Total Direct</t>
    <phoneticPr fontId="8" type="noConversion"/>
  </si>
  <si>
    <t>Total Indirect</t>
    <phoneticPr fontId="8" type="noConversion"/>
  </si>
  <si>
    <t>MME+Training</t>
    <phoneticPr fontId="8" type="noConversion"/>
  </si>
  <si>
    <t>Xerava</t>
    <phoneticPr fontId="8" type="noConversion"/>
  </si>
  <si>
    <t>Adj</t>
    <phoneticPr fontId="8" type="noConversion"/>
  </si>
  <si>
    <t>After Adj</t>
    <phoneticPr fontId="8" type="noConversion"/>
  </si>
  <si>
    <t>Adjustment</t>
    <phoneticPr fontId="8" type="noConversion"/>
  </si>
  <si>
    <t>Etrasimod</t>
    <phoneticPr fontId="8" type="noConversion"/>
  </si>
  <si>
    <t>% of A&amp;P</t>
    <phoneticPr fontId="8" type="noConversion"/>
  </si>
  <si>
    <t>调整%</t>
    <phoneticPr fontId="8" type="noConversion"/>
  </si>
  <si>
    <t>调整后%</t>
    <phoneticPr fontId="8" type="noConversion"/>
  </si>
  <si>
    <t>调整后金额</t>
  </si>
  <si>
    <t>调整后金额</t>
    <phoneticPr fontId="8" type="noConversion"/>
  </si>
  <si>
    <t>NG</t>
  </si>
  <si>
    <t>NG</t>
    <phoneticPr fontId="8" type="noConversion"/>
  </si>
  <si>
    <t>Total Exp</t>
    <phoneticPr fontId="8" type="noConversion"/>
  </si>
  <si>
    <t>In-MKT Val</t>
    <phoneticPr fontId="8" type="noConversion"/>
  </si>
  <si>
    <t>In-MKT Vol</t>
    <phoneticPr fontId="8" type="noConversion"/>
  </si>
  <si>
    <t>Selling Exp %</t>
    <phoneticPr fontId="8" type="noConversion"/>
  </si>
  <si>
    <t>Other A&amp;P</t>
    <phoneticPr fontId="8" type="noConversion"/>
  </si>
  <si>
    <t>To-MKT Vol</t>
    <phoneticPr fontId="8" type="noConversion"/>
  </si>
  <si>
    <t>To-MKT Val</t>
    <phoneticPr fontId="8" type="noConversion"/>
  </si>
  <si>
    <t>Total Selling Exp</t>
    <phoneticPr fontId="8" type="noConversion"/>
  </si>
  <si>
    <t>Year-End HC-MR</t>
    <phoneticPr fontId="8" type="noConversion"/>
  </si>
  <si>
    <t>Productivity （Vol)</t>
    <phoneticPr fontId="8" type="noConversion"/>
  </si>
  <si>
    <t>Productivity （Val)</t>
    <phoneticPr fontId="8" type="noConversion"/>
  </si>
  <si>
    <t>222 MR</t>
    <phoneticPr fontId="8" type="noConversion"/>
  </si>
  <si>
    <t>Per MR</t>
    <phoneticPr fontId="8" type="noConversion"/>
  </si>
  <si>
    <t>MR 新增</t>
    <phoneticPr fontId="8" type="noConversion"/>
  </si>
  <si>
    <t>C&amp;B新增</t>
    <phoneticPr fontId="8" type="noConversion"/>
  </si>
  <si>
    <t>原DSM</t>
    <phoneticPr fontId="8" type="noConversion"/>
  </si>
  <si>
    <t>原MR</t>
    <phoneticPr fontId="8" type="noConversion"/>
  </si>
  <si>
    <t>SOC</t>
    <phoneticPr fontId="8" type="noConversion"/>
  </si>
  <si>
    <t>新增DSM</t>
    <phoneticPr fontId="8" type="noConversion"/>
  </si>
  <si>
    <t>原DSM C&amp;B</t>
    <phoneticPr fontId="8" type="noConversion"/>
  </si>
  <si>
    <t>Per DSM</t>
    <phoneticPr fontId="8" type="noConversion"/>
  </si>
  <si>
    <t>总C&amp;B新增</t>
    <phoneticPr fontId="8" type="noConversion"/>
  </si>
  <si>
    <t>Total Selling</t>
    <phoneticPr fontId="8" type="noConversion"/>
  </si>
  <si>
    <t>自营</t>
    <phoneticPr fontId="8" type="noConversion"/>
  </si>
  <si>
    <t>Total</t>
    <phoneticPr fontId="8" type="noConversion"/>
  </si>
  <si>
    <t>Q1</t>
    <phoneticPr fontId="8" type="noConversion"/>
  </si>
  <si>
    <t>Q2</t>
    <phoneticPr fontId="8" type="noConversion"/>
  </si>
  <si>
    <t>Q3</t>
    <phoneticPr fontId="8" type="noConversion"/>
  </si>
  <si>
    <t>Q4</t>
    <phoneticPr fontId="8" type="noConversion"/>
  </si>
  <si>
    <t>% of In-mkt</t>
    <phoneticPr fontId="8" type="noConversion"/>
  </si>
  <si>
    <t>25 Est</t>
    <phoneticPr fontId="8" type="noConversion"/>
  </si>
  <si>
    <t>FY</t>
    <phoneticPr fontId="8" type="noConversion"/>
  </si>
  <si>
    <t>Xerava-Own</t>
    <phoneticPr fontId="8" type="noConversion"/>
  </si>
  <si>
    <t>Nefecon-Own</t>
    <phoneticPr fontId="8" type="noConversion"/>
  </si>
  <si>
    <t>26 Target</t>
    <phoneticPr fontId="8" type="noConversion"/>
  </si>
  <si>
    <t>Q on Q GR%</t>
    <phoneticPr fontId="8" type="noConversion"/>
  </si>
  <si>
    <t>Xerava-CSO</t>
    <phoneticPr fontId="8" type="noConversion"/>
  </si>
  <si>
    <t>Nefecon-CSO</t>
    <phoneticPr fontId="8" type="noConversion"/>
  </si>
  <si>
    <t>Exp</t>
    <phoneticPr fontId="8" type="noConversion"/>
  </si>
  <si>
    <t>DSM</t>
  </si>
  <si>
    <t>MR</t>
  </si>
  <si>
    <t>Xerava</t>
  </si>
  <si>
    <t>Nefecon</t>
  </si>
  <si>
    <t>RSD</t>
  </si>
  <si>
    <t>RSD</t>
    <phoneticPr fontId="8" type="noConversion"/>
  </si>
  <si>
    <t>Brand</t>
    <phoneticPr fontId="8" type="noConversion"/>
  </si>
  <si>
    <t>Jan</t>
    <phoneticPr fontId="8" type="noConversion"/>
  </si>
  <si>
    <t>Feb</t>
    <phoneticPr fontId="8" type="noConversion"/>
  </si>
  <si>
    <t>Mar</t>
  </si>
  <si>
    <t>Mar</t>
    <phoneticPr fontId="8" type="noConversion"/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</si>
  <si>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</si>
  <si>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</si>
  <si>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</si>
  <si>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</si>
  <si>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</si>
  <si>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</si>
  <si>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</si>
  <si>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</si>
  <si>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</si>
  <si>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Xerava Comission</t>
  </si>
  <si>
    <t>Nefecon Comission</t>
  </si>
  <si>
    <t>Xerava CSO</t>
    <phoneticPr fontId="8" type="noConversion"/>
  </si>
  <si>
    <t>Nefecon CSO</t>
    <phoneticPr fontId="8" type="noConversion"/>
  </si>
  <si>
    <t>Xerava CSO-Draft</t>
    <phoneticPr fontId="8" type="noConversion"/>
  </si>
  <si>
    <t>Nefecon CSO-Draft</t>
    <phoneticPr fontId="8" type="noConversion"/>
  </si>
  <si>
    <t>Volume</t>
    <phoneticPr fontId="8" type="noConversion"/>
  </si>
  <si>
    <t>MA-Nef</t>
    <phoneticPr fontId="8" type="noConversion"/>
  </si>
  <si>
    <t>MSL</t>
    <phoneticPr fontId="8" type="noConversion"/>
  </si>
  <si>
    <t>新增</t>
    <phoneticPr fontId="8" type="noConversion"/>
  </si>
  <si>
    <t>新增后</t>
    <phoneticPr fontId="8" type="noConversion"/>
  </si>
  <si>
    <t>2H</t>
    <phoneticPr fontId="8" type="noConversion"/>
  </si>
  <si>
    <t>FY FTE</t>
    <phoneticPr fontId="8" type="noConversion"/>
  </si>
  <si>
    <t>建议26标准</t>
  </si>
  <si>
    <t>DSM-单城</t>
  </si>
  <si>
    <t>DSM-多城</t>
  </si>
  <si>
    <t>Velsipity</t>
  </si>
  <si>
    <t>Velsipity</t>
    <phoneticPr fontId="8" type="noConversion"/>
  </si>
  <si>
    <t>RMM</t>
  </si>
  <si>
    <t>总计</t>
  </si>
  <si>
    <t>Etrasimod</t>
  </si>
  <si>
    <t>RSD+NSD</t>
    <phoneticPr fontId="8" type="noConversion"/>
  </si>
  <si>
    <t>T&amp;E</t>
  </si>
  <si>
    <t>DSM</t>
    <phoneticPr fontId="8" type="noConversion"/>
  </si>
  <si>
    <t>MR</t>
    <phoneticPr fontId="8" type="noConversion"/>
  </si>
  <si>
    <t>总计</t>
    <phoneticPr fontId="8" type="noConversion"/>
  </si>
  <si>
    <t>26 vs. 25</t>
    <phoneticPr fontId="8" type="noConversion"/>
  </si>
  <si>
    <t>CC</t>
    <phoneticPr fontId="19" type="noConversion"/>
  </si>
  <si>
    <t>Dept Name</t>
    <phoneticPr fontId="19" type="noConversion"/>
  </si>
  <si>
    <t>Account</t>
    <phoneticPr fontId="19" type="noConversion"/>
  </si>
  <si>
    <t>Project</t>
    <phoneticPr fontId="8" type="noConversion"/>
  </si>
  <si>
    <t>Product</t>
    <phoneticPr fontId="19" type="noConversion"/>
  </si>
  <si>
    <t>Year</t>
    <phoneticPr fontId="19" type="noConversion"/>
  </si>
  <si>
    <t>Data Type</t>
    <phoneticPr fontId="19" type="noConversion"/>
  </si>
  <si>
    <t>Mgt Report L1</t>
  </si>
  <si>
    <t>Mgt Report L2</t>
  </si>
  <si>
    <t>Mgt Report L3</t>
  </si>
  <si>
    <t>Mgt Report L4</t>
  </si>
  <si>
    <t>Mgt Report L5</t>
  </si>
  <si>
    <t>Mgt Report L6</t>
  </si>
  <si>
    <t>SI</t>
    <phoneticPr fontId="19" type="noConversion"/>
  </si>
  <si>
    <t>Type</t>
    <phoneticPr fontId="19" type="noConversion"/>
  </si>
  <si>
    <t>Budget Code</t>
    <phoneticPr fontId="19" type="noConversion"/>
  </si>
  <si>
    <r>
      <rPr>
        <b/>
        <sz val="11"/>
        <color theme="0"/>
        <rFont val="宋体"/>
        <family val="2"/>
        <charset val="134"/>
      </rPr>
      <t>项目序号</t>
    </r>
    <phoneticPr fontId="19" type="noConversion"/>
  </si>
  <si>
    <t>Sub-Budget Code</t>
    <phoneticPr fontId="19" type="noConversion"/>
  </si>
  <si>
    <r>
      <rPr>
        <b/>
        <sz val="11"/>
        <color theme="0"/>
        <rFont val="宋体"/>
        <family val="2"/>
        <charset val="134"/>
      </rPr>
      <t>项目名称</t>
    </r>
    <phoneticPr fontId="19" type="noConversion"/>
  </si>
  <si>
    <t>Jan</t>
    <phoneticPr fontId="19" type="noConversion"/>
  </si>
  <si>
    <t>Feb</t>
    <phoneticPr fontId="19" type="noConversion"/>
  </si>
  <si>
    <t>FY</t>
    <phoneticPr fontId="19" type="noConversion"/>
  </si>
  <si>
    <t>Q1</t>
    <phoneticPr fontId="19" type="noConversion"/>
  </si>
  <si>
    <t>Q2</t>
    <phoneticPr fontId="19" type="noConversion"/>
  </si>
  <si>
    <t>Q3</t>
    <phoneticPr fontId="19" type="noConversion"/>
  </si>
  <si>
    <t>Q4</t>
    <phoneticPr fontId="19" type="noConversion"/>
  </si>
  <si>
    <t>H1</t>
    <phoneticPr fontId="19" type="noConversion"/>
  </si>
  <si>
    <t>H2</t>
    <phoneticPr fontId="19" type="noConversion"/>
  </si>
  <si>
    <t>Central MKT-Nefecon</t>
  </si>
  <si>
    <t>SI-3-Expand Coverage</t>
  </si>
  <si>
    <t>自办活动</t>
  </si>
  <si>
    <t>IGA能建中心项目</t>
  </si>
  <si>
    <t>SI-1-Increase Penetration</t>
  </si>
  <si>
    <t>03</t>
  </si>
  <si>
    <t>病例大赛</t>
  </si>
  <si>
    <t>04</t>
  </si>
  <si>
    <t>IgAN全国精英讲者学院</t>
  </si>
  <si>
    <t>05</t>
  </si>
  <si>
    <t>06</t>
  </si>
  <si>
    <t>患者教育</t>
  </si>
  <si>
    <t>07</t>
  </si>
  <si>
    <t>世界肾脏日公益疾病教育周</t>
  </si>
  <si>
    <t>三方活动</t>
  </si>
  <si>
    <t>08</t>
  </si>
  <si>
    <t>国际大会赞助</t>
  </si>
  <si>
    <t>09</t>
  </si>
  <si>
    <t>国内大会赞助</t>
  </si>
  <si>
    <t>材料制作</t>
  </si>
  <si>
    <t>10</t>
  </si>
  <si>
    <t>物料制作</t>
  </si>
  <si>
    <t>媒体宣传</t>
  </si>
  <si>
    <t>11</t>
  </si>
  <si>
    <t>市场调研</t>
  </si>
  <si>
    <t>12</t>
  </si>
  <si>
    <t>其他项目</t>
  </si>
  <si>
    <t>13</t>
  </si>
  <si>
    <t>保险费</t>
  </si>
  <si>
    <t>14</t>
  </si>
  <si>
    <t>IgAN共识/60问巡讲</t>
  </si>
  <si>
    <t>C110205150</t>
  </si>
  <si>
    <t>A&amp;P</t>
  </si>
  <si>
    <t>N/A</t>
  </si>
  <si>
    <t>Budget</t>
  </si>
  <si>
    <t>Commercial</t>
  </si>
  <si>
    <t>Mainland</t>
  </si>
  <si>
    <t>CPO Operations</t>
  </si>
  <si>
    <t>Marketing</t>
  </si>
  <si>
    <t>NEF-MKT-NS3-01</t>
  </si>
  <si>
    <t>01</t>
  </si>
  <si>
    <t>NEF-MKT-NS3-01-01</t>
  </si>
  <si>
    <t>NEF-MKT-NS1-01</t>
  </si>
  <si>
    <t>02</t>
  </si>
  <si>
    <t>NEF-MKT-NS1-01-02</t>
  </si>
  <si>
    <t>规范化共识</t>
  </si>
  <si>
    <t>NEF-MKT-NS1-01-03</t>
  </si>
  <si>
    <t>NEF-MKT-NS1-01-04</t>
  </si>
  <si>
    <t>NEF-MKT-NS1-01-05</t>
  </si>
  <si>
    <t>走进IIGAN 海外专家系列连线</t>
  </si>
  <si>
    <t>NEF-MKT-NS1-01-06</t>
  </si>
  <si>
    <t>海外讲者巡讲</t>
  </si>
  <si>
    <t>NEF-MKT-NS1-06</t>
  </si>
  <si>
    <t>NEF-MKT-NS1-06-07</t>
  </si>
  <si>
    <t>NEF-MKT-NS1-02</t>
  </si>
  <si>
    <t>NEF-MKT-NS1-02-08</t>
  </si>
  <si>
    <t>NEF-MKT-NS1-02-09</t>
  </si>
  <si>
    <t>NEF-MKT-NS1-03</t>
  </si>
  <si>
    <t>NEF-MKT-NS1-03-10</t>
  </si>
  <si>
    <t>NEF-MKT-NS1-04</t>
  </si>
  <si>
    <t>NEF-MKT-NS1-04-11</t>
  </si>
  <si>
    <t>NEF-MKT-NS1-05</t>
  </si>
  <si>
    <t>NEF-MKT-NS1-05-12</t>
  </si>
  <si>
    <t>NEF-MKT-NS1-99</t>
  </si>
  <si>
    <t>NEF-MKT-NS1-99-13</t>
  </si>
  <si>
    <t>NEF-MKT-NS1-01-14</t>
  </si>
  <si>
    <t>C110305150</t>
  </si>
  <si>
    <t>Central MKT-ID</t>
  </si>
  <si>
    <t>SI-3-Xerava</t>
  </si>
  <si>
    <t>XER-MKT-XS3-02</t>
  </si>
  <si>
    <t>XER-MKT-XS3-02-01</t>
  </si>
  <si>
    <t>学会赞助-ICU</t>
  </si>
  <si>
    <t>SI-2-Xerava</t>
  </si>
  <si>
    <t>XER-MKT-XS2-02</t>
  </si>
  <si>
    <t>XER-MKT-XS2-02-02</t>
  </si>
  <si>
    <t>学会赞助-血液</t>
  </si>
  <si>
    <t>XER-MKT-XS3-02-03</t>
  </si>
  <si>
    <t>学会赞助-感染</t>
  </si>
  <si>
    <t>XER-MKT-XS3-02-04</t>
  </si>
  <si>
    <t>学会赞助-RICU</t>
  </si>
  <si>
    <t>XER-MKT-XS3-02-05</t>
  </si>
  <si>
    <t>学会赞助-SOT</t>
  </si>
  <si>
    <t>XER-MKT-XS3-02-06</t>
  </si>
  <si>
    <t>学会赞助-SICU</t>
  </si>
  <si>
    <t>SI-1-Xerava</t>
  </si>
  <si>
    <t>XER-MKT-XS1-02</t>
  </si>
  <si>
    <t>XER-MKT-XS1-02-07</t>
  </si>
  <si>
    <t>学会赞助-微生物</t>
  </si>
  <si>
    <t>XER-MKT-XS1-99</t>
  </si>
  <si>
    <t>XER-MKT-XS1-99-08</t>
  </si>
  <si>
    <t>SI1-药敏先行-物料试剂</t>
  </si>
  <si>
    <t>XER-MKT-XS1-01</t>
  </si>
  <si>
    <t>XER-MKT-XS1-01-09</t>
  </si>
  <si>
    <t>SI1-药敏先行-CHINET</t>
  </si>
  <si>
    <t>XER-MKT-XS3-01</t>
  </si>
  <si>
    <t>XER-MKT-XS3-01-10</t>
  </si>
  <si>
    <t>S12-替换替加-ICU标杆</t>
  </si>
  <si>
    <t>XER-MKT-XS2-01</t>
  </si>
  <si>
    <t>XER-MKT-XS2-01-11</t>
  </si>
  <si>
    <t>S12-替换替加-血液重症</t>
  </si>
  <si>
    <t>XER-MKT-XS3-01-13</t>
  </si>
  <si>
    <t>SI2-替换替加-感染呼吸会诊平台</t>
  </si>
  <si>
    <t>XER-MKT-XS2-04</t>
  </si>
  <si>
    <t>XER-MKT-XS2-04-14</t>
  </si>
  <si>
    <t>SI3-高潜低销媒体项目-采访</t>
  </si>
  <si>
    <t>15</t>
  </si>
  <si>
    <t>XER-MKT-XS2-04-15</t>
  </si>
  <si>
    <t>SI3-高潜低销媒体项目-MDR病例分享</t>
  </si>
  <si>
    <t>16</t>
  </si>
  <si>
    <t>XER-MKT-XS2-04-16</t>
  </si>
  <si>
    <t>SI3-高潜低销媒体项目-文献解读</t>
  </si>
  <si>
    <t>XER-MKT-XS1-03</t>
  </si>
  <si>
    <t>17</t>
  </si>
  <si>
    <t>XER-MKT-XS1-03-17</t>
  </si>
  <si>
    <t>Others-推广工具</t>
  </si>
  <si>
    <t>18</t>
  </si>
  <si>
    <t>XER-MKT-XS1-99-18</t>
  </si>
  <si>
    <t>Others-品牌提示物</t>
  </si>
  <si>
    <t>19</t>
  </si>
  <si>
    <t>XER-MKT-XS1-99-19</t>
  </si>
  <si>
    <t>Others-品牌保险费</t>
  </si>
  <si>
    <t>20</t>
  </si>
  <si>
    <t>C110405150</t>
  </si>
  <si>
    <t>CentralMKT-Etrasimod</t>
  </si>
  <si>
    <t>SI-1-Velsipity</t>
  </si>
  <si>
    <t>VEL-MKT-VS1-01</t>
  </si>
  <si>
    <t>VEL-MKT-VS1-01-01</t>
  </si>
  <si>
    <t>医保战役</t>
  </si>
  <si>
    <t>VEL-MKT-VS1-06</t>
  </si>
  <si>
    <t>VEL-MKT-VS1-06-02</t>
  </si>
  <si>
    <t>世界IBD日宣传周</t>
  </si>
  <si>
    <t>VEL-MKT-VS1-01-03</t>
  </si>
  <si>
    <t>研究者说</t>
  </si>
  <si>
    <t>VEL-MKT-VS1-01-04</t>
  </si>
  <si>
    <t>专病训练营</t>
  </si>
  <si>
    <t>VEL-MKT-VS1-02</t>
  </si>
  <si>
    <t>VEL-MKT-VS1-02-05</t>
  </si>
  <si>
    <t>UC专科质控能力提升项目-高质量案例征集及全国巡讲</t>
  </si>
  <si>
    <t>VEL-MKT-VS1-02-06</t>
  </si>
  <si>
    <t>IBD MDT共病协作组</t>
  </si>
  <si>
    <t>VEL-MKT-VS1-01-07</t>
  </si>
  <si>
    <t>国际IBD专家中国巡讲</t>
  </si>
  <si>
    <t>VEL-MKT-VS1-01-08</t>
  </si>
  <si>
    <t>专家咨询会</t>
  </si>
  <si>
    <t>SI-2-Velsipity</t>
  </si>
  <si>
    <t>VEL-MKT-VS2-01</t>
  </si>
  <si>
    <t>VEL-MKT-VS2-01-09</t>
  </si>
  <si>
    <t>艾曲莫德外部上市会</t>
  </si>
  <si>
    <t>VEL-MKT-VS2-99</t>
  </si>
  <si>
    <t>VEL-MKT-VS2-99-10</t>
  </si>
  <si>
    <t>艾曲莫德内部上市庆典</t>
  </si>
  <si>
    <t>VEL-MKT-VS2-02</t>
  </si>
  <si>
    <t>VEL-MKT-VS2-02-11</t>
  </si>
  <si>
    <t>国际会及Master Class</t>
  </si>
  <si>
    <t>VEL-MKT-VS2-02-12</t>
  </si>
  <si>
    <t>GIGIS 2026</t>
  </si>
  <si>
    <t>VEL-MKT-VS2-02-13</t>
  </si>
  <si>
    <t>2026中华医学会消化系病学术年会</t>
  </si>
  <si>
    <t>VEL-MKT-VS2-01-14</t>
  </si>
  <si>
    <t>IBD科普脱口秀大会</t>
  </si>
  <si>
    <t>VEL-MKT-VS2-02-15</t>
  </si>
  <si>
    <t>其他三方会</t>
  </si>
  <si>
    <t>VEL-MKT-VS2-04</t>
  </si>
  <si>
    <t>VEL-MKT-VS2-04-16</t>
  </si>
  <si>
    <t>VEL-MKT-VS2-03</t>
  </si>
  <si>
    <t>VEL-MKT-VS2-03-17</t>
  </si>
  <si>
    <t>推广材料及内部培训材料</t>
  </si>
  <si>
    <t>VEL-MKT-VS2-05</t>
  </si>
  <si>
    <t>VEL-MKT-VS2-05-18</t>
  </si>
  <si>
    <t>VEL-MKT-VS2-99-19</t>
  </si>
  <si>
    <t>全国销售赋能</t>
  </si>
  <si>
    <t>SI-3-Velsipity</t>
  </si>
  <si>
    <t>VEL-MKT-VS3-99</t>
  </si>
  <si>
    <t>VEL-MKT-VS3-99-20</t>
  </si>
  <si>
    <t>线上直播平台</t>
  </si>
  <si>
    <t>21</t>
  </si>
  <si>
    <t>VEL-MKT-VS3-99-21</t>
  </si>
  <si>
    <t>产品保险</t>
  </si>
  <si>
    <t>22</t>
  </si>
  <si>
    <t>VEL-MKT-VS3-99-22</t>
  </si>
  <si>
    <t>C110207200</t>
  </si>
  <si>
    <t>MA-Nefecon</t>
  </si>
  <si>
    <t>Medical</t>
  </si>
  <si>
    <t>医学研究</t>
  </si>
  <si>
    <t>NEF-MA-MA1-02</t>
  </si>
  <si>
    <t>NEF-MA-MA1-02-01</t>
  </si>
  <si>
    <t>AB会 97000*3*18+100000*2</t>
  </si>
  <si>
    <t>NEF-MA-MA1-02-02</t>
  </si>
  <si>
    <t>前沿沙龙 96000*1*18</t>
  </si>
  <si>
    <t>NEF-MA-MA1-02-03</t>
  </si>
  <si>
    <t>CIG峰会 1700K+600K*3</t>
  </si>
  <si>
    <t>RWS</t>
  </si>
  <si>
    <t>NEF-MA-MA1-32</t>
  </si>
  <si>
    <t>NEF-MA-MA1-32-04</t>
  </si>
  <si>
    <t>布地奈德肠溶胶囊（Nefecon）治疗IgA肾病的有效性及安全性研究及精</t>
  </si>
  <si>
    <t>NEF-MA-MA1-32-05</t>
  </si>
  <si>
    <t>早期启动布地奈德肠溶胶囊治疗原发性IgA肾病的多中心开放标签前瞻性研究</t>
  </si>
  <si>
    <t>NEF-MA-MA1-32-07</t>
  </si>
  <si>
    <t>Longer treatment：China NeFextend（总费用：5203169）</t>
  </si>
  <si>
    <t>NEF-MA-MA1-32-06</t>
  </si>
  <si>
    <t>布地奈德肠溶胶囊（耐赋康）联合全身糖皮质激素治疗IgA肾病RWE</t>
  </si>
  <si>
    <t>NEF-MA-MA1-32-08</t>
  </si>
  <si>
    <t>中国IgA肾病患者登记平台（10000例）</t>
  </si>
  <si>
    <t>IIT</t>
  </si>
  <si>
    <t>NEF-MA-MA1-31</t>
  </si>
  <si>
    <t>NEF-MA-MA1-31-09</t>
  </si>
  <si>
    <t>I期-云顶&amp;北生 IgA肾病领域科研项目（对因 研究10个）</t>
  </si>
  <si>
    <t>NEF-MA-MA1-31-10</t>
  </si>
  <si>
    <t>II期-云顶&amp;吴阶平IgA肾病领域科研项目（真实世界，Early15个）</t>
  </si>
  <si>
    <t>NEF-MA-MA1-31-11</t>
  </si>
  <si>
    <t>III期-云顶&amp;白求恩IgA肾病领域科研项目（6~8个长期研究）</t>
  </si>
  <si>
    <t>NEF-MA-MA1-31-12</t>
  </si>
  <si>
    <t>CRC合作费用（登记研究入组3000+IIT支持1150）</t>
  </si>
  <si>
    <t>文章发表</t>
  </si>
  <si>
    <t>NEF-MA-MA1-33</t>
  </si>
  <si>
    <t>NEF-MA-MA1-33-13</t>
  </si>
  <si>
    <t>WCN，ERA，ASN，APCN，CSN，CCN各类大会投稿及注册费用（40篇）</t>
  </si>
  <si>
    <t>NEF-MA-MA1-33-14</t>
  </si>
  <si>
    <t>系列病例文章分析及发表（8~12篇）4篇early，4篇系列病例，4篇长期</t>
  </si>
  <si>
    <t>NEF-MA-MA1-03</t>
  </si>
  <si>
    <t>NEF-MA-MA1-03-15</t>
  </si>
  <si>
    <t>医学材料制作（新数据发表，大会报道，核心幻灯，培训幻灯约20套）</t>
  </si>
  <si>
    <t>NEF-MA-MA1-01</t>
  </si>
  <si>
    <t>NEF-MA-MA1-01-16</t>
  </si>
  <si>
    <t>科室会（1500*18*2*12）</t>
  </si>
  <si>
    <t>NEF-MA-MA1-02-17</t>
  </si>
  <si>
    <t>医学媒体信息发布，证据发布</t>
  </si>
  <si>
    <t>NEF-MA-MA1-02-18</t>
  </si>
  <si>
    <t>耐赋康中国专家共识版面费和发布会</t>
  </si>
  <si>
    <t>NEF-MA-MA1-02-19</t>
  </si>
  <si>
    <t>解码IgA肾病（患教手册）发布会</t>
  </si>
  <si>
    <t>NEF-MA-MA1-03-20</t>
  </si>
  <si>
    <t>耐赋康文章集锦</t>
  </si>
  <si>
    <t>NEF-MA-MA1-01-21</t>
  </si>
  <si>
    <t>NEF-MA-MA1-01-22</t>
  </si>
  <si>
    <t>23</t>
  </si>
  <si>
    <t>NEF-MA-MA1-01-23</t>
  </si>
  <si>
    <t>24</t>
  </si>
  <si>
    <t>NEF-MA-MA1-01-24</t>
  </si>
  <si>
    <t>25</t>
  </si>
  <si>
    <t>NEF-MA-MA1-01-25</t>
  </si>
  <si>
    <t>26</t>
  </si>
  <si>
    <t>NEF-MA-MA1-01-26</t>
  </si>
  <si>
    <t>27</t>
  </si>
  <si>
    <t>NEF-MA-MA1-01-27</t>
  </si>
  <si>
    <t>28</t>
  </si>
  <si>
    <t>NEF-MA-MA1-01-28</t>
  </si>
  <si>
    <t>差旅费用</t>
  </si>
  <si>
    <t>每个月：MSL 6k，MSL lead和MA 8k，Head 10K</t>
  </si>
  <si>
    <t>海外会差旅</t>
  </si>
  <si>
    <t>每人60k，6人次 WCN，APCN，ERA，ASN</t>
  </si>
  <si>
    <t>团建</t>
  </si>
  <si>
    <t>团队培训</t>
  </si>
  <si>
    <t>C110307300</t>
  </si>
  <si>
    <t>MA-ID</t>
  </si>
  <si>
    <t>XER-MA-MA1-31</t>
  </si>
  <si>
    <t>XER-MA-MA1-31-01</t>
  </si>
  <si>
    <t>北生-多重耐药感染诊治公益项目一期</t>
  </si>
  <si>
    <t>XER-MA-MA1-31-02</t>
  </si>
  <si>
    <t>北生-多重耐药感染诊治公益项目二期</t>
  </si>
  <si>
    <t>XER-MA-MA1-31-03</t>
  </si>
  <si>
    <t>吴阶平-多重耐药感染诊治公益项目</t>
  </si>
  <si>
    <t>XER-MA-MA1-31-04</t>
  </si>
  <si>
    <t>基金会待定-多重耐药感染诊治公益项目</t>
  </si>
  <si>
    <t>XER-MA-MA1-31-05</t>
  </si>
  <si>
    <t>其他基金支持以及医院/大学直签</t>
  </si>
  <si>
    <t>XER-MA-MA1-02</t>
  </si>
  <si>
    <t>XER-MA-MA1-02-06</t>
  </si>
  <si>
    <t>会议平台-医学研讨会/家咨询会：研讨58场；AB 3场预估</t>
  </si>
  <si>
    <t>XER-MA-MA1-01</t>
  </si>
  <si>
    <t>XER-MA-MA1-01-07</t>
  </si>
  <si>
    <t>科室会：90场</t>
  </si>
  <si>
    <t>XER-MA-MA1-02-08</t>
  </si>
  <si>
    <t>其他按需会议赞助:按20场预估</t>
  </si>
  <si>
    <t>XER-MA-MA1-03</t>
  </si>
  <si>
    <t>XER-MA-MA1-03-09</t>
  </si>
  <si>
    <t>医学材料制作:统计分析/幻灯制作/文章写作等</t>
  </si>
  <si>
    <t>XER-MA-MA1-99</t>
  </si>
  <si>
    <t>XER-MA-MA1-99-10</t>
  </si>
  <si>
    <t>咨询</t>
  </si>
  <si>
    <t>其他医学研究</t>
  </si>
  <si>
    <t>XER-MA-MA1-35</t>
  </si>
  <si>
    <t>XER-MA-MA1-35-11</t>
  </si>
  <si>
    <t>5133：体外药敏</t>
  </si>
  <si>
    <t>XER-MA-MA1-35-12</t>
  </si>
  <si>
    <t>临床药品</t>
  </si>
  <si>
    <t>XER-MA-MA1-34</t>
  </si>
  <si>
    <t>XER-MA-MA1-34-13</t>
  </si>
  <si>
    <t>药品</t>
  </si>
  <si>
    <t>XER-MA-MA1-99-14</t>
  </si>
  <si>
    <t>Supply</t>
  </si>
  <si>
    <t>XER-MA-MA1-99-15</t>
  </si>
  <si>
    <t>培训</t>
  </si>
  <si>
    <t>XER-MA-MA1-99-16</t>
  </si>
  <si>
    <t>XER-MA-MA1-99-17</t>
  </si>
  <si>
    <t>TB</t>
  </si>
  <si>
    <t>C110407400</t>
  </si>
  <si>
    <t>MA-Etrasimod</t>
  </si>
  <si>
    <t>VEL-MA-MA1-01</t>
  </si>
  <si>
    <t>VEL-MA-MA1-01-01</t>
  </si>
  <si>
    <t>建促会大湾区真研</t>
  </si>
  <si>
    <t>VEL-MA-MA1-01-02</t>
  </si>
  <si>
    <t>拟搭其他基金会多课题科研平台</t>
  </si>
  <si>
    <t>VEL-MA-MA1-01-03</t>
  </si>
  <si>
    <t>拟搭建白求恩基金会科研平台</t>
  </si>
  <si>
    <t>VEL-MA-MA1-01-04</t>
  </si>
  <si>
    <t>CHASE IBD-登记研究</t>
  </si>
  <si>
    <t>VEL-MA-MA1-01-05</t>
  </si>
  <si>
    <t>其他科研平台或单课题合作</t>
  </si>
  <si>
    <t>VEL-MA-MA1-01-06</t>
  </si>
  <si>
    <t>研讨会：按50场预算分配</t>
  </si>
  <si>
    <t>VEL-MA-MA1-01-07</t>
  </si>
  <si>
    <t>AB会：按5场分配</t>
  </si>
  <si>
    <t>VEL-MA-MA1-01-08</t>
  </si>
  <si>
    <t>其他赞助会（专题/卫星/送专家）：专家3人*3次</t>
  </si>
  <si>
    <t>VEL-MA-MA1-01-09</t>
  </si>
  <si>
    <t>科研培训</t>
  </si>
  <si>
    <t>VEL-MA-MA1-01-10</t>
  </si>
  <si>
    <t>spear tour</t>
  </si>
  <si>
    <t>VEL-MA-MA1-01-11</t>
  </si>
  <si>
    <t>VEL-MA-MA1-01-12</t>
  </si>
  <si>
    <t>团队学习及培训</t>
  </si>
  <si>
    <t>VEL-MA-MA1-01-13</t>
  </si>
  <si>
    <t>Study drug 按10000瓶预估（单位成本由财务输入）</t>
  </si>
  <si>
    <t>VEL-MA-MA1-01-14</t>
  </si>
  <si>
    <t>Supply Chain:按10000瓶预估</t>
  </si>
  <si>
    <t>VEL-MA-MA1-01-15</t>
  </si>
  <si>
    <t>科室会</t>
  </si>
  <si>
    <t>VEL-MA-MA1-01-16</t>
  </si>
  <si>
    <t>VEL-MA-MA1-01-17</t>
  </si>
  <si>
    <t>VEL-MA-MA1-01-18</t>
  </si>
  <si>
    <t>VEL-MA-MA1-01-19</t>
  </si>
  <si>
    <t>VEL-MA-MA1-01-20</t>
  </si>
  <si>
    <t>VEL-MA-MA1-01-21</t>
  </si>
  <si>
    <t>VEL-MA-MA1-01-22</t>
  </si>
  <si>
    <t>VEL-MA-MA1-01-23</t>
  </si>
  <si>
    <t>VEL-MA-MA1-01-24</t>
  </si>
  <si>
    <t>VEL-MA-MA1-01-25</t>
  </si>
  <si>
    <t>C110005220</t>
  </si>
  <si>
    <t>KA</t>
  </si>
  <si>
    <t>中央大客户</t>
  </si>
  <si>
    <t>XER-KA-KA1-99</t>
  </si>
  <si>
    <t>XER-KA-KA1-99-01</t>
  </si>
  <si>
    <t>国家卫健委-基于医疗机构引进创新抗菌药物的遴选评价体系专家共识巡讲（CSO联动）</t>
  </si>
  <si>
    <t>药学平台</t>
  </si>
  <si>
    <t>NEF-KA-KA1-52</t>
  </si>
  <si>
    <t>NEF-KA-KA1-52-02</t>
  </si>
  <si>
    <t>2026第二届粤港澳大湾区医药创新高质量协同发展专题研讨会</t>
  </si>
  <si>
    <t>NEF-KA-KA1-52-03</t>
  </si>
  <si>
    <t>星光闪药——全国药学科普及合理用药能力提升项目</t>
  </si>
  <si>
    <t>院管平台</t>
  </si>
  <si>
    <t>NEF-KA-KA1-51</t>
  </si>
  <si>
    <t>NEF-KA-KA1-51-04</t>
  </si>
  <si>
    <t>2026公立医院高质量发展空中医管论坛</t>
  </si>
  <si>
    <t>NEF-KA-KA1-51-05</t>
  </si>
  <si>
    <t>2026军地医院精益绩效&amp;运营管理能力提升研讨论坛</t>
  </si>
  <si>
    <t>NEF-KA-KA1-51-06</t>
  </si>
  <si>
    <t>学科建设与医院高质量发展院长论坛</t>
  </si>
  <si>
    <t>XER-KA-KA1-52</t>
  </si>
  <si>
    <t>XER-KA-KA1-52-07</t>
  </si>
  <si>
    <t>多重耐药菌感染解决之道（2025延续）</t>
  </si>
  <si>
    <t>VEL-KA-KA1-99</t>
  </si>
  <si>
    <t>VEL-KA-KA1-99-08</t>
  </si>
  <si>
    <t>三医联动助力创新医药价值评估与临床合理应用大会</t>
  </si>
  <si>
    <t>NEF-KA-KA1-99</t>
  </si>
  <si>
    <t>NEF-KA-KA1-99-09</t>
  </si>
  <si>
    <t>精准药学助力公立医院高质量发展培训班</t>
  </si>
  <si>
    <t>区域大客户</t>
  </si>
  <si>
    <t>XER-KA-KA2-99</t>
  </si>
  <si>
    <t>XER-KA-KA2-99-10</t>
  </si>
  <si>
    <t>区域项目</t>
  </si>
  <si>
    <t>VEL-KA-KA2-99</t>
  </si>
  <si>
    <t>VEL-KA-KA2-99-11</t>
  </si>
  <si>
    <t>NEF-KA-KA2-99</t>
  </si>
  <si>
    <t>NEF-KA-KA2-99-12</t>
  </si>
  <si>
    <t>GAMA</t>
    <phoneticPr fontId="8" type="noConversion"/>
  </si>
  <si>
    <t>C110005340</t>
  </si>
  <si>
    <t>Diagnosis</t>
  </si>
  <si>
    <t>Diagnisis</t>
  </si>
  <si>
    <t>General</t>
  </si>
  <si>
    <t>诊断研发</t>
  </si>
  <si>
    <t>DIA-DIA-OTH-70</t>
  </si>
  <si>
    <t>DIA-DIA-OTH-70-01</t>
  </si>
  <si>
    <t>Gd-IgA1检测注册款项（药监局）+发补费用预估</t>
  </si>
  <si>
    <t>DIA-DIA-OTH-70-02</t>
  </si>
  <si>
    <t>Gd-IgA1检测项目开发合作尾款（康润）</t>
  </si>
  <si>
    <t>DIA-DIA-OTH-70-03</t>
  </si>
  <si>
    <t>AST药敏项目开发合作（合全原料）</t>
  </si>
  <si>
    <t>DIA-DIA-OTH-70-04</t>
  </si>
  <si>
    <t>AST药敏项目开发合作（康泰合作款项）</t>
  </si>
  <si>
    <t>诊断其他</t>
  </si>
  <si>
    <t>DIA-DIA-OTH-71</t>
  </si>
  <si>
    <t>DIA-DIA-OTH-71-05</t>
  </si>
  <si>
    <t>Gd-IgA1检测的临床应用价值多中心研究</t>
  </si>
  <si>
    <t>公益项目</t>
  </si>
  <si>
    <t>DIA-DIA-OTH-07</t>
  </si>
  <si>
    <t>DIA-DIA-OTH-07-06</t>
  </si>
  <si>
    <t>Gd-IgA1用于IgAN肾病诊疗共识</t>
  </si>
  <si>
    <t>DIA-DIA-OTH-03</t>
  </si>
  <si>
    <t>DIA-DIA-OTH-03-07</t>
  </si>
  <si>
    <t>Gd-IgA1 sales tool和品牌提示物</t>
  </si>
  <si>
    <t>DIA-DIA-OTH-02</t>
  </si>
  <si>
    <t>DIA-DIA-OTH-02-08</t>
  </si>
  <si>
    <t>2026检验年会支持</t>
  </si>
  <si>
    <t>DIA-DIA-OTH-07-09</t>
  </si>
  <si>
    <t>Gd-IgA1检测指南和共识巡讲会</t>
  </si>
  <si>
    <t>DIA-DIA-OTH-71-10</t>
  </si>
  <si>
    <t>“早诊早治”Gd-IgA1检测先行项目（by第三方实验室）</t>
  </si>
  <si>
    <t>DIA-DIA-OTH-71-11</t>
  </si>
  <si>
    <t>“精诊优治”Gd-IgA1检测早鸟项目(by医院肾内科）</t>
  </si>
  <si>
    <t>DIA-DIA-OTH-04</t>
  </si>
  <si>
    <t>DIA-DIA-OTH-04-12</t>
  </si>
  <si>
    <t>Gd-IgA1检测线上科普教育内容制作</t>
  </si>
  <si>
    <t>C110005230</t>
  </si>
  <si>
    <t>CSO</t>
  </si>
  <si>
    <t>XER-CSO-OTH-99</t>
  </si>
  <si>
    <t>XER-CSO-OTH-99-01</t>
  </si>
  <si>
    <t>服务费率</t>
  </si>
  <si>
    <t>XER-CSO-OTH-02</t>
  </si>
  <si>
    <t>XER-CSO-OTH-02-02</t>
  </si>
  <si>
    <t>CSO活动项目</t>
  </si>
  <si>
    <t>NEF-CSO-OTH-99</t>
  </si>
  <si>
    <t>NEF-CSO-OTH-99-03</t>
  </si>
  <si>
    <t>NEF-CSO-OTH-02</t>
  </si>
  <si>
    <t>NEF-CSO-OTH-02-04</t>
  </si>
  <si>
    <t>C110005210</t>
  </si>
  <si>
    <t>Channel</t>
  </si>
  <si>
    <t>Sales Operations</t>
  </si>
  <si>
    <t>Distribution</t>
  </si>
  <si>
    <t>渠道活动</t>
  </si>
  <si>
    <t>GEN-CHA-OTH-72</t>
  </si>
  <si>
    <t>GEN-CHA-OTH-72-01</t>
  </si>
  <si>
    <t>区域经销商会</t>
  </si>
  <si>
    <t>GEN-CHA-OTH-72-02</t>
  </si>
  <si>
    <t>全国经销商会</t>
  </si>
  <si>
    <t>GEN-CHA-OTH-72-03</t>
  </si>
  <si>
    <t>品牌提示物</t>
  </si>
  <si>
    <t>GEN-CHA-OTH-72-04</t>
  </si>
  <si>
    <t>渠道机构主数据线上管理</t>
  </si>
  <si>
    <t>Business Innovation</t>
  </si>
  <si>
    <t>NEF-INO-NS3-07</t>
  </si>
  <si>
    <t>NEF-INO-NS3-07-01</t>
  </si>
  <si>
    <t>保卫肾功能--2026肾康常伴患者管理计划</t>
  </si>
  <si>
    <t>创新运营</t>
  </si>
  <si>
    <t>NEF-INO-NS3-21</t>
  </si>
  <si>
    <t>NEF-INO-NS3-21-02</t>
  </si>
  <si>
    <t>2026肾康专科发展公益计划</t>
  </si>
  <si>
    <t>NEF-INO-NS3-21-03</t>
  </si>
  <si>
    <t>AI智能体开发与运营</t>
  </si>
  <si>
    <t>NEF-INO-NS1-07</t>
  </si>
  <si>
    <t>NEF-INO-NS1-07-04</t>
  </si>
  <si>
    <t>保卫肾功能--2026IgA肾友百城公益行项目</t>
  </si>
  <si>
    <t>NEF-INO-NS1-21</t>
  </si>
  <si>
    <t>NEF-INO-NS1-21-05</t>
  </si>
  <si>
    <t>2026肾友加油站-IGA肾病诊疗早行动</t>
  </si>
  <si>
    <t>NEF-INO-NS1-04</t>
  </si>
  <si>
    <t>NEF-INO-NS1-04-06</t>
  </si>
  <si>
    <t>金域媒体合作</t>
  </si>
  <si>
    <t>NEF-INO-NS1-04-07</t>
  </si>
  <si>
    <t>IgA肾友圈内容撰写及发布</t>
  </si>
  <si>
    <t>NEF-INO-NS1-04-08</t>
  </si>
  <si>
    <t>肾上线内容撰写及发布</t>
  </si>
  <si>
    <t>NEF-INO-NS1-04-09</t>
  </si>
  <si>
    <t>其他垂类媒体发布</t>
  </si>
  <si>
    <t>NEF-INO-NS1-04-10</t>
  </si>
  <si>
    <t>新媒体传播-新华社健康中国大家谈栏目</t>
  </si>
  <si>
    <t>NEF-INO-NS1-21-11</t>
  </si>
  <si>
    <t>新媒体传播-“世肾日”人民网两会健康策访谈</t>
  </si>
  <si>
    <t>NEF-INO-NS1-21-12</t>
  </si>
  <si>
    <t>百度搜索引擎优化（SEO）</t>
  </si>
  <si>
    <t>NEF-INO-NS1-21-13</t>
  </si>
  <si>
    <t>新媒体传播-自媒体平台合作</t>
  </si>
  <si>
    <t>NEF-INO-NS1-03</t>
  </si>
  <si>
    <t>NEF-INO-NS1-03-14</t>
  </si>
  <si>
    <t>患者教育资料制作及更新</t>
  </si>
  <si>
    <t>NEF-INO-NS1-03-15</t>
  </si>
  <si>
    <t>物料印刷及快递</t>
  </si>
  <si>
    <t>NEF-INO-NS1-05</t>
  </si>
  <si>
    <t>NEF-INO-NS1-05-16</t>
  </si>
  <si>
    <t>患者调研</t>
  </si>
  <si>
    <t>PAP项目</t>
  </si>
  <si>
    <t>VEL-INO-VS2-22</t>
  </si>
  <si>
    <t>VEL-INO-VS2-22-17</t>
  </si>
  <si>
    <t>溃疡性结肠炎患者援助项目</t>
  </si>
  <si>
    <t>VEL-INO-VS2-22-18</t>
  </si>
  <si>
    <t>溃疡性结肠炎患者援助项目-药品成本</t>
  </si>
  <si>
    <t>VEL-INO-VS2-21</t>
  </si>
  <si>
    <t>VEL-INO-VS2-21-19</t>
  </si>
  <si>
    <t>2026肠情守护炎症性肠病患者关爱项目</t>
  </si>
  <si>
    <t>VEL-INO-VS3-04</t>
  </si>
  <si>
    <t>VEL-INO-VS3-04-20</t>
  </si>
  <si>
    <t>肠友圈媒体发布和图文撰写</t>
  </si>
  <si>
    <t>VEL-INO-VS3-07</t>
  </si>
  <si>
    <t>VEL-INO-VS3-07-21</t>
  </si>
  <si>
    <t>2026肠享健康炎症性肠病患者关爱项目</t>
  </si>
  <si>
    <t>VEL-INO-VS2-07</t>
  </si>
  <si>
    <t>VEL-INO-VS2-07-22</t>
  </si>
  <si>
    <t>2026“肠情守护”健康管理行动</t>
  </si>
  <si>
    <t>VEL-INO-VS3-21</t>
  </si>
  <si>
    <t>VEL-INO-VS3-21-23</t>
  </si>
  <si>
    <t>2026“艾在肠久之间”溃疡性结肠炎患者科普教育</t>
  </si>
  <si>
    <t>VEL-INO-VS3-21-24</t>
  </si>
  <si>
    <t>SEO百度搜索引擎优化</t>
  </si>
  <si>
    <t>VEL-INO-VS3-21-25</t>
  </si>
  <si>
    <t>新媒体传播</t>
  </si>
  <si>
    <t>VEL-INO-VS3-04-26</t>
  </si>
  <si>
    <t>新华社健康中国大家谈栏目</t>
  </si>
  <si>
    <t>VEL-INO-VS2-07-27</t>
  </si>
  <si>
    <t>2026CCCF患友大会</t>
  </si>
  <si>
    <t>VEL-INO-VS2-07-28</t>
  </si>
  <si>
    <t>2026患者工作坊</t>
  </si>
  <si>
    <t>VEL-INO-VS3-03</t>
  </si>
  <si>
    <t>29</t>
  </si>
  <si>
    <t>VEL-INO-VS3-03-29</t>
  </si>
  <si>
    <t>手册更新和幻灯制作</t>
  </si>
  <si>
    <t>30</t>
  </si>
  <si>
    <t>VEL-INO-VS3-03-30</t>
  </si>
  <si>
    <t>VEL-INO-VS2-05</t>
  </si>
  <si>
    <t>31</t>
  </si>
  <si>
    <t>VEL-INO-VS2-05-31</t>
  </si>
  <si>
    <t>患者管理</t>
  </si>
  <si>
    <t>XER-INO-IN1-21</t>
  </si>
  <si>
    <t>32</t>
  </si>
  <si>
    <t>XER-INO-IN1-21-32</t>
  </si>
  <si>
    <t>C110205200</t>
  </si>
  <si>
    <t>C110005310</t>
  </si>
  <si>
    <t>SFE</t>
  </si>
  <si>
    <t>GEN-SFE-OTH-99</t>
  </si>
  <si>
    <t>GEN-SFE-OTH-99-01</t>
  </si>
  <si>
    <t>SDM运维和CR开发</t>
  </si>
  <si>
    <t>GEN-SFE-OTH-99-02</t>
  </si>
  <si>
    <t>CRM运维和CR开发</t>
  </si>
  <si>
    <t>GEN-SFE-OTH-99-03</t>
  </si>
  <si>
    <t>进销存平台运维及开发</t>
  </si>
  <si>
    <t>GEN-SFE-OTH-99-04</t>
  </si>
  <si>
    <t>指标管理系统</t>
  </si>
  <si>
    <t>GEN-SFE-OTH-99-05</t>
  </si>
  <si>
    <t>奖金管理系统</t>
  </si>
  <si>
    <t>GEN-SFE-OTH-99-06</t>
  </si>
  <si>
    <t>HCP清洗</t>
  </si>
  <si>
    <t>GEN-SFE-OTH-99-07</t>
  </si>
  <si>
    <t>渠道数据维护</t>
  </si>
  <si>
    <t>GEN-SFE-OTH-99-08</t>
  </si>
  <si>
    <t>潜力数据调研</t>
  </si>
  <si>
    <t>GEN-SFE-OTH-99-09</t>
  </si>
  <si>
    <t>Aon行业报告</t>
  </si>
  <si>
    <t>C110005330</t>
  </si>
  <si>
    <t>Supply Chain</t>
  </si>
  <si>
    <t>GEN-SCM-OTH-99</t>
  </si>
  <si>
    <t>GEN-SCM-OTH-99-01</t>
  </si>
  <si>
    <t>包材设计，快递，退货等unplanned费用</t>
  </si>
  <si>
    <t>GEN-SCM-OTH-99-02</t>
  </si>
  <si>
    <t>药检清关(根据协议，委托药检的通关费用由我司承担，每批1万RMB)</t>
  </si>
  <si>
    <t>Sales Team</t>
  </si>
  <si>
    <t>Sales Team</t>
    <phoneticPr fontId="8" type="noConversion"/>
  </si>
  <si>
    <t>C110005320</t>
  </si>
  <si>
    <t>Sales Training</t>
  </si>
  <si>
    <t>XER-STR-OTH-99</t>
  </si>
  <si>
    <t>XER-STR-OTH-99-01</t>
  </si>
  <si>
    <t>NEF-STR-OTH-99</t>
  </si>
  <si>
    <t>NEF-STR-OTH-99-02</t>
  </si>
  <si>
    <t>VEL-STR-OTH-99</t>
  </si>
  <si>
    <t>VEL-STR-OTH-99-03</t>
  </si>
  <si>
    <t>Sales Training</t>
    <phoneticPr fontId="8" type="noConversion"/>
  </si>
  <si>
    <t>Scale</t>
    <phoneticPr fontId="8" type="noConversion"/>
  </si>
  <si>
    <t>ToM RMB</t>
    <phoneticPr fontId="8" type="noConversion"/>
  </si>
  <si>
    <t>Milestone and Royalty</t>
  </si>
  <si>
    <t>(US $mm, unless otherwise specified)</t>
  </si>
  <si>
    <t>Eravacycline</t>
  </si>
  <si>
    <t>Commercial milestones</t>
  </si>
  <si>
    <t>Tier 1</t>
  </si>
  <si>
    <t>Tier 2</t>
  </si>
  <si>
    <t>Tier 3</t>
  </si>
  <si>
    <t>Amount</t>
  </si>
  <si>
    <t>Trigger</t>
  </si>
  <si>
    <t>Royalty</t>
  </si>
  <si>
    <t>% royalty</t>
  </si>
  <si>
    <t>Start</t>
  </si>
  <si>
    <t>End</t>
  </si>
  <si>
    <t>no upperlimit</t>
  </si>
  <si>
    <t>Ralinepag</t>
  </si>
  <si>
    <t>VNRX5133</t>
  </si>
  <si>
    <t>Tier 4</t>
  </si>
  <si>
    <t>FGF401 (China)</t>
  </si>
  <si>
    <t>EVER001</t>
  </si>
  <si>
    <t>Tier 5</t>
  </si>
  <si>
    <t>Tier 6</t>
  </si>
  <si>
    <t>SPR206</t>
  </si>
  <si>
    <t>Zetomipzomib</t>
  </si>
  <si>
    <t>ToM USD m</t>
    <phoneticPr fontId="8" type="noConversion"/>
  </si>
  <si>
    <t>9% Range</t>
    <phoneticPr fontId="8" type="noConversion"/>
  </si>
  <si>
    <t>11% Range</t>
    <phoneticPr fontId="8" type="noConversion"/>
  </si>
  <si>
    <t>13% Range</t>
    <phoneticPr fontId="8" type="noConversion"/>
  </si>
  <si>
    <t>ToM Vol</t>
    <phoneticPr fontId="8" type="noConversion"/>
  </si>
  <si>
    <t>FX</t>
    <phoneticPr fontId="8" type="noConversion"/>
  </si>
  <si>
    <t>RMB</t>
    <phoneticPr fontId="8" type="noConversion"/>
  </si>
  <si>
    <t>Rate</t>
    <phoneticPr fontId="8" type="noConversion"/>
  </si>
  <si>
    <t>Marginal Profit %</t>
    <phoneticPr fontId="8" type="noConversion"/>
  </si>
  <si>
    <t>A&amp;P of In-MKT %</t>
    <phoneticPr fontId="8" type="noConversion"/>
  </si>
  <si>
    <t>2026 Budget</t>
    <phoneticPr fontId="8" type="noConversion"/>
  </si>
  <si>
    <t>26 vs. 25 %</t>
    <phoneticPr fontId="8" type="noConversion"/>
  </si>
  <si>
    <t>10% Range</t>
    <phoneticPr fontId="8" type="noConversion"/>
  </si>
  <si>
    <t>12% Range</t>
    <phoneticPr fontId="8" type="noConversion"/>
  </si>
  <si>
    <t>14% Range</t>
    <phoneticPr fontId="8" type="noConversion"/>
  </si>
  <si>
    <t>In-Market Sales</t>
    <phoneticPr fontId="8" type="noConversion"/>
  </si>
  <si>
    <t>GM%</t>
    <phoneticPr fontId="8" type="noConversion"/>
  </si>
  <si>
    <t>GM% (Excl. Sales Milestone and AM for License)</t>
    <phoneticPr fontId="8" type="noConversion"/>
  </si>
  <si>
    <t>To-Market Volume</t>
    <phoneticPr fontId="8" type="noConversion"/>
  </si>
  <si>
    <t>Revenue</t>
    <phoneticPr fontId="8" type="noConversion"/>
  </si>
  <si>
    <t>Xerava Own Team</t>
    <phoneticPr fontId="8" type="noConversion"/>
  </si>
  <si>
    <t>Nefecon Own Team</t>
    <phoneticPr fontId="8" type="noConversion"/>
  </si>
  <si>
    <t>Mainland</t>
    <phoneticPr fontId="8" type="noConversion"/>
  </si>
  <si>
    <t>In-MKT Target</t>
    <phoneticPr fontId="8" type="noConversion"/>
  </si>
  <si>
    <t>Xerava Total</t>
    <phoneticPr fontId="8" type="noConversion"/>
  </si>
  <si>
    <t>Nefecon Total</t>
    <phoneticPr fontId="8" type="noConversion"/>
  </si>
  <si>
    <t>Velsipity Own Team</t>
    <phoneticPr fontId="8" type="noConversion"/>
  </si>
  <si>
    <t>Xerava IN-M 占比</t>
    <phoneticPr fontId="8" type="noConversion"/>
  </si>
  <si>
    <t>Budget</t>
    <phoneticPr fontId="8" type="noConversion"/>
  </si>
  <si>
    <t>Nefecon In-M 占比</t>
    <phoneticPr fontId="8" type="noConversion"/>
  </si>
  <si>
    <t>1H%</t>
    <phoneticPr fontId="8" type="noConversion"/>
  </si>
  <si>
    <t>2H%</t>
    <phoneticPr fontId="8" type="noConversion"/>
  </si>
  <si>
    <t>1H Vol</t>
    <phoneticPr fontId="8" type="noConversion"/>
  </si>
  <si>
    <t>2H Vol</t>
    <phoneticPr fontId="8" type="noConversion"/>
  </si>
  <si>
    <t>24 1H</t>
    <phoneticPr fontId="8" type="noConversion"/>
  </si>
  <si>
    <t>24 2H</t>
    <phoneticPr fontId="8" type="noConversion"/>
  </si>
  <si>
    <t>25 1H</t>
    <phoneticPr fontId="8" type="noConversion"/>
  </si>
  <si>
    <t>25 2H</t>
    <phoneticPr fontId="8" type="noConversion"/>
  </si>
  <si>
    <t>25 1H vs 24 2H</t>
    <phoneticPr fontId="8" type="noConversion"/>
  </si>
  <si>
    <t>gr%</t>
    <phoneticPr fontId="8" type="noConversion"/>
  </si>
  <si>
    <t>环比</t>
    <phoneticPr fontId="8" type="noConversion"/>
  </si>
  <si>
    <t>25 Q4</t>
    <phoneticPr fontId="8" type="noConversion"/>
  </si>
  <si>
    <t>Velsipity Total</t>
    <phoneticPr fontId="8" type="noConversion"/>
  </si>
  <si>
    <t>MP4</t>
    <phoneticPr fontId="8" type="noConversion"/>
  </si>
  <si>
    <t>MP7</t>
    <phoneticPr fontId="8" type="noConversion"/>
  </si>
  <si>
    <t>To-M</t>
    <phoneticPr fontId="8" type="noConversion"/>
  </si>
  <si>
    <t>Nef Total</t>
    <phoneticPr fontId="8" type="noConversion"/>
  </si>
  <si>
    <t>同比%</t>
    <phoneticPr fontId="8" type="noConversion"/>
  </si>
  <si>
    <t>2026 Budget</t>
    <phoneticPr fontId="19" type="noConversion"/>
  </si>
  <si>
    <t>Mainland</t>
    <phoneticPr fontId="19" type="noConversion"/>
  </si>
  <si>
    <t>Mar</t>
    <phoneticPr fontId="19" type="noConversion"/>
  </si>
  <si>
    <t>Price Index</t>
    <phoneticPr fontId="19" type="noConversion"/>
  </si>
  <si>
    <t>Nefecon</t>
    <phoneticPr fontId="19" type="noConversion"/>
  </si>
  <si>
    <t>Sell in (Company to Distributor）</t>
  </si>
  <si>
    <t>Drug testing/sample/Damaged</t>
  </si>
  <si>
    <t>Sell out to IB</t>
    <phoneticPr fontId="19" type="noConversion"/>
  </si>
  <si>
    <t>Monthly Inventory(Company own)</t>
    <phoneticPr fontId="19" type="noConversion"/>
  </si>
  <si>
    <t>Company DoI (Backward)</t>
    <phoneticPr fontId="19" type="noConversion"/>
  </si>
  <si>
    <t>Company DoI (Forward)</t>
    <phoneticPr fontId="19" type="noConversion"/>
  </si>
  <si>
    <t>Sell out (Distributor to tiers)</t>
  </si>
  <si>
    <t>in market sales(tiers to hospital)</t>
  </si>
  <si>
    <t>Channel inventory</t>
  </si>
  <si>
    <t>Channel DoI(Backward)</t>
    <phoneticPr fontId="19" type="noConversion"/>
  </si>
  <si>
    <t>Channel DoI(Forward)</t>
    <phoneticPr fontId="19" type="noConversion"/>
  </si>
  <si>
    <t>Xerava</t>
    <phoneticPr fontId="19" type="noConversion"/>
  </si>
  <si>
    <t>Velsipity</t>
    <phoneticPr fontId="19" type="noConversion"/>
  </si>
  <si>
    <t>Total</t>
    <phoneticPr fontId="19" type="noConversion"/>
  </si>
  <si>
    <t>26 Q1</t>
  </si>
  <si>
    <t>26 Q2</t>
  </si>
  <si>
    <t>26 Q3</t>
  </si>
  <si>
    <t>26 Q4</t>
  </si>
  <si>
    <t>Pick up-Imported/Plant to Company</t>
    <phoneticPr fontId="8" type="noConversion"/>
  </si>
  <si>
    <t>放个25 Q4</t>
    <phoneticPr fontId="8" type="noConversion"/>
  </si>
  <si>
    <t>2027 Outlook</t>
    <phoneticPr fontId="8" type="noConversion"/>
  </si>
  <si>
    <t>Oct</t>
    <phoneticPr fontId="8" type="noConversion"/>
  </si>
  <si>
    <t>Nov</t>
    <phoneticPr fontId="8" type="noConversion"/>
  </si>
  <si>
    <t>Dec</t>
    <phoneticPr fontId="8" type="noConversion"/>
  </si>
  <si>
    <t>Q on Q Gr</t>
    <phoneticPr fontId="8" type="noConversion"/>
  </si>
  <si>
    <t>按照26年全年平均Q on Q 增长%</t>
    <phoneticPr fontId="8" type="noConversion"/>
  </si>
  <si>
    <t>以27年进医保进行假设，Nefecon 25 Q1 30,013, vs. 24 q4 3000</t>
    <phoneticPr fontId="8" type="noConversion"/>
  </si>
  <si>
    <t>In-m</t>
    <phoneticPr fontId="8" type="noConversion"/>
  </si>
  <si>
    <t>Pick up-Imported/Plant to Company</t>
  </si>
  <si>
    <t>可贴现部分</t>
    <phoneticPr fontId="8" type="noConversion"/>
  </si>
  <si>
    <t>每月贴</t>
    <phoneticPr fontId="8" type="noConversion"/>
  </si>
  <si>
    <t>半年贴</t>
    <phoneticPr fontId="8" type="noConversion"/>
  </si>
  <si>
    <t>只贴最后一个季度的</t>
    <phoneticPr fontId="8" type="noConversion"/>
  </si>
  <si>
    <t>GSP （4月1日)半年收回</t>
    <phoneticPr fontId="8" type="noConversion"/>
  </si>
  <si>
    <t>GSP （4月1日)最后一个季度</t>
    <phoneticPr fontId="8" type="noConversion"/>
  </si>
  <si>
    <t>CSO 5省</t>
    <phoneticPr fontId="8" type="noConversion"/>
  </si>
  <si>
    <t>省份</t>
  </si>
  <si>
    <t>华中区</t>
  </si>
  <si>
    <t>江西省</t>
  </si>
  <si>
    <t>安徽省</t>
  </si>
  <si>
    <t>西区</t>
  </si>
  <si>
    <t>宁夏回族自治区</t>
  </si>
  <si>
    <t>青海省</t>
  </si>
  <si>
    <t>西藏自治区</t>
  </si>
  <si>
    <t>NP</t>
    <phoneticPr fontId="8" type="noConversion"/>
  </si>
  <si>
    <t>Comission</t>
    <phoneticPr fontId="8" type="noConversion"/>
  </si>
  <si>
    <t>%</t>
    <phoneticPr fontId="8" type="noConversion"/>
  </si>
  <si>
    <t>Temp Update</t>
    <phoneticPr fontId="8" type="noConversion"/>
  </si>
  <si>
    <t>per batch</t>
    <phoneticPr fontId="8" type="noConversion"/>
  </si>
  <si>
    <t>batch</t>
    <phoneticPr fontId="8" type="noConversion"/>
  </si>
  <si>
    <t>Mp4</t>
    <phoneticPr fontId="8" type="noConversion"/>
  </si>
  <si>
    <t>北一区</t>
  </si>
  <si>
    <t>北二区</t>
  </si>
  <si>
    <t>北三区</t>
  </si>
  <si>
    <t>东北区</t>
  </si>
  <si>
    <t>东一区</t>
  </si>
  <si>
    <t>东二区</t>
  </si>
  <si>
    <t>东三区</t>
  </si>
  <si>
    <t>南区</t>
  </si>
  <si>
    <t>Etrasimod Sales</t>
    <phoneticPr fontId="8" type="noConversion"/>
  </si>
  <si>
    <t>Velsipity MB都放dummy</t>
    <phoneticPr fontId="8" type="noConversion"/>
  </si>
  <si>
    <t>2026 target</t>
    <phoneticPr fontId="8" type="noConversion"/>
  </si>
  <si>
    <r>
      <t>CSO</t>
    </r>
    <r>
      <rPr>
        <b/>
        <sz val="11"/>
        <color theme="1"/>
        <rFont val="微软雅黑"/>
        <family val="2"/>
        <charset val="134"/>
      </rPr>
      <t>已确认</t>
    </r>
    <phoneticPr fontId="8" type="noConversion"/>
  </si>
  <si>
    <r>
      <t>CSO-2</t>
    </r>
    <r>
      <rPr>
        <b/>
        <sz val="11"/>
        <color theme="1"/>
        <rFont val="微软雅黑"/>
        <family val="2"/>
        <charset val="134"/>
      </rPr>
      <t>待确认</t>
    </r>
    <phoneticPr fontId="8" type="noConversion"/>
  </si>
  <si>
    <t>25 Region</t>
    <phoneticPr fontId="8" type="noConversion"/>
  </si>
  <si>
    <r>
      <rPr>
        <b/>
        <sz val="11"/>
        <color theme="0"/>
        <rFont val="微软雅黑"/>
        <family val="2"/>
        <charset val="134"/>
      </rPr>
      <t>省份</t>
    </r>
  </si>
  <si>
    <r>
      <rPr>
        <b/>
        <sz val="11"/>
        <color theme="0"/>
        <rFont val="微软雅黑"/>
        <family val="2"/>
        <charset val="134"/>
      </rPr>
      <t>城市</t>
    </r>
    <r>
      <rPr>
        <b/>
        <sz val="11"/>
        <color theme="0"/>
        <rFont val="Arial"/>
        <family val="2"/>
      </rPr>
      <t>#</t>
    </r>
    <phoneticPr fontId="8" type="noConversion"/>
  </si>
  <si>
    <r>
      <t xml:space="preserve">YTD11
</t>
    </r>
    <r>
      <rPr>
        <b/>
        <sz val="11"/>
        <color theme="0"/>
        <rFont val="微软雅黑"/>
        <family val="2"/>
        <charset val="134"/>
      </rPr>
      <t>销量</t>
    </r>
  </si>
  <si>
    <r>
      <t>2024</t>
    </r>
    <r>
      <rPr>
        <b/>
        <sz val="11"/>
        <color theme="0"/>
        <rFont val="微软雅黑"/>
        <family val="2"/>
        <charset val="134"/>
      </rPr>
      <t>全部</t>
    </r>
    <r>
      <rPr>
        <b/>
        <sz val="11"/>
        <color theme="0"/>
        <rFont val="Arial"/>
        <family val="2"/>
      </rPr>
      <t xml:space="preserve">IgA
</t>
    </r>
    <r>
      <rPr>
        <b/>
        <sz val="11"/>
        <color theme="0"/>
        <rFont val="微软雅黑"/>
        <family val="2"/>
        <charset val="134"/>
      </rPr>
      <t>肾病患者人数</t>
    </r>
    <phoneticPr fontId="19" type="noConversion"/>
  </si>
  <si>
    <r>
      <t>Target 
CSO</t>
    </r>
    <r>
      <rPr>
        <b/>
        <sz val="11"/>
        <color theme="0"/>
        <rFont val="微软雅黑"/>
        <family val="2"/>
        <charset val="134"/>
      </rPr>
      <t>已确认</t>
    </r>
    <phoneticPr fontId="8" type="noConversion"/>
  </si>
  <si>
    <r>
      <t>Target 
CSO-2</t>
    </r>
    <r>
      <rPr>
        <b/>
        <sz val="11"/>
        <color theme="0"/>
        <rFont val="微软雅黑"/>
        <family val="2"/>
        <charset val="134"/>
      </rPr>
      <t>待确认</t>
    </r>
    <phoneticPr fontId="8" type="noConversion"/>
  </si>
  <si>
    <r>
      <rPr>
        <sz val="11"/>
        <color theme="1"/>
        <rFont val="微软雅黑"/>
        <family val="2"/>
        <charset val="134"/>
      </rPr>
      <t>华中区</t>
    </r>
  </si>
  <si>
    <r>
      <rPr>
        <sz val="11"/>
        <color theme="1"/>
        <rFont val="微软雅黑"/>
        <family val="2"/>
        <charset val="134"/>
      </rPr>
      <t>江西省</t>
    </r>
  </si>
  <si>
    <t/>
  </si>
  <si>
    <r>
      <rPr>
        <sz val="11"/>
        <color theme="1"/>
        <rFont val="微软雅黑"/>
        <family val="2"/>
        <charset val="134"/>
      </rPr>
      <t>安徽省</t>
    </r>
  </si>
  <si>
    <r>
      <rPr>
        <sz val="11"/>
        <color theme="1"/>
        <rFont val="微软雅黑"/>
        <family val="2"/>
        <charset val="134"/>
      </rPr>
      <t>西区</t>
    </r>
  </si>
  <si>
    <r>
      <rPr>
        <sz val="11"/>
        <color theme="1"/>
        <rFont val="微软雅黑"/>
        <family val="2"/>
        <charset val="134"/>
      </rPr>
      <t>宁夏回族自治区</t>
    </r>
  </si>
  <si>
    <r>
      <rPr>
        <sz val="11"/>
        <color theme="1"/>
        <rFont val="微软雅黑"/>
        <family val="2"/>
        <charset val="134"/>
      </rPr>
      <t>青海省</t>
    </r>
  </si>
  <si>
    <r>
      <rPr>
        <sz val="11"/>
        <color theme="1"/>
        <rFont val="微软雅黑"/>
        <family val="2"/>
        <charset val="134"/>
      </rPr>
      <t>西藏自治区</t>
    </r>
  </si>
  <si>
    <r>
      <rPr>
        <sz val="11"/>
        <color theme="1"/>
        <rFont val="微软雅黑"/>
        <family val="2"/>
        <charset val="134"/>
      </rPr>
      <t>四川省</t>
    </r>
  </si>
  <si>
    <t>CSO-2</t>
  </si>
  <si>
    <r>
      <rPr>
        <sz val="11"/>
        <color theme="1"/>
        <rFont val="微软雅黑"/>
        <family val="2"/>
        <charset val="134"/>
      </rPr>
      <t>北二区</t>
    </r>
  </si>
  <si>
    <r>
      <rPr>
        <sz val="11"/>
        <color theme="1"/>
        <rFont val="微软雅黑"/>
        <family val="2"/>
        <charset val="134"/>
      </rPr>
      <t>内蒙古自治区</t>
    </r>
  </si>
  <si>
    <r>
      <rPr>
        <sz val="11"/>
        <color theme="1"/>
        <rFont val="微软雅黑"/>
        <family val="2"/>
        <charset val="134"/>
      </rPr>
      <t>云南省</t>
    </r>
  </si>
  <si>
    <r>
      <rPr>
        <sz val="11"/>
        <color theme="1"/>
        <rFont val="微软雅黑"/>
        <family val="2"/>
        <charset val="134"/>
      </rPr>
      <t>南区</t>
    </r>
  </si>
  <si>
    <r>
      <rPr>
        <sz val="11"/>
        <color theme="1"/>
        <rFont val="微软雅黑"/>
        <family val="2"/>
        <charset val="134"/>
      </rPr>
      <t>广西壮族自治区</t>
    </r>
  </si>
  <si>
    <r>
      <rPr>
        <sz val="11"/>
        <color theme="1"/>
        <rFont val="微软雅黑"/>
        <family val="2"/>
        <charset val="134"/>
      </rPr>
      <t>甘肃省</t>
    </r>
  </si>
  <si>
    <r>
      <rPr>
        <sz val="11"/>
        <color theme="1"/>
        <rFont val="微软雅黑"/>
        <family val="2"/>
        <charset val="134"/>
      </rPr>
      <t>北三区</t>
    </r>
  </si>
  <si>
    <r>
      <rPr>
        <sz val="11"/>
        <color theme="1"/>
        <rFont val="微软雅黑"/>
        <family val="2"/>
        <charset val="134"/>
      </rPr>
      <t>河南省</t>
    </r>
  </si>
  <si>
    <r>
      <rPr>
        <sz val="11"/>
        <color theme="1"/>
        <rFont val="微软雅黑"/>
        <family val="2"/>
        <charset val="134"/>
      </rPr>
      <t>东北区</t>
    </r>
  </si>
  <si>
    <r>
      <rPr>
        <sz val="11"/>
        <color theme="1"/>
        <rFont val="微软雅黑"/>
        <family val="2"/>
        <charset val="134"/>
      </rPr>
      <t>黑龙江省</t>
    </r>
  </si>
  <si>
    <r>
      <rPr>
        <sz val="11"/>
        <color theme="1"/>
        <rFont val="微软雅黑"/>
        <family val="2"/>
        <charset val="134"/>
      </rPr>
      <t>新疆维吾尔自治区</t>
    </r>
  </si>
  <si>
    <r>
      <rPr>
        <sz val="11"/>
        <color theme="1"/>
        <rFont val="微软雅黑"/>
        <family val="2"/>
        <charset val="134"/>
      </rPr>
      <t>贵州省</t>
    </r>
  </si>
  <si>
    <r>
      <rPr>
        <sz val="11"/>
        <color theme="1"/>
        <rFont val="微软雅黑"/>
        <family val="2"/>
        <charset val="134"/>
      </rPr>
      <t>山东省</t>
    </r>
  </si>
  <si>
    <r>
      <rPr>
        <sz val="11"/>
        <color theme="1"/>
        <rFont val="微软雅黑"/>
        <family val="2"/>
        <charset val="134"/>
      </rPr>
      <t>陕西省</t>
    </r>
  </si>
  <si>
    <r>
      <rPr>
        <sz val="11"/>
        <color theme="1"/>
        <rFont val="微软雅黑"/>
        <family val="2"/>
        <charset val="134"/>
      </rPr>
      <t>海南省</t>
    </r>
  </si>
  <si>
    <t>Nef CSO Region Batch 1</t>
    <phoneticPr fontId="8" type="noConversion"/>
  </si>
  <si>
    <t>Nef CSO Region Batch 2</t>
    <phoneticPr fontId="8" type="noConversion"/>
  </si>
  <si>
    <t>四川省</t>
  </si>
  <si>
    <t>内蒙古自治区</t>
  </si>
  <si>
    <t>云南省</t>
  </si>
  <si>
    <t>广西壮族自治区</t>
  </si>
  <si>
    <t>甘肃省</t>
  </si>
  <si>
    <t>河南省</t>
  </si>
  <si>
    <t>黑龙江省</t>
  </si>
  <si>
    <t>新疆维吾尔自治区</t>
  </si>
  <si>
    <t>贵州省</t>
  </si>
  <si>
    <t>山东省</t>
  </si>
  <si>
    <t>陕西省</t>
  </si>
  <si>
    <t>海南省</t>
  </si>
  <si>
    <t>Nefecon 1批</t>
    <phoneticPr fontId="8" type="noConversion"/>
  </si>
  <si>
    <t>Nefecon 2批</t>
    <phoneticPr fontId="8" type="noConversion"/>
  </si>
  <si>
    <t>CPO General</t>
    <phoneticPr fontId="8" type="noConversion"/>
  </si>
  <si>
    <t>1H</t>
    <phoneticPr fontId="8" type="noConversion"/>
  </si>
  <si>
    <t>check</t>
    <phoneticPr fontId="8" type="noConversion"/>
  </si>
  <si>
    <t>FY(区域vs. Total %)</t>
    <phoneticPr fontId="8" type="noConversion"/>
  </si>
  <si>
    <t>FY %</t>
    <phoneticPr fontId="8" type="noConversion"/>
  </si>
  <si>
    <t>Check 1H</t>
    <phoneticPr fontId="8" type="noConversion"/>
  </si>
  <si>
    <t>Check 2H</t>
    <phoneticPr fontId="8" type="noConversion"/>
  </si>
  <si>
    <t>check Total</t>
    <phoneticPr fontId="8" type="noConversion"/>
  </si>
  <si>
    <t>国耀</t>
    <phoneticPr fontId="8" type="noConversion"/>
  </si>
  <si>
    <t>乐活</t>
    <phoneticPr fontId="8" type="noConversion"/>
  </si>
  <si>
    <t>A&amp;P-C Budget</t>
    <phoneticPr fontId="8" type="noConversion"/>
  </si>
  <si>
    <t>A&amp;P-Rico Reserve</t>
    <phoneticPr fontId="8" type="noConversion"/>
  </si>
  <si>
    <t>Control Budget</t>
    <phoneticPr fontId="8" type="noConversion"/>
  </si>
  <si>
    <t>A&amp;P-Budget</t>
    <phoneticPr fontId="8" type="noConversion"/>
  </si>
  <si>
    <t>Check Total</t>
    <phoneticPr fontId="8" type="noConversion"/>
  </si>
  <si>
    <t>1H 区域vs. Total</t>
    <phoneticPr fontId="8" type="noConversion"/>
  </si>
  <si>
    <t>2H 区域vs. Total</t>
    <phoneticPr fontId="8" type="noConversion"/>
  </si>
  <si>
    <t>每个季度平分，再按照大区的季度sales contribution分</t>
    <phoneticPr fontId="8" type="noConversion"/>
  </si>
  <si>
    <t>Xerava 明天发，Nefecon 明天发</t>
    <phoneticPr fontId="8" type="noConversion"/>
  </si>
  <si>
    <t>check Q</t>
    <phoneticPr fontId="8" type="noConversion"/>
  </si>
  <si>
    <t>RMM</t>
    <phoneticPr fontId="8" type="noConversion"/>
  </si>
  <si>
    <t>科会场次</t>
    <phoneticPr fontId="8" type="noConversion"/>
  </si>
  <si>
    <t>每场</t>
    <phoneticPr fontId="8" type="noConversion"/>
  </si>
  <si>
    <t>行标签</t>
  </si>
  <si>
    <t>Department 2</t>
  </si>
  <si>
    <t>Department 3</t>
  </si>
  <si>
    <t>Department 4</t>
  </si>
  <si>
    <t>Department 5</t>
  </si>
  <si>
    <t>岗位标签</t>
  </si>
  <si>
    <t>求和项:202603</t>
  </si>
  <si>
    <t>求和项:202606</t>
  </si>
  <si>
    <t>求和项:202609</t>
  </si>
  <si>
    <t>求和项:202612</t>
  </si>
  <si>
    <t>Etrasimod Sales</t>
  </si>
  <si>
    <t>NSD</t>
  </si>
  <si>
    <t>(空白)</t>
  </si>
  <si>
    <t>ID &amp; IM BU</t>
  </si>
  <si>
    <t>ID - Sales</t>
  </si>
  <si>
    <t>ID - Xerava</t>
  </si>
  <si>
    <t>Central</t>
  </si>
  <si>
    <t>East I</t>
  </si>
  <si>
    <t>East II</t>
  </si>
  <si>
    <t>East III</t>
  </si>
  <si>
    <t>North I</t>
  </si>
  <si>
    <t>North II</t>
  </si>
  <si>
    <t>North III</t>
  </si>
  <si>
    <t>Northeast</t>
  </si>
  <si>
    <t>South</t>
  </si>
  <si>
    <t>West</t>
  </si>
  <si>
    <t>ID &amp; IM - Sales</t>
  </si>
  <si>
    <t>Sales Admin</t>
  </si>
  <si>
    <t>IM - Sales</t>
  </si>
  <si>
    <t>IM - Nefecon</t>
  </si>
  <si>
    <t>中文区域名称</t>
    <phoneticPr fontId="8" type="noConversion"/>
  </si>
  <si>
    <t>东二区</t>
    <phoneticPr fontId="8" type="noConversion"/>
  </si>
  <si>
    <t>东三区</t>
    <phoneticPr fontId="8" type="noConversion"/>
  </si>
  <si>
    <t>北一区</t>
    <phoneticPr fontId="8" type="noConversion"/>
  </si>
  <si>
    <t>北二区</t>
    <phoneticPr fontId="8" type="noConversion"/>
  </si>
  <si>
    <t>北三区</t>
    <phoneticPr fontId="8" type="noConversion"/>
  </si>
  <si>
    <t>东北区</t>
    <phoneticPr fontId="8" type="noConversion"/>
  </si>
  <si>
    <t>南区</t>
    <phoneticPr fontId="8" type="noConversion"/>
  </si>
  <si>
    <t>西区</t>
    <phoneticPr fontId="8" type="noConversion"/>
  </si>
  <si>
    <t>产品</t>
    <phoneticPr fontId="8" type="noConversion"/>
  </si>
  <si>
    <t>Q1 T&amp;E</t>
    <phoneticPr fontId="8" type="noConversion"/>
  </si>
  <si>
    <t>Q2 T&amp;E</t>
    <phoneticPr fontId="8" type="noConversion"/>
  </si>
  <si>
    <t>Q3 T&amp;E</t>
    <phoneticPr fontId="8" type="noConversion"/>
  </si>
  <si>
    <t>Q4 T&amp;E</t>
    <phoneticPr fontId="8" type="noConversion"/>
  </si>
  <si>
    <t>Rank</t>
    <phoneticPr fontId="8" type="noConversion"/>
  </si>
  <si>
    <t>Product</t>
    <phoneticPr fontId="8" type="noConversion"/>
  </si>
  <si>
    <t>NSD</t>
    <phoneticPr fontId="8" type="noConversion"/>
  </si>
  <si>
    <t>Jan</t>
  </si>
  <si>
    <t>Feb</t>
  </si>
  <si>
    <t>Dept Name</t>
  </si>
  <si>
    <t>FP&amp;A L1</t>
  </si>
  <si>
    <t>FP&amp;A L2</t>
  </si>
  <si>
    <t>Brand</t>
  </si>
  <si>
    <t>Year</t>
  </si>
  <si>
    <t>Data Type</t>
  </si>
  <si>
    <t>Note1</t>
  </si>
  <si>
    <t>Note2</t>
  </si>
  <si>
    <t>C110101101</t>
  </si>
  <si>
    <t>10101101</t>
  </si>
  <si>
    <t>北一区-Xerava</t>
  </si>
  <si>
    <t>North 1</t>
  </si>
  <si>
    <t>C110101201</t>
  </si>
  <si>
    <t>10101201</t>
  </si>
  <si>
    <t>北二区-Xerava</t>
  </si>
  <si>
    <t>North 2</t>
  </si>
  <si>
    <t>C110101301</t>
  </si>
  <si>
    <t>10101301</t>
  </si>
  <si>
    <t>北三区-Xerava</t>
  </si>
  <si>
    <t>North 3</t>
  </si>
  <si>
    <t>C110102101</t>
  </si>
  <si>
    <t>10102101</t>
  </si>
  <si>
    <t>东一区-Xerava</t>
  </si>
  <si>
    <t>East 1</t>
  </si>
  <si>
    <t>C110102201</t>
  </si>
  <si>
    <t>10102201</t>
  </si>
  <si>
    <t>东二区-Xerava</t>
  </si>
  <si>
    <t>East 2</t>
  </si>
  <si>
    <t>C110102301</t>
  </si>
  <si>
    <t>10102301</t>
  </si>
  <si>
    <t>东三区-Xerava</t>
  </si>
  <si>
    <t>East 3</t>
  </si>
  <si>
    <t>C110103101</t>
  </si>
  <si>
    <t>10103101</t>
  </si>
  <si>
    <t>华中区-Xerava</t>
  </si>
  <si>
    <t>C110106101</t>
  </si>
  <si>
    <t>10106101</t>
  </si>
  <si>
    <t>东北区-Xerava</t>
  </si>
  <si>
    <t>C110105101</t>
  </si>
  <si>
    <t>10105101</t>
  </si>
  <si>
    <t>南区-Xerava</t>
  </si>
  <si>
    <t>C110107101</t>
  </si>
  <si>
    <t>10107101</t>
  </si>
  <si>
    <t>西区-Xerava</t>
  </si>
  <si>
    <t>C110101102</t>
  </si>
  <si>
    <t>10101102</t>
  </si>
  <si>
    <t>北一区-Nefecon</t>
  </si>
  <si>
    <t>C110101202</t>
  </si>
  <si>
    <t>10101202</t>
  </si>
  <si>
    <t>北二区-Nefecon</t>
  </si>
  <si>
    <t>C110101302</t>
  </si>
  <si>
    <t>10101302</t>
  </si>
  <si>
    <t>北三区-Nefecon</t>
  </si>
  <si>
    <t>C110102102</t>
  </si>
  <si>
    <t>10102102</t>
  </si>
  <si>
    <t>东一区-Nefecon</t>
  </si>
  <si>
    <t>C110102202</t>
  </si>
  <si>
    <t>10102202</t>
  </si>
  <si>
    <t>东二区-Nefecon</t>
  </si>
  <si>
    <t>C110102302</t>
  </si>
  <si>
    <t>10102302</t>
  </si>
  <si>
    <t>东三区-Nefecon</t>
  </si>
  <si>
    <t>C110103102</t>
  </si>
  <si>
    <t>10103102</t>
  </si>
  <si>
    <t>华中区-Nefecon</t>
  </si>
  <si>
    <t>C110106102</t>
  </si>
  <si>
    <t>10106102</t>
  </si>
  <si>
    <t>东北区-Nefecon</t>
  </si>
  <si>
    <t>C110105102</t>
  </si>
  <si>
    <t>10105102</t>
  </si>
  <si>
    <t>南区-Nefecon</t>
  </si>
  <si>
    <t>C110107102</t>
  </si>
  <si>
    <t>10107102</t>
  </si>
  <si>
    <t>西区-Nefecon</t>
  </si>
  <si>
    <t>CC1</t>
    <phoneticPr fontId="8" type="noConversion"/>
  </si>
  <si>
    <t>CC2</t>
    <phoneticPr fontId="8" type="noConversion"/>
  </si>
  <si>
    <t>CN Name</t>
    <phoneticPr fontId="8" type="noConversion"/>
  </si>
  <si>
    <t>东一区</t>
    <phoneticPr fontId="8" type="noConversion"/>
  </si>
  <si>
    <t>华中区</t>
    <phoneticPr fontId="8" type="noConversion"/>
  </si>
  <si>
    <t>Totals</t>
    <phoneticPr fontId="8" type="noConversion"/>
  </si>
  <si>
    <t>C110110100</t>
  </si>
  <si>
    <t>Velsipity Sales</t>
    <phoneticPr fontId="8" type="noConversion"/>
  </si>
  <si>
    <t>科室会</t>
    <phoneticPr fontId="8" type="noConversion"/>
  </si>
  <si>
    <t>每月金额</t>
    <phoneticPr fontId="8" type="noConversion"/>
  </si>
  <si>
    <t>其他会</t>
    <phoneticPr fontId="8" type="noConversion"/>
  </si>
  <si>
    <t>A&amp;P汇总</t>
  </si>
  <si>
    <t>A&amp;P汇总</t>
    <phoneticPr fontId="8" type="noConversion"/>
  </si>
  <si>
    <t>C110005300</t>
  </si>
  <si>
    <t>CPO General</t>
  </si>
  <si>
    <t>T&amp;E Buffer</t>
    <phoneticPr fontId="8" type="noConversion"/>
  </si>
  <si>
    <t>北区</t>
    <phoneticPr fontId="8" type="noConversion"/>
  </si>
  <si>
    <t>京津晋蒙</t>
  </si>
  <si>
    <t>沪皖</t>
  </si>
  <si>
    <t>江鲁豫</t>
  </si>
  <si>
    <t>黑吉辽冀</t>
  </si>
  <si>
    <t>陕甘宁</t>
  </si>
  <si>
    <t>粤琼</t>
  </si>
  <si>
    <t>浙闽</t>
  </si>
  <si>
    <t>云贵川桂</t>
  </si>
  <si>
    <t>湘鄂赣</t>
  </si>
  <si>
    <t>北区小计</t>
    <phoneticPr fontId="8" type="noConversion"/>
  </si>
  <si>
    <t>南区小计</t>
    <phoneticPr fontId="8" type="noConversion"/>
  </si>
  <si>
    <t>T&amp;E-Budget</t>
    <phoneticPr fontId="8" type="noConversion"/>
  </si>
  <si>
    <t>H1</t>
    <phoneticPr fontId="8" type="noConversion"/>
  </si>
  <si>
    <t>H2</t>
    <phoneticPr fontId="8" type="noConversion"/>
  </si>
  <si>
    <t>占比</t>
    <phoneticPr fontId="8" type="noConversion"/>
  </si>
  <si>
    <t>To-MKT</t>
  </si>
  <si>
    <t>Vol.</t>
    <phoneticPr fontId="8" type="noConversion"/>
  </si>
  <si>
    <t>Company PnL</t>
    <phoneticPr fontId="8" type="noConversion"/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</si>
  <si>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</si>
  <si>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</si>
  <si>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</si>
  <si>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</si>
  <si>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</si>
  <si>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</si>
  <si>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</si>
  <si>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</si>
  <si>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</si>
  <si>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</si>
  <si>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</si>
  <si>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</si>
  <si>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FY2024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</si>
  <si>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</si>
  <si>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</si>
  <si>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</si>
  <si>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</si>
  <si>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</si>
  <si>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</si>
  <si>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</si>
  <si>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</si>
  <si>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</si>
  <si>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</si>
  <si>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</si>
  <si>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</si>
  <si>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FY2025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</si>
  <si>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</si>
  <si>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</si>
  <si>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</si>
  <si>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</si>
  <si>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</si>
  <si>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</si>
  <si>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</si>
  <si>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</si>
  <si>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</si>
  <si>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</si>
  <si>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</si>
  <si>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</si>
  <si>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FY2026</t>
  </si>
  <si>
    <t>CNY(in kCNY)</t>
  </si>
  <si>
    <t>Act</t>
    <phoneticPr fontId="8" type="noConversion"/>
  </si>
  <si>
    <t>Act</t>
  </si>
  <si>
    <t>Total HC</t>
    <phoneticPr fontId="8" type="noConversion"/>
  </si>
  <si>
    <t>BU Sales Etrasimod</t>
  </si>
  <si>
    <t>Central MKT-Etrasimod</t>
  </si>
  <si>
    <t>董事会批准预算HC（Sales Etrasimod）
包含代表+DSM+RSD+NSD</t>
    <phoneticPr fontId="8" type="noConversion"/>
  </si>
  <si>
    <t>(其中包括1个NSD TBD）</t>
    <phoneticPr fontId="8" type="noConversion"/>
  </si>
  <si>
    <t>实际HRBP手中的HC数 
包含代表+DSM+RSD+NSD</t>
    <phoneticPr fontId="8" type="noConversion"/>
  </si>
  <si>
    <t>RSD/NSD</t>
    <phoneticPr fontId="8" type="noConversion"/>
  </si>
  <si>
    <t xml:space="preserve">DSM </t>
    <phoneticPr fontId="8" type="noConversion"/>
  </si>
  <si>
    <t xml:space="preserve">代表 </t>
    <phoneticPr fontId="8" type="noConversion"/>
  </si>
  <si>
    <t>实际人员HC计划和董事会批准的预算差异</t>
    <phoneticPr fontId="8" type="noConversion"/>
  </si>
  <si>
    <t>董事会批准预算People Cost (KCNY)</t>
    <phoneticPr fontId="8" type="noConversion"/>
  </si>
  <si>
    <t>GAP</t>
    <phoneticPr fontId="8" type="noConversion"/>
  </si>
  <si>
    <t>实际更新Phasing后的People Cost</t>
    <phoneticPr fontId="8" type="noConversion"/>
  </si>
  <si>
    <t>Gap总金额大约在1400w</t>
    <phoneticPr fontId="8" type="noConversion"/>
  </si>
  <si>
    <t>董事会批准预算HC（Marketing）
包含中央市场和RMM</t>
    <phoneticPr fontId="8" type="noConversion"/>
  </si>
  <si>
    <t>实际HRBP手中的HC数 
包含中央市场和RMM</t>
    <phoneticPr fontId="8" type="noConversion"/>
  </si>
  <si>
    <t>Central MKT</t>
    <phoneticPr fontId="8" type="noConversion"/>
  </si>
  <si>
    <t>Gap总金额大约在100w</t>
    <phoneticPr fontId="8" type="noConversion"/>
  </si>
  <si>
    <t>医学部招聘计划和预算基本保持一致，不再计算</t>
    <phoneticPr fontId="8" type="noConversion"/>
  </si>
  <si>
    <t>In-mkt Target</t>
    <phoneticPr fontId="8" type="noConversion"/>
  </si>
  <si>
    <t>Region</t>
    <phoneticPr fontId="8" type="noConversion"/>
  </si>
  <si>
    <t>District</t>
    <phoneticPr fontId="8" type="noConversion"/>
  </si>
  <si>
    <t>原预算</t>
    <phoneticPr fontId="8" type="noConversion"/>
  </si>
  <si>
    <t>分到地区proposal</t>
    <phoneticPr fontId="8" type="noConversion"/>
  </si>
  <si>
    <t>In-mkt Total</t>
    <phoneticPr fontId="8" type="noConversion"/>
  </si>
  <si>
    <t>潜力占比%</t>
    <phoneticPr fontId="8" type="noConversion"/>
  </si>
  <si>
    <t>原表 获批版</t>
    <phoneticPr fontId="8" type="noConversion"/>
  </si>
  <si>
    <t>各地区潜力（初稿）</t>
    <phoneticPr fontId="8" type="noConversion"/>
  </si>
  <si>
    <t>调整版 - V0122</t>
    <phoneticPr fontId="8" type="noConversion"/>
  </si>
  <si>
    <t xml:space="preserve">SBC: </t>
    <phoneticPr fontId="8" type="noConversion"/>
  </si>
  <si>
    <t>223w</t>
    <phoneticPr fontId="8" type="noConversion"/>
  </si>
  <si>
    <t>1440 GAO</t>
    <phoneticPr fontId="8" type="noConversion"/>
  </si>
  <si>
    <t>科室会/学术餐会</t>
    <phoneticPr fontId="8" type="noConversion"/>
  </si>
  <si>
    <t>MICS</t>
    <phoneticPr fontId="8" type="noConversion"/>
  </si>
  <si>
    <t>A&amp;P Total 批准</t>
    <phoneticPr fontId="8" type="noConversion"/>
  </si>
  <si>
    <t>A&amp;P Total 精算</t>
    <phoneticPr fontId="8" type="noConversion"/>
  </si>
  <si>
    <t>季度分摊%</t>
    <phoneticPr fontId="8" type="noConversion"/>
  </si>
  <si>
    <t>院内会+其他自办</t>
    <phoneticPr fontId="8" type="noConversion"/>
  </si>
  <si>
    <t>按季度下拨</t>
    <phoneticPr fontId="8" type="noConversion"/>
  </si>
  <si>
    <t>院内会+其他自办会</t>
    <phoneticPr fontId="8" type="noConversion"/>
  </si>
  <si>
    <t>系统录入</t>
    <phoneticPr fontId="8" type="noConversion"/>
  </si>
  <si>
    <t>三方赞助</t>
    <phoneticPr fontId="8" type="noConversion"/>
  </si>
  <si>
    <t>科室会+学术餐会</t>
    <phoneticPr fontId="8" type="noConversion"/>
  </si>
  <si>
    <t>A&amp;P Total</t>
    <phoneticPr fontId="8" type="noConversion"/>
  </si>
  <si>
    <t>维适平销售团队预算方案</t>
    <phoneticPr fontId="8" type="noConversion"/>
  </si>
  <si>
    <t>成本中心：C110110100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</si>
</sst>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 * #,##0.00_ ;_ * \-#,##0.00_ ;_ * &quot;-&quot;??_ ;_ @_ "/>
    <numFmt numFmtId="176" formatCode="_ * #,##0_ ;_ * \-#,##0_ ;_ * &quot;-&quot;??_ ;_ @_ "/>
    <numFmt numFmtId="177" formatCode="_ * #,##0.0_ ;_ * \-#,##0.0_ ;_ * &quot;-&quot;??_ ;_ @_ "/>
    <numFmt numFmtId="178" formatCode="0.0%"/>
    <numFmt numFmtId="179" formatCode="0.0000"/>
    <numFmt numFmtId="180" formatCode="0.000000000000000%"/>
    <numFmt numFmtId="181" formatCode="_ * #,##0.0_ ;_ * \-#,##0.0_ ;_ * &quot;-&quot;?_ ;_ @_ "/>
    <numFmt numFmtId="182" formatCode="&quot;Year&quot;\ 0"/>
    <numFmt numFmtId="183" formatCode="#,##0_);\(#,##0\);#,##0_);@_)"/>
    <numFmt numFmtId="184" formatCode="0.0%_);\(0.0%\);0.0%_);@_)"/>
    <numFmt numFmtId="185" formatCode="&quot;$&quot;#,##0_);\(&quot;$&quot;#,##0\);&quot;$&quot;#,##0_);@_)"/>
    <numFmt numFmtId="186" formatCode="[$-409]mmmm/yy;@"/>
    <numFmt numFmtId="187" formatCode="_(* #,##0.00_);_(* \(#,##0.00\);_(* &quot;-&quot;??_);_(@_)"/>
    <numFmt numFmtId="188" formatCode="_(* #,##0_);_(* \(#,##0\);_(* &quot;-&quot;??_);_(@_)"/>
    <numFmt numFmtId="189" formatCode="#,##0.0"/>
    <numFmt numFmtId="190" formatCode="0.0000000000000000%"/>
    <numFmt numFmtId="191" formatCode="#,##0_ "/>
  </numFmts>
  <fonts count="99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theme="0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u/>
      <sz val="11"/>
      <color theme="1"/>
      <name val="等线"/>
      <family val="2"/>
      <scheme val="minor"/>
    </font>
    <font>
      <sz val="12"/>
      <color rgb="FF000000"/>
      <name val="Aptos Narrow"/>
      <family val="2"/>
    </font>
    <font>
      <sz val="7"/>
      <color theme="1"/>
      <name val="Segoe UI"/>
      <family val="2"/>
    </font>
    <font>
      <sz val="11"/>
      <color rgb="FFCD5937"/>
      <name val="等线"/>
      <family val="3"/>
      <charset val="134"/>
      <scheme val="minor"/>
    </font>
    <font>
      <sz val="11"/>
      <color theme="1"/>
      <name val="Arial"/>
      <family val="2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0"/>
      <name val="Arial"/>
      <family val="2"/>
    </font>
    <font>
      <b/>
      <sz val="11"/>
      <color theme="0"/>
      <name val="宋体"/>
      <family val="2"/>
      <charset val="134"/>
    </font>
    <font>
      <sz val="10"/>
      <name val="Arial"/>
      <family val="2"/>
    </font>
    <font>
      <sz val="11"/>
      <color theme="1"/>
      <name val="宋体"/>
      <family val="2"/>
      <charset val="134"/>
    </font>
    <font>
      <sz val="11"/>
      <color theme="1"/>
      <name val="Arial"/>
      <family val="2"/>
      <charset val="134"/>
    </font>
    <font>
      <sz val="11"/>
      <color theme="1"/>
      <name val="Calibri"/>
      <family val="2"/>
      <charset val="134"/>
    </font>
    <font>
      <b/>
      <sz val="20"/>
      <color rgb="FF000000"/>
      <name val="Arial"/>
      <family val="2"/>
    </font>
    <font>
      <b/>
      <sz val="10"/>
      <color theme="0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u/>
      <sz val="10"/>
      <color indexed="12"/>
      <name val="Arial"/>
      <family val="2"/>
    </font>
    <font>
      <b/>
      <u/>
      <sz val="10"/>
      <name val="Arial"/>
      <family val="2"/>
    </font>
    <font>
      <sz val="12"/>
      <name val="Times New Roman"/>
      <family val="1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rgb="FFFF0000"/>
      <name val="Arial"/>
      <family val="2"/>
    </font>
    <font>
      <sz val="11"/>
      <color theme="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u/>
      <sz val="11"/>
      <color theme="10"/>
      <name val="等线"/>
      <family val="2"/>
      <scheme val="minor"/>
    </font>
    <font>
      <b/>
      <u/>
      <sz val="9"/>
      <name val="Arial"/>
      <family val="2"/>
    </font>
    <font>
      <sz val="11"/>
      <color rgb="FFC00000"/>
      <name val="Arial"/>
      <family val="2"/>
    </font>
    <font>
      <sz val="11"/>
      <color theme="1"/>
      <name val="微软雅黑"/>
      <family val="2"/>
      <charset val="134"/>
    </font>
    <font>
      <b/>
      <sz val="11"/>
      <color theme="1"/>
      <name val="Arial"/>
      <family val="2"/>
    </font>
    <font>
      <b/>
      <sz val="11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1"/>
      <color rgb="FF000000"/>
      <name val="等线"/>
      <family val="3"/>
      <charset val="134"/>
    </font>
    <font>
      <b/>
      <sz val="11"/>
      <color theme="1"/>
      <name val="等线"/>
      <family val="2"/>
      <charset val="134"/>
      <scheme val="minor"/>
    </font>
    <font>
      <b/>
      <sz val="11"/>
      <color theme="0"/>
      <name val="等线"/>
      <family val="3"/>
      <charset val="134"/>
      <scheme val="minor"/>
    </font>
    <font>
      <b/>
      <sz val="11"/>
      <color rgb="FF0070C0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8"/>
      <color theme="1"/>
      <name val="等线"/>
      <family val="2"/>
      <scheme val="minor"/>
    </font>
    <font>
      <b/>
      <sz val="11"/>
      <color theme="0"/>
      <name val="Roboto"/>
    </font>
    <font>
      <sz val="10"/>
      <color theme="1"/>
      <name val="Arial Unicode MS"/>
      <family val="2"/>
    </font>
    <font>
      <b/>
      <sz val="10"/>
      <color theme="0"/>
      <name val="Aptos"/>
      <family val="2"/>
    </font>
    <font>
      <b/>
      <sz val="9"/>
      <color rgb="FF00B0F0"/>
      <name val="Aptos"/>
      <family val="2"/>
    </font>
    <font>
      <b/>
      <sz val="9"/>
      <name val="等线"/>
      <family val="2"/>
      <scheme val="minor"/>
    </font>
    <font>
      <b/>
      <sz val="10"/>
      <color rgb="FF00B0F0"/>
      <name val="等线"/>
      <family val="2"/>
      <scheme val="minor"/>
    </font>
    <font>
      <b/>
      <sz val="10"/>
      <color theme="1"/>
      <name val="等线"/>
      <family val="2"/>
      <scheme val="minor"/>
    </font>
    <font>
      <b/>
      <sz val="9"/>
      <color indexed="56"/>
      <name val="Roboto"/>
    </font>
    <font>
      <b/>
      <i/>
      <sz val="9"/>
      <name val="Arial"/>
      <family val="2"/>
    </font>
    <font>
      <sz val="9"/>
      <color indexed="56"/>
      <name val="Roboto"/>
    </font>
    <font>
      <i/>
      <sz val="9"/>
      <name val="Arial"/>
      <family val="2"/>
    </font>
    <font>
      <sz val="9"/>
      <name val="等线"/>
      <family val="2"/>
      <scheme val="minor"/>
    </font>
    <font>
      <sz val="10"/>
      <color rgb="FF0070C0"/>
      <name val="等线"/>
      <family val="2"/>
      <scheme val="minor"/>
    </font>
    <font>
      <i/>
      <sz val="9"/>
      <color rgb="FF0070C0"/>
      <name val="Arial"/>
      <family val="2"/>
    </font>
    <font>
      <sz val="10"/>
      <color theme="1"/>
      <name val="Calibri"/>
      <family val="2"/>
    </font>
    <font>
      <b/>
      <sz val="10"/>
      <color theme="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8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9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sz val="10"/>
      <color theme="0" tint="-0.14999847407452621"/>
      <name val="微软雅黑"/>
      <family val="2"/>
      <charset val="134"/>
    </font>
    <font>
      <b/>
      <sz val="10"/>
      <color theme="1"/>
      <name val="等线"/>
      <family val="3"/>
      <charset val="134"/>
      <scheme val="minor"/>
    </font>
    <font>
      <sz val="10"/>
      <color rgb="FFFF0000"/>
      <name val="等线"/>
      <family val="2"/>
      <scheme val="minor"/>
    </font>
    <font>
      <b/>
      <sz val="10"/>
      <color rgb="FFFF0000"/>
      <name val="微软雅黑"/>
      <family val="2"/>
      <charset val="134"/>
    </font>
    <font>
      <b/>
      <sz val="8"/>
      <color rgb="FFFF0000"/>
      <name val="微软雅黑"/>
      <family val="2"/>
      <charset val="134"/>
    </font>
    <font>
      <b/>
      <sz val="10"/>
      <color rgb="FFFF0000"/>
      <name val="等线"/>
      <family val="2"/>
      <scheme val="minor"/>
    </font>
    <font>
      <b/>
      <sz val="8"/>
      <color rgb="FFFF0000"/>
      <name val="等线"/>
      <family val="2"/>
      <scheme val="minor"/>
    </font>
    <font>
      <b/>
      <sz val="10.5"/>
      <color theme="0"/>
      <name val="微软雅黑"/>
      <family val="2"/>
      <charset val="134"/>
    </font>
    <font>
      <b/>
      <sz val="10.5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b/>
      <sz val="10"/>
      <color rgb="FF0070C0"/>
      <name val="等线"/>
      <family val="3"/>
      <charset val="134"/>
      <scheme val="minor"/>
    </font>
    <font>
      <b/>
      <sz val="11"/>
      <color theme="4" tint="0.39997558519241921"/>
      <name val="等线"/>
      <family val="3"/>
      <charset val="134"/>
      <scheme val="minor"/>
    </font>
    <font>
      <b/>
      <sz val="11"/>
      <color rgb="FF00589A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rgb="FF0000FF"/>
      <name val="等线"/>
      <family val="3"/>
      <charset val="134"/>
      <scheme val="minor"/>
    </font>
    <font>
      <sz val="11"/>
      <color rgb="FF0000FF"/>
      <name val="等线"/>
      <family val="3"/>
      <charset val="134"/>
      <scheme val="minor"/>
    </font>
    <font>
      <b/>
      <sz val="11"/>
      <color rgb="FFEA6B14"/>
      <name val="等线"/>
      <family val="3"/>
      <charset val="134"/>
      <scheme val="minor"/>
    </font>
    <font>
      <b/>
      <sz val="12"/>
      <color theme="0"/>
      <name val="微软雅黑"/>
      <family val="2"/>
      <charset val="134"/>
    </font>
    <font>
      <sz val="12"/>
      <color theme="0"/>
      <name val="微软雅黑"/>
      <family val="2"/>
      <charset val="134"/>
    </font>
  </fonts>
  <fills count="3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79FEFB"/>
        <bgColor indexed="64"/>
      </patternFill>
    </fill>
    <fill>
      <patternFill patternType="solid">
        <fgColor rgb="FFEA6B14"/>
        <bgColor indexed="64"/>
      </patternFill>
    </fill>
  </fills>
  <borders count="1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medium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</borders>
  <cellStyleXfs count="29">
    <xf numFmtId="0" fontId="0" fillId="0" borderId="0"/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3" fillId="0" borderId="0"/>
    <xf numFmtId="0" fontId="26" fillId="0" borderId="0">
      <alignment vertical="center"/>
    </xf>
    <xf numFmtId="0" fontId="7" fillId="0" borderId="0"/>
    <xf numFmtId="0" fontId="6" fillId="0" borderId="0">
      <alignment vertical="center"/>
    </xf>
    <xf numFmtId="0" fontId="23" fillId="0" borderId="0"/>
    <xf numFmtId="0" fontId="2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86" fontId="35" fillId="0" borderId="0" applyNumberFormat="0" applyFill="0" applyBorder="0" applyAlignment="0" applyProtection="0">
      <alignment vertical="top"/>
      <protection locked="0"/>
    </xf>
    <xf numFmtId="186" fontId="37" fillId="0" borderId="0"/>
    <xf numFmtId="43" fontId="5" fillId="0" borderId="0" applyFont="0" applyFill="0" applyBorder="0" applyAlignment="0" applyProtection="0">
      <alignment vertical="center"/>
    </xf>
    <xf numFmtId="186" fontId="37" fillId="0" borderId="0"/>
    <xf numFmtId="187" fontId="7" fillId="0" borderId="0" applyFont="0" applyFill="0" applyBorder="0" applyAlignment="0" applyProtection="0"/>
    <xf numFmtId="0" fontId="41" fillId="0" borderId="0"/>
    <xf numFmtId="0" fontId="44" fillId="0" borderId="0" applyNumberForma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47" fillId="0" borderId="0">
      <alignment vertical="center"/>
    </xf>
    <xf numFmtId="0" fontId="20" fillId="0" borderId="0">
      <alignment vertical="center"/>
    </xf>
    <xf numFmtId="43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58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</cellStyleXfs>
  <cellXfs count="991">
    <xf numFmtId="0" fontId="0" fillId="0" borderId="0" xfId="0"/>
    <xf numFmtId="176" fontId="0" fillId="0" borderId="0" xfId="1" applyNumberFormat="1" applyFont="1" applyAlignment="1"/>
    <xf numFmtId="43" fontId="0" fillId="0" borderId="0" xfId="1" applyFont="1" applyAlignment="1"/>
    <xf numFmtId="177" fontId="0" fillId="0" borderId="0" xfId="1" applyNumberFormat="1" applyFont="1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76" fontId="0" fillId="0" borderId="0" xfId="0" applyNumberFormat="1"/>
    <xf numFmtId="43" fontId="0" fillId="0" borderId="0" xfId="0" applyNumberFormat="1"/>
    <xf numFmtId="9" fontId="0" fillId="0" borderId="0" xfId="0" applyNumberFormat="1"/>
    <xf numFmtId="9" fontId="0" fillId="0" borderId="0" xfId="2" applyFont="1" applyAlignment="1"/>
    <xf numFmtId="0" fontId="0" fillId="0" borderId="5" xfId="0" applyBorder="1"/>
    <xf numFmtId="177" fontId="0" fillId="0" borderId="5" xfId="1" applyNumberFormat="1" applyFont="1" applyBorder="1" applyAlignment="1"/>
    <xf numFmtId="43" fontId="0" fillId="0" borderId="5" xfId="0" applyNumberFormat="1" applyBorder="1"/>
    <xf numFmtId="9" fontId="0" fillId="0" borderId="5" xfId="2" applyFont="1" applyBorder="1" applyAlignment="1"/>
    <xf numFmtId="0" fontId="0" fillId="0" borderId="6" xfId="0" applyBorder="1"/>
    <xf numFmtId="0" fontId="0" fillId="0" borderId="9" xfId="0" applyBorder="1"/>
    <xf numFmtId="9" fontId="0" fillId="0" borderId="10" xfId="2" applyFont="1" applyBorder="1" applyAlignment="1"/>
    <xf numFmtId="0" fontId="12" fillId="0" borderId="11" xfId="0" applyFont="1" applyBorder="1"/>
    <xf numFmtId="43" fontId="12" fillId="0" borderId="12" xfId="0" applyNumberFormat="1" applyFont="1" applyBorder="1"/>
    <xf numFmtId="9" fontId="12" fillId="0" borderId="13" xfId="2" applyFont="1" applyBorder="1" applyAlignment="1"/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 vertic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0" borderId="7" xfId="0" applyBorder="1"/>
    <xf numFmtId="177" fontId="0" fillId="0" borderId="7" xfId="1" applyNumberFormat="1" applyFont="1" applyBorder="1" applyAlignment="1"/>
    <xf numFmtId="43" fontId="0" fillId="0" borderId="7" xfId="0" applyNumberFormat="1" applyBorder="1"/>
    <xf numFmtId="9" fontId="0" fillId="0" borderId="8" xfId="2" applyFont="1" applyBorder="1" applyAlignment="1"/>
    <xf numFmtId="177" fontId="12" fillId="0" borderId="12" xfId="1" applyNumberFormat="1" applyFont="1" applyBorder="1" applyAlignment="1"/>
    <xf numFmtId="0" fontId="12" fillId="0" borderId="14" xfId="0" applyFont="1" applyBorder="1"/>
    <xf numFmtId="0" fontId="12" fillId="0" borderId="15" xfId="0" applyFont="1" applyBorder="1"/>
    <xf numFmtId="177" fontId="12" fillId="0" borderId="15" xfId="1" applyNumberFormat="1" applyFont="1" applyBorder="1" applyAlignment="1"/>
    <xf numFmtId="43" fontId="12" fillId="0" borderId="15" xfId="0" applyNumberFormat="1" applyFont="1" applyBorder="1"/>
    <xf numFmtId="9" fontId="12" fillId="0" borderId="16" xfId="2" applyFont="1" applyBorder="1" applyAlignment="1"/>
    <xf numFmtId="0" fontId="0" fillId="4" borderId="17" xfId="0" applyFill="1" applyBorder="1" applyAlignment="1">
      <alignment horizontal="center"/>
    </xf>
    <xf numFmtId="9" fontId="0" fillId="0" borderId="18" xfId="2" applyFont="1" applyBorder="1" applyAlignment="1"/>
    <xf numFmtId="9" fontId="12" fillId="0" borderId="19" xfId="2" applyFont="1" applyBorder="1" applyAlignment="1"/>
    <xf numFmtId="0" fontId="0" fillId="0" borderId="10" xfId="0" applyBorder="1"/>
    <xf numFmtId="0" fontId="0" fillId="0" borderId="11" xfId="0" applyBorder="1"/>
    <xf numFmtId="0" fontId="0" fillId="0" borderId="13" xfId="0" applyBorder="1"/>
    <xf numFmtId="176" fontId="0" fillId="0" borderId="5" xfId="1" applyNumberFormat="1" applyFont="1" applyBorder="1" applyAlignment="1"/>
    <xf numFmtId="0" fontId="0" fillId="4" borderId="20" xfId="0" applyFill="1" applyBorder="1" applyAlignment="1">
      <alignment horizontal="center"/>
    </xf>
    <xf numFmtId="9" fontId="12" fillId="0" borderId="21" xfId="2" applyFont="1" applyBorder="1" applyAlignment="1"/>
    <xf numFmtId="177" fontId="0" fillId="0" borderId="9" xfId="1" applyNumberFormat="1" applyFont="1" applyBorder="1" applyAlignment="1"/>
    <xf numFmtId="177" fontId="0" fillId="0" borderId="10" xfId="1" applyNumberFormat="1" applyFont="1" applyBorder="1" applyAlignment="1"/>
    <xf numFmtId="177" fontId="0" fillId="0" borderId="13" xfId="1" applyNumberFormat="1" applyFont="1" applyBorder="1" applyAlignment="1"/>
    <xf numFmtId="176" fontId="0" fillId="0" borderId="10" xfId="1" applyNumberFormat="1" applyFont="1" applyBorder="1" applyAlignment="1"/>
    <xf numFmtId="176" fontId="0" fillId="0" borderId="13" xfId="1" applyNumberFormat="1" applyFont="1" applyBorder="1" applyAlignment="1"/>
    <xf numFmtId="9" fontId="12" fillId="0" borderId="12" xfId="2" applyFont="1" applyBorder="1" applyAlignment="1"/>
    <xf numFmtId="177" fontId="0" fillId="0" borderId="12" xfId="1" applyNumberFormat="1" applyFont="1" applyBorder="1" applyAlignment="1"/>
    <xf numFmtId="0" fontId="0" fillId="0" borderId="21" xfId="0" applyBorder="1"/>
    <xf numFmtId="177" fontId="0" fillId="0" borderId="14" xfId="1" applyNumberFormat="1" applyFont="1" applyBorder="1" applyAlignment="1"/>
    <xf numFmtId="9" fontId="0" fillId="0" borderId="17" xfId="2" applyFont="1" applyBorder="1" applyAlignment="1"/>
    <xf numFmtId="177" fontId="0" fillId="0" borderId="15" xfId="1" applyNumberFormat="1" applyFont="1" applyBorder="1" applyAlignment="1"/>
    <xf numFmtId="176" fontId="0" fillId="0" borderId="15" xfId="1" applyNumberFormat="1" applyFont="1" applyBorder="1" applyAlignment="1"/>
    <xf numFmtId="9" fontId="0" fillId="0" borderId="13" xfId="2" applyFont="1" applyBorder="1" applyAlignment="1"/>
    <xf numFmtId="9" fontId="0" fillId="0" borderId="8" xfId="0" applyNumberFormat="1" applyBorder="1"/>
    <xf numFmtId="9" fontId="0" fillId="0" borderId="10" xfId="0" applyNumberFormat="1" applyBorder="1"/>
    <xf numFmtId="9" fontId="0" fillId="0" borderId="13" xfId="0" applyNumberFormat="1" applyBorder="1"/>
    <xf numFmtId="9" fontId="0" fillId="0" borderId="16" xfId="0" applyNumberFormat="1" applyBorder="1"/>
    <xf numFmtId="9" fontId="0" fillId="0" borderId="16" xfId="2" applyFont="1" applyBorder="1" applyAlignment="1"/>
    <xf numFmtId="176" fontId="12" fillId="0" borderId="12" xfId="1" applyNumberFormat="1" applyFont="1" applyBorder="1" applyAlignment="1"/>
    <xf numFmtId="9" fontId="0" fillId="0" borderId="5" xfId="1" applyNumberFormat="1" applyFont="1" applyBorder="1" applyAlignment="1"/>
    <xf numFmtId="9" fontId="0" fillId="0" borderId="5" xfId="0" applyNumberFormat="1" applyBorder="1"/>
    <xf numFmtId="9" fontId="12" fillId="0" borderId="12" xfId="1" applyNumberFormat="1" applyFont="1" applyBorder="1" applyAlignment="1"/>
    <xf numFmtId="9" fontId="0" fillId="0" borderId="0" xfId="1" applyNumberFormat="1" applyFont="1" applyAlignment="1"/>
    <xf numFmtId="9" fontId="12" fillId="0" borderId="15" xfId="1" applyNumberFormat="1" applyFont="1" applyBorder="1" applyAlignment="1"/>
    <xf numFmtId="9" fontId="0" fillId="0" borderId="7" xfId="1" applyNumberFormat="1" applyFont="1" applyBorder="1" applyAlignment="1"/>
    <xf numFmtId="9" fontId="12" fillId="0" borderId="15" xfId="0" applyNumberFormat="1" applyFont="1" applyBorder="1"/>
    <xf numFmtId="9" fontId="0" fillId="0" borderId="7" xfId="0" applyNumberFormat="1" applyBorder="1"/>
    <xf numFmtId="0" fontId="0" fillId="0" borderId="22" xfId="0" applyBorder="1"/>
    <xf numFmtId="0" fontId="12" fillId="0" borderId="23" xfId="0" applyFont="1" applyBorder="1"/>
    <xf numFmtId="177" fontId="0" fillId="0" borderId="25" xfId="1" applyNumberFormat="1" applyFont="1" applyBorder="1" applyAlignment="1"/>
    <xf numFmtId="0" fontId="0" fillId="4" borderId="6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9" fontId="0" fillId="0" borderId="10" xfId="1" applyNumberFormat="1" applyFont="1" applyBorder="1" applyAlignment="1"/>
    <xf numFmtId="176" fontId="12" fillId="0" borderId="11" xfId="1" applyNumberFormat="1" applyFont="1" applyBorder="1" applyAlignment="1"/>
    <xf numFmtId="9" fontId="12" fillId="0" borderId="13" xfId="1" applyNumberFormat="1" applyFont="1" applyBorder="1" applyAlignment="1"/>
    <xf numFmtId="0" fontId="0" fillId="4" borderId="24" xfId="0" applyFill="1" applyBorder="1" applyAlignment="1">
      <alignment horizontal="center"/>
    </xf>
    <xf numFmtId="43" fontId="12" fillId="0" borderId="26" xfId="0" applyNumberFormat="1" applyFont="1" applyBorder="1"/>
    <xf numFmtId="9" fontId="0" fillId="0" borderId="12" xfId="2" applyFont="1" applyBorder="1" applyAlignment="1"/>
    <xf numFmtId="9" fontId="0" fillId="0" borderId="14" xfId="2" applyFont="1" applyBorder="1" applyAlignment="1"/>
    <xf numFmtId="9" fontId="0" fillId="0" borderId="6" xfId="2" applyFont="1" applyBorder="1" applyAlignment="1"/>
    <xf numFmtId="9" fontId="0" fillId="0" borderId="9" xfId="2" applyFont="1" applyBorder="1" applyAlignment="1"/>
    <xf numFmtId="9" fontId="0" fillId="0" borderId="11" xfId="2" applyFont="1" applyBorder="1" applyAlignment="1"/>
    <xf numFmtId="176" fontId="0" fillId="0" borderId="21" xfId="1" applyNumberFormat="1" applyFont="1" applyBorder="1" applyAlignment="1"/>
    <xf numFmtId="9" fontId="0" fillId="5" borderId="5" xfId="2" applyFont="1" applyFill="1" applyBorder="1" applyAlignment="1"/>
    <xf numFmtId="177" fontId="0" fillId="0" borderId="26" xfId="1" applyNumberFormat="1" applyFont="1" applyBorder="1" applyAlignment="1"/>
    <xf numFmtId="9" fontId="0" fillId="5" borderId="9" xfId="2" applyFont="1" applyFill="1" applyBorder="1" applyAlignment="1"/>
    <xf numFmtId="9" fontId="0" fillId="0" borderId="11" xfId="2" applyFont="1" applyFill="1" applyBorder="1" applyAlignment="1"/>
    <xf numFmtId="177" fontId="0" fillId="0" borderId="24" xfId="1" applyNumberFormat="1" applyFont="1" applyBorder="1" applyAlignment="1"/>
    <xf numFmtId="176" fontId="0" fillId="0" borderId="8" xfId="1" applyNumberFormat="1" applyFont="1" applyBorder="1" applyAlignment="1"/>
    <xf numFmtId="177" fontId="0" fillId="0" borderId="27" xfId="1" applyNumberFormat="1" applyFont="1" applyBorder="1" applyAlignment="1"/>
    <xf numFmtId="176" fontId="12" fillId="0" borderId="16" xfId="1" applyNumberFormat="1" applyFont="1" applyBorder="1" applyAlignment="1"/>
    <xf numFmtId="177" fontId="0" fillId="0" borderId="8" xfId="1" applyNumberFormat="1" applyFont="1" applyBorder="1" applyAlignment="1"/>
    <xf numFmtId="178" fontId="0" fillId="0" borderId="0" xfId="2" applyNumberFormat="1" applyFont="1" applyAlignment="1"/>
    <xf numFmtId="178" fontId="0" fillId="4" borderId="7" xfId="2" applyNumberFormat="1" applyFont="1" applyFill="1" applyBorder="1" applyAlignment="1">
      <alignment horizontal="center" vertical="center"/>
    </xf>
    <xf numFmtId="178" fontId="0" fillId="0" borderId="5" xfId="2" applyNumberFormat="1" applyFont="1" applyBorder="1" applyAlignment="1"/>
    <xf numFmtId="178" fontId="12" fillId="0" borderId="12" xfId="2" applyNumberFormat="1" applyFont="1" applyBorder="1" applyAlignment="1"/>
    <xf numFmtId="178" fontId="12" fillId="0" borderId="15" xfId="2" applyNumberFormat="1" applyFont="1" applyBorder="1" applyAlignment="1"/>
    <xf numFmtId="178" fontId="0" fillId="0" borderId="7" xfId="2" applyNumberFormat="1" applyFont="1" applyBorder="1" applyAlignment="1"/>
    <xf numFmtId="9" fontId="0" fillId="4" borderId="7" xfId="2" applyFont="1" applyFill="1" applyBorder="1" applyAlignment="1">
      <alignment horizontal="center" vertical="center"/>
    </xf>
    <xf numFmtId="9" fontId="12" fillId="0" borderId="15" xfId="2" applyFont="1" applyBorder="1" applyAlignment="1"/>
    <xf numFmtId="9" fontId="0" fillId="0" borderId="7" xfId="2" applyFont="1" applyBorder="1" applyAlignment="1"/>
    <xf numFmtId="177" fontId="0" fillId="0" borderId="9" xfId="1" applyNumberFormat="1" applyFont="1" applyFill="1" applyBorder="1" applyAlignment="1"/>
    <xf numFmtId="0" fontId="12" fillId="0" borderId="0" xfId="0" applyFont="1"/>
    <xf numFmtId="0" fontId="14" fillId="0" borderId="0" xfId="0" applyFont="1"/>
    <xf numFmtId="0" fontId="12" fillId="0" borderId="6" xfId="0" applyFont="1" applyBorder="1"/>
    <xf numFmtId="0" fontId="12" fillId="0" borderId="9" xfId="0" applyFont="1" applyBorder="1"/>
    <xf numFmtId="176" fontId="0" fillId="0" borderId="0" xfId="1" applyNumberFormat="1" applyFont="1" applyBorder="1" applyAlignment="1"/>
    <xf numFmtId="177" fontId="0" fillId="0" borderId="0" xfId="0" applyNumberFormat="1"/>
    <xf numFmtId="177" fontId="12" fillId="0" borderId="0" xfId="1" applyNumberFormat="1" applyFont="1" applyBorder="1" applyAlignment="1"/>
    <xf numFmtId="9" fontId="12" fillId="0" borderId="0" xfId="1" applyNumberFormat="1" applyFont="1" applyBorder="1" applyAlignment="1"/>
    <xf numFmtId="43" fontId="12" fillId="0" borderId="0" xfId="0" applyNumberFormat="1" applyFont="1"/>
    <xf numFmtId="9" fontId="12" fillId="0" borderId="0" xfId="2" applyFont="1" applyBorder="1" applyAlignment="1"/>
    <xf numFmtId="9" fontId="0" fillId="0" borderId="0" xfId="2" applyFont="1" applyBorder="1" applyAlignment="1"/>
    <xf numFmtId="176" fontId="12" fillId="0" borderId="0" xfId="1" applyNumberFormat="1" applyFont="1" applyBorder="1" applyAlignment="1"/>
    <xf numFmtId="177" fontId="0" fillId="0" borderId="0" xfId="1" applyNumberFormat="1" applyFont="1" applyBorder="1" applyAlignment="1"/>
    <xf numFmtId="0" fontId="12" fillId="0" borderId="20" xfId="0" applyFont="1" applyBorder="1"/>
    <xf numFmtId="0" fontId="12" fillId="0" borderId="22" xfId="0" applyFont="1" applyBorder="1"/>
    <xf numFmtId="176" fontId="0" fillId="0" borderId="1" xfId="1" applyNumberFormat="1" applyFont="1" applyBorder="1" applyAlignment="1"/>
    <xf numFmtId="176" fontId="0" fillId="0" borderId="3" xfId="1" applyNumberFormat="1" applyFont="1" applyBorder="1" applyAlignment="1"/>
    <xf numFmtId="176" fontId="0" fillId="0" borderId="2" xfId="1" applyNumberFormat="1" applyFont="1" applyBorder="1" applyAlignment="1"/>
    <xf numFmtId="0" fontId="12" fillId="0" borderId="28" xfId="0" applyFont="1" applyBorder="1"/>
    <xf numFmtId="176" fontId="0" fillId="0" borderId="4" xfId="1" applyNumberFormat="1" applyFont="1" applyBorder="1" applyAlignment="1"/>
    <xf numFmtId="177" fontId="0" fillId="0" borderId="4" xfId="0" applyNumberFormat="1" applyBorder="1"/>
    <xf numFmtId="176" fontId="13" fillId="0" borderId="0" xfId="1" applyNumberFormat="1" applyFont="1" applyBorder="1" applyAlignment="1"/>
    <xf numFmtId="177" fontId="0" fillId="0" borderId="2" xfId="1" applyNumberFormat="1" applyFont="1" applyBorder="1" applyAlignment="1"/>
    <xf numFmtId="0" fontId="13" fillId="0" borderId="11" xfId="0" applyFont="1" applyBorder="1"/>
    <xf numFmtId="9" fontId="13" fillId="0" borderId="13" xfId="0" applyNumberFormat="1" applyFont="1" applyBorder="1"/>
    <xf numFmtId="9" fontId="13" fillId="0" borderId="2" xfId="0" applyNumberFormat="1" applyFont="1" applyBorder="1"/>
    <xf numFmtId="9" fontId="0" fillId="0" borderId="2" xfId="0" applyNumberFormat="1" applyBorder="1"/>
    <xf numFmtId="176" fontId="0" fillId="0" borderId="4" xfId="0" applyNumberFormat="1" applyBorder="1"/>
    <xf numFmtId="0" fontId="12" fillId="0" borderId="0" xfId="0" applyFont="1" applyAlignment="1">
      <alignment horizontal="center"/>
    </xf>
    <xf numFmtId="176" fontId="15" fillId="0" borderId="0" xfId="1" applyNumberFormat="1" applyFont="1" applyAlignment="1"/>
    <xf numFmtId="4" fontId="0" fillId="0" borderId="0" xfId="0" applyNumberFormat="1"/>
    <xf numFmtId="178" fontId="13" fillId="0" borderId="2" xfId="0" applyNumberFormat="1" applyFont="1" applyBorder="1"/>
    <xf numFmtId="178" fontId="13" fillId="0" borderId="13" xfId="0" applyNumberFormat="1" applyFont="1" applyBorder="1"/>
    <xf numFmtId="10" fontId="0" fillId="0" borderId="0" xfId="0" applyNumberFormat="1"/>
    <xf numFmtId="179" fontId="0" fillId="0" borderId="0" xfId="0" applyNumberFormat="1"/>
    <xf numFmtId="180" fontId="0" fillId="0" borderId="0" xfId="0" applyNumberFormat="1"/>
    <xf numFmtId="178" fontId="0" fillId="0" borderId="5" xfId="0" applyNumberFormat="1" applyBorder="1"/>
    <xf numFmtId="178" fontId="0" fillId="0" borderId="10" xfId="0" applyNumberFormat="1" applyBorder="1"/>
    <xf numFmtId="178" fontId="0" fillId="0" borderId="12" xfId="0" applyNumberFormat="1" applyBorder="1"/>
    <xf numFmtId="176" fontId="0" fillId="0" borderId="7" xfId="1" applyNumberFormat="1" applyFont="1" applyBorder="1" applyAlignment="1"/>
    <xf numFmtId="176" fontId="0" fillId="4" borderId="7" xfId="1" applyNumberFormat="1" applyFont="1" applyFill="1" applyBorder="1" applyAlignment="1"/>
    <xf numFmtId="0" fontId="0" fillId="0" borderId="12" xfId="0" applyBorder="1"/>
    <xf numFmtId="9" fontId="0" fillId="0" borderId="12" xfId="0" applyNumberFormat="1" applyBorder="1"/>
    <xf numFmtId="0" fontId="12" fillId="6" borderId="29" xfId="0" applyFont="1" applyFill="1" applyBorder="1" applyAlignment="1">
      <alignment horizontal="center"/>
    </xf>
    <xf numFmtId="0" fontId="12" fillId="6" borderId="30" xfId="0" applyFont="1" applyFill="1" applyBorder="1" applyAlignment="1">
      <alignment horizontal="center"/>
    </xf>
    <xf numFmtId="0" fontId="12" fillId="6" borderId="31" xfId="0" applyFont="1" applyFill="1" applyBorder="1" applyAlignment="1">
      <alignment horizontal="center"/>
    </xf>
    <xf numFmtId="0" fontId="12" fillId="5" borderId="32" xfId="0" applyFont="1" applyFill="1" applyBorder="1"/>
    <xf numFmtId="176" fontId="12" fillId="5" borderId="33" xfId="1" applyNumberFormat="1" applyFont="1" applyFill="1" applyBorder="1" applyAlignment="1"/>
    <xf numFmtId="176" fontId="12" fillId="5" borderId="34" xfId="1" applyNumberFormat="1" applyFont="1" applyFill="1" applyBorder="1" applyAlignment="1"/>
    <xf numFmtId="10" fontId="0" fillId="0" borderId="10" xfId="0" applyNumberFormat="1" applyBorder="1"/>
    <xf numFmtId="0" fontId="16" fillId="0" borderId="0" xfId="0" applyFont="1" applyAlignment="1">
      <alignment vertical="center"/>
    </xf>
    <xf numFmtId="0" fontId="16" fillId="0" borderId="0" xfId="0" applyFont="1"/>
    <xf numFmtId="10" fontId="0" fillId="0" borderId="13" xfId="0" applyNumberFormat="1" applyBorder="1"/>
    <xf numFmtId="0" fontId="0" fillId="0" borderId="0" xfId="0" applyAlignment="1">
      <alignment vertical="center" wrapText="1"/>
    </xf>
    <xf numFmtId="0" fontId="12" fillId="0" borderId="0" xfId="0" applyFont="1" applyAlignment="1">
      <alignment vertical="center" wrapText="1"/>
    </xf>
    <xf numFmtId="0" fontId="0" fillId="0" borderId="5" xfId="0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2" fillId="0" borderId="10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0" borderId="11" xfId="0" applyFont="1" applyBorder="1" applyAlignment="1">
      <alignment vertical="center" wrapText="1"/>
    </xf>
    <xf numFmtId="0" fontId="12" fillId="0" borderId="12" xfId="0" applyFont="1" applyBorder="1" applyAlignment="1">
      <alignment vertical="center" wrapText="1"/>
    </xf>
    <xf numFmtId="0" fontId="12" fillId="0" borderId="13" xfId="0" applyFont="1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2" fillId="0" borderId="23" xfId="0" applyFont="1" applyBorder="1" applyAlignment="1">
      <alignment vertical="center" wrapText="1"/>
    </xf>
    <xf numFmtId="0" fontId="12" fillId="0" borderId="25" xfId="0" applyFont="1" applyBorder="1" applyAlignment="1">
      <alignment vertical="center" wrapText="1"/>
    </xf>
    <xf numFmtId="0" fontId="12" fillId="0" borderId="26" xfId="0" applyFont="1" applyBorder="1" applyAlignment="1">
      <alignment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178" fontId="18" fillId="0" borderId="0" xfId="0" applyNumberFormat="1" applyFont="1" applyAlignment="1">
      <alignment vertical="center"/>
    </xf>
    <xf numFmtId="10" fontId="18" fillId="0" borderId="0" xfId="0" applyNumberFormat="1" applyFont="1" applyAlignment="1">
      <alignment vertical="center"/>
    </xf>
    <xf numFmtId="181" fontId="0" fillId="0" borderId="0" xfId="0" applyNumberFormat="1"/>
    <xf numFmtId="178" fontId="0" fillId="0" borderId="13" xfId="2" applyNumberFormat="1" applyFont="1" applyBorder="1" applyAlignment="1"/>
    <xf numFmtId="176" fontId="20" fillId="0" borderId="0" xfId="1" applyNumberFormat="1" applyFont="1" applyAlignment="1"/>
    <xf numFmtId="176" fontId="12" fillId="0" borderId="0" xfId="0" applyNumberFormat="1" applyFont="1"/>
    <xf numFmtId="176" fontId="12" fillId="0" borderId="0" xfId="1" applyNumberFormat="1" applyFont="1" applyAlignment="1"/>
    <xf numFmtId="176" fontId="0" fillId="0" borderId="0" xfId="1" applyNumberFormat="1" applyFont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20" fillId="0" borderId="0" xfId="0" applyFont="1" applyAlignment="1">
      <alignment vertical="center" wrapText="1"/>
    </xf>
    <xf numFmtId="176" fontId="0" fillId="8" borderId="0" xfId="1" applyNumberFormat="1" applyFont="1" applyFill="1" applyAlignment="1"/>
    <xf numFmtId="0" fontId="21" fillId="9" borderId="7" xfId="0" applyFont="1" applyFill="1" applyBorder="1" applyAlignment="1">
      <alignment horizontal="center" vertical="center"/>
    </xf>
    <xf numFmtId="0" fontId="21" fillId="9" borderId="17" xfId="0" applyFont="1" applyFill="1" applyBorder="1" applyAlignment="1">
      <alignment horizontal="center" vertical="center"/>
    </xf>
    <xf numFmtId="0" fontId="21" fillId="9" borderId="6" xfId="0" applyFont="1" applyFill="1" applyBorder="1" applyAlignment="1">
      <alignment horizontal="center" vertical="center"/>
    </xf>
    <xf numFmtId="176" fontId="21" fillId="9" borderId="7" xfId="1" applyNumberFormat="1" applyFont="1" applyFill="1" applyBorder="1" applyAlignment="1">
      <alignment horizontal="center"/>
    </xf>
    <xf numFmtId="176" fontId="21" fillId="9" borderId="8" xfId="1" applyNumberFormat="1" applyFont="1" applyFill="1" applyBorder="1" applyAlignment="1">
      <alignment horizontal="center"/>
    </xf>
    <xf numFmtId="176" fontId="21" fillId="9" borderId="29" xfId="1" applyNumberFormat="1" applyFont="1" applyFill="1" applyBorder="1" applyAlignment="1">
      <alignment horizontal="center"/>
    </xf>
    <xf numFmtId="176" fontId="21" fillId="9" borderId="30" xfId="1" applyNumberFormat="1" applyFont="1" applyFill="1" applyBorder="1" applyAlignment="1">
      <alignment horizontal="center"/>
    </xf>
    <xf numFmtId="176" fontId="21" fillId="9" borderId="31" xfId="1" applyNumberFormat="1" applyFont="1" applyFill="1" applyBorder="1" applyAlignment="1">
      <alignment horizontal="center"/>
    </xf>
    <xf numFmtId="0" fontId="18" fillId="0" borderId="9" xfId="0" applyFont="1" applyBorder="1" applyAlignment="1">
      <alignment vertical="center"/>
    </xf>
    <xf numFmtId="0" fontId="18" fillId="0" borderId="5" xfId="0" applyFont="1" applyBorder="1" applyAlignment="1">
      <alignment vertical="center"/>
    </xf>
    <xf numFmtId="0" fontId="18" fillId="0" borderId="5" xfId="0" applyFont="1" applyBorder="1" applyAlignment="1">
      <alignment horizontal="center" vertical="center"/>
    </xf>
    <xf numFmtId="0" fontId="18" fillId="0" borderId="5" xfId="1" applyNumberFormat="1" applyFont="1" applyFill="1" applyBorder="1">
      <alignment vertical="center"/>
    </xf>
    <xf numFmtId="0" fontId="23" fillId="0" borderId="5" xfId="3" applyBorder="1" applyAlignment="1">
      <alignment vertical="top"/>
    </xf>
    <xf numFmtId="0" fontId="18" fillId="5" borderId="5" xfId="0" applyFont="1" applyFill="1" applyBorder="1" applyAlignment="1">
      <alignment vertical="center"/>
    </xf>
    <xf numFmtId="0" fontId="18" fillId="0" borderId="5" xfId="0" quotePrefix="1" applyFont="1" applyBorder="1" applyAlignment="1">
      <alignment vertical="center"/>
    </xf>
    <xf numFmtId="0" fontId="18" fillId="0" borderId="18" xfId="0" applyFont="1" applyBorder="1" applyAlignment="1">
      <alignment vertical="center"/>
    </xf>
    <xf numFmtId="0" fontId="18" fillId="5" borderId="9" xfId="0" applyFont="1" applyFill="1" applyBorder="1" applyAlignment="1">
      <alignment vertical="center"/>
    </xf>
    <xf numFmtId="3" fontId="18" fillId="5" borderId="5" xfId="1" applyNumberFormat="1" applyFont="1" applyFill="1" applyBorder="1">
      <alignment vertical="center"/>
    </xf>
    <xf numFmtId="3" fontId="18" fillId="5" borderId="18" xfId="1" applyNumberFormat="1" applyFont="1" applyFill="1" applyBorder="1">
      <alignment vertical="center"/>
    </xf>
    <xf numFmtId="0" fontId="18" fillId="5" borderId="18" xfId="0" applyFont="1" applyFill="1" applyBorder="1" applyAlignment="1">
      <alignment vertical="center"/>
    </xf>
    <xf numFmtId="3" fontId="18" fillId="0" borderId="5" xfId="1" applyNumberFormat="1" applyFont="1" applyFill="1" applyBorder="1">
      <alignment vertical="center"/>
    </xf>
    <xf numFmtId="176" fontId="18" fillId="0" borderId="7" xfId="0" applyNumberFormat="1" applyFont="1" applyBorder="1" applyAlignment="1">
      <alignment vertical="center"/>
    </xf>
    <xf numFmtId="177" fontId="18" fillId="0" borderId="7" xfId="0" applyNumberFormat="1" applyFont="1" applyBorder="1" applyAlignment="1">
      <alignment vertical="center"/>
    </xf>
    <xf numFmtId="177" fontId="18" fillId="0" borderId="8" xfId="0" applyNumberFormat="1" applyFont="1" applyBorder="1" applyAlignment="1">
      <alignment vertical="center"/>
    </xf>
    <xf numFmtId="0" fontId="24" fillId="5" borderId="9" xfId="0" applyFont="1" applyFill="1" applyBorder="1" applyAlignment="1">
      <alignment vertical="center"/>
    </xf>
    <xf numFmtId="176" fontId="18" fillId="0" borderId="33" xfId="0" applyNumberFormat="1" applyFont="1" applyBorder="1" applyAlignment="1">
      <alignment vertical="center"/>
    </xf>
    <xf numFmtId="177" fontId="18" fillId="0" borderId="33" xfId="0" applyNumberFormat="1" applyFont="1" applyBorder="1" applyAlignment="1">
      <alignment vertical="center"/>
    </xf>
    <xf numFmtId="177" fontId="18" fillId="0" borderId="34" xfId="0" applyNumberFormat="1" applyFont="1" applyBorder="1" applyAlignment="1">
      <alignment vertical="center"/>
    </xf>
    <xf numFmtId="176" fontId="18" fillId="0" borderId="5" xfId="0" applyNumberFormat="1" applyFont="1" applyBorder="1" applyAlignment="1">
      <alignment vertical="center"/>
    </xf>
    <xf numFmtId="177" fontId="18" fillId="0" borderId="5" xfId="0" applyNumberFormat="1" applyFont="1" applyBorder="1" applyAlignment="1">
      <alignment vertical="center"/>
    </xf>
    <xf numFmtId="177" fontId="18" fillId="0" borderId="10" xfId="0" applyNumberFormat="1" applyFont="1" applyBorder="1" applyAlignment="1">
      <alignment vertical="center"/>
    </xf>
    <xf numFmtId="0" fontId="25" fillId="5" borderId="9" xfId="0" applyFont="1" applyFill="1" applyBorder="1" applyAlignment="1">
      <alignment vertical="center"/>
    </xf>
    <xf numFmtId="3" fontId="18" fillId="5" borderId="10" xfId="1" applyNumberFormat="1" applyFont="1" applyFill="1" applyBorder="1">
      <alignment vertical="center"/>
    </xf>
    <xf numFmtId="176" fontId="18" fillId="0" borderId="5" xfId="1" applyNumberFormat="1" applyFont="1" applyFill="1" applyBorder="1">
      <alignment vertical="center"/>
    </xf>
    <xf numFmtId="176" fontId="18" fillId="0" borderId="9" xfId="1" applyNumberFormat="1" applyFont="1" applyFill="1" applyBorder="1">
      <alignment vertical="center"/>
    </xf>
    <xf numFmtId="0" fontId="12" fillId="0" borderId="6" xfId="0" applyFont="1" applyBorder="1" applyAlignment="1">
      <alignment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20" fillId="0" borderId="5" xfId="0" applyFont="1" applyBorder="1" applyAlignment="1">
      <alignment vertical="center" wrapText="1"/>
    </xf>
    <xf numFmtId="0" fontId="20" fillId="0" borderId="9" xfId="0" applyFont="1" applyBorder="1" applyAlignment="1">
      <alignment vertical="center" wrapText="1"/>
    </xf>
    <xf numFmtId="176" fontId="20" fillId="0" borderId="5" xfId="1" applyNumberFormat="1" applyFont="1" applyBorder="1" applyAlignment="1">
      <alignment vertical="center" wrapText="1"/>
    </xf>
    <xf numFmtId="176" fontId="0" fillId="0" borderId="5" xfId="1" applyNumberFormat="1" applyFont="1" applyBorder="1" applyAlignment="1">
      <alignment vertical="center" wrapText="1"/>
    </xf>
    <xf numFmtId="176" fontId="0" fillId="0" borderId="10" xfId="0" applyNumberFormat="1" applyBorder="1"/>
    <xf numFmtId="176" fontId="12" fillId="0" borderId="12" xfId="1" applyNumberFormat="1" applyFont="1" applyBorder="1" applyAlignment="1">
      <alignment vertical="center" wrapText="1"/>
    </xf>
    <xf numFmtId="176" fontId="0" fillId="0" borderId="13" xfId="0" applyNumberFormat="1" applyBorder="1"/>
    <xf numFmtId="0" fontId="26" fillId="0" borderId="0" xfId="4">
      <alignment vertical="center"/>
    </xf>
    <xf numFmtId="0" fontId="27" fillId="0" borderId="0" xfId="4" applyFont="1">
      <alignment vertical="center"/>
    </xf>
    <xf numFmtId="182" fontId="28" fillId="0" borderId="0" xfId="4" applyNumberFormat="1" applyFont="1" applyAlignment="1">
      <alignment horizontal="center" vertical="center"/>
    </xf>
    <xf numFmtId="0" fontId="29" fillId="0" borderId="37" xfId="4" applyFont="1" applyBorder="1">
      <alignment vertical="center"/>
    </xf>
    <xf numFmtId="182" fontId="28" fillId="0" borderId="37" xfId="4" applyNumberFormat="1" applyFont="1" applyBorder="1" applyAlignment="1">
      <alignment horizontal="center" vertical="center"/>
    </xf>
    <xf numFmtId="0" fontId="30" fillId="10" borderId="38" xfId="0" applyFont="1" applyFill="1" applyBorder="1" applyAlignment="1">
      <alignment vertical="center"/>
    </xf>
    <xf numFmtId="0" fontId="31" fillId="10" borderId="38" xfId="0" applyFont="1" applyFill="1" applyBorder="1" applyAlignment="1">
      <alignment vertical="center"/>
    </xf>
    <xf numFmtId="0" fontId="31" fillId="10" borderId="38" xfId="4" applyFont="1" applyFill="1" applyBorder="1">
      <alignment vertical="center"/>
    </xf>
    <xf numFmtId="0" fontId="30" fillId="0" borderId="0" xfId="5" applyFont="1" applyAlignment="1">
      <alignment horizontal="left"/>
    </xf>
    <xf numFmtId="0" fontId="31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0" fontId="30" fillId="0" borderId="0" xfId="4" applyFont="1" applyAlignment="1">
      <alignment horizontal="center" vertical="center"/>
    </xf>
    <xf numFmtId="0" fontId="31" fillId="0" borderId="0" xfId="4" applyFont="1">
      <alignment vertical="center"/>
    </xf>
    <xf numFmtId="0" fontId="31" fillId="0" borderId="0" xfId="5" applyFont="1" applyAlignment="1">
      <alignment horizontal="left"/>
    </xf>
    <xf numFmtId="183" fontId="32" fillId="11" borderId="39" xfId="6" applyNumberFormat="1" applyFont="1" applyFill="1" applyBorder="1" applyAlignment="1">
      <alignment horizontal="center" vertical="center"/>
    </xf>
    <xf numFmtId="0" fontId="30" fillId="0" borderId="0" xfId="4" applyFont="1">
      <alignment vertical="center"/>
    </xf>
    <xf numFmtId="0" fontId="33" fillId="0" borderId="0" xfId="4" applyFont="1">
      <alignment vertical="center"/>
    </xf>
    <xf numFmtId="0" fontId="31" fillId="0" borderId="0" xfId="0" applyFont="1" applyAlignment="1">
      <alignment horizontal="center" vertical="center"/>
    </xf>
    <xf numFmtId="0" fontId="31" fillId="0" borderId="0" xfId="7" applyFont="1" applyAlignment="1">
      <alignment horizontal="left"/>
    </xf>
    <xf numFmtId="184" fontId="32" fillId="11" borderId="39" xfId="6" applyNumberFormat="1" applyFont="1" applyFill="1" applyBorder="1" applyAlignment="1">
      <alignment horizontal="center" vertical="center"/>
    </xf>
    <xf numFmtId="183" fontId="34" fillId="11" borderId="39" xfId="6" applyNumberFormat="1" applyFont="1" applyFill="1" applyBorder="1" applyAlignment="1">
      <alignment horizontal="center" vertical="center"/>
    </xf>
    <xf numFmtId="185" fontId="32" fillId="11" borderId="39" xfId="6" applyNumberFormat="1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1" fillId="0" borderId="0" xfId="4" applyFont="1" applyAlignment="1">
      <alignment horizontal="center" vertical="center"/>
    </xf>
    <xf numFmtId="0" fontId="30" fillId="10" borderId="38" xfId="4" applyFont="1" applyFill="1" applyBorder="1">
      <alignment vertical="center"/>
    </xf>
    <xf numFmtId="185" fontId="23" fillId="11" borderId="39" xfId="6" applyNumberFormat="1" applyFont="1" applyFill="1" applyBorder="1" applyAlignment="1">
      <alignment horizontal="center" vertical="center"/>
    </xf>
    <xf numFmtId="0" fontId="34" fillId="0" borderId="0" xfId="4" applyFont="1">
      <alignment vertical="center"/>
    </xf>
    <xf numFmtId="0" fontId="0" fillId="0" borderId="0" xfId="0" applyAlignment="1">
      <alignment vertical="center"/>
    </xf>
    <xf numFmtId="0" fontId="30" fillId="10" borderId="38" xfId="5" applyFont="1" applyFill="1" applyBorder="1" applyAlignment="1">
      <alignment vertical="center"/>
    </xf>
    <xf numFmtId="0" fontId="31" fillId="10" borderId="38" xfId="5" applyFont="1" applyFill="1" applyBorder="1" applyAlignment="1">
      <alignment vertical="center"/>
    </xf>
    <xf numFmtId="0" fontId="31" fillId="10" borderId="38" xfId="8" applyFont="1" applyFill="1" applyBorder="1">
      <alignment vertical="center"/>
    </xf>
    <xf numFmtId="0" fontId="31" fillId="0" borderId="0" xfId="5" applyFont="1" applyAlignment="1">
      <alignment vertical="center"/>
    </xf>
    <xf numFmtId="0" fontId="30" fillId="0" borderId="0" xfId="5" applyFont="1" applyAlignment="1">
      <alignment horizontal="center" vertical="center"/>
    </xf>
    <xf numFmtId="0" fontId="31" fillId="0" borderId="0" xfId="8" applyFont="1">
      <alignment vertical="center"/>
    </xf>
    <xf numFmtId="183" fontId="32" fillId="11" borderId="39" xfId="9" applyNumberFormat="1" applyFont="1" applyFill="1" applyBorder="1" applyAlignment="1">
      <alignment horizontal="center" vertical="center"/>
    </xf>
    <xf numFmtId="0" fontId="30" fillId="0" borderId="0" xfId="8" applyFont="1">
      <alignment vertical="center"/>
    </xf>
    <xf numFmtId="0" fontId="33" fillId="0" borderId="0" xfId="8" applyFont="1">
      <alignment vertical="center"/>
    </xf>
    <xf numFmtId="0" fontId="31" fillId="0" borderId="0" xfId="5" applyFont="1" applyAlignment="1">
      <alignment horizontal="center" vertical="center"/>
    </xf>
    <xf numFmtId="184" fontId="32" fillId="11" borderId="39" xfId="9" applyNumberFormat="1" applyFont="1" applyFill="1" applyBorder="1" applyAlignment="1">
      <alignment horizontal="center" vertical="center"/>
    </xf>
    <xf numFmtId="183" fontId="34" fillId="11" borderId="39" xfId="9" applyNumberFormat="1" applyFont="1" applyFill="1" applyBorder="1" applyAlignment="1">
      <alignment horizontal="center" vertical="center"/>
    </xf>
    <xf numFmtId="185" fontId="32" fillId="11" borderId="39" xfId="9" applyNumberFormat="1" applyFont="1" applyFill="1" applyBorder="1" applyAlignment="1">
      <alignment horizontal="center" vertical="center"/>
    </xf>
    <xf numFmtId="0" fontId="7" fillId="0" borderId="0" xfId="5"/>
    <xf numFmtId="0" fontId="34" fillId="0" borderId="0" xfId="5" applyFont="1" applyAlignment="1">
      <alignment vertical="center"/>
    </xf>
    <xf numFmtId="0" fontId="31" fillId="0" borderId="0" xfId="8" applyFont="1" applyAlignment="1">
      <alignment horizontal="center" vertical="center"/>
    </xf>
    <xf numFmtId="43" fontId="0" fillId="0" borderId="5" xfId="1" applyFont="1" applyBorder="1" applyAlignment="1"/>
    <xf numFmtId="0" fontId="10" fillId="3" borderId="9" xfId="0" applyFont="1" applyFill="1" applyBorder="1"/>
    <xf numFmtId="178" fontId="0" fillId="0" borderId="10" xfId="2" applyNumberFormat="1" applyFont="1" applyBorder="1" applyAlignment="1"/>
    <xf numFmtId="0" fontId="11" fillId="3" borderId="9" xfId="0" applyFont="1" applyFill="1" applyBorder="1"/>
    <xf numFmtId="0" fontId="11" fillId="3" borderId="9" xfId="0" applyFont="1" applyFill="1" applyBorder="1" applyAlignment="1">
      <alignment horizontal="left"/>
    </xf>
    <xf numFmtId="0" fontId="11" fillId="3" borderId="9" xfId="0" applyFont="1" applyFill="1" applyBorder="1" applyAlignment="1">
      <alignment horizontal="left" indent="1"/>
    </xf>
    <xf numFmtId="0" fontId="10" fillId="3" borderId="11" xfId="0" applyFont="1" applyFill="1" applyBorder="1"/>
    <xf numFmtId="178" fontId="0" fillId="0" borderId="12" xfId="2" applyNumberFormat="1" applyFont="1" applyBorder="1" applyAlignment="1"/>
    <xf numFmtId="0" fontId="9" fillId="2" borderId="29" xfId="0" applyFont="1" applyFill="1" applyBorder="1" applyAlignment="1">
      <alignment horizontal="center"/>
    </xf>
    <xf numFmtId="0" fontId="9" fillId="2" borderId="30" xfId="0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176" fontId="0" fillId="0" borderId="33" xfId="1" applyNumberFormat="1" applyFont="1" applyBorder="1" applyAlignment="1"/>
    <xf numFmtId="178" fontId="0" fillId="0" borderId="34" xfId="2" applyNumberFormat="1" applyFont="1" applyBorder="1" applyAlignment="1"/>
    <xf numFmtId="0" fontId="10" fillId="3" borderId="6" xfId="0" applyFont="1" applyFill="1" applyBorder="1"/>
    <xf numFmtId="178" fontId="0" fillId="0" borderId="8" xfId="2" applyNumberFormat="1" applyFont="1" applyBorder="1" applyAlignment="1"/>
    <xf numFmtId="176" fontId="0" fillId="0" borderId="12" xfId="1" applyNumberFormat="1" applyFont="1" applyBorder="1" applyAlignment="1"/>
    <xf numFmtId="0" fontId="11" fillId="3" borderId="32" xfId="0" applyFont="1" applyFill="1" applyBorder="1" applyAlignment="1">
      <alignment horizontal="left"/>
    </xf>
    <xf numFmtId="0" fontId="11" fillId="3" borderId="6" xfId="0" applyFont="1" applyFill="1" applyBorder="1"/>
    <xf numFmtId="0" fontId="10" fillId="3" borderId="32" xfId="0" applyFont="1" applyFill="1" applyBorder="1"/>
    <xf numFmtId="0" fontId="11" fillId="3" borderId="6" xfId="0" applyFont="1" applyFill="1" applyBorder="1" applyAlignment="1">
      <alignment horizontal="left"/>
    </xf>
    <xf numFmtId="176" fontId="12" fillId="0" borderId="7" xfId="1" applyNumberFormat="1" applyFont="1" applyBorder="1" applyAlignment="1"/>
    <xf numFmtId="178" fontId="12" fillId="0" borderId="8" xfId="2" applyNumberFormat="1" applyFont="1" applyBorder="1" applyAlignment="1"/>
    <xf numFmtId="0" fontId="10" fillId="3" borderId="40" xfId="0" applyFont="1" applyFill="1" applyBorder="1"/>
    <xf numFmtId="176" fontId="0" fillId="0" borderId="41" xfId="1" applyNumberFormat="1" applyFont="1" applyBorder="1" applyAlignment="1"/>
    <xf numFmtId="178" fontId="0" fillId="0" borderId="42" xfId="2" applyNumberFormat="1" applyFont="1" applyBorder="1" applyAlignment="1"/>
    <xf numFmtId="0" fontId="10" fillId="3" borderId="6" xfId="0" applyFont="1" applyFill="1" applyBorder="1" applyAlignment="1">
      <alignment wrapText="1"/>
    </xf>
    <xf numFmtId="43" fontId="0" fillId="0" borderId="7" xfId="1" applyFont="1" applyBorder="1" applyAlignment="1"/>
    <xf numFmtId="176" fontId="0" fillId="0" borderId="12" xfId="0" applyNumberFormat="1" applyBorder="1"/>
    <xf numFmtId="176" fontId="0" fillId="0" borderId="8" xfId="0" applyNumberFormat="1" applyBorder="1"/>
    <xf numFmtId="0" fontId="12" fillId="0" borderId="7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0" fillId="0" borderId="14" xfId="0" applyBorder="1"/>
    <xf numFmtId="0" fontId="0" fillId="0" borderId="15" xfId="0" applyBorder="1"/>
    <xf numFmtId="176" fontId="0" fillId="0" borderId="15" xfId="0" applyNumberFormat="1" applyBorder="1"/>
    <xf numFmtId="176" fontId="0" fillId="0" borderId="16" xfId="0" applyNumberFormat="1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6" fontId="0" fillId="0" borderId="9" xfId="1" applyNumberFormat="1" applyFont="1" applyBorder="1" applyAlignment="1"/>
    <xf numFmtId="0" fontId="12" fillId="0" borderId="7" xfId="0" applyFont="1" applyBorder="1" applyAlignment="1">
      <alignment horizontal="center" vertical="center"/>
    </xf>
    <xf numFmtId="176" fontId="12" fillId="0" borderId="5" xfId="0" applyNumberFormat="1" applyFont="1" applyBorder="1"/>
    <xf numFmtId="176" fontId="12" fillId="0" borderId="5" xfId="1" applyNumberFormat="1" applyFont="1" applyBorder="1" applyAlignment="1"/>
    <xf numFmtId="0" fontId="12" fillId="0" borderId="8" xfId="0" applyFont="1" applyBorder="1" applyAlignment="1">
      <alignment horizontal="center" vertical="center"/>
    </xf>
    <xf numFmtId="176" fontId="12" fillId="0" borderId="10" xfId="0" applyNumberFormat="1" applyFont="1" applyBorder="1"/>
    <xf numFmtId="176" fontId="12" fillId="0" borderId="13" xfId="0" applyNumberFormat="1" applyFont="1" applyBorder="1"/>
    <xf numFmtId="0" fontId="0" fillId="0" borderId="40" xfId="0" applyBorder="1"/>
    <xf numFmtId="178" fontId="0" fillId="0" borderId="41" xfId="0" applyNumberFormat="1" applyBorder="1"/>
    <xf numFmtId="178" fontId="0" fillId="0" borderId="15" xfId="0" applyNumberFormat="1" applyBorder="1"/>
    <xf numFmtId="178" fontId="0" fillId="0" borderId="16" xfId="0" applyNumberFormat="1" applyBorder="1"/>
    <xf numFmtId="0" fontId="5" fillId="0" borderId="0" xfId="10">
      <alignment vertical="center"/>
    </xf>
    <xf numFmtId="0" fontId="12" fillId="4" borderId="4" xfId="10" applyFont="1" applyFill="1" applyBorder="1" applyAlignment="1">
      <alignment horizontal="center" vertical="center"/>
    </xf>
    <xf numFmtId="0" fontId="12" fillId="4" borderId="27" xfId="10" applyFont="1" applyFill="1" applyBorder="1" applyAlignment="1">
      <alignment horizontal="center" vertical="center"/>
    </xf>
    <xf numFmtId="0" fontId="12" fillId="4" borderId="15" xfId="10" applyFont="1" applyFill="1" applyBorder="1" applyAlignment="1">
      <alignment horizontal="center" vertical="center"/>
    </xf>
    <xf numFmtId="0" fontId="12" fillId="4" borderId="21" xfId="10" applyFont="1" applyFill="1" applyBorder="1" applyAlignment="1">
      <alignment horizontal="center" vertical="center"/>
    </xf>
    <xf numFmtId="0" fontId="12" fillId="4" borderId="0" xfId="10" applyFont="1" applyFill="1" applyAlignment="1">
      <alignment horizontal="center" vertical="center"/>
    </xf>
    <xf numFmtId="186" fontId="38" fillId="12" borderId="45" xfId="12" applyFont="1" applyFill="1" applyBorder="1" applyAlignment="1">
      <alignment horizontal="left" vertical="center" indent="1"/>
    </xf>
    <xf numFmtId="0" fontId="5" fillId="0" borderId="46" xfId="10" applyBorder="1">
      <alignment vertical="center"/>
    </xf>
    <xf numFmtId="176" fontId="0" fillId="0" borderId="43" xfId="13" applyNumberFormat="1" applyFont="1" applyBorder="1">
      <alignment vertical="center"/>
    </xf>
    <xf numFmtId="186" fontId="38" fillId="12" borderId="48" xfId="12" applyFont="1" applyFill="1" applyBorder="1" applyAlignment="1">
      <alignment horizontal="left" vertical="center" indent="1"/>
    </xf>
    <xf numFmtId="0" fontId="5" fillId="0" borderId="47" xfId="10" applyBorder="1">
      <alignment vertical="center"/>
    </xf>
    <xf numFmtId="176" fontId="0" fillId="0" borderId="47" xfId="13" applyNumberFormat="1" applyFont="1" applyBorder="1">
      <alignment vertical="center"/>
    </xf>
    <xf numFmtId="177" fontId="0" fillId="0" borderId="0" xfId="13" applyNumberFormat="1" applyFont="1" applyBorder="1">
      <alignment vertical="center"/>
    </xf>
    <xf numFmtId="186" fontId="39" fillId="0" borderId="45" xfId="14" applyFont="1" applyBorder="1" applyAlignment="1">
      <alignment horizontal="left" vertical="center"/>
    </xf>
    <xf numFmtId="43" fontId="0" fillId="0" borderId="46" xfId="13" applyFont="1" applyBorder="1">
      <alignment vertical="center"/>
    </xf>
    <xf numFmtId="186" fontId="39" fillId="8" borderId="49" xfId="14" applyFont="1" applyFill="1" applyBorder="1" applyAlignment="1">
      <alignment horizontal="left" vertical="center"/>
    </xf>
    <xf numFmtId="43" fontId="0" fillId="0" borderId="0" xfId="13" applyFont="1" applyBorder="1">
      <alignment vertical="center"/>
    </xf>
    <xf numFmtId="188" fontId="38" fillId="3" borderId="43" xfId="15" applyNumberFormat="1" applyFont="1" applyFill="1" applyBorder="1" applyAlignment="1">
      <alignment horizontal="left" vertical="center"/>
    </xf>
    <xf numFmtId="188" fontId="40" fillId="3" borderId="47" xfId="15" applyNumberFormat="1" applyFont="1" applyFill="1" applyBorder="1" applyAlignment="1">
      <alignment horizontal="left" vertical="center"/>
    </xf>
    <xf numFmtId="188" fontId="38" fillId="3" borderId="47" xfId="15" applyNumberFormat="1" applyFont="1" applyFill="1" applyBorder="1" applyAlignment="1">
      <alignment horizontal="left" vertical="center"/>
    </xf>
    <xf numFmtId="176" fontId="0" fillId="0" borderId="0" xfId="13" applyNumberFormat="1" applyFont="1" applyBorder="1">
      <alignment vertical="center"/>
    </xf>
    <xf numFmtId="186" fontId="39" fillId="3" borderId="43" xfId="14" applyFont="1" applyFill="1" applyBorder="1" applyAlignment="1">
      <alignment horizontal="left" vertical="center"/>
    </xf>
    <xf numFmtId="186" fontId="39" fillId="13" borderId="50" xfId="14" applyFont="1" applyFill="1" applyBorder="1" applyAlignment="1">
      <alignment horizontal="left" vertical="center"/>
    </xf>
    <xf numFmtId="43" fontId="0" fillId="0" borderId="51" xfId="13" applyFont="1" applyBorder="1">
      <alignment vertical="center"/>
    </xf>
    <xf numFmtId="176" fontId="0" fillId="0" borderId="0" xfId="1" applyNumberFormat="1" applyFont="1" applyBorder="1">
      <alignment vertical="center"/>
    </xf>
    <xf numFmtId="176" fontId="5" fillId="0" borderId="0" xfId="1" applyNumberFormat="1" applyFont="1">
      <alignment vertical="center"/>
    </xf>
    <xf numFmtId="176" fontId="5" fillId="0" borderId="43" xfId="1" applyNumberFormat="1" applyFont="1" applyBorder="1">
      <alignment vertical="center"/>
    </xf>
    <xf numFmtId="176" fontId="5" fillId="0" borderId="46" xfId="1" applyNumberFormat="1" applyFont="1" applyBorder="1">
      <alignment vertical="center"/>
    </xf>
    <xf numFmtId="176" fontId="5" fillId="0" borderId="47" xfId="1" applyNumberFormat="1" applyFont="1" applyBorder="1">
      <alignment vertical="center"/>
    </xf>
    <xf numFmtId="176" fontId="0" fillId="0" borderId="47" xfId="1" applyNumberFormat="1" applyFont="1" applyBorder="1">
      <alignment vertical="center"/>
    </xf>
    <xf numFmtId="177" fontId="0" fillId="0" borderId="43" xfId="13" applyNumberFormat="1" applyFont="1" applyBorder="1">
      <alignment vertical="center"/>
    </xf>
    <xf numFmtId="177" fontId="0" fillId="0" borderId="50" xfId="13" applyNumberFormat="1" applyFont="1" applyBorder="1">
      <alignment vertical="center"/>
    </xf>
    <xf numFmtId="177" fontId="0" fillId="0" borderId="46" xfId="1" applyNumberFormat="1" applyFont="1" applyBorder="1">
      <alignment vertical="center"/>
    </xf>
    <xf numFmtId="177" fontId="0" fillId="0" borderId="51" xfId="1" applyNumberFormat="1" applyFont="1" applyBorder="1">
      <alignment vertical="center"/>
    </xf>
    <xf numFmtId="177" fontId="0" fillId="0" borderId="46" xfId="13" applyNumberFormat="1" applyFont="1" applyBorder="1">
      <alignment vertical="center"/>
    </xf>
    <xf numFmtId="177" fontId="0" fillId="0" borderId="51" xfId="13" applyNumberFormat="1" applyFont="1" applyBorder="1">
      <alignment vertical="center"/>
    </xf>
    <xf numFmtId="177" fontId="5" fillId="0" borderId="50" xfId="1" applyNumberFormat="1" applyFont="1" applyBorder="1">
      <alignment vertical="center"/>
    </xf>
    <xf numFmtId="176" fontId="31" fillId="0" borderId="0" xfId="1" applyNumberFormat="1" applyFont="1">
      <alignment vertical="center"/>
    </xf>
    <xf numFmtId="188" fontId="38" fillId="0" borderId="43" xfId="15" applyNumberFormat="1" applyFont="1" applyFill="1" applyBorder="1" applyAlignment="1">
      <alignment horizontal="left" vertical="center"/>
    </xf>
    <xf numFmtId="0" fontId="12" fillId="4" borderId="28" xfId="10" applyFont="1" applyFill="1" applyBorder="1" applyAlignment="1">
      <alignment horizontal="center" vertical="center"/>
    </xf>
    <xf numFmtId="176" fontId="5" fillId="0" borderId="0" xfId="1" applyNumberFormat="1" applyFont="1" applyBorder="1">
      <alignment vertical="center"/>
    </xf>
    <xf numFmtId="176" fontId="5" fillId="0" borderId="45" xfId="1" applyNumberFormat="1" applyFont="1" applyBorder="1">
      <alignment vertical="center"/>
    </xf>
    <xf numFmtId="176" fontId="5" fillId="0" borderId="48" xfId="1" applyNumberFormat="1" applyFont="1" applyBorder="1">
      <alignment vertical="center"/>
    </xf>
    <xf numFmtId="0" fontId="5" fillId="0" borderId="48" xfId="10" applyBorder="1">
      <alignment vertical="center"/>
    </xf>
    <xf numFmtId="176" fontId="0" fillId="0" borderId="49" xfId="1" applyNumberFormat="1" applyFont="1" applyBorder="1">
      <alignment vertical="center"/>
    </xf>
    <xf numFmtId="176" fontId="0" fillId="0" borderId="51" xfId="1" applyNumberFormat="1" applyFont="1" applyBorder="1">
      <alignment vertical="center"/>
    </xf>
    <xf numFmtId="176" fontId="0" fillId="0" borderId="50" xfId="1" applyNumberFormat="1" applyFont="1" applyBorder="1">
      <alignment vertical="center"/>
    </xf>
    <xf numFmtId="43" fontId="0" fillId="0" borderId="45" xfId="13" applyFont="1" applyBorder="1">
      <alignment vertical="center"/>
    </xf>
    <xf numFmtId="43" fontId="0" fillId="0" borderId="49" xfId="13" applyFont="1" applyBorder="1">
      <alignment vertical="center"/>
    </xf>
    <xf numFmtId="0" fontId="12" fillId="4" borderId="14" xfId="10" applyFont="1" applyFill="1" applyBorder="1" applyAlignment="1">
      <alignment horizontal="center" vertical="center"/>
    </xf>
    <xf numFmtId="43" fontId="0" fillId="0" borderId="43" xfId="13" applyFont="1" applyBorder="1">
      <alignment vertical="center"/>
    </xf>
    <xf numFmtId="43" fontId="0" fillId="0" borderId="50" xfId="13" applyFont="1" applyBorder="1">
      <alignment vertical="center"/>
    </xf>
    <xf numFmtId="0" fontId="12" fillId="4" borderId="11" xfId="10" applyFont="1" applyFill="1" applyBorder="1" applyAlignment="1">
      <alignment horizontal="center" vertical="center"/>
    </xf>
    <xf numFmtId="0" fontId="12" fillId="4" borderId="12" xfId="10" applyFont="1" applyFill="1" applyBorder="1" applyAlignment="1">
      <alignment horizontal="center" vertical="center"/>
    </xf>
    <xf numFmtId="0" fontId="12" fillId="4" borderId="13" xfId="10" applyFont="1" applyFill="1" applyBorder="1" applyAlignment="1">
      <alignment horizontal="center" vertical="center"/>
    </xf>
    <xf numFmtId="176" fontId="0" fillId="0" borderId="45" xfId="13" applyNumberFormat="1" applyFont="1" applyBorder="1">
      <alignment vertical="center"/>
    </xf>
    <xf numFmtId="176" fontId="0" fillId="0" borderId="46" xfId="13" applyNumberFormat="1" applyFont="1" applyBorder="1">
      <alignment vertical="center"/>
    </xf>
    <xf numFmtId="176" fontId="0" fillId="0" borderId="53" xfId="13" applyNumberFormat="1" applyFont="1" applyBorder="1">
      <alignment vertical="center"/>
    </xf>
    <xf numFmtId="176" fontId="0" fillId="0" borderId="48" xfId="13" applyNumberFormat="1" applyFont="1" applyBorder="1">
      <alignment vertical="center"/>
    </xf>
    <xf numFmtId="176" fontId="0" fillId="0" borderId="55" xfId="13" applyNumberFormat="1" applyFont="1" applyBorder="1">
      <alignment vertical="center"/>
    </xf>
    <xf numFmtId="176" fontId="0" fillId="0" borderId="49" xfId="13" applyNumberFormat="1" applyFont="1" applyBorder="1">
      <alignment vertical="center"/>
    </xf>
    <xf numFmtId="176" fontId="0" fillId="0" borderId="51" xfId="13" applyNumberFormat="1" applyFont="1" applyBorder="1">
      <alignment vertical="center"/>
    </xf>
    <xf numFmtId="176" fontId="0" fillId="0" borderId="52" xfId="13" applyNumberFormat="1" applyFont="1" applyBorder="1">
      <alignment vertical="center"/>
    </xf>
    <xf numFmtId="177" fontId="0" fillId="0" borderId="45" xfId="13" applyNumberFormat="1" applyFont="1" applyBorder="1">
      <alignment vertical="center"/>
    </xf>
    <xf numFmtId="177" fontId="0" fillId="0" borderId="53" xfId="13" applyNumberFormat="1" applyFont="1" applyBorder="1">
      <alignment vertical="center"/>
    </xf>
    <xf numFmtId="177" fontId="0" fillId="0" borderId="49" xfId="13" applyNumberFormat="1" applyFont="1" applyBorder="1">
      <alignment vertical="center"/>
    </xf>
    <xf numFmtId="177" fontId="0" fillId="0" borderId="52" xfId="13" applyNumberFormat="1" applyFont="1" applyBorder="1">
      <alignment vertical="center"/>
    </xf>
    <xf numFmtId="0" fontId="4" fillId="0" borderId="0" xfId="10" applyFont="1">
      <alignment vertical="center"/>
    </xf>
    <xf numFmtId="10" fontId="5" fillId="0" borderId="0" xfId="10" applyNumberFormat="1">
      <alignment vertical="center"/>
    </xf>
    <xf numFmtId="9" fontId="5" fillId="0" borderId="0" xfId="10" applyNumberFormat="1">
      <alignment vertical="center"/>
    </xf>
    <xf numFmtId="177" fontId="5" fillId="0" borderId="43" xfId="10" applyNumberFormat="1" applyBorder="1">
      <alignment vertical="center"/>
    </xf>
    <xf numFmtId="0" fontId="3" fillId="0" borderId="0" xfId="10" applyFont="1">
      <alignment vertical="center"/>
    </xf>
    <xf numFmtId="177" fontId="0" fillId="0" borderId="47" xfId="13" applyNumberFormat="1" applyFont="1" applyBorder="1">
      <alignment vertical="center"/>
    </xf>
    <xf numFmtId="176" fontId="30" fillId="0" borderId="0" xfId="1" applyNumberFormat="1" applyFont="1" applyAlignment="1">
      <alignment horizontal="right"/>
    </xf>
    <xf numFmtId="177" fontId="5" fillId="0" borderId="46" xfId="1" applyNumberFormat="1" applyFont="1" applyBorder="1">
      <alignment vertical="center"/>
    </xf>
    <xf numFmtId="43" fontId="5" fillId="0" borderId="0" xfId="10" applyNumberFormat="1">
      <alignment vertical="center"/>
    </xf>
    <xf numFmtId="177" fontId="5" fillId="0" borderId="0" xfId="1" applyNumberFormat="1" applyFont="1">
      <alignment vertical="center"/>
    </xf>
    <xf numFmtId="177" fontId="5" fillId="0" borderId="43" xfId="1" applyNumberFormat="1" applyFont="1" applyBorder="1">
      <alignment vertical="center"/>
    </xf>
    <xf numFmtId="177" fontId="5" fillId="0" borderId="47" xfId="1" applyNumberFormat="1" applyFont="1" applyBorder="1">
      <alignment vertical="center"/>
    </xf>
    <xf numFmtId="177" fontId="5" fillId="0" borderId="45" xfId="1" applyNumberFormat="1" applyFont="1" applyBorder="1">
      <alignment vertical="center"/>
    </xf>
    <xf numFmtId="177" fontId="5" fillId="0" borderId="48" xfId="1" applyNumberFormat="1" applyFont="1" applyBorder="1">
      <alignment vertical="center"/>
    </xf>
    <xf numFmtId="177" fontId="5" fillId="0" borderId="0" xfId="1" applyNumberFormat="1" applyFont="1" applyBorder="1">
      <alignment vertical="center"/>
    </xf>
    <xf numFmtId="177" fontId="0" fillId="0" borderId="45" xfId="1" applyNumberFormat="1" applyFont="1" applyBorder="1">
      <alignment vertical="center"/>
    </xf>
    <xf numFmtId="177" fontId="0" fillId="0" borderId="43" xfId="1" applyNumberFormat="1" applyFont="1" applyBorder="1">
      <alignment vertical="center"/>
    </xf>
    <xf numFmtId="177" fontId="0" fillId="0" borderId="49" xfId="1" applyNumberFormat="1" applyFont="1" applyBorder="1">
      <alignment vertical="center"/>
    </xf>
    <xf numFmtId="177" fontId="0" fillId="0" borderId="50" xfId="1" applyNumberFormat="1" applyFont="1" applyBorder="1">
      <alignment vertical="center"/>
    </xf>
    <xf numFmtId="176" fontId="5" fillId="0" borderId="0" xfId="10" applyNumberFormat="1">
      <alignment vertical="center"/>
    </xf>
    <xf numFmtId="176" fontId="5" fillId="14" borderId="46" xfId="1" applyNumberFormat="1" applyFont="1" applyFill="1" applyBorder="1">
      <alignment vertical="center"/>
    </xf>
    <xf numFmtId="3" fontId="0" fillId="0" borderId="0" xfId="0" applyNumberFormat="1"/>
    <xf numFmtId="176" fontId="0" fillId="5" borderId="5" xfId="0" applyNumberFormat="1" applyFill="1" applyBorder="1"/>
    <xf numFmtId="3" fontId="0" fillId="0" borderId="5" xfId="0" applyNumberFormat="1" applyBorder="1"/>
    <xf numFmtId="3" fontId="0" fillId="0" borderId="10" xfId="0" applyNumberFormat="1" applyBorder="1"/>
    <xf numFmtId="0" fontId="12" fillId="4" borderId="6" xfId="0" applyFont="1" applyFill="1" applyBorder="1"/>
    <xf numFmtId="0" fontId="12" fillId="4" borderId="7" xfId="0" applyFont="1" applyFill="1" applyBorder="1"/>
    <xf numFmtId="0" fontId="12" fillId="4" borderId="7" xfId="0" applyFont="1" applyFill="1" applyBorder="1" applyAlignment="1">
      <alignment horizontal="center"/>
    </xf>
    <xf numFmtId="0" fontId="12" fillId="4" borderId="8" xfId="0" applyFont="1" applyFill="1" applyBorder="1" applyAlignment="1">
      <alignment horizontal="center"/>
    </xf>
    <xf numFmtId="3" fontId="12" fillId="4" borderId="12" xfId="0" applyNumberFormat="1" applyFont="1" applyFill="1" applyBorder="1"/>
    <xf numFmtId="3" fontId="12" fillId="4" borderId="13" xfId="0" applyNumberFormat="1" applyFont="1" applyFill="1" applyBorder="1"/>
    <xf numFmtId="176" fontId="12" fillId="5" borderId="57" xfId="1" applyNumberFormat="1" applyFont="1" applyFill="1" applyBorder="1" applyAlignment="1"/>
    <xf numFmtId="176" fontId="12" fillId="5" borderId="0" xfId="1" applyNumberFormat="1" applyFont="1" applyFill="1" applyBorder="1" applyAlignment="1"/>
    <xf numFmtId="0" fontId="0" fillId="0" borderId="58" xfId="0" applyBorder="1"/>
    <xf numFmtId="0" fontId="42" fillId="0" borderId="0" xfId="16" applyFont="1" applyAlignment="1">
      <alignment vertical="center"/>
    </xf>
    <xf numFmtId="0" fontId="42" fillId="0" borderId="52" xfId="16" applyFont="1" applyBorder="1" applyAlignment="1">
      <alignment vertical="center"/>
    </xf>
    <xf numFmtId="0" fontId="42" fillId="0" borderId="48" xfId="16" applyFont="1" applyBorder="1" applyAlignment="1">
      <alignment vertical="center"/>
    </xf>
    <xf numFmtId="0" fontId="43" fillId="4" borderId="28" xfId="16" applyFont="1" applyFill="1" applyBorder="1" applyAlignment="1">
      <alignment horizontal="center" vertical="center"/>
    </xf>
    <xf numFmtId="0" fontId="43" fillId="4" borderId="14" xfId="16" applyFont="1" applyFill="1" applyBorder="1" applyAlignment="1">
      <alignment horizontal="center" vertical="center"/>
    </xf>
    <xf numFmtId="0" fontId="43" fillId="4" borderId="15" xfId="16" applyFont="1" applyFill="1" applyBorder="1" applyAlignment="1">
      <alignment horizontal="center" vertical="center"/>
    </xf>
    <xf numFmtId="0" fontId="43" fillId="4" borderId="21" xfId="16" applyFont="1" applyFill="1" applyBorder="1" applyAlignment="1">
      <alignment horizontal="center" vertical="center"/>
    </xf>
    <xf numFmtId="0" fontId="43" fillId="4" borderId="4" xfId="16" applyFont="1" applyFill="1" applyBorder="1" applyAlignment="1">
      <alignment horizontal="center" vertical="center"/>
    </xf>
    <xf numFmtId="0" fontId="43" fillId="4" borderId="27" xfId="16" applyFont="1" applyFill="1" applyBorder="1" applyAlignment="1">
      <alignment horizontal="center" vertical="center"/>
    </xf>
    <xf numFmtId="0" fontId="43" fillId="4" borderId="11" xfId="16" applyFont="1" applyFill="1" applyBorder="1" applyAlignment="1">
      <alignment horizontal="center" vertical="center"/>
    </xf>
    <xf numFmtId="0" fontId="43" fillId="4" borderId="12" xfId="16" applyFont="1" applyFill="1" applyBorder="1" applyAlignment="1">
      <alignment horizontal="center" vertical="center"/>
    </xf>
    <xf numFmtId="0" fontId="43" fillId="4" borderId="13" xfId="16" applyFont="1" applyFill="1" applyBorder="1" applyAlignment="1">
      <alignment horizontal="center" vertical="center"/>
    </xf>
    <xf numFmtId="0" fontId="43" fillId="4" borderId="0" xfId="16" applyFont="1" applyFill="1" applyAlignment="1">
      <alignment horizontal="center" vertical="center"/>
    </xf>
    <xf numFmtId="176" fontId="42" fillId="0" borderId="45" xfId="18" applyNumberFormat="1" applyFont="1" applyBorder="1">
      <alignment vertical="center"/>
    </xf>
    <xf numFmtId="176" fontId="42" fillId="0" borderId="46" xfId="18" applyNumberFormat="1" applyFont="1" applyBorder="1">
      <alignment vertical="center"/>
    </xf>
    <xf numFmtId="176" fontId="42" fillId="0" borderId="43" xfId="18" applyNumberFormat="1" applyFont="1" applyBorder="1">
      <alignment vertical="center"/>
    </xf>
    <xf numFmtId="176" fontId="42" fillId="0" borderId="43" xfId="19" applyNumberFormat="1" applyFont="1" applyBorder="1" applyAlignment="1">
      <alignment vertical="center"/>
    </xf>
    <xf numFmtId="176" fontId="42" fillId="0" borderId="45" xfId="19" applyNumberFormat="1" applyFont="1" applyBorder="1" applyAlignment="1">
      <alignment vertical="center"/>
    </xf>
    <xf numFmtId="176" fontId="42" fillId="0" borderId="46" xfId="19" applyNumberFormat="1" applyFont="1" applyBorder="1" applyAlignment="1">
      <alignment vertical="center"/>
    </xf>
    <xf numFmtId="176" fontId="42" fillId="0" borderId="53" xfId="19" applyNumberFormat="1" applyFont="1" applyBorder="1" applyAlignment="1">
      <alignment vertical="center"/>
    </xf>
    <xf numFmtId="43" fontId="42" fillId="0" borderId="0" xfId="16" applyNumberFormat="1" applyFont="1" applyAlignment="1">
      <alignment vertical="center"/>
    </xf>
    <xf numFmtId="176" fontId="42" fillId="0" borderId="48" xfId="18" applyNumberFormat="1" applyFont="1" applyBorder="1">
      <alignment vertical="center"/>
    </xf>
    <xf numFmtId="176" fontId="42" fillId="0" borderId="0" xfId="18" applyNumberFormat="1" applyFont="1" applyBorder="1">
      <alignment vertical="center"/>
    </xf>
    <xf numFmtId="176" fontId="42" fillId="0" borderId="47" xfId="18" applyNumberFormat="1" applyFont="1" applyBorder="1">
      <alignment vertical="center"/>
    </xf>
    <xf numFmtId="176" fontId="42" fillId="0" borderId="0" xfId="18" applyNumberFormat="1" applyFont="1">
      <alignment vertical="center"/>
    </xf>
    <xf numFmtId="176" fontId="42" fillId="0" borderId="47" xfId="19" applyNumberFormat="1" applyFont="1" applyBorder="1" applyAlignment="1">
      <alignment vertical="center"/>
    </xf>
    <xf numFmtId="176" fontId="42" fillId="0" borderId="48" xfId="19" applyNumberFormat="1" applyFont="1" applyBorder="1" applyAlignment="1">
      <alignment vertical="center"/>
    </xf>
    <xf numFmtId="176" fontId="42" fillId="0" borderId="0" xfId="19" applyNumberFormat="1" applyFont="1" applyBorder="1" applyAlignment="1">
      <alignment vertical="center"/>
    </xf>
    <xf numFmtId="176" fontId="42" fillId="0" borderId="55" xfId="19" applyNumberFormat="1" applyFont="1" applyBorder="1" applyAlignment="1">
      <alignment vertical="center"/>
    </xf>
    <xf numFmtId="10" fontId="42" fillId="0" borderId="0" xfId="16" applyNumberFormat="1" applyFont="1" applyAlignment="1">
      <alignment vertical="center"/>
    </xf>
    <xf numFmtId="176" fontId="42" fillId="0" borderId="0" xfId="18" applyNumberFormat="1" applyFont="1" applyAlignment="1">
      <alignment vertical="center"/>
    </xf>
    <xf numFmtId="0" fontId="42" fillId="0" borderId="47" xfId="16" applyFont="1" applyBorder="1" applyAlignment="1">
      <alignment vertical="center"/>
    </xf>
    <xf numFmtId="176" fontId="42" fillId="0" borderId="49" xfId="18" applyNumberFormat="1" applyFont="1" applyBorder="1">
      <alignment vertical="center"/>
    </xf>
    <xf numFmtId="176" fontId="42" fillId="0" borderId="51" xfId="18" applyNumberFormat="1" applyFont="1" applyBorder="1">
      <alignment vertical="center"/>
    </xf>
    <xf numFmtId="176" fontId="42" fillId="0" borderId="50" xfId="18" applyNumberFormat="1" applyFont="1" applyBorder="1">
      <alignment vertical="center"/>
    </xf>
    <xf numFmtId="176" fontId="42" fillId="0" borderId="49" xfId="19" applyNumberFormat="1" applyFont="1" applyBorder="1" applyAlignment="1">
      <alignment vertical="center"/>
    </xf>
    <xf numFmtId="176" fontId="42" fillId="0" borderId="51" xfId="19" applyNumberFormat="1" applyFont="1" applyBorder="1" applyAlignment="1">
      <alignment vertical="center"/>
    </xf>
    <xf numFmtId="176" fontId="42" fillId="0" borderId="52" xfId="19" applyNumberFormat="1" applyFont="1" applyBorder="1" applyAlignment="1">
      <alignment vertical="center"/>
    </xf>
    <xf numFmtId="43" fontId="42" fillId="0" borderId="45" xfId="19" applyFont="1" applyBorder="1" applyAlignment="1">
      <alignment vertical="center"/>
    </xf>
    <xf numFmtId="43" fontId="42" fillId="0" borderId="46" xfId="19" applyFont="1" applyBorder="1" applyAlignment="1">
      <alignment vertical="center"/>
    </xf>
    <xf numFmtId="43" fontId="42" fillId="0" borderId="43" xfId="19" applyFont="1" applyBorder="1" applyAlignment="1">
      <alignment vertical="center"/>
    </xf>
    <xf numFmtId="43" fontId="42" fillId="0" borderId="49" xfId="19" applyFont="1" applyBorder="1" applyAlignment="1">
      <alignment vertical="center"/>
    </xf>
    <xf numFmtId="43" fontId="42" fillId="0" borderId="51" xfId="19" applyFont="1" applyBorder="1" applyAlignment="1">
      <alignment vertical="center"/>
    </xf>
    <xf numFmtId="43" fontId="42" fillId="0" borderId="50" xfId="19" applyFont="1" applyBorder="1" applyAlignment="1">
      <alignment vertical="center"/>
    </xf>
    <xf numFmtId="176" fontId="42" fillId="0" borderId="50" xfId="19" applyNumberFormat="1" applyFont="1" applyBorder="1" applyAlignment="1">
      <alignment vertical="center"/>
    </xf>
    <xf numFmtId="188" fontId="38" fillId="0" borderId="43" xfId="20" applyNumberFormat="1" applyFont="1" applyFill="1" applyBorder="1" applyAlignment="1">
      <alignment horizontal="left" vertical="center"/>
    </xf>
    <xf numFmtId="188" fontId="40" fillId="3" borderId="47" xfId="20" applyNumberFormat="1" applyFont="1" applyFill="1" applyBorder="1" applyAlignment="1">
      <alignment horizontal="left" vertical="center"/>
    </xf>
    <xf numFmtId="188" fontId="38" fillId="3" borderId="47" xfId="20" applyNumberFormat="1" applyFont="1" applyFill="1" applyBorder="1" applyAlignment="1">
      <alignment horizontal="left" vertical="center"/>
    </xf>
    <xf numFmtId="177" fontId="42" fillId="0" borderId="46" xfId="18" applyNumberFormat="1" applyFont="1" applyBorder="1">
      <alignment vertical="center"/>
    </xf>
    <xf numFmtId="177" fontId="42" fillId="0" borderId="43" xfId="16" applyNumberFormat="1" applyFont="1" applyBorder="1" applyAlignment="1">
      <alignment vertical="center"/>
    </xf>
    <xf numFmtId="177" fontId="42" fillId="0" borderId="43" xfId="19" applyNumberFormat="1" applyFont="1" applyBorder="1" applyAlignment="1">
      <alignment vertical="center"/>
    </xf>
    <xf numFmtId="177" fontId="42" fillId="0" borderId="45" xfId="19" applyNumberFormat="1" applyFont="1" applyBorder="1" applyAlignment="1">
      <alignment vertical="center"/>
    </xf>
    <xf numFmtId="177" fontId="42" fillId="0" borderId="46" xfId="19" applyNumberFormat="1" applyFont="1" applyBorder="1" applyAlignment="1">
      <alignment vertical="center"/>
    </xf>
    <xf numFmtId="177" fontId="42" fillId="0" borderId="53" xfId="19" applyNumberFormat="1" applyFont="1" applyBorder="1" applyAlignment="1">
      <alignment vertical="center"/>
    </xf>
    <xf numFmtId="177" fontId="42" fillId="0" borderId="51" xfId="18" applyNumberFormat="1" applyFont="1" applyBorder="1">
      <alignment vertical="center"/>
    </xf>
    <xf numFmtId="177" fontId="42" fillId="0" borderId="50" xfId="18" applyNumberFormat="1" applyFont="1" applyBorder="1">
      <alignment vertical="center"/>
    </xf>
    <xf numFmtId="177" fontId="42" fillId="0" borderId="50" xfId="19" applyNumberFormat="1" applyFont="1" applyBorder="1" applyAlignment="1">
      <alignment vertical="center"/>
    </xf>
    <xf numFmtId="177" fontId="42" fillId="0" borderId="49" xfId="19" applyNumberFormat="1" applyFont="1" applyBorder="1" applyAlignment="1">
      <alignment vertical="center"/>
    </xf>
    <xf numFmtId="177" fontId="42" fillId="0" borderId="51" xfId="19" applyNumberFormat="1" applyFont="1" applyBorder="1" applyAlignment="1">
      <alignment vertical="center"/>
    </xf>
    <xf numFmtId="177" fontId="42" fillId="0" borderId="52" xfId="19" applyNumberFormat="1" applyFont="1" applyBorder="1" applyAlignment="1">
      <alignment vertical="center"/>
    </xf>
    <xf numFmtId="177" fontId="42" fillId="0" borderId="0" xfId="19" applyNumberFormat="1" applyFont="1" applyBorder="1" applyAlignment="1">
      <alignment vertical="center"/>
    </xf>
    <xf numFmtId="188" fontId="38" fillId="3" borderId="43" xfId="20" applyNumberFormat="1" applyFont="1" applyFill="1" applyBorder="1" applyAlignment="1">
      <alignment horizontal="left" vertical="center"/>
    </xf>
    <xf numFmtId="9" fontId="42" fillId="0" borderId="0" xfId="16" applyNumberFormat="1" applyFont="1" applyAlignment="1">
      <alignment vertical="center"/>
    </xf>
    <xf numFmtId="176" fontId="42" fillId="0" borderId="46" xfId="16" applyNumberFormat="1" applyFont="1" applyBorder="1" applyAlignment="1">
      <alignment vertical="center"/>
    </xf>
    <xf numFmtId="0" fontId="42" fillId="0" borderId="46" xfId="16" applyFont="1" applyBorder="1" applyAlignment="1">
      <alignment vertical="center"/>
    </xf>
    <xf numFmtId="176" fontId="43" fillId="0" borderId="0" xfId="18" applyNumberFormat="1" applyFont="1" applyAlignment="1">
      <alignment horizontal="right"/>
    </xf>
    <xf numFmtId="177" fontId="42" fillId="0" borderId="45" xfId="18" applyNumberFormat="1" applyFont="1" applyBorder="1">
      <alignment vertical="center"/>
    </xf>
    <xf numFmtId="177" fontId="42" fillId="0" borderId="43" xfId="18" applyNumberFormat="1" applyFont="1" applyBorder="1">
      <alignment vertical="center"/>
    </xf>
    <xf numFmtId="177" fontId="42" fillId="0" borderId="48" xfId="18" applyNumberFormat="1" applyFont="1" applyBorder="1">
      <alignment vertical="center"/>
    </xf>
    <xf numFmtId="177" fontId="42" fillId="0" borderId="0" xfId="18" applyNumberFormat="1" applyFont="1" applyBorder="1">
      <alignment vertical="center"/>
    </xf>
    <xf numFmtId="177" fontId="42" fillId="0" borderId="47" xfId="18" applyNumberFormat="1" applyFont="1" applyBorder="1">
      <alignment vertical="center"/>
    </xf>
    <xf numFmtId="177" fontId="42" fillId="0" borderId="0" xfId="18" applyNumberFormat="1" applyFont="1">
      <alignment vertical="center"/>
    </xf>
    <xf numFmtId="177" fontId="42" fillId="0" borderId="49" xfId="18" applyNumberFormat="1" applyFont="1" applyBorder="1">
      <alignment vertical="center"/>
    </xf>
    <xf numFmtId="43" fontId="42" fillId="0" borderId="0" xfId="19" applyFont="1" applyBorder="1" applyAlignment="1">
      <alignment vertical="center"/>
    </xf>
    <xf numFmtId="0" fontId="0" fillId="5" borderId="0" xfId="0" applyFill="1"/>
    <xf numFmtId="0" fontId="0" fillId="5" borderId="0" xfId="0" applyFill="1" applyAlignment="1">
      <alignment vertical="center" wrapText="1"/>
    </xf>
    <xf numFmtId="176" fontId="0" fillId="5" borderId="0" xfId="1" applyNumberFormat="1" applyFont="1" applyFill="1" applyAlignment="1"/>
    <xf numFmtId="176" fontId="0" fillId="5" borderId="0" xfId="0" applyNumberFormat="1" applyFill="1"/>
    <xf numFmtId="176" fontId="0" fillId="5" borderId="7" xfId="0" applyNumberFormat="1" applyFill="1" applyBorder="1"/>
    <xf numFmtId="176" fontId="0" fillId="5" borderId="12" xfId="0" applyNumberFormat="1" applyFill="1" applyBorder="1"/>
    <xf numFmtId="0" fontId="11" fillId="0" borderId="0" xfId="0" applyFont="1" applyAlignment="1">
      <alignment vertical="center"/>
    </xf>
    <xf numFmtId="0" fontId="46" fillId="0" borderId="0" xfId="21" applyFont="1" applyAlignment="1">
      <alignment horizontal="center" vertical="center"/>
    </xf>
    <xf numFmtId="0" fontId="48" fillId="0" borderId="0" xfId="22" applyFont="1" applyAlignment="1">
      <alignment horizontal="center" vertical="center"/>
    </xf>
    <xf numFmtId="0" fontId="48" fillId="0" borderId="0" xfId="22" applyFont="1">
      <alignment vertical="center"/>
    </xf>
    <xf numFmtId="189" fontId="48" fillId="15" borderId="48" xfId="22" applyNumberFormat="1" applyFont="1" applyFill="1" applyBorder="1" applyAlignment="1">
      <alignment horizontal="center" vertical="center"/>
    </xf>
    <xf numFmtId="0" fontId="48" fillId="10" borderId="0" xfId="22" applyFont="1" applyFill="1" applyAlignment="1">
      <alignment horizontal="center" vertical="center"/>
    </xf>
    <xf numFmtId="0" fontId="48" fillId="4" borderId="0" xfId="22" applyFont="1" applyFill="1" applyAlignment="1">
      <alignment horizontal="center" vertical="center"/>
    </xf>
    <xf numFmtId="0" fontId="47" fillId="0" borderId="0" xfId="22">
      <alignment vertical="center"/>
    </xf>
    <xf numFmtId="3" fontId="18" fillId="0" borderId="0" xfId="22" applyNumberFormat="1" applyFont="1" applyAlignment="1">
      <alignment horizontal="center" vertical="center"/>
    </xf>
    <xf numFmtId="3" fontId="48" fillId="15" borderId="49" xfId="22" applyNumberFormat="1" applyFont="1" applyFill="1" applyBorder="1" applyAlignment="1">
      <alignment horizontal="center" vertical="center"/>
    </xf>
    <xf numFmtId="3" fontId="48" fillId="10" borderId="51" xfId="22" applyNumberFormat="1" applyFont="1" applyFill="1" applyBorder="1" applyAlignment="1">
      <alignment horizontal="center" vertical="center"/>
    </xf>
    <xf numFmtId="3" fontId="48" fillId="4" borderId="51" xfId="22" applyNumberFormat="1" applyFont="1" applyFill="1" applyBorder="1" applyAlignment="1">
      <alignment horizontal="center" vertical="center"/>
    </xf>
    <xf numFmtId="0" fontId="18" fillId="0" borderId="0" xfId="22" applyFont="1" applyAlignment="1">
      <alignment horizontal="center" vertical="center"/>
    </xf>
    <xf numFmtId="0" fontId="18" fillId="0" borderId="0" xfId="22" applyFont="1">
      <alignment vertical="center"/>
    </xf>
    <xf numFmtId="3" fontId="48" fillId="0" borderId="0" xfId="22" applyNumberFormat="1" applyFont="1" applyAlignment="1">
      <alignment horizontal="center" vertical="center"/>
    </xf>
    <xf numFmtId="0" fontId="21" fillId="16" borderId="0" xfId="22" applyFont="1" applyFill="1" applyAlignment="1">
      <alignment horizontal="center" vertical="center" wrapText="1"/>
    </xf>
    <xf numFmtId="0" fontId="21" fillId="16" borderId="0" xfId="23" applyFont="1" applyFill="1" applyAlignment="1">
      <alignment horizontal="center" vertical="center" wrapText="1"/>
    </xf>
    <xf numFmtId="3" fontId="21" fillId="17" borderId="0" xfId="24" applyNumberFormat="1" applyFont="1" applyFill="1" applyBorder="1" applyAlignment="1">
      <alignment horizontal="center" vertical="center" wrapText="1"/>
    </xf>
    <xf numFmtId="3" fontId="21" fillId="18" borderId="0" xfId="24" applyNumberFormat="1" applyFont="1" applyFill="1" applyBorder="1" applyAlignment="1">
      <alignment horizontal="center" vertical="center" wrapText="1"/>
    </xf>
    <xf numFmtId="3" fontId="18" fillId="10" borderId="0" xfId="22" applyNumberFormat="1" applyFont="1" applyFill="1" applyAlignment="1">
      <alignment horizontal="center" vertical="center"/>
    </xf>
    <xf numFmtId="3" fontId="18" fillId="4" borderId="0" xfId="25" applyNumberFormat="1" applyFont="1" applyFill="1" applyAlignment="1">
      <alignment horizontal="center" vertical="center"/>
    </xf>
    <xf numFmtId="0" fontId="18" fillId="19" borderId="0" xfId="22" applyFont="1" applyFill="1" applyAlignment="1">
      <alignment horizontal="center" vertical="center"/>
    </xf>
    <xf numFmtId="3" fontId="18" fillId="19" borderId="0" xfId="22" applyNumberFormat="1" applyFont="1" applyFill="1" applyAlignment="1">
      <alignment horizontal="center" vertical="center"/>
    </xf>
    <xf numFmtId="0" fontId="47" fillId="0" borderId="0" xfId="22" applyAlignment="1">
      <alignment horizontal="center" vertical="center"/>
    </xf>
    <xf numFmtId="190" fontId="0" fillId="0" borderId="0" xfId="0" applyNumberFormat="1"/>
    <xf numFmtId="176" fontId="20" fillId="0" borderId="5" xfId="1" applyNumberFormat="1" applyFont="1" applyBorder="1" applyAlignment="1"/>
    <xf numFmtId="176" fontId="0" fillId="7" borderId="12" xfId="0" applyNumberFormat="1" applyFill="1" applyBorder="1"/>
    <xf numFmtId="178" fontId="0" fillId="0" borderId="0" xfId="0" applyNumberFormat="1"/>
    <xf numFmtId="0" fontId="12" fillId="0" borderId="57" xfId="0" applyFont="1" applyBorder="1" applyAlignment="1">
      <alignment horizontal="center"/>
    </xf>
    <xf numFmtId="0" fontId="12" fillId="8" borderId="6" xfId="0" applyFont="1" applyFill="1" applyBorder="1"/>
    <xf numFmtId="176" fontId="0" fillId="8" borderId="7" xfId="1" applyNumberFormat="1" applyFont="1" applyFill="1" applyBorder="1" applyAlignment="1"/>
    <xf numFmtId="176" fontId="12" fillId="8" borderId="8" xfId="1" applyNumberFormat="1" applyFont="1" applyFill="1" applyBorder="1" applyAlignment="1"/>
    <xf numFmtId="176" fontId="0" fillId="0" borderId="12" xfId="1" applyNumberFormat="1" applyFont="1" applyFill="1" applyBorder="1" applyAlignment="1"/>
    <xf numFmtId="176" fontId="12" fillId="0" borderId="13" xfId="1" applyNumberFormat="1" applyFont="1" applyFill="1" applyBorder="1" applyAlignment="1"/>
    <xf numFmtId="0" fontId="51" fillId="20" borderId="5" xfId="0" applyFont="1" applyFill="1" applyBorder="1" applyAlignment="1">
      <alignment horizontal="center" vertical="center"/>
    </xf>
    <xf numFmtId="0" fontId="51" fillId="20" borderId="12" xfId="0" applyFont="1" applyFill="1" applyBorder="1" applyAlignment="1">
      <alignment horizontal="center" vertical="center"/>
    </xf>
    <xf numFmtId="176" fontId="51" fillId="20" borderId="5" xfId="1" applyNumberFormat="1" applyFont="1" applyFill="1" applyBorder="1" applyAlignment="1">
      <alignment horizontal="center" vertical="center"/>
    </xf>
    <xf numFmtId="176" fontId="51" fillId="20" borderId="12" xfId="1" applyNumberFormat="1" applyFont="1" applyFill="1" applyBorder="1" applyAlignment="1">
      <alignment horizontal="center" vertical="center"/>
    </xf>
    <xf numFmtId="176" fontId="0" fillId="8" borderId="5" xfId="0" applyNumberFormat="1" applyFill="1" applyBorder="1"/>
    <xf numFmtId="0" fontId="11" fillId="14" borderId="0" xfId="0" applyFont="1" applyFill="1" applyAlignment="1">
      <alignment vertical="center"/>
    </xf>
    <xf numFmtId="176" fontId="0" fillId="14" borderId="5" xfId="1" applyNumberFormat="1" applyFont="1" applyFill="1" applyBorder="1" applyAlignment="1"/>
    <xf numFmtId="0" fontId="0" fillId="0" borderId="0" xfId="0" applyAlignment="1">
      <alignment horizontal="right"/>
    </xf>
    <xf numFmtId="0" fontId="52" fillId="21" borderId="59" xfId="26" applyFont="1" applyFill="1" applyBorder="1" applyAlignment="1"/>
    <xf numFmtId="0" fontId="1" fillId="0" borderId="0" xfId="26">
      <alignment vertical="center"/>
    </xf>
    <xf numFmtId="176" fontId="1" fillId="0" borderId="0" xfId="1" applyNumberFormat="1" applyFont="1">
      <alignment vertical="center"/>
    </xf>
    <xf numFmtId="176" fontId="1" fillId="0" borderId="0" xfId="26" applyNumberFormat="1">
      <alignment vertical="center"/>
    </xf>
    <xf numFmtId="0" fontId="18" fillId="0" borderId="7" xfId="10" applyFont="1" applyBorder="1" applyAlignment="1">
      <alignment horizontal="center" vertical="center"/>
    </xf>
    <xf numFmtId="176" fontId="18" fillId="0" borderId="7" xfId="18" applyNumberFormat="1" applyFont="1" applyFill="1" applyBorder="1" applyAlignment="1">
      <alignment horizontal="center"/>
    </xf>
    <xf numFmtId="176" fontId="18" fillId="0" borderId="8" xfId="18" applyNumberFormat="1" applyFont="1" applyFill="1" applyBorder="1" applyAlignment="1">
      <alignment horizontal="center"/>
    </xf>
    <xf numFmtId="0" fontId="18" fillId="0" borderId="5" xfId="10" applyFont="1" applyBorder="1">
      <alignment vertical="center"/>
    </xf>
    <xf numFmtId="176" fontId="18" fillId="0" borderId="0" xfId="18" applyNumberFormat="1" applyFont="1" applyFill="1" applyBorder="1" applyAlignment="1">
      <alignment horizontal="center"/>
    </xf>
    <xf numFmtId="0" fontId="18" fillId="0" borderId="5" xfId="10" applyFont="1" applyBorder="1" applyAlignment="1">
      <alignment horizontal="center" vertical="center"/>
    </xf>
    <xf numFmtId="0" fontId="24" fillId="0" borderId="5" xfId="10" applyFont="1" applyBorder="1">
      <alignment vertical="center"/>
    </xf>
    <xf numFmtId="0" fontId="5" fillId="0" borderId="9" xfId="10" applyBorder="1">
      <alignment vertical="center"/>
    </xf>
    <xf numFmtId="0" fontId="0" fillId="0" borderId="12" xfId="0" applyBorder="1" applyAlignment="1">
      <alignment horizontal="left"/>
    </xf>
    <xf numFmtId="0" fontId="0" fillId="5" borderId="12" xfId="0" applyFill="1" applyBorder="1"/>
    <xf numFmtId="0" fontId="18" fillId="0" borderId="12" xfId="10" applyFont="1" applyBorder="1" applyAlignment="1">
      <alignment horizontal="center" vertical="center"/>
    </xf>
    <xf numFmtId="0" fontId="18" fillId="0" borderId="12" xfId="10" applyFont="1" applyBorder="1">
      <alignment vertical="center"/>
    </xf>
    <xf numFmtId="0" fontId="18" fillId="0" borderId="17" xfId="10" applyFont="1" applyBorder="1" applyAlignment="1">
      <alignment horizontal="center" vertical="center"/>
    </xf>
    <xf numFmtId="0" fontId="24" fillId="0" borderId="18" xfId="10" applyFont="1" applyBorder="1">
      <alignment vertical="center"/>
    </xf>
    <xf numFmtId="176" fontId="18" fillId="0" borderId="6" xfId="18" applyNumberFormat="1" applyFont="1" applyFill="1" applyBorder="1" applyAlignment="1">
      <alignment horizontal="center"/>
    </xf>
    <xf numFmtId="176" fontId="0" fillId="0" borderId="11" xfId="1" applyNumberFormat="1" applyFont="1" applyBorder="1" applyAlignment="1"/>
    <xf numFmtId="0" fontId="0" fillId="0" borderId="0" xfId="0" applyAlignment="1">
      <alignment horizontal="left"/>
    </xf>
    <xf numFmtId="0" fontId="18" fillId="0" borderId="0" xfId="10" applyFont="1" applyAlignment="1">
      <alignment horizontal="center" vertical="center"/>
    </xf>
    <xf numFmtId="0" fontId="18" fillId="0" borderId="0" xfId="10" applyFont="1">
      <alignment vertical="center"/>
    </xf>
    <xf numFmtId="0" fontId="0" fillId="0" borderId="15" xfId="0" applyBorder="1" applyAlignment="1">
      <alignment horizontal="left"/>
    </xf>
    <xf numFmtId="0" fontId="18" fillId="0" borderId="15" xfId="10" applyFont="1" applyBorder="1" applyAlignment="1">
      <alignment horizontal="center" vertical="center"/>
    </xf>
    <xf numFmtId="0" fontId="18" fillId="0" borderId="15" xfId="10" applyFont="1" applyBorder="1">
      <alignment vertical="center"/>
    </xf>
    <xf numFmtId="176" fontId="0" fillId="0" borderId="16" xfId="1" applyNumberFormat="1" applyFont="1" applyBorder="1" applyAlignment="1"/>
    <xf numFmtId="176" fontId="18" fillId="0" borderId="0" xfId="18" applyNumberFormat="1" applyFont="1" applyFill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176" fontId="0" fillId="7" borderId="12" xfId="1" applyNumberFormat="1" applyFont="1" applyFill="1" applyBorder="1" applyAlignment="1"/>
    <xf numFmtId="0" fontId="44" fillId="3" borderId="0" xfId="17" applyFill="1" applyAlignment="1">
      <alignment vertical="center"/>
    </xf>
    <xf numFmtId="0" fontId="31" fillId="3" borderId="0" xfId="22" applyFont="1" applyFill="1" applyAlignment="1"/>
    <xf numFmtId="0" fontId="55" fillId="3" borderId="0" xfId="22" applyFont="1" applyFill="1" applyAlignment="1"/>
    <xf numFmtId="0" fontId="56" fillId="3" borderId="0" xfId="22" applyFont="1" applyFill="1" applyAlignment="1"/>
    <xf numFmtId="0" fontId="57" fillId="25" borderId="0" xfId="22" applyFont="1" applyFill="1" applyAlignment="1">
      <alignment horizontal="left"/>
    </xf>
    <xf numFmtId="188" fontId="59" fillId="26" borderId="0" xfId="27" quotePrefix="1" applyNumberFormat="1" applyFont="1" applyFill="1" applyBorder="1" applyAlignment="1">
      <alignment horizontal="center" vertical="center" wrapText="1"/>
    </xf>
    <xf numFmtId="188" fontId="59" fillId="25" borderId="0" xfId="27" quotePrefix="1" applyNumberFormat="1" applyFont="1" applyFill="1" applyBorder="1" applyAlignment="1">
      <alignment horizontal="center" vertical="center" wrapText="1"/>
    </xf>
    <xf numFmtId="188" fontId="59" fillId="27" borderId="0" xfId="27" quotePrefix="1" applyNumberFormat="1" applyFont="1" applyFill="1" applyBorder="1" applyAlignment="1">
      <alignment horizontal="center" vertical="center" wrapText="1"/>
    </xf>
    <xf numFmtId="188" fontId="59" fillId="28" borderId="0" xfId="27" quotePrefix="1" applyNumberFormat="1" applyFont="1" applyFill="1" applyBorder="1" applyAlignment="1">
      <alignment horizontal="center" vertical="center" wrapText="1"/>
    </xf>
    <xf numFmtId="188" fontId="59" fillId="26" borderId="0" xfId="27" applyNumberFormat="1" applyFont="1" applyFill="1" applyBorder="1" applyAlignment="1">
      <alignment horizontal="center" vertical="center" wrapText="1"/>
    </xf>
    <xf numFmtId="188" fontId="59" fillId="25" borderId="0" xfId="27" applyNumberFormat="1" applyFont="1" applyFill="1" applyBorder="1" applyAlignment="1">
      <alignment horizontal="center" vertical="center" wrapText="1"/>
    </xf>
    <xf numFmtId="188" fontId="59" fillId="27" borderId="0" xfId="27" applyNumberFormat="1" applyFont="1" applyFill="1" applyBorder="1" applyAlignment="1">
      <alignment horizontal="center" vertical="center" wrapText="1"/>
    </xf>
    <xf numFmtId="188" fontId="59" fillId="28" borderId="0" xfId="27" applyNumberFormat="1" applyFont="1" applyFill="1" applyBorder="1" applyAlignment="1">
      <alignment horizontal="center" vertical="center" wrapText="1"/>
    </xf>
    <xf numFmtId="176" fontId="60" fillId="3" borderId="0" xfId="28" applyNumberFormat="1" applyFont="1" applyFill="1" applyAlignment="1">
      <alignment vertical="center"/>
    </xf>
    <xf numFmtId="176" fontId="28" fillId="29" borderId="0" xfId="28" applyNumberFormat="1" applyFont="1" applyFill="1" applyAlignment="1"/>
    <xf numFmtId="176" fontId="61" fillId="3" borderId="0" xfId="28" applyNumberFormat="1" applyFont="1" applyFill="1" applyAlignment="1"/>
    <xf numFmtId="176" fontId="62" fillId="3" borderId="0" xfId="28" applyNumberFormat="1" applyFont="1" applyFill="1" applyAlignment="1"/>
    <xf numFmtId="0" fontId="63" fillId="3" borderId="0" xfId="22" applyFont="1" applyFill="1" applyAlignment="1"/>
    <xf numFmtId="0" fontId="64" fillId="30" borderId="0" xfId="22" applyFont="1" applyFill="1" applyAlignment="1">
      <alignment horizontal="left" indent="2"/>
    </xf>
    <xf numFmtId="176" fontId="64" fillId="30" borderId="0" xfId="28" applyNumberFormat="1" applyFont="1" applyFill="1" applyBorder="1" applyAlignment="1">
      <alignment horizontal="left" indent="2"/>
    </xf>
    <xf numFmtId="176" fontId="61" fillId="3" borderId="0" xfId="22" applyNumberFormat="1" applyFont="1" applyFill="1" applyAlignment="1"/>
    <xf numFmtId="0" fontId="64" fillId="6" borderId="0" xfId="22" applyFont="1" applyFill="1" applyAlignment="1">
      <alignment horizontal="left" indent="3"/>
    </xf>
    <xf numFmtId="176" fontId="65" fillId="6" borderId="0" xfId="28" applyNumberFormat="1" applyFont="1" applyFill="1" applyBorder="1">
      <alignment vertical="center"/>
    </xf>
    <xf numFmtId="0" fontId="64" fillId="0" borderId="0" xfId="22" applyFont="1" applyAlignment="1">
      <alignment horizontal="left" indent="4"/>
    </xf>
    <xf numFmtId="176" fontId="65" fillId="3" borderId="0" xfId="28" applyNumberFormat="1" applyFont="1" applyFill="1" applyBorder="1">
      <alignment vertical="center"/>
    </xf>
    <xf numFmtId="0" fontId="66" fillId="5" borderId="0" xfId="22" applyFont="1" applyFill="1" applyAlignment="1">
      <alignment horizontal="left" indent="5"/>
    </xf>
    <xf numFmtId="176" fontId="67" fillId="3" borderId="0" xfId="28" applyNumberFormat="1" applyFont="1" applyFill="1" applyBorder="1">
      <alignment vertical="center"/>
    </xf>
    <xf numFmtId="176" fontId="68" fillId="3" borderId="0" xfId="22" applyNumberFormat="1" applyFont="1" applyFill="1" applyAlignment="1"/>
    <xf numFmtId="0" fontId="69" fillId="3" borderId="0" xfId="22" applyFont="1" applyFill="1" applyAlignment="1"/>
    <xf numFmtId="0" fontId="66" fillId="5" borderId="0" xfId="22" applyFont="1" applyFill="1" applyAlignment="1">
      <alignment horizontal="left" indent="6"/>
    </xf>
    <xf numFmtId="176" fontId="70" fillId="15" borderId="0" xfId="28" applyNumberFormat="1" applyFont="1" applyFill="1" applyBorder="1">
      <alignment vertical="center"/>
    </xf>
    <xf numFmtId="0" fontId="64" fillId="0" borderId="0" xfId="22" applyFont="1" applyAlignment="1">
      <alignment horizontal="left" indent="3"/>
    </xf>
    <xf numFmtId="0" fontId="71" fillId="3" borderId="0" xfId="22" applyFont="1" applyFill="1">
      <alignment vertical="center"/>
    </xf>
    <xf numFmtId="0" fontId="72" fillId="17" borderId="0" xfId="22" applyFont="1" applyFill="1" applyAlignment="1">
      <alignment horizontal="left" wrapText="1"/>
    </xf>
    <xf numFmtId="176" fontId="73" fillId="10" borderId="0" xfId="22" applyNumberFormat="1" applyFont="1" applyFill="1">
      <alignment vertical="center"/>
    </xf>
    <xf numFmtId="0" fontId="74" fillId="3" borderId="0" xfId="22" applyFont="1" applyFill="1">
      <alignment vertical="center"/>
    </xf>
    <xf numFmtId="0" fontId="75" fillId="3" borderId="0" xfId="22" applyFont="1" applyFill="1" applyAlignment="1"/>
    <xf numFmtId="0" fontId="76" fillId="3" borderId="0" xfId="22" applyFont="1" applyFill="1" applyAlignment="1"/>
    <xf numFmtId="0" fontId="72" fillId="14" borderId="61" xfId="22" applyFont="1" applyFill="1" applyBorder="1" applyAlignment="1">
      <alignment horizontal="left" vertical="center" wrapText="1"/>
    </xf>
    <xf numFmtId="176" fontId="73" fillId="31" borderId="62" xfId="22" applyNumberFormat="1" applyFont="1" applyFill="1" applyBorder="1">
      <alignment vertical="center"/>
    </xf>
    <xf numFmtId="176" fontId="73" fillId="31" borderId="63" xfId="22" applyNumberFormat="1" applyFont="1" applyFill="1" applyBorder="1">
      <alignment vertical="center"/>
    </xf>
    <xf numFmtId="176" fontId="73" fillId="31" borderId="64" xfId="22" applyNumberFormat="1" applyFont="1" applyFill="1" applyBorder="1">
      <alignment vertical="center"/>
    </xf>
    <xf numFmtId="0" fontId="75" fillId="3" borderId="0" xfId="22" applyFont="1" applyFill="1">
      <alignment vertical="center"/>
    </xf>
    <xf numFmtId="0" fontId="76" fillId="3" borderId="0" xfId="22" applyFont="1" applyFill="1">
      <alignment vertical="center"/>
    </xf>
    <xf numFmtId="0" fontId="77" fillId="15" borderId="65" xfId="22" applyFont="1" applyFill="1" applyBorder="1" applyAlignment="1">
      <alignment horizontal="right" vertical="center"/>
    </xf>
    <xf numFmtId="0" fontId="78" fillId="32" borderId="66" xfId="22" applyFont="1" applyFill="1" applyBorder="1">
      <alignment vertical="center"/>
    </xf>
    <xf numFmtId="0" fontId="78" fillId="32" borderId="0" xfId="22" applyFont="1" applyFill="1" applyAlignment="1">
      <alignment horizontal="right" vertical="center"/>
    </xf>
    <xf numFmtId="0" fontId="79" fillId="32" borderId="0" xfId="22" applyFont="1" applyFill="1">
      <alignment vertical="center"/>
    </xf>
    <xf numFmtId="0" fontId="78" fillId="32" borderId="0" xfId="22" applyFont="1" applyFill="1">
      <alignment vertical="center"/>
    </xf>
    <xf numFmtId="0" fontId="79" fillId="32" borderId="67" xfId="22" applyFont="1" applyFill="1" applyBorder="1">
      <alignment vertical="center"/>
    </xf>
    <xf numFmtId="0" fontId="80" fillId="3" borderId="0" xfId="22" applyFont="1" applyFill="1">
      <alignment vertical="center"/>
    </xf>
    <xf numFmtId="0" fontId="77" fillId="15" borderId="68" xfId="22" applyFont="1" applyFill="1" applyBorder="1" applyAlignment="1">
      <alignment horizontal="right" vertical="center"/>
    </xf>
    <xf numFmtId="0" fontId="76" fillId="32" borderId="69" xfId="22" applyFont="1" applyFill="1" applyBorder="1">
      <alignment vertical="center"/>
    </xf>
    <xf numFmtId="0" fontId="76" fillId="32" borderId="70" xfId="22" applyFont="1" applyFill="1" applyBorder="1" applyAlignment="1">
      <alignment horizontal="right" vertical="center"/>
    </xf>
    <xf numFmtId="0" fontId="73" fillId="32" borderId="70" xfId="22" applyFont="1" applyFill="1" applyBorder="1">
      <alignment vertical="center"/>
    </xf>
    <xf numFmtId="0" fontId="76" fillId="32" borderId="70" xfId="22" applyFont="1" applyFill="1" applyBorder="1">
      <alignment vertical="center"/>
    </xf>
    <xf numFmtId="0" fontId="73" fillId="32" borderId="71" xfId="22" applyFont="1" applyFill="1" applyBorder="1">
      <alignment vertical="center"/>
    </xf>
    <xf numFmtId="0" fontId="81" fillId="3" borderId="0" xfId="22" applyFont="1" applyFill="1" applyAlignment="1"/>
    <xf numFmtId="176" fontId="82" fillId="3" borderId="0" xfId="22" applyNumberFormat="1" applyFont="1" applyFill="1" applyAlignment="1"/>
    <xf numFmtId="0" fontId="72" fillId="17" borderId="0" xfId="22" applyFont="1" applyFill="1" applyAlignment="1">
      <alignment horizontal="left" vertical="center" wrapText="1"/>
    </xf>
    <xf numFmtId="176" fontId="83" fillId="3" borderId="0" xfId="22" applyNumberFormat="1" applyFont="1" applyFill="1" applyAlignment="1">
      <alignment horizontal="center" vertical="center"/>
    </xf>
    <xf numFmtId="0" fontId="84" fillId="3" borderId="0" xfId="22" applyFont="1" applyFill="1" applyAlignment="1">
      <alignment horizontal="center"/>
    </xf>
    <xf numFmtId="0" fontId="83" fillId="3" borderId="0" xfId="22" applyFont="1" applyFill="1" applyAlignment="1">
      <alignment horizontal="center"/>
    </xf>
    <xf numFmtId="0" fontId="83" fillId="3" borderId="61" xfId="22" applyFont="1" applyFill="1" applyBorder="1" applyAlignment="1">
      <alignment horizontal="center"/>
    </xf>
    <xf numFmtId="0" fontId="72" fillId="14" borderId="0" xfId="22" applyFont="1" applyFill="1" applyAlignment="1">
      <alignment horizontal="left" vertical="center" wrapText="1"/>
    </xf>
    <xf numFmtId="0" fontId="84" fillId="3" borderId="0" xfId="22" applyFont="1" applyFill="1" applyAlignment="1">
      <alignment horizontal="center" vertical="center"/>
    </xf>
    <xf numFmtId="0" fontId="83" fillId="3" borderId="0" xfId="22" applyFont="1" applyFill="1" applyAlignment="1">
      <alignment horizontal="center" vertical="center"/>
    </xf>
    <xf numFmtId="176" fontId="83" fillId="3" borderId="65" xfId="22" applyNumberFormat="1" applyFont="1" applyFill="1" applyBorder="1" applyAlignment="1">
      <alignment horizontal="left" vertical="center"/>
    </xf>
    <xf numFmtId="0" fontId="55" fillId="3" borderId="0" xfId="22" applyFont="1" applyFill="1">
      <alignment vertical="center"/>
    </xf>
    <xf numFmtId="0" fontId="82" fillId="3" borderId="0" xfId="22" applyFont="1" applyFill="1">
      <alignment vertical="center"/>
    </xf>
    <xf numFmtId="0" fontId="85" fillId="3" borderId="0" xfId="22" applyFont="1" applyFill="1" applyAlignment="1">
      <alignment horizontal="center" vertical="center"/>
    </xf>
    <xf numFmtId="0" fontId="86" fillId="3" borderId="0" xfId="22" applyFont="1" applyFill="1" applyAlignment="1">
      <alignment horizontal="center" vertical="center"/>
    </xf>
    <xf numFmtId="0" fontId="85" fillId="3" borderId="65" xfId="22" applyFont="1" applyFill="1" applyBorder="1" applyAlignment="1">
      <alignment horizontal="center" vertical="center"/>
    </xf>
    <xf numFmtId="0" fontId="85" fillId="3" borderId="0" xfId="22" applyFont="1" applyFill="1" applyAlignment="1">
      <alignment horizontal="center"/>
    </xf>
    <xf numFmtId="0" fontId="86" fillId="3" borderId="0" xfId="22" applyFont="1" applyFill="1" applyAlignment="1">
      <alignment horizontal="center"/>
    </xf>
    <xf numFmtId="0" fontId="85" fillId="3" borderId="65" xfId="22" applyFont="1" applyFill="1" applyBorder="1" applyAlignment="1">
      <alignment horizontal="center"/>
    </xf>
    <xf numFmtId="0" fontId="79" fillId="32" borderId="66" xfId="22" applyFont="1" applyFill="1" applyBorder="1">
      <alignment vertical="center"/>
    </xf>
    <xf numFmtId="0" fontId="79" fillId="32" borderId="0" xfId="22" applyFont="1" applyFill="1" applyAlignment="1">
      <alignment horizontal="right" vertical="center"/>
    </xf>
    <xf numFmtId="0" fontId="73" fillId="32" borderId="69" xfId="22" applyFont="1" applyFill="1" applyBorder="1">
      <alignment vertical="center"/>
    </xf>
    <xf numFmtId="0" fontId="73" fillId="32" borderId="70" xfId="22" applyFont="1" applyFill="1" applyBorder="1" applyAlignment="1">
      <alignment horizontal="right" vertical="center"/>
    </xf>
    <xf numFmtId="0" fontId="83" fillId="3" borderId="65" xfId="22" applyFont="1" applyFill="1" applyBorder="1" applyAlignment="1">
      <alignment horizontal="center"/>
    </xf>
    <xf numFmtId="0" fontId="12" fillId="3" borderId="0" xfId="22" applyFont="1" applyFill="1" applyAlignment="1"/>
    <xf numFmtId="0" fontId="11" fillId="0" borderId="39" xfId="0" applyFont="1" applyBorder="1" applyAlignment="1">
      <alignment vertical="center"/>
    </xf>
    <xf numFmtId="0" fontId="50" fillId="33" borderId="39" xfId="0" applyFont="1" applyFill="1" applyBorder="1" applyAlignment="1">
      <alignment vertical="center" wrapText="1"/>
    </xf>
    <xf numFmtId="0" fontId="50" fillId="24" borderId="39" xfId="0" applyFont="1" applyFill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7" fillId="14" borderId="0" xfId="0" applyFont="1" applyFill="1" applyAlignment="1">
      <alignment vertical="center"/>
    </xf>
    <xf numFmtId="0" fontId="49" fillId="14" borderId="0" xfId="0" applyFont="1" applyFill="1" applyAlignment="1">
      <alignment vertical="center"/>
    </xf>
    <xf numFmtId="0" fontId="47" fillId="14" borderId="0" xfId="0" applyFont="1" applyFill="1" applyAlignment="1">
      <alignment horizontal="center" vertical="center"/>
    </xf>
    <xf numFmtId="0" fontId="47" fillId="0" borderId="0" xfId="0" applyFont="1" applyAlignment="1">
      <alignment vertical="center"/>
    </xf>
    <xf numFmtId="0" fontId="49" fillId="8" borderId="0" xfId="0" applyFont="1" applyFill="1" applyAlignment="1">
      <alignment vertical="center"/>
    </xf>
    <xf numFmtId="0" fontId="47" fillId="0" borderId="39" xfId="0" applyFont="1" applyBorder="1"/>
    <xf numFmtId="176" fontId="47" fillId="0" borderId="39" xfId="1" applyNumberFormat="1" applyFont="1" applyBorder="1" applyAlignment="1"/>
    <xf numFmtId="176" fontId="47" fillId="0" borderId="0" xfId="1" applyNumberFormat="1" applyFont="1" applyAlignment="1"/>
    <xf numFmtId="9" fontId="47" fillId="0" borderId="39" xfId="1" applyNumberFormat="1" applyFont="1" applyBorder="1" applyAlignment="1"/>
    <xf numFmtId="9" fontId="47" fillId="0" borderId="39" xfId="0" applyNumberFormat="1" applyFont="1" applyBorder="1"/>
    <xf numFmtId="178" fontId="47" fillId="0" borderId="0" xfId="0" applyNumberFormat="1" applyFont="1"/>
    <xf numFmtId="0" fontId="47" fillId="14" borderId="0" xfId="0" applyFont="1" applyFill="1"/>
    <xf numFmtId="176" fontId="47" fillId="14" borderId="0" xfId="1" applyNumberFormat="1" applyFont="1" applyFill="1" applyAlignment="1"/>
    <xf numFmtId="176" fontId="47" fillId="5" borderId="0" xfId="1" applyNumberFormat="1" applyFont="1" applyFill="1" applyAlignment="1"/>
    <xf numFmtId="176" fontId="47" fillId="0" borderId="0" xfId="0" applyNumberFormat="1" applyFont="1"/>
    <xf numFmtId="0" fontId="47" fillId="0" borderId="0" xfId="0" applyFont="1"/>
    <xf numFmtId="0" fontId="47" fillId="8" borderId="39" xfId="0" applyFont="1" applyFill="1" applyBorder="1"/>
    <xf numFmtId="176" fontId="47" fillId="8" borderId="39" xfId="1" applyNumberFormat="1" applyFont="1" applyFill="1" applyBorder="1" applyAlignment="1"/>
    <xf numFmtId="176" fontId="47" fillId="8" borderId="39" xfId="0" applyNumberFormat="1" applyFont="1" applyFill="1" applyBorder="1"/>
    <xf numFmtId="176" fontId="47" fillId="0" borderId="39" xfId="0" applyNumberFormat="1" applyFont="1" applyBorder="1"/>
    <xf numFmtId="9" fontId="47" fillId="0" borderId="0" xfId="0" applyNumberFormat="1" applyFont="1"/>
    <xf numFmtId="176" fontId="47" fillId="5" borderId="39" xfId="1" applyNumberFormat="1" applyFont="1" applyFill="1" applyBorder="1" applyAlignment="1"/>
    <xf numFmtId="176" fontId="47" fillId="5" borderId="39" xfId="0" applyNumberFormat="1" applyFont="1" applyFill="1" applyBorder="1"/>
    <xf numFmtId="43" fontId="47" fillId="14" borderId="0" xfId="1" applyFont="1" applyFill="1" applyAlignment="1"/>
    <xf numFmtId="43" fontId="47" fillId="0" borderId="0" xfId="1" applyFont="1" applyAlignment="1"/>
    <xf numFmtId="9" fontId="47" fillId="0" borderId="0" xfId="2" applyFont="1" applyAlignment="1"/>
    <xf numFmtId="178" fontId="47" fillId="0" borderId="39" xfId="0" applyNumberFormat="1" applyFont="1" applyBorder="1"/>
    <xf numFmtId="176" fontId="47" fillId="0" borderId="0" xfId="1" applyNumberFormat="1" applyFont="1" applyFill="1" applyAlignment="1"/>
    <xf numFmtId="0" fontId="47" fillId="3" borderId="0" xfId="0" applyFont="1" applyFill="1"/>
    <xf numFmtId="176" fontId="47" fillId="3" borderId="0" xfId="1" applyNumberFormat="1" applyFont="1" applyFill="1" applyAlignment="1"/>
    <xf numFmtId="176" fontId="47" fillId="3" borderId="0" xfId="0" applyNumberFormat="1" applyFont="1" applyFill="1"/>
    <xf numFmtId="9" fontId="47" fillId="3" borderId="0" xfId="0" applyNumberFormat="1" applyFont="1" applyFill="1"/>
    <xf numFmtId="0" fontId="73" fillId="0" borderId="39" xfId="0" applyFont="1" applyBorder="1"/>
    <xf numFmtId="0" fontId="73" fillId="3" borderId="39" xfId="0" applyFont="1" applyFill="1" applyBorder="1"/>
    <xf numFmtId="0" fontId="76" fillId="0" borderId="39" xfId="0" applyFont="1" applyBorder="1"/>
    <xf numFmtId="176" fontId="88" fillId="0" borderId="0" xfId="1" applyNumberFormat="1" applyFont="1" applyAlignment="1"/>
    <xf numFmtId="0" fontId="88" fillId="0" borderId="39" xfId="0" applyFont="1" applyBorder="1"/>
    <xf numFmtId="0" fontId="88" fillId="0" borderId="0" xfId="0" applyFont="1"/>
    <xf numFmtId="0" fontId="88" fillId="14" borderId="0" xfId="0" applyFont="1" applyFill="1"/>
    <xf numFmtId="176" fontId="88" fillId="14" borderId="0" xfId="1" applyNumberFormat="1" applyFont="1" applyFill="1" applyAlignment="1"/>
    <xf numFmtId="176" fontId="88" fillId="0" borderId="0" xfId="1" applyNumberFormat="1" applyFont="1" applyFill="1" applyAlignment="1"/>
    <xf numFmtId="176" fontId="88" fillId="0" borderId="0" xfId="0" applyNumberFormat="1" applyFont="1"/>
    <xf numFmtId="0" fontId="88" fillId="0" borderId="0" xfId="0" applyFont="1" applyAlignment="1">
      <alignment vertical="center"/>
    </xf>
    <xf numFmtId="176" fontId="88" fillId="0" borderId="39" xfId="1" applyNumberFormat="1" applyFont="1" applyFill="1" applyBorder="1" applyAlignment="1"/>
    <xf numFmtId="176" fontId="88" fillId="0" borderId="39" xfId="0" applyNumberFormat="1" applyFont="1" applyBorder="1"/>
    <xf numFmtId="0" fontId="88" fillId="13" borderId="39" xfId="0" applyFont="1" applyFill="1" applyBorder="1" applyAlignment="1">
      <alignment vertical="center"/>
    </xf>
    <xf numFmtId="176" fontId="88" fillId="13" borderId="39" xfId="1" applyNumberFormat="1" applyFont="1" applyFill="1" applyBorder="1" applyAlignment="1">
      <alignment vertical="center"/>
    </xf>
    <xf numFmtId="176" fontId="88" fillId="13" borderId="39" xfId="0" applyNumberFormat="1" applyFont="1" applyFill="1" applyBorder="1" applyAlignment="1">
      <alignment vertical="center"/>
    </xf>
    <xf numFmtId="176" fontId="88" fillId="0" borderId="0" xfId="1" applyNumberFormat="1" applyFont="1" applyAlignment="1">
      <alignment vertical="center"/>
    </xf>
    <xf numFmtId="0" fontId="88" fillId="0" borderId="39" xfId="0" applyFont="1" applyBorder="1" applyAlignment="1">
      <alignment vertical="center"/>
    </xf>
    <xf numFmtId="9" fontId="88" fillId="0" borderId="39" xfId="0" applyNumberFormat="1" applyFont="1" applyBorder="1" applyAlignment="1">
      <alignment vertical="center"/>
    </xf>
    <xf numFmtId="0" fontId="88" fillId="14" borderId="0" xfId="0" applyFont="1" applyFill="1" applyAlignment="1">
      <alignment vertical="center"/>
    </xf>
    <xf numFmtId="176" fontId="88" fillId="14" borderId="0" xfId="1" applyNumberFormat="1" applyFont="1" applyFill="1" applyAlignment="1">
      <alignment vertical="center"/>
    </xf>
    <xf numFmtId="176" fontId="88" fillId="0" borderId="0" xfId="1" applyNumberFormat="1" applyFont="1" applyFill="1" applyAlignment="1">
      <alignment vertical="center"/>
    </xf>
    <xf numFmtId="176" fontId="88" fillId="0" borderId="0" xfId="0" applyNumberFormat="1" applyFont="1" applyAlignment="1">
      <alignment vertical="center"/>
    </xf>
    <xf numFmtId="0" fontId="88" fillId="3" borderId="39" xfId="0" applyFont="1" applyFill="1" applyBorder="1"/>
    <xf numFmtId="176" fontId="88" fillId="3" borderId="39" xfId="1" applyNumberFormat="1" applyFont="1" applyFill="1" applyBorder="1" applyAlignment="1"/>
    <xf numFmtId="176" fontId="88" fillId="0" borderId="39" xfId="1" applyNumberFormat="1" applyFont="1" applyBorder="1" applyAlignment="1"/>
    <xf numFmtId="9" fontId="88" fillId="3" borderId="39" xfId="2" applyFont="1" applyFill="1" applyBorder="1" applyAlignment="1"/>
    <xf numFmtId="0" fontId="88" fillId="3" borderId="0" xfId="0" applyFont="1" applyFill="1"/>
    <xf numFmtId="176" fontId="88" fillId="3" borderId="0" xfId="1" applyNumberFormat="1" applyFont="1" applyFill="1" applyAlignment="1"/>
    <xf numFmtId="176" fontId="88" fillId="3" borderId="0" xfId="0" applyNumberFormat="1" applyFont="1" applyFill="1"/>
    <xf numFmtId="176" fontId="89" fillId="3" borderId="39" xfId="0" applyNumberFormat="1" applyFont="1" applyFill="1" applyBorder="1"/>
    <xf numFmtId="0" fontId="89" fillId="0" borderId="39" xfId="0" applyFont="1" applyBorder="1"/>
    <xf numFmtId="176" fontId="89" fillId="3" borderId="39" xfId="1" applyNumberFormat="1" applyFont="1" applyFill="1" applyBorder="1" applyAlignment="1"/>
    <xf numFmtId="176" fontId="89" fillId="0" borderId="39" xfId="0" applyNumberFormat="1" applyFont="1" applyBorder="1"/>
    <xf numFmtId="176" fontId="89" fillId="0" borderId="39" xfId="1" applyNumberFormat="1" applyFont="1" applyBorder="1" applyAlignment="1"/>
    <xf numFmtId="176" fontId="89" fillId="0" borderId="0" xfId="1" applyNumberFormat="1" applyFont="1" applyAlignment="1"/>
    <xf numFmtId="178" fontId="89" fillId="23" borderId="39" xfId="0" applyNumberFormat="1" applyFont="1" applyFill="1" applyBorder="1"/>
    <xf numFmtId="178" fontId="89" fillId="3" borderId="39" xfId="0" applyNumberFormat="1" applyFont="1" applyFill="1" applyBorder="1"/>
    <xf numFmtId="0" fontId="89" fillId="3" borderId="0" xfId="0" applyFont="1" applyFill="1"/>
    <xf numFmtId="0" fontId="89" fillId="0" borderId="0" xfId="0" applyFont="1"/>
    <xf numFmtId="176" fontId="89" fillId="3" borderId="0" xfId="1" applyNumberFormat="1" applyFont="1" applyFill="1" applyAlignment="1"/>
    <xf numFmtId="176" fontId="89" fillId="3" borderId="0" xfId="0" applyNumberFormat="1" applyFont="1" applyFill="1"/>
    <xf numFmtId="0" fontId="88" fillId="6" borderId="39" xfId="0" applyFont="1" applyFill="1" applyBorder="1"/>
    <xf numFmtId="0" fontId="89" fillId="6" borderId="39" xfId="0" applyFont="1" applyFill="1" applyBorder="1"/>
    <xf numFmtId="0" fontId="87" fillId="34" borderId="72" xfId="0" applyFont="1" applyFill="1" applyBorder="1" applyAlignment="1">
      <alignment vertical="center"/>
    </xf>
    <xf numFmtId="0" fontId="87" fillId="34" borderId="73" xfId="0" applyFont="1" applyFill="1" applyBorder="1" applyAlignment="1">
      <alignment vertical="center"/>
    </xf>
    <xf numFmtId="0" fontId="72" fillId="35" borderId="39" xfId="0" applyFont="1" applyFill="1" applyBorder="1" applyAlignment="1">
      <alignment horizontal="center" vertical="center" wrapText="1"/>
    </xf>
    <xf numFmtId="0" fontId="53" fillId="25" borderId="60" xfId="0" applyFont="1" applyFill="1" applyBorder="1" applyAlignment="1">
      <alignment horizontal="center" vertical="center"/>
    </xf>
    <xf numFmtId="176" fontId="47" fillId="25" borderId="39" xfId="1" applyNumberFormat="1" applyFont="1" applyFill="1" applyBorder="1" applyAlignment="1"/>
    <xf numFmtId="0" fontId="47" fillId="3" borderId="0" xfId="0" applyFont="1" applyFill="1" applyAlignment="1">
      <alignment horizontal="right"/>
    </xf>
    <xf numFmtId="0" fontId="88" fillId="34" borderId="39" xfId="0" applyFont="1" applyFill="1" applyBorder="1"/>
    <xf numFmtId="176" fontId="88" fillId="34" borderId="39" xfId="1" applyNumberFormat="1" applyFont="1" applyFill="1" applyBorder="1" applyAlignment="1"/>
    <xf numFmtId="176" fontId="88" fillId="34" borderId="39" xfId="0" applyNumberFormat="1" applyFont="1" applyFill="1" applyBorder="1"/>
    <xf numFmtId="0" fontId="0" fillId="0" borderId="39" xfId="0" applyBorder="1"/>
    <xf numFmtId="176" fontId="0" fillId="0" borderId="39" xfId="1" applyNumberFormat="1" applyFont="1" applyBorder="1" applyAlignment="1"/>
    <xf numFmtId="0" fontId="54" fillId="0" borderId="39" xfId="0" applyFont="1" applyBorder="1"/>
    <xf numFmtId="176" fontId="0" fillId="0" borderId="39" xfId="1" applyNumberFormat="1" applyFont="1" applyFill="1" applyBorder="1" applyAlignment="1"/>
    <xf numFmtId="9" fontId="0" fillId="0" borderId="39" xfId="2" applyFont="1" applyBorder="1" applyAlignment="1"/>
    <xf numFmtId="178" fontId="0" fillId="0" borderId="39" xfId="2" applyNumberFormat="1" applyFont="1" applyBorder="1" applyAlignment="1"/>
    <xf numFmtId="176" fontId="0" fillId="14" borderId="39" xfId="1" applyNumberFormat="1" applyFont="1" applyFill="1" applyBorder="1" applyAlignment="1"/>
    <xf numFmtId="9" fontId="20" fillId="0" borderId="39" xfId="1" applyNumberFormat="1" applyFont="1" applyBorder="1" applyAlignment="1">
      <alignment vertical="center" wrapText="1"/>
    </xf>
    <xf numFmtId="43" fontId="0" fillId="0" borderId="39" xfId="0" applyNumberFormat="1" applyBorder="1"/>
    <xf numFmtId="43" fontId="0" fillId="0" borderId="39" xfId="1" applyFont="1" applyBorder="1" applyAlignment="1"/>
    <xf numFmtId="0" fontId="0" fillId="5" borderId="39" xfId="0" applyFill="1" applyBorder="1"/>
    <xf numFmtId="176" fontId="0" fillId="5" borderId="39" xfId="1" applyNumberFormat="1" applyFont="1" applyFill="1" applyBorder="1" applyAlignment="1"/>
    <xf numFmtId="176" fontId="0" fillId="6" borderId="39" xfId="1" applyNumberFormat="1" applyFont="1" applyFill="1" applyBorder="1" applyAlignment="1"/>
    <xf numFmtId="0" fontId="0" fillId="0" borderId="74" xfId="0" applyBorder="1"/>
    <xf numFmtId="176" fontId="0" fillId="0" borderId="74" xfId="1" applyNumberFormat="1" applyFont="1" applyBorder="1" applyAlignment="1"/>
    <xf numFmtId="176" fontId="0" fillId="6" borderId="74" xfId="1" applyNumberFormat="1" applyFont="1" applyFill="1" applyBorder="1" applyAlignment="1"/>
    <xf numFmtId="0" fontId="0" fillId="0" borderId="75" xfId="0" applyBorder="1" applyAlignment="1">
      <alignment vertical="center"/>
    </xf>
    <xf numFmtId="0" fontId="0" fillId="0" borderId="76" xfId="0" applyBorder="1" applyAlignment="1">
      <alignment vertical="center"/>
    </xf>
    <xf numFmtId="0" fontId="53" fillId="22" borderId="76" xfId="0" applyFont="1" applyFill="1" applyBorder="1" applyAlignment="1">
      <alignment horizontal="center" vertical="center"/>
    </xf>
    <xf numFmtId="0" fontId="53" fillId="24" borderId="76" xfId="0" applyFont="1" applyFill="1" applyBorder="1" applyAlignment="1">
      <alignment horizontal="center" vertical="center"/>
    </xf>
    <xf numFmtId="0" fontId="53" fillId="24" borderId="77" xfId="0" applyFont="1" applyFill="1" applyBorder="1" applyAlignment="1">
      <alignment horizontal="center" vertical="center"/>
    </xf>
    <xf numFmtId="0" fontId="0" fillId="0" borderId="78" xfId="0" applyBorder="1"/>
    <xf numFmtId="178" fontId="0" fillId="0" borderId="79" xfId="2" applyNumberFormat="1" applyFont="1" applyBorder="1" applyAlignment="1"/>
    <xf numFmtId="176" fontId="0" fillId="0" borderId="79" xfId="1" applyNumberFormat="1" applyFont="1" applyFill="1" applyBorder="1" applyAlignment="1"/>
    <xf numFmtId="0" fontId="0" fillId="0" borderId="79" xfId="0" applyBorder="1"/>
    <xf numFmtId="176" fontId="0" fillId="14" borderId="79" xfId="1" applyNumberFormat="1" applyFont="1" applyFill="1" applyBorder="1" applyAlignment="1"/>
    <xf numFmtId="9" fontId="20" fillId="0" borderId="79" xfId="1" applyNumberFormat="1" applyFont="1" applyBorder="1" applyAlignment="1">
      <alignment vertical="center" wrapText="1"/>
    </xf>
    <xf numFmtId="0" fontId="54" fillId="0" borderId="78" xfId="0" applyFont="1" applyBorder="1"/>
    <xf numFmtId="9" fontId="0" fillId="0" borderId="79" xfId="2" applyFont="1" applyBorder="1" applyAlignment="1"/>
    <xf numFmtId="43" fontId="0" fillId="0" borderId="79" xfId="0" applyNumberFormat="1" applyBorder="1"/>
    <xf numFmtId="43" fontId="0" fillId="0" borderId="79" xfId="1" applyFont="1" applyBorder="1" applyAlignment="1"/>
    <xf numFmtId="176" fontId="0" fillId="0" borderId="79" xfId="1" applyNumberFormat="1" applyFont="1" applyBorder="1" applyAlignment="1"/>
    <xf numFmtId="176" fontId="0" fillId="5" borderId="79" xfId="1" applyNumberFormat="1" applyFont="1" applyFill="1" applyBorder="1" applyAlignment="1"/>
    <xf numFmtId="176" fontId="0" fillId="6" borderId="79" xfId="1" applyNumberFormat="1" applyFont="1" applyFill="1" applyBorder="1" applyAlignment="1"/>
    <xf numFmtId="0" fontId="54" fillId="0" borderId="80" xfId="0" applyFont="1" applyBorder="1"/>
    <xf numFmtId="0" fontId="54" fillId="0" borderId="81" xfId="0" applyFont="1" applyBorder="1"/>
    <xf numFmtId="9" fontId="0" fillId="6" borderId="81" xfId="2" applyFont="1" applyFill="1" applyBorder="1" applyAlignment="1"/>
    <xf numFmtId="9" fontId="0" fillId="6" borderId="82" xfId="2" applyFont="1" applyFill="1" applyBorder="1" applyAlignment="1"/>
    <xf numFmtId="0" fontId="53" fillId="7" borderId="83" xfId="0" applyFont="1" applyFill="1" applyBorder="1" applyAlignment="1">
      <alignment horizontal="center" vertical="center"/>
    </xf>
    <xf numFmtId="0" fontId="0" fillId="0" borderId="84" xfId="0" applyBorder="1"/>
    <xf numFmtId="176" fontId="0" fillId="0" borderId="84" xfId="1" applyNumberFormat="1" applyFont="1" applyBorder="1" applyAlignment="1"/>
    <xf numFmtId="176" fontId="0" fillId="6" borderId="84" xfId="1" applyNumberFormat="1" applyFont="1" applyFill="1" applyBorder="1" applyAlignment="1"/>
    <xf numFmtId="0" fontId="0" fillId="6" borderId="85" xfId="0" applyFill="1" applyBorder="1"/>
    <xf numFmtId="176" fontId="0" fillId="0" borderId="74" xfId="1" applyNumberFormat="1" applyFont="1" applyFill="1" applyBorder="1" applyAlignment="1"/>
    <xf numFmtId="0" fontId="0" fillId="0" borderId="86" xfId="0" applyBorder="1" applyAlignment="1">
      <alignment vertical="center"/>
    </xf>
    <xf numFmtId="0" fontId="0" fillId="0" borderId="72" xfId="0" applyBorder="1"/>
    <xf numFmtId="0" fontId="54" fillId="0" borderId="72" xfId="0" applyFont="1" applyBorder="1"/>
    <xf numFmtId="0" fontId="54" fillId="0" borderId="87" xfId="0" applyFont="1" applyBorder="1"/>
    <xf numFmtId="0" fontId="53" fillId="24" borderId="88" xfId="0" applyFont="1" applyFill="1" applyBorder="1" applyAlignment="1">
      <alignment horizontal="center" vertical="center"/>
    </xf>
    <xf numFmtId="178" fontId="0" fillId="0" borderId="74" xfId="2" applyNumberFormat="1" applyFont="1" applyBorder="1" applyAlignment="1"/>
    <xf numFmtId="176" fontId="0" fillId="14" borderId="74" xfId="1" applyNumberFormat="1" applyFont="1" applyFill="1" applyBorder="1" applyAlignment="1"/>
    <xf numFmtId="9" fontId="20" fillId="0" borderId="74" xfId="1" applyNumberFormat="1" applyFont="1" applyBorder="1" applyAlignment="1">
      <alignment vertical="center" wrapText="1"/>
    </xf>
    <xf numFmtId="9" fontId="0" fillId="0" borderId="74" xfId="2" applyFont="1" applyBorder="1" applyAlignment="1"/>
    <xf numFmtId="43" fontId="0" fillId="0" borderId="74" xfId="0" applyNumberFormat="1" applyBorder="1"/>
    <xf numFmtId="43" fontId="0" fillId="0" borderId="74" xfId="1" applyFont="1" applyBorder="1" applyAlignment="1"/>
    <xf numFmtId="176" fontId="0" fillId="5" borderId="74" xfId="1" applyNumberFormat="1" applyFont="1" applyFill="1" applyBorder="1" applyAlignment="1"/>
    <xf numFmtId="9" fontId="0" fillId="6" borderId="89" xfId="2" applyFont="1" applyFill="1" applyBorder="1" applyAlignment="1"/>
    <xf numFmtId="0" fontId="53" fillId="22" borderId="75" xfId="0" applyFont="1" applyFill="1" applyBorder="1" applyAlignment="1">
      <alignment horizontal="center" vertical="center"/>
    </xf>
    <xf numFmtId="0" fontId="53" fillId="22" borderId="77" xfId="0" applyFont="1" applyFill="1" applyBorder="1" applyAlignment="1">
      <alignment horizontal="center" vertical="center"/>
    </xf>
    <xf numFmtId="178" fontId="0" fillId="0" borderId="78" xfId="2" applyNumberFormat="1" applyFont="1" applyBorder="1" applyAlignment="1"/>
    <xf numFmtId="176" fontId="0" fillId="0" borderId="78" xfId="1" applyNumberFormat="1" applyFont="1" applyFill="1" applyBorder="1" applyAlignment="1"/>
    <xf numFmtId="176" fontId="0" fillId="14" borderId="78" xfId="1" applyNumberFormat="1" applyFont="1" applyFill="1" applyBorder="1" applyAlignment="1"/>
    <xf numFmtId="9" fontId="20" fillId="0" borderId="78" xfId="1" applyNumberFormat="1" applyFont="1" applyBorder="1" applyAlignment="1">
      <alignment vertical="center" wrapText="1"/>
    </xf>
    <xf numFmtId="9" fontId="0" fillId="0" borderId="78" xfId="2" applyFont="1" applyBorder="1" applyAlignment="1"/>
    <xf numFmtId="43" fontId="0" fillId="0" borderId="78" xfId="0" applyNumberFormat="1" applyBorder="1"/>
    <xf numFmtId="0" fontId="0" fillId="5" borderId="78" xfId="0" applyFill="1" applyBorder="1"/>
    <xf numFmtId="176" fontId="0" fillId="0" borderId="78" xfId="1" applyNumberFormat="1" applyFont="1" applyBorder="1" applyAlignment="1"/>
    <xf numFmtId="176" fontId="0" fillId="6" borderId="78" xfId="1" applyNumberFormat="1" applyFont="1" applyFill="1" applyBorder="1" applyAlignment="1"/>
    <xf numFmtId="9" fontId="0" fillId="6" borderId="80" xfId="2" applyFont="1" applyFill="1" applyBorder="1" applyAlignment="1"/>
    <xf numFmtId="0" fontId="12" fillId="36" borderId="0" xfId="0" applyFont="1" applyFill="1" applyAlignment="1">
      <alignment vertical="top"/>
    </xf>
    <xf numFmtId="0" fontId="0" fillId="36" borderId="0" xfId="0" applyFill="1"/>
    <xf numFmtId="0" fontId="90" fillId="3" borderId="0" xfId="22" applyFont="1" applyFill="1" applyAlignment="1">
      <alignment horizontal="right"/>
    </xf>
    <xf numFmtId="9" fontId="0" fillId="0" borderId="78" xfId="2" applyFont="1" applyFill="1" applyBorder="1" applyAlignment="1"/>
    <xf numFmtId="9" fontId="0" fillId="0" borderId="39" xfId="2" applyFont="1" applyFill="1" applyBorder="1" applyAlignment="1"/>
    <xf numFmtId="9" fontId="0" fillId="0" borderId="79" xfId="2" applyFont="1" applyFill="1" applyBorder="1" applyAlignment="1"/>
    <xf numFmtId="9" fontId="0" fillId="0" borderId="74" xfId="2" applyFont="1" applyFill="1" applyBorder="1" applyAlignment="1"/>
    <xf numFmtId="176" fontId="0" fillId="5" borderId="78" xfId="1" applyNumberFormat="1" applyFont="1" applyFill="1" applyBorder="1" applyAlignment="1"/>
    <xf numFmtId="43" fontId="55" fillId="3" borderId="0" xfId="22" applyNumberFormat="1" applyFont="1" applyFill="1" applyAlignment="1"/>
    <xf numFmtId="9" fontId="12" fillId="0" borderId="39" xfId="2" applyFont="1" applyBorder="1" applyAlignment="1"/>
    <xf numFmtId="9" fontId="12" fillId="0" borderId="79" xfId="2" applyFont="1" applyBorder="1" applyAlignment="1"/>
    <xf numFmtId="9" fontId="12" fillId="0" borderId="39" xfId="2" applyFont="1" applyFill="1" applyBorder="1" applyAlignment="1"/>
    <xf numFmtId="9" fontId="12" fillId="0" borderId="79" xfId="2" applyFont="1" applyFill="1" applyBorder="1" applyAlignment="1"/>
    <xf numFmtId="191" fontId="73" fillId="10" borderId="0" xfId="22" applyNumberFormat="1" applyFont="1" applyFill="1" applyAlignment="1">
      <alignment horizontal="right" vertical="center"/>
    </xf>
    <xf numFmtId="176" fontId="72" fillId="7" borderId="0" xfId="22" applyNumberFormat="1" applyFont="1" applyFill="1">
      <alignment vertical="center"/>
    </xf>
    <xf numFmtId="43" fontId="85" fillId="3" borderId="65" xfId="22" applyNumberFormat="1" applyFont="1" applyFill="1" applyBorder="1" applyAlignment="1">
      <alignment horizontal="center" vertical="center"/>
    </xf>
    <xf numFmtId="43" fontId="83" fillId="3" borderId="68" xfId="1" applyFont="1" applyFill="1" applyBorder="1" applyAlignment="1">
      <alignment horizontal="left" vertical="center"/>
    </xf>
    <xf numFmtId="0" fontId="31" fillId="5" borderId="0" xfId="22" applyFont="1" applyFill="1" applyAlignment="1"/>
    <xf numFmtId="43" fontId="85" fillId="3" borderId="0" xfId="22" applyNumberFormat="1" applyFont="1" applyFill="1" applyAlignment="1">
      <alignment horizontal="center" vertical="center"/>
    </xf>
    <xf numFmtId="176" fontId="72" fillId="7" borderId="0" xfId="1" applyNumberFormat="1" applyFont="1" applyFill="1">
      <alignment vertical="center"/>
    </xf>
    <xf numFmtId="0" fontId="30" fillId="5" borderId="0" xfId="22" applyFont="1" applyFill="1" applyAlignment="1">
      <alignment horizontal="center"/>
    </xf>
    <xf numFmtId="0" fontId="63" fillId="5" borderId="0" xfId="22" applyFont="1" applyFill="1" applyAlignment="1">
      <alignment horizontal="center"/>
    </xf>
    <xf numFmtId="43" fontId="81" fillId="3" borderId="0" xfId="1" applyFont="1" applyFill="1" applyAlignment="1"/>
    <xf numFmtId="0" fontId="92" fillId="0" borderId="78" xfId="0" applyFont="1" applyBorder="1"/>
    <xf numFmtId="0" fontId="92" fillId="0" borderId="39" xfId="0" applyFont="1" applyBorder="1"/>
    <xf numFmtId="0" fontId="92" fillId="0" borderId="72" xfId="0" applyFont="1" applyBorder="1"/>
    <xf numFmtId="0" fontId="53" fillId="24" borderId="90" xfId="0" applyFont="1" applyFill="1" applyBorder="1" applyAlignment="1">
      <alignment horizontal="center" vertical="center"/>
    </xf>
    <xf numFmtId="0" fontId="53" fillId="24" borderId="91" xfId="0" applyFont="1" applyFill="1" applyBorder="1" applyAlignment="1">
      <alignment horizontal="center" vertical="center"/>
    </xf>
    <xf numFmtId="0" fontId="53" fillId="24" borderId="92" xfId="0" applyFont="1" applyFill="1" applyBorder="1" applyAlignment="1">
      <alignment horizontal="center" vertical="center"/>
    </xf>
    <xf numFmtId="0" fontId="53" fillId="7" borderId="41" xfId="0" applyFont="1" applyFill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4" fillId="0" borderId="0" xfId="0" applyFont="1"/>
    <xf numFmtId="0" fontId="95" fillId="0" borderId="0" xfId="0" applyFont="1"/>
    <xf numFmtId="0" fontId="96" fillId="0" borderId="0" xfId="0" applyFont="1"/>
    <xf numFmtId="0" fontId="0" fillId="0" borderId="67" xfId="0" applyBorder="1"/>
    <xf numFmtId="0" fontId="94" fillId="0" borderId="0" xfId="0" applyFont="1"/>
    <xf numFmtId="176" fontId="95" fillId="0" borderId="0" xfId="0" applyNumberFormat="1" applyFont="1"/>
    <xf numFmtId="43" fontId="95" fillId="0" borderId="0" xfId="1" applyFont="1" applyBorder="1" applyAlignment="1"/>
    <xf numFmtId="0" fontId="0" fillId="0" borderId="70" xfId="0" applyBorder="1"/>
    <xf numFmtId="0" fontId="0" fillId="0" borderId="71" xfId="0" applyBorder="1"/>
    <xf numFmtId="176" fontId="95" fillId="0" borderId="0" xfId="1" applyNumberFormat="1" applyFont="1" applyBorder="1" applyAlignment="1"/>
    <xf numFmtId="176" fontId="95" fillId="0" borderId="67" xfId="1" applyNumberFormat="1" applyFont="1" applyBorder="1" applyAlignment="1"/>
    <xf numFmtId="0" fontId="93" fillId="0" borderId="63" xfId="0" applyFont="1" applyBorder="1"/>
    <xf numFmtId="176" fontId="96" fillId="0" borderId="63" xfId="0" applyNumberFormat="1" applyFont="1" applyBorder="1"/>
    <xf numFmtId="176" fontId="96" fillId="0" borderId="64" xfId="0" applyNumberFormat="1" applyFont="1" applyBorder="1"/>
    <xf numFmtId="176" fontId="95" fillId="0" borderId="67" xfId="0" applyNumberFormat="1" applyFont="1" applyBorder="1"/>
    <xf numFmtId="0" fontId="0" fillId="6" borderId="66" xfId="0" applyFill="1" applyBorder="1"/>
    <xf numFmtId="0" fontId="93" fillId="6" borderId="62" xfId="0" applyFont="1" applyFill="1" applyBorder="1"/>
    <xf numFmtId="0" fontId="0" fillId="6" borderId="69" xfId="0" applyFill="1" applyBorder="1"/>
    <xf numFmtId="0" fontId="0" fillId="0" borderId="37" xfId="0" applyBorder="1"/>
    <xf numFmtId="176" fontId="0" fillId="0" borderId="37" xfId="0" applyNumberFormat="1" applyBorder="1"/>
    <xf numFmtId="0" fontId="0" fillId="6" borderId="45" xfId="0" applyFill="1" applyBorder="1"/>
    <xf numFmtId="0" fontId="0" fillId="0" borderId="46" xfId="0" applyBorder="1"/>
    <xf numFmtId="0" fontId="0" fillId="0" borderId="53" xfId="0" applyBorder="1"/>
    <xf numFmtId="0" fontId="0" fillId="6" borderId="48" xfId="0" applyFill="1" applyBorder="1"/>
    <xf numFmtId="0" fontId="0" fillId="0" borderId="55" xfId="0" applyBorder="1"/>
    <xf numFmtId="0" fontId="53" fillId="0" borderId="55" xfId="0" applyFont="1" applyBorder="1" applyAlignment="1">
      <alignment horizontal="center" vertical="center"/>
    </xf>
    <xf numFmtId="0" fontId="93" fillId="6" borderId="48" xfId="0" applyFont="1" applyFill="1" applyBorder="1"/>
    <xf numFmtId="176" fontId="0" fillId="0" borderId="55" xfId="0" applyNumberFormat="1" applyBorder="1"/>
    <xf numFmtId="0" fontId="94" fillId="6" borderId="48" xfId="0" applyFont="1" applyFill="1" applyBorder="1"/>
    <xf numFmtId="0" fontId="95" fillId="6" borderId="48" xfId="0" applyFont="1" applyFill="1" applyBorder="1"/>
    <xf numFmtId="176" fontId="94" fillId="0" borderId="55" xfId="0" applyNumberFormat="1" applyFont="1" applyBorder="1"/>
    <xf numFmtId="0" fontId="94" fillId="6" borderId="49" xfId="0" applyFont="1" applyFill="1" applyBorder="1"/>
    <xf numFmtId="0" fontId="95" fillId="0" borderId="51" xfId="0" applyFont="1" applyBorder="1"/>
    <xf numFmtId="43" fontId="95" fillId="0" borderId="51" xfId="1" applyFont="1" applyBorder="1" applyAlignment="1"/>
    <xf numFmtId="176" fontId="95" fillId="0" borderId="51" xfId="0" applyNumberFormat="1" applyFont="1" applyBorder="1"/>
    <xf numFmtId="176" fontId="94" fillId="0" borderId="52" xfId="0" applyNumberFormat="1" applyFont="1" applyBorder="1"/>
    <xf numFmtId="0" fontId="0" fillId="0" borderId="38" xfId="0" applyBorder="1"/>
    <xf numFmtId="176" fontId="0" fillId="0" borderId="38" xfId="0" applyNumberFormat="1" applyBorder="1"/>
    <xf numFmtId="176" fontId="0" fillId="0" borderId="94" xfId="0" applyNumberFormat="1" applyBorder="1"/>
    <xf numFmtId="0" fontId="94" fillId="6" borderId="95" xfId="0" applyFont="1" applyFill="1" applyBorder="1"/>
    <xf numFmtId="0" fontId="0" fillId="0" borderId="96" xfId="0" applyBorder="1"/>
    <xf numFmtId="0" fontId="94" fillId="6" borderId="93" xfId="0" applyFont="1" applyFill="1" applyBorder="1"/>
    <xf numFmtId="0" fontId="0" fillId="0" borderId="94" xfId="0" applyBorder="1"/>
    <xf numFmtId="0" fontId="0" fillId="6" borderId="93" xfId="0" applyFill="1" applyBorder="1"/>
    <xf numFmtId="176" fontId="12" fillId="0" borderId="55" xfId="0" applyNumberFormat="1" applyFont="1" applyBorder="1"/>
    <xf numFmtId="9" fontId="95" fillId="0" borderId="0" xfId="2" applyFont="1" applyBorder="1" applyAlignment="1"/>
    <xf numFmtId="9" fontId="95" fillId="0" borderId="67" xfId="2" applyFont="1" applyBorder="1" applyAlignment="1"/>
    <xf numFmtId="0" fontId="0" fillId="0" borderId="66" xfId="0" applyBorder="1"/>
    <xf numFmtId="9" fontId="0" fillId="0" borderId="0" xfId="2" applyFont="1" applyBorder="1" applyAlignment="1">
      <alignment horizontal="right"/>
    </xf>
    <xf numFmtId="9" fontId="0" fillId="0" borderId="67" xfId="0" applyNumberFormat="1" applyBorder="1"/>
    <xf numFmtId="0" fontId="12" fillId="0" borderId="66" xfId="0" applyFont="1" applyBorder="1"/>
    <xf numFmtId="176" fontId="12" fillId="0" borderId="67" xfId="0" applyNumberFormat="1" applyFont="1" applyBorder="1"/>
    <xf numFmtId="176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  <xf numFmtId="0" fontId="0" fillId="0" borderId="69" xfId="0" applyBorder="1"/>
    <xf numFmtId="0" fontId="0" fillId="6" borderId="62" xfId="0" applyFill="1" applyBorder="1" applyAlignment="1">
      <alignment vertical="center"/>
    </xf>
    <xf numFmtId="0" fontId="0" fillId="6" borderId="63" xfId="0" applyFill="1" applyBorder="1" applyAlignment="1">
      <alignment vertical="center"/>
    </xf>
    <xf numFmtId="0" fontId="12" fillId="6" borderId="63" xfId="0" applyFont="1" applyFill="1" applyBorder="1" applyAlignment="1">
      <alignment horizontal="right" vertical="center"/>
    </xf>
    <xf numFmtId="0" fontId="0" fillId="6" borderId="63" xfId="0" applyFill="1" applyBorder="1" applyAlignment="1">
      <alignment horizontal="right" vertical="center"/>
    </xf>
    <xf numFmtId="0" fontId="0" fillId="6" borderId="64" xfId="0" applyFill="1" applyBorder="1" applyAlignment="1">
      <alignment vertical="center"/>
    </xf>
    <xf numFmtId="0" fontId="87" fillId="34" borderId="72" xfId="0" applyFont="1" applyFill="1" applyBorder="1" applyAlignment="1">
      <alignment horizontal="left" vertical="center"/>
    </xf>
    <xf numFmtId="0" fontId="87" fillId="34" borderId="73" xfId="0" applyFont="1" applyFill="1" applyBorder="1" applyAlignment="1">
      <alignment horizontal="left" vertical="center"/>
    </xf>
    <xf numFmtId="0" fontId="87" fillId="34" borderId="74" xfId="0" applyFont="1" applyFill="1" applyBorder="1" applyAlignment="1">
      <alignment horizontal="left" vertical="center"/>
    </xf>
    <xf numFmtId="0" fontId="12" fillId="4" borderId="11" xfId="0" applyFont="1" applyFill="1" applyBorder="1" applyAlignment="1">
      <alignment horizontal="center"/>
    </xf>
    <xf numFmtId="0" fontId="12" fillId="4" borderId="12" xfId="0" applyFont="1" applyFill="1" applyBorder="1" applyAlignment="1">
      <alignment horizontal="center"/>
    </xf>
    <xf numFmtId="0" fontId="45" fillId="0" borderId="43" xfId="17" applyFont="1" applyFill="1" applyBorder="1" applyAlignment="1" applyProtection="1">
      <alignment horizontal="center" vertical="center" wrapText="1"/>
    </xf>
    <xf numFmtId="0" fontId="45" fillId="0" borderId="47" xfId="17" applyFont="1" applyFill="1" applyBorder="1" applyAlignment="1" applyProtection="1">
      <alignment horizontal="center" vertical="center" wrapText="1"/>
    </xf>
    <xf numFmtId="0" fontId="45" fillId="0" borderId="50" xfId="17" applyFont="1" applyFill="1" applyBorder="1" applyAlignment="1" applyProtection="1">
      <alignment horizontal="center" vertical="center" wrapText="1"/>
    </xf>
    <xf numFmtId="0" fontId="43" fillId="4" borderId="45" xfId="16" applyFont="1" applyFill="1" applyBorder="1" applyAlignment="1">
      <alignment horizontal="center" vertical="center"/>
    </xf>
    <xf numFmtId="0" fontId="43" fillId="4" borderId="46" xfId="16" applyFont="1" applyFill="1" applyBorder="1" applyAlignment="1">
      <alignment horizontal="center" vertical="center"/>
    </xf>
    <xf numFmtId="0" fontId="43" fillId="4" borderId="53" xfId="16" applyFont="1" applyFill="1" applyBorder="1" applyAlignment="1">
      <alignment horizontal="center" vertical="center"/>
    </xf>
    <xf numFmtId="0" fontId="43" fillId="4" borderId="44" xfId="16" applyFont="1" applyFill="1" applyBorder="1" applyAlignment="1">
      <alignment horizontal="center" vertical="center"/>
    </xf>
    <xf numFmtId="0" fontId="43" fillId="4" borderId="30" xfId="16" applyFont="1" applyFill="1" applyBorder="1" applyAlignment="1">
      <alignment horizontal="center" vertical="center"/>
    </xf>
    <xf numFmtId="0" fontId="43" fillId="4" borderId="56" xfId="16" applyFont="1" applyFill="1" applyBorder="1" applyAlignment="1">
      <alignment horizontal="center" vertical="center"/>
    </xf>
    <xf numFmtId="0" fontId="43" fillId="4" borderId="6" xfId="16" applyFont="1" applyFill="1" applyBorder="1" applyAlignment="1">
      <alignment horizontal="center" vertical="center"/>
    </xf>
    <xf numFmtId="0" fontId="43" fillId="4" borderId="7" xfId="16" applyFont="1" applyFill="1" applyBorder="1" applyAlignment="1">
      <alignment horizontal="center" vertical="center"/>
    </xf>
    <xf numFmtId="0" fontId="43" fillId="4" borderId="8" xfId="16" applyFont="1" applyFill="1" applyBorder="1" applyAlignment="1">
      <alignment horizontal="center" vertical="center"/>
    </xf>
    <xf numFmtId="0" fontId="43" fillId="4" borderId="28" xfId="16" applyFont="1" applyFill="1" applyBorder="1" applyAlignment="1">
      <alignment horizontal="center" vertical="center"/>
    </xf>
    <xf numFmtId="0" fontId="43" fillId="4" borderId="54" xfId="16" applyFont="1" applyFill="1" applyBorder="1" applyAlignment="1">
      <alignment horizontal="center" vertical="center"/>
    </xf>
    <xf numFmtId="186" fontId="36" fillId="0" borderId="43" xfId="11" applyFont="1" applyFill="1" applyBorder="1" applyAlignment="1" applyProtection="1">
      <alignment horizontal="center" vertical="center" wrapText="1"/>
    </xf>
    <xf numFmtId="186" fontId="36" fillId="0" borderId="47" xfId="11" applyFont="1" applyFill="1" applyBorder="1" applyAlignment="1" applyProtection="1">
      <alignment horizontal="center" vertical="center" wrapText="1"/>
    </xf>
    <xf numFmtId="186" fontId="36" fillId="0" borderId="50" xfId="11" applyFont="1" applyFill="1" applyBorder="1" applyAlignment="1" applyProtection="1">
      <alignment horizontal="center" vertical="center" wrapText="1"/>
    </xf>
    <xf numFmtId="0" fontId="12" fillId="4" borderId="6" xfId="10" applyFont="1" applyFill="1" applyBorder="1" applyAlignment="1">
      <alignment horizontal="center" vertical="center"/>
    </xf>
    <xf numFmtId="0" fontId="12" fillId="4" borderId="7" xfId="10" applyFont="1" applyFill="1" applyBorder="1" applyAlignment="1">
      <alignment horizontal="center" vertical="center"/>
    </xf>
    <xf numFmtId="0" fontId="12" fillId="4" borderId="8" xfId="10" applyFont="1" applyFill="1" applyBorder="1" applyAlignment="1">
      <alignment horizontal="center" vertical="center"/>
    </xf>
    <xf numFmtId="0" fontId="12" fillId="4" borderId="44" xfId="10" applyFont="1" applyFill="1" applyBorder="1" applyAlignment="1">
      <alignment horizontal="center" vertical="center"/>
    </xf>
    <xf numFmtId="0" fontId="12" fillId="4" borderId="30" xfId="10" applyFont="1" applyFill="1" applyBorder="1" applyAlignment="1">
      <alignment horizontal="center" vertical="center"/>
    </xf>
    <xf numFmtId="0" fontId="12" fillId="4" borderId="56" xfId="10" applyFont="1" applyFill="1" applyBorder="1" applyAlignment="1">
      <alignment horizontal="center" vertical="center"/>
    </xf>
    <xf numFmtId="0" fontId="12" fillId="4" borderId="28" xfId="10" applyFont="1" applyFill="1" applyBorder="1" applyAlignment="1">
      <alignment horizontal="center" vertical="center"/>
    </xf>
    <xf numFmtId="0" fontId="12" fillId="4" borderId="54" xfId="10" applyFont="1" applyFill="1" applyBorder="1" applyAlignment="1">
      <alignment horizontal="center" vertical="center"/>
    </xf>
    <xf numFmtId="0" fontId="12" fillId="4" borderId="45" xfId="10" applyFont="1" applyFill="1" applyBorder="1" applyAlignment="1">
      <alignment horizontal="center" vertical="center"/>
    </xf>
    <xf numFmtId="0" fontId="12" fillId="4" borderId="46" xfId="10" applyFont="1" applyFill="1" applyBorder="1" applyAlignment="1">
      <alignment horizontal="center" vertical="center"/>
    </xf>
    <xf numFmtId="0" fontId="12" fillId="4" borderId="53" xfId="1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7" fillId="0" borderId="6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0" fontId="17" fillId="0" borderId="36" xfId="0" applyFont="1" applyBorder="1" applyAlignment="1">
      <alignment horizontal="center" vertical="center" wrapText="1"/>
    </xf>
    <xf numFmtId="0" fontId="0" fillId="0" borderId="97" xfId="0" applyBorder="1" applyAlignment="1">
      <alignment vertical="center"/>
    </xf>
    <xf numFmtId="0" fontId="0" fillId="0" borderId="98" xfId="0" applyBorder="1"/>
    <xf numFmtId="0" fontId="92" fillId="0" borderId="98" xfId="0" applyFont="1" applyBorder="1"/>
    <xf numFmtId="0" fontId="54" fillId="0" borderId="98" xfId="0" applyFont="1" applyBorder="1"/>
    <xf numFmtId="0" fontId="91" fillId="0" borderId="98" xfId="0" applyFont="1" applyBorder="1"/>
    <xf numFmtId="0" fontId="92" fillId="0" borderId="99" xfId="0" applyFont="1" applyBorder="1"/>
    <xf numFmtId="0" fontId="92" fillId="0" borderId="100" xfId="0" applyFont="1" applyBorder="1"/>
    <xf numFmtId="176" fontId="0" fillId="5" borderId="101" xfId="1" applyNumberFormat="1" applyFont="1" applyFill="1" applyBorder="1" applyAlignment="1"/>
    <xf numFmtId="176" fontId="0" fillId="5" borderId="99" xfId="1" applyNumberFormat="1" applyFont="1" applyFill="1" applyBorder="1" applyAlignment="1"/>
    <xf numFmtId="176" fontId="0" fillId="5" borderId="102" xfId="1" applyNumberFormat="1" applyFont="1" applyFill="1" applyBorder="1" applyAlignment="1"/>
    <xf numFmtId="176" fontId="0" fillId="5" borderId="103" xfId="1" applyNumberFormat="1" applyFont="1" applyFill="1" applyBorder="1" applyAlignment="1"/>
    <xf numFmtId="176" fontId="0" fillId="5" borderId="104" xfId="1" applyNumberFormat="1" applyFont="1" applyFill="1" applyBorder="1" applyAlignment="1"/>
    <xf numFmtId="0" fontId="0" fillId="0" borderId="105" xfId="0" applyBorder="1" applyAlignment="1">
      <alignment vertical="center"/>
    </xf>
    <xf numFmtId="0" fontId="53" fillId="7" borderId="106" xfId="0" applyFont="1" applyFill="1" applyBorder="1" applyAlignment="1">
      <alignment horizontal="center" vertical="center"/>
    </xf>
    <xf numFmtId="0" fontId="0" fillId="0" borderId="107" xfId="0" applyBorder="1"/>
    <xf numFmtId="176" fontId="0" fillId="0" borderId="108" xfId="1" applyNumberFormat="1" applyFont="1" applyBorder="1" applyAlignment="1"/>
    <xf numFmtId="0" fontId="92" fillId="0" borderId="107" xfId="0" applyFont="1" applyBorder="1"/>
    <xf numFmtId="176" fontId="0" fillId="5" borderId="108" xfId="1" applyNumberFormat="1" applyFont="1" applyFill="1" applyBorder="1" applyAlignment="1"/>
    <xf numFmtId="0" fontId="0" fillId="0" borderId="108" xfId="0" applyBorder="1"/>
    <xf numFmtId="0" fontId="54" fillId="0" borderId="107" xfId="0" applyFont="1" applyBorder="1"/>
    <xf numFmtId="9" fontId="0" fillId="0" borderId="108" xfId="0" applyNumberFormat="1" applyBorder="1"/>
    <xf numFmtId="0" fontId="54" fillId="0" borderId="109" xfId="0" applyFont="1" applyBorder="1"/>
    <xf numFmtId="0" fontId="54" fillId="0" borderId="110" xfId="0" applyFont="1" applyBorder="1"/>
    <xf numFmtId="0" fontId="54" fillId="0" borderId="111" xfId="0" applyFont="1" applyBorder="1"/>
    <xf numFmtId="9" fontId="0" fillId="0" borderId="112" xfId="2" applyFont="1" applyFill="1" applyBorder="1" applyAlignment="1"/>
    <xf numFmtId="9" fontId="0" fillId="0" borderId="110" xfId="2" applyFont="1" applyFill="1" applyBorder="1" applyAlignment="1"/>
    <xf numFmtId="9" fontId="0" fillId="0" borderId="113" xfId="2" applyFont="1" applyFill="1" applyBorder="1" applyAlignment="1"/>
    <xf numFmtId="9" fontId="0" fillId="0" borderId="114" xfId="2" applyFont="1" applyFill="1" applyBorder="1" applyAlignment="1"/>
    <xf numFmtId="9" fontId="12" fillId="0" borderId="110" xfId="2" applyFont="1" applyFill="1" applyBorder="1" applyAlignment="1"/>
    <xf numFmtId="9" fontId="12" fillId="0" borderId="113" xfId="2" applyFont="1" applyFill="1" applyBorder="1" applyAlignment="1"/>
    <xf numFmtId="0" fontId="0" fillId="0" borderId="115" xfId="0" applyBorder="1"/>
    <xf numFmtId="0" fontId="12" fillId="5" borderId="0" xfId="0" applyFont="1" applyFill="1" applyAlignment="1">
      <alignment vertical="center"/>
    </xf>
    <xf numFmtId="0" fontId="97" fillId="24" borderId="45" xfId="0" applyFont="1" applyFill="1" applyBorder="1" applyAlignment="1">
      <alignment vertical="center"/>
    </xf>
    <xf numFmtId="0" fontId="98" fillId="24" borderId="46" xfId="0" applyFont="1" applyFill="1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53" xfId="0" applyBorder="1" applyAlignment="1">
      <alignment vertical="center"/>
    </xf>
    <xf numFmtId="0" fontId="93" fillId="0" borderId="107" xfId="0" applyFont="1" applyBorder="1"/>
    <xf numFmtId="0" fontId="93" fillId="0" borderId="39" xfId="0" applyFont="1" applyBorder="1"/>
    <xf numFmtId="0" fontId="93" fillId="0" borderId="72" xfId="0" applyFont="1" applyBorder="1"/>
    <xf numFmtId="0" fontId="97" fillId="37" borderId="51" xfId="0" applyFont="1" applyFill="1" applyBorder="1" applyAlignment="1">
      <alignment horizontal="left" vertical="center"/>
    </xf>
  </cellXfs>
  <cellStyles count="29">
    <cellStyle name="Normal 2" xfId="6" xr:uid="{2DD2BAEA-70C3-4479-BA6A-82906A00477E}"/>
    <cellStyle name="Normal 2 2 3" xfId="9" xr:uid="{1DC4FE13-9817-4C59-A934-B8573D3578A2}"/>
    <cellStyle name="Normal 2 3 3" xfId="7" xr:uid="{BFE23074-233F-4743-A0C8-D9CCB4AFDA67}"/>
    <cellStyle name="Normal 3" xfId="4" xr:uid="{39D785CF-0403-4096-9C38-8E70B0C9791E}"/>
    <cellStyle name="Normal 3 7" xfId="8" xr:uid="{91DBA824-7F49-4979-B346-5DD5CF6ED10B}"/>
    <cellStyle name="Normal 4 3" xfId="5" xr:uid="{369E2F0C-5B5E-4A9C-8AED-496D6D93B5AC}"/>
    <cellStyle name="百分比" xfId="2" builtinId="5"/>
    <cellStyle name="百分比 2" xfId="25" xr:uid="{B3660E94-2A56-45FC-BE78-778F3529B4D6}"/>
    <cellStyle name="常规" xfId="0" builtinId="0"/>
    <cellStyle name="常规 2" xfId="10" xr:uid="{3AD68BEE-0A6B-4AEB-B3D6-038A026A491B}"/>
    <cellStyle name="常规 2 2" xfId="16" xr:uid="{F4C62C62-1BEE-47E8-AB04-6E7C1CB24E19}"/>
    <cellStyle name="常规 3" xfId="3" xr:uid="{F75FB0A2-CDC5-4388-BCD6-99E002640D65}"/>
    <cellStyle name="常规 3 2" xfId="23" xr:uid="{AD568A27-16E0-46F5-8A67-79BF7DD3C9D2}"/>
    <cellStyle name="常规 4" xfId="22" xr:uid="{1FF572D0-0144-4906-9B4D-856B04B1EBE5}"/>
    <cellStyle name="常规 5" xfId="21" xr:uid="{B70295F2-609D-4AF0-B103-9C81E2846F33}"/>
    <cellStyle name="常规 6" xfId="26" xr:uid="{CD1E704A-72A6-42F6-B4A9-9AA9C649B449}"/>
    <cellStyle name="常规_Ferring Distributor Date Management_2012" xfId="12" xr:uid="{0EAE6F41-F31F-41C1-B661-5609D57A3EB7}"/>
    <cellStyle name="常规_Ferring GMMR_0523" xfId="14" xr:uid="{F1A24865-5C67-4CEE-8844-9D7128FECFC7}"/>
    <cellStyle name="超链接" xfId="11" builtinId="8"/>
    <cellStyle name="超链接 2" xfId="17" xr:uid="{302D888D-8C27-426D-93FA-7ED348230D9F}"/>
    <cellStyle name="千位分隔" xfId="1" builtinId="3"/>
    <cellStyle name="千位分隔 2" xfId="13" xr:uid="{CA9F73B4-59DC-4DE8-8766-1943F1DF8BEA}"/>
    <cellStyle name="千位分隔 2 2" xfId="15" xr:uid="{9DE45D65-DEEA-4605-AA8D-AA72A05D3EE5}"/>
    <cellStyle name="千位分隔 2 2 2" xfId="20" xr:uid="{D8055DE7-B4CB-4502-9B7C-FE90EBA2463D}"/>
    <cellStyle name="千位分隔 2 3" xfId="19" xr:uid="{242EB7FE-84DD-4702-8523-C4D50DA7051D}"/>
    <cellStyle name="千位分隔 2 7 2" xfId="18" xr:uid="{DB91F99B-6DD7-4DC9-96E7-A9E77CAE5FD9}"/>
    <cellStyle name="千位分隔 2 7 2 4" xfId="28" xr:uid="{156D6AEE-03D0-41A0-9A7E-9E2114EC736B}"/>
    <cellStyle name="千位分隔 3" xfId="24" xr:uid="{D28CBADC-BE02-4B66-A397-D2D8A281DA77}"/>
    <cellStyle name="千位分隔 4 2" xfId="27" xr:uid="{6FB90F01-AC38-4FA4-B296-5DAEEBDF6341}"/>
  </cellStyles>
  <dxfs count="0"/>
  <tableStyles count="0" defaultTableStyle="TableStyleMedium2" defaultPivotStyle="PivotStyleLight16"/>
  <colors>
    <mruColors>
      <color rgb="FFEA6B14"/>
      <color rgb="FF0000FF"/>
      <color rgb="FFF77831"/>
      <color rgb="FF00589A"/>
      <color rgb="FF79FEFB"/>
      <color rgb="FF3FCDFF"/>
      <color rgb="FF33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verestmedicines.sharepoint.com/sites/EverestFinance/Shared%20Documents/Business%20Control/Budget%202026/5.%20Play/PL-Commercial%20Mainland-Nefecon%20Adj%20Play-1203.xlsx" TargetMode="External"/><Relationship Id="rId1" Type="http://schemas.openxmlformats.org/officeDocument/2006/relationships/externalLinkPath" Target="https://everestmedicines.sharepoint.com/sites/EverestFinance/Shared%20Documents/Business%20Control/Budget%202026/5.%20Play/PL-Commercial%20Mainland-Nefecon%20Adj%20Play-1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&amp;OP Template"/>
      <sheetName val="Channel Inventory Deck"/>
      <sheetName val="IN-MKT WP"/>
      <sheetName val="GSP 3个月"/>
      <sheetName val="价差补偿 (2)"/>
      <sheetName val="S1&gt;Nef 44.5万"/>
      <sheetName val="Revenue 24-26"/>
      <sheetName val="P&amp;L-Mainland"/>
      <sheetName val="P&amp;L-Xerava"/>
      <sheetName val="Trend"/>
      <sheetName val="P&amp;L-Nefecon"/>
      <sheetName val="P&amp;L-Velsipity"/>
      <sheetName val="Additional ADJ"/>
      <sheetName val="P&amp;L-CSO&amp;自营"/>
      <sheetName val="ExpAllocation"/>
      <sheetName val="2026 Change"/>
      <sheetName val="费用明细"/>
      <sheetName val="费用明细-link"/>
      <sheetName val="C&amp;B"/>
      <sheetName val="A&amp;P-Xerava"/>
      <sheetName val="Royatly"/>
      <sheetName val="A&amp;P-Nefecon"/>
      <sheetName val="A&amp;P-Etrasimod"/>
      <sheetName val="P&amp;L-Diagnosis"/>
      <sheetName val="S2&gt;Nef 48万"/>
      <sheetName val="P&amp;L-Mainland (2)"/>
      <sheetName val="P&amp;L-Xerava (2)"/>
      <sheetName val="P&amp;L-Nefecon (2)"/>
      <sheetName val="P&amp;L-Velsipity (2)"/>
      <sheetName val="P&amp;L-Diagnosis (2)"/>
      <sheetName val="P&amp;L-Mainland-ToM-POA Base"/>
      <sheetName val="P&amp;L-Mainland-InM-POA 45"/>
      <sheetName val="P&amp;L-Mainland-InM-POA 48"/>
      <sheetName val="P&amp;L-Mainland-InM-POA Base-InM I"/>
      <sheetName val="Sheet1"/>
      <sheetName val="P&amp;L-Commercial-ToM"/>
      <sheetName val="P&amp;L-Commercial-InM"/>
      <sheetName val="P&amp;L-Mainland-ToM"/>
      <sheetName val="P&amp;L-Mainland-InM"/>
      <sheetName val="P&amp;L-IB-ToM"/>
      <sheetName val="P&amp;L-IB-InM"/>
      <sheetName val="Topline Summary"/>
      <sheetName val="Royatly+Milestone Ref"/>
      <sheetName val="COGS"/>
      <sheetName val="Price Flow-25&amp;26"/>
      <sheetName val="A&amp;P"/>
      <sheetName val="T&amp;E"/>
      <sheetName val="Others"/>
      <sheetName val="HC"/>
      <sheetName val="AllocationSolution"/>
    </sheetNames>
    <sheetDataSet>
      <sheetData sheetId="0"/>
      <sheetData sheetId="1"/>
      <sheetData sheetId="2">
        <row r="68">
          <cell r="E68"/>
          <cell r="F68"/>
          <cell r="G68"/>
          <cell r="H68">
            <v>301</v>
          </cell>
          <cell r="I68">
            <v>578</v>
          </cell>
          <cell r="J68">
            <v>827</v>
          </cell>
          <cell r="K68">
            <v>1127</v>
          </cell>
          <cell r="L68">
            <v>1434</v>
          </cell>
          <cell r="M68">
            <v>1736</v>
          </cell>
          <cell r="N68">
            <v>2036</v>
          </cell>
          <cell r="O68">
            <v>2277</v>
          </cell>
          <cell r="P68">
            <v>2462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23">
          <cell r="D23">
            <v>5000</v>
          </cell>
          <cell r="E23">
            <v>5000</v>
          </cell>
          <cell r="F23">
            <v>5000</v>
          </cell>
          <cell r="G23">
            <v>5000</v>
          </cell>
          <cell r="H23">
            <v>5000</v>
          </cell>
          <cell r="I23">
            <v>5000</v>
          </cell>
          <cell r="J23">
            <v>5000</v>
          </cell>
          <cell r="K23">
            <v>5000</v>
          </cell>
          <cell r="L23">
            <v>5000</v>
          </cell>
          <cell r="M23">
            <v>5000</v>
          </cell>
          <cell r="N23">
            <v>5000</v>
          </cell>
          <cell r="O23">
            <v>5000</v>
          </cell>
        </row>
        <row r="24">
          <cell r="D24">
            <v>38424</v>
          </cell>
          <cell r="E24">
            <v>38424</v>
          </cell>
          <cell r="F24">
            <v>38424</v>
          </cell>
          <cell r="G24">
            <v>46642</v>
          </cell>
          <cell r="H24">
            <v>46642</v>
          </cell>
          <cell r="I24">
            <v>46642</v>
          </cell>
          <cell r="J24">
            <v>49224</v>
          </cell>
          <cell r="K24">
            <v>49224</v>
          </cell>
          <cell r="L24">
            <v>49224</v>
          </cell>
          <cell r="M24">
            <v>52376</v>
          </cell>
          <cell r="N24">
            <v>52376</v>
          </cell>
          <cell r="O24">
            <v>52378</v>
          </cell>
        </row>
        <row r="25">
          <cell r="D25">
            <v>21817</v>
          </cell>
          <cell r="E25">
            <v>21817</v>
          </cell>
          <cell r="F25">
            <v>21817</v>
          </cell>
          <cell r="G25">
            <v>19583</v>
          </cell>
          <cell r="H25">
            <v>19583</v>
          </cell>
          <cell r="I25">
            <v>19583</v>
          </cell>
          <cell r="J25">
            <v>22520</v>
          </cell>
          <cell r="K25">
            <v>22520</v>
          </cell>
          <cell r="L25">
            <v>22520</v>
          </cell>
          <cell r="M25">
            <v>26080</v>
          </cell>
          <cell r="N25">
            <v>26080</v>
          </cell>
          <cell r="O25">
            <v>26080</v>
          </cell>
        </row>
      </sheetData>
      <sheetData sheetId="44"/>
      <sheetData sheetId="45"/>
      <sheetData sheetId="46"/>
      <sheetData sheetId="47"/>
      <sheetData sheetId="48"/>
      <sheetData sheetId="4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essie Zhang 张婕" id="{B7C9C9B7-C825-40AC-802D-1C950DA6D400}" userId="S::Jessie.Zhang@everestmedicines.com::6daf69bc-03e7-417f-bacc-afcb922d052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Y30" dT="2026-01-22T03:20:48.73" personId="{B7C9C9B7-C825-40AC-802D-1C950DA6D400}" id="{17896F1E-F093-4DA2-BEE3-04B771605BB7}">
    <text>修改这里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B663C-E6CC-45DB-9A31-FCF85FBDE497}">
  <sheetPr>
    <tabColor rgb="FF92D050"/>
  </sheetPr>
  <dimension ref="B1:AR100"/>
  <sheetViews>
    <sheetView topLeftCell="B1" zoomScale="70" zoomScaleNormal="70" workbookViewId="0">
      <pane xSplit="16" ySplit="2" topLeftCell="R23" activePane="bottomRight" state="frozen"/>
      <selection activeCell="B1" sqref="B1"/>
      <selection pane="topRight" activeCell="R1" sqref="R1"/>
      <selection pane="bottomLeft" activeCell="B3" sqref="B3"/>
      <selection pane="bottomRight" activeCell="S107" sqref="S107"/>
    </sheetView>
  </sheetViews>
  <sheetFormatPr defaultRowHeight="13.8" outlineLevelCol="1"/>
  <cols>
    <col min="2" max="2" width="8.6640625" hidden="1" customWidth="1" outlineLevel="1"/>
    <col min="3" max="3" width="9.109375" hidden="1" customWidth="1" outlineLevel="1"/>
    <col min="4" max="4" width="15.109375" hidden="1" customWidth="1" outlineLevel="1"/>
    <col min="5" max="5" width="8.6640625" hidden="1" customWidth="1" outlineLevel="1"/>
    <col min="6" max="6" width="8.6640625" collapsed="1"/>
    <col min="8" max="8" width="8.6640625" hidden="1" customWidth="1" outlineLevel="1"/>
    <col min="9" max="9" width="15.33203125" hidden="1" customWidth="1" outlineLevel="1"/>
    <col min="10" max="11" width="8.6640625" hidden="1" customWidth="1" outlineLevel="1"/>
    <col min="12" max="12" width="15.5546875" hidden="1" customWidth="1" outlineLevel="1"/>
    <col min="13" max="14" width="13.44140625" hidden="1" customWidth="1" outlineLevel="1"/>
    <col min="15" max="15" width="13.44140625" bestFit="1" customWidth="1" collapsed="1"/>
    <col min="16" max="16" width="13.44140625" customWidth="1"/>
    <col min="19" max="23" width="12.5546875" customWidth="1" outlineLevel="1"/>
    <col min="24" max="24" width="14.21875" customWidth="1" outlineLevel="1"/>
    <col min="25" max="30" width="12.5546875" customWidth="1" outlineLevel="1"/>
    <col min="31" max="31" width="13.6640625" customWidth="1" outlineLevel="1"/>
    <col min="32" max="32" width="8.6640625" customWidth="1" outlineLevel="1"/>
    <col min="33" max="33" width="14.77734375" customWidth="1" outlineLevel="1"/>
    <col min="34" max="34" width="8.6640625" customWidth="1" outlineLevel="1"/>
    <col min="35" max="36" width="11.88671875" bestFit="1" customWidth="1"/>
    <col min="37" max="37" width="13.109375" bestFit="1" customWidth="1"/>
    <col min="38" max="38" width="10" bestFit="1" customWidth="1"/>
    <col min="39" max="39" width="11.109375" bestFit="1" customWidth="1"/>
    <col min="40" max="40" width="5.77734375" bestFit="1" customWidth="1"/>
    <col min="42" max="43" width="11.109375" bestFit="1" customWidth="1"/>
  </cols>
  <sheetData>
    <row r="1" spans="2:44" ht="14.4" thickBot="1"/>
    <row r="2" spans="2:44">
      <c r="B2" s="314" t="s">
        <v>1068</v>
      </c>
      <c r="C2" s="554" t="s">
        <v>1069</v>
      </c>
      <c r="D2" s="554" t="s">
        <v>994</v>
      </c>
      <c r="E2" s="554" t="s">
        <v>995</v>
      </c>
      <c r="F2" s="554" t="s">
        <v>996</v>
      </c>
      <c r="G2" s="554" t="s">
        <v>997</v>
      </c>
      <c r="H2" s="554" t="s">
        <v>998</v>
      </c>
      <c r="I2" s="554" t="s">
        <v>999</v>
      </c>
      <c r="J2" s="554" t="s">
        <v>147</v>
      </c>
      <c r="K2" s="554" t="s">
        <v>148</v>
      </c>
      <c r="L2" s="554" t="s">
        <v>149</v>
      </c>
      <c r="M2" s="554" t="s">
        <v>150</v>
      </c>
      <c r="N2" s="554" t="s">
        <v>151</v>
      </c>
      <c r="O2" s="554" t="s">
        <v>152</v>
      </c>
      <c r="P2" s="554" t="s">
        <v>1070</v>
      </c>
      <c r="Q2" s="554" t="s">
        <v>1000</v>
      </c>
      <c r="R2" s="554" t="s">
        <v>1001</v>
      </c>
      <c r="S2" s="555" t="s">
        <v>992</v>
      </c>
      <c r="T2" s="555" t="s">
        <v>993</v>
      </c>
      <c r="U2" s="555" t="s">
        <v>102</v>
      </c>
      <c r="V2" s="555" t="s">
        <v>104</v>
      </c>
      <c r="W2" s="555" t="s">
        <v>105</v>
      </c>
      <c r="X2" s="555" t="s">
        <v>106</v>
      </c>
      <c r="Y2" s="555" t="s">
        <v>107</v>
      </c>
      <c r="Z2" s="555" t="s">
        <v>108</v>
      </c>
      <c r="AA2" s="555" t="s">
        <v>109</v>
      </c>
      <c r="AB2" s="555" t="s">
        <v>110</v>
      </c>
      <c r="AC2" s="555" t="s">
        <v>111</v>
      </c>
      <c r="AD2" s="555" t="s">
        <v>112</v>
      </c>
      <c r="AE2" s="556" t="s">
        <v>85</v>
      </c>
      <c r="AG2" s="558" t="s">
        <v>1073</v>
      </c>
      <c r="AI2" s="577" t="s">
        <v>79</v>
      </c>
      <c r="AJ2" s="5" t="s">
        <v>80</v>
      </c>
      <c r="AK2" s="577" t="s">
        <v>81</v>
      </c>
      <c r="AL2" s="5" t="s">
        <v>82</v>
      </c>
      <c r="AM2" t="s">
        <v>78</v>
      </c>
      <c r="AN2" t="s">
        <v>924</v>
      </c>
      <c r="AP2" t="s">
        <v>923</v>
      </c>
      <c r="AQ2" t="s">
        <v>124</v>
      </c>
      <c r="AR2" t="s">
        <v>924</v>
      </c>
    </row>
    <row r="3" spans="2:44" ht="14.4" hidden="1">
      <c r="B3" s="561" t="s">
        <v>1002</v>
      </c>
      <c r="C3" s="557" t="s">
        <v>1003</v>
      </c>
      <c r="D3" s="557" t="s">
        <v>1004</v>
      </c>
      <c r="E3" s="559" t="s">
        <v>19</v>
      </c>
      <c r="F3" s="559" t="s">
        <v>19</v>
      </c>
      <c r="G3" s="557" t="s">
        <v>95</v>
      </c>
      <c r="H3" s="557">
        <v>2026</v>
      </c>
      <c r="I3" s="557" t="s">
        <v>785</v>
      </c>
      <c r="J3" s="557" t="s">
        <v>203</v>
      </c>
      <c r="K3" s="557" t="s">
        <v>204</v>
      </c>
      <c r="L3" s="557" t="s">
        <v>205</v>
      </c>
      <c r="M3" s="557" t="s">
        <v>721</v>
      </c>
      <c r="N3" s="557" t="s">
        <v>1005</v>
      </c>
      <c r="O3" s="557" t="s">
        <v>1005</v>
      </c>
      <c r="P3" s="560" t="s">
        <v>978</v>
      </c>
      <c r="Q3" s="557"/>
      <c r="R3" s="557"/>
      <c r="S3" s="40">
        <f>SUMIFS('Sales HC by Dept &amp; T&amp;E Segment'!V:V,'Sales HC by Dept &amp; T&amp;E Segment'!$F:$F,$P3,'Sales HC by Dept &amp; T&amp;E Segment'!$G:$G,$G3)</f>
        <v>140000</v>
      </c>
      <c r="T3" s="40">
        <f>SUMIFS('Sales HC by Dept &amp; T&amp;E Segment'!W:W,'Sales HC by Dept &amp; T&amp;E Segment'!$F:$F,$P3,'Sales HC by Dept &amp; T&amp;E Segment'!$G:$G,$G3)</f>
        <v>140000</v>
      </c>
      <c r="U3" s="40">
        <f>SUMIFS('Sales HC by Dept &amp; T&amp;E Segment'!X:X,'Sales HC by Dept &amp; T&amp;E Segment'!$F:$F,$P3,'Sales HC by Dept &amp; T&amp;E Segment'!$G:$G,$G3)</f>
        <v>140000</v>
      </c>
      <c r="V3" s="40">
        <f>SUMIFS('Sales HC by Dept &amp; T&amp;E Segment'!Y:Y,'Sales HC by Dept &amp; T&amp;E Segment'!$F:$F,$P3,'Sales HC by Dept &amp; T&amp;E Segment'!$G:$G,$G3)</f>
        <v>140000</v>
      </c>
      <c r="W3" s="40">
        <f>SUMIFS('Sales HC by Dept &amp; T&amp;E Segment'!Z:Z,'Sales HC by Dept &amp; T&amp;E Segment'!$F:$F,$P3,'Sales HC by Dept &amp; T&amp;E Segment'!$G:$G,$G3)</f>
        <v>140000</v>
      </c>
      <c r="X3" s="40">
        <f>SUMIFS('Sales HC by Dept &amp; T&amp;E Segment'!AA:AA,'Sales HC by Dept &amp; T&amp;E Segment'!$F:$F,$P3,'Sales HC by Dept &amp; T&amp;E Segment'!$G:$G,$G3)</f>
        <v>140000</v>
      </c>
      <c r="Y3" s="40">
        <f>SUMIFS('Sales HC by Dept &amp; T&amp;E Segment'!AB:AB,'Sales HC by Dept &amp; T&amp;E Segment'!$F:$F,$P3,'Sales HC by Dept &amp; T&amp;E Segment'!$G:$G,$G3)</f>
        <v>140000</v>
      </c>
      <c r="Z3" s="40">
        <f>SUMIFS('Sales HC by Dept &amp; T&amp;E Segment'!AC:AC,'Sales HC by Dept &amp; T&amp;E Segment'!$F:$F,$P3,'Sales HC by Dept &amp; T&amp;E Segment'!$G:$G,$G3)</f>
        <v>140000</v>
      </c>
      <c r="AA3" s="40">
        <f>SUMIFS('Sales HC by Dept &amp; T&amp;E Segment'!AD:AD,'Sales HC by Dept &amp; T&amp;E Segment'!$F:$F,$P3,'Sales HC by Dept &amp; T&amp;E Segment'!$G:$G,$G3)</f>
        <v>140000</v>
      </c>
      <c r="AB3" s="40">
        <f>SUMIFS('Sales HC by Dept &amp; T&amp;E Segment'!AE:AE,'Sales HC by Dept &amp; T&amp;E Segment'!$F:$F,$P3,'Sales HC by Dept &amp; T&amp;E Segment'!$G:$G,$G3)</f>
        <v>140000</v>
      </c>
      <c r="AC3" s="40">
        <f>SUMIFS('Sales HC by Dept &amp; T&amp;E Segment'!AF:AF,'Sales HC by Dept &amp; T&amp;E Segment'!$F:$F,$P3,'Sales HC by Dept &amp; T&amp;E Segment'!$G:$G,$G3)</f>
        <v>140000</v>
      </c>
      <c r="AD3" s="40">
        <f>SUMIFS('Sales HC by Dept &amp; T&amp;E Segment'!AG:AG,'Sales HC by Dept &amp; T&amp;E Segment'!$F:$F,$P3,'Sales HC by Dept &amp; T&amp;E Segment'!$G:$G,$G3)</f>
        <v>140000</v>
      </c>
      <c r="AE3" s="46">
        <f>SUM(S3:AD3)</f>
        <v>1680000</v>
      </c>
      <c r="AI3" s="505">
        <f>SUM(S3:U3)</f>
        <v>420000</v>
      </c>
      <c r="AJ3" s="6">
        <f>SUM(V3:X3)</f>
        <v>420000</v>
      </c>
      <c r="AK3" s="6">
        <f>SUM(Y3:AA3)</f>
        <v>420000</v>
      </c>
      <c r="AL3" s="6">
        <f>SUM(AB3:AD3)</f>
        <v>420000</v>
      </c>
      <c r="AM3" s="6">
        <f>SUM(AI3:AL3)</f>
        <v>1680000</v>
      </c>
      <c r="AN3" s="6">
        <f>AM3-AE3</f>
        <v>0</v>
      </c>
      <c r="AP3" s="6">
        <f>SUM(AI3:AJ3)</f>
        <v>840000</v>
      </c>
      <c r="AQ3" s="6">
        <f>SUM(AK3:AL3)</f>
        <v>840000</v>
      </c>
      <c r="AR3" s="6">
        <f>AP3+AQ3-AM3</f>
        <v>0</v>
      </c>
    </row>
    <row r="4" spans="2:44" ht="14.4" hidden="1">
      <c r="B4" s="561" t="s">
        <v>1006</v>
      </c>
      <c r="C4" s="557" t="s">
        <v>1007</v>
      </c>
      <c r="D4" s="557" t="s">
        <v>1008</v>
      </c>
      <c r="E4" s="559" t="s">
        <v>19</v>
      </c>
      <c r="F4" s="559" t="s">
        <v>19</v>
      </c>
      <c r="G4" s="557" t="s">
        <v>95</v>
      </c>
      <c r="H4" s="557">
        <v>2026</v>
      </c>
      <c r="I4" s="557" t="s">
        <v>785</v>
      </c>
      <c r="J4" s="557" t="s">
        <v>203</v>
      </c>
      <c r="K4" s="557" t="s">
        <v>204</v>
      </c>
      <c r="L4" s="557" t="s">
        <v>205</v>
      </c>
      <c r="M4" s="557" t="s">
        <v>721</v>
      </c>
      <c r="N4" s="557" t="s">
        <v>1009</v>
      </c>
      <c r="O4" s="557" t="s">
        <v>1009</v>
      </c>
      <c r="P4" s="560" t="s">
        <v>979</v>
      </c>
      <c r="Q4" s="557"/>
      <c r="R4" s="557"/>
      <c r="S4" s="40">
        <f>SUMIFS('Sales HC by Dept &amp; T&amp;E Segment'!V:V,'Sales HC by Dept &amp; T&amp;E Segment'!$F:$F,$P4,'Sales HC by Dept &amp; T&amp;E Segment'!$G:$G,$G4)</f>
        <v>56000</v>
      </c>
      <c r="T4" s="40">
        <f>SUMIFS('Sales HC by Dept &amp; T&amp;E Segment'!W:W,'Sales HC by Dept &amp; T&amp;E Segment'!$F:$F,$P4,'Sales HC by Dept &amp; T&amp;E Segment'!$G:$G,$G4)</f>
        <v>56000</v>
      </c>
      <c r="U4" s="40">
        <f>SUMIFS('Sales HC by Dept &amp; T&amp;E Segment'!X:X,'Sales HC by Dept &amp; T&amp;E Segment'!$F:$F,$P4,'Sales HC by Dept &amp; T&amp;E Segment'!$G:$G,$G4)</f>
        <v>56000</v>
      </c>
      <c r="V4" s="40">
        <f>SUMIFS('Sales HC by Dept &amp; T&amp;E Segment'!Y:Y,'Sales HC by Dept &amp; T&amp;E Segment'!$F:$F,$P4,'Sales HC by Dept &amp; T&amp;E Segment'!$G:$G,$G4)</f>
        <v>56000</v>
      </c>
      <c r="W4" s="40">
        <f>SUMIFS('Sales HC by Dept &amp; T&amp;E Segment'!Z:Z,'Sales HC by Dept &amp; T&amp;E Segment'!$F:$F,$P4,'Sales HC by Dept &amp; T&amp;E Segment'!$G:$G,$G4)</f>
        <v>56000</v>
      </c>
      <c r="X4" s="40">
        <f>SUMIFS('Sales HC by Dept &amp; T&amp;E Segment'!AA:AA,'Sales HC by Dept &amp; T&amp;E Segment'!$F:$F,$P4,'Sales HC by Dept &amp; T&amp;E Segment'!$G:$G,$G4)</f>
        <v>56000</v>
      </c>
      <c r="Y4" s="40">
        <f>SUMIFS('Sales HC by Dept &amp; T&amp;E Segment'!AB:AB,'Sales HC by Dept &amp; T&amp;E Segment'!$F:$F,$P4,'Sales HC by Dept &amp; T&amp;E Segment'!$G:$G,$G4)</f>
        <v>56000</v>
      </c>
      <c r="Z4" s="40">
        <f>SUMIFS('Sales HC by Dept &amp; T&amp;E Segment'!AC:AC,'Sales HC by Dept &amp; T&amp;E Segment'!$F:$F,$P4,'Sales HC by Dept &amp; T&amp;E Segment'!$G:$G,$G4)</f>
        <v>56000</v>
      </c>
      <c r="AA4" s="40">
        <f>SUMIFS('Sales HC by Dept &amp; T&amp;E Segment'!AD:AD,'Sales HC by Dept &amp; T&amp;E Segment'!$F:$F,$P4,'Sales HC by Dept &amp; T&amp;E Segment'!$G:$G,$G4)</f>
        <v>56000</v>
      </c>
      <c r="AB4" s="40">
        <f>SUMIFS('Sales HC by Dept &amp; T&amp;E Segment'!AE:AE,'Sales HC by Dept &amp; T&amp;E Segment'!$F:$F,$P4,'Sales HC by Dept &amp; T&amp;E Segment'!$G:$G,$G4)</f>
        <v>56000</v>
      </c>
      <c r="AC4" s="40">
        <f>SUMIFS('Sales HC by Dept &amp; T&amp;E Segment'!AF:AF,'Sales HC by Dept &amp; T&amp;E Segment'!$F:$F,$P4,'Sales HC by Dept &amp; T&amp;E Segment'!$G:$G,$G4)</f>
        <v>56000</v>
      </c>
      <c r="AD4" s="40">
        <f>SUMIFS('Sales HC by Dept &amp; T&amp;E Segment'!AG:AG,'Sales HC by Dept &amp; T&amp;E Segment'!$F:$F,$P4,'Sales HC by Dept &amp; T&amp;E Segment'!$G:$G,$G4)</f>
        <v>56000</v>
      </c>
      <c r="AE4" s="46">
        <f t="shared" ref="AE4:AE22" si="0">SUM(S4:AD4)</f>
        <v>672000</v>
      </c>
      <c r="AI4" s="505">
        <f t="shared" ref="AI4:AI23" si="1">SUM(S4:U4)</f>
        <v>168000</v>
      </c>
      <c r="AJ4" s="6">
        <f t="shared" ref="AJ4:AJ23" si="2">SUM(V4:X4)</f>
        <v>168000</v>
      </c>
      <c r="AK4" s="6">
        <f t="shared" ref="AK4:AK23" si="3">SUM(Y4:AA4)</f>
        <v>168000</v>
      </c>
      <c r="AL4" s="6">
        <f t="shared" ref="AL4:AL23" si="4">SUM(AB4:AD4)</f>
        <v>168000</v>
      </c>
      <c r="AM4" s="6">
        <f t="shared" ref="AM4:AM23" si="5">SUM(AI4:AL4)</f>
        <v>672000</v>
      </c>
      <c r="AN4" s="6">
        <f t="shared" ref="AN4:AN23" si="6">AM4-AE4</f>
        <v>0</v>
      </c>
      <c r="AP4" s="6">
        <f t="shared" ref="AP4:AP23" si="7">SUM(AI4:AJ4)</f>
        <v>336000</v>
      </c>
      <c r="AQ4" s="6">
        <f t="shared" ref="AQ4:AQ23" si="8">SUM(AK4:AL4)</f>
        <v>336000</v>
      </c>
      <c r="AR4" s="6">
        <f t="shared" ref="AR4:AR23" si="9">AP4+AQ4-AM4</f>
        <v>0</v>
      </c>
    </row>
    <row r="5" spans="2:44" ht="14.4" hidden="1">
      <c r="B5" s="561" t="s">
        <v>1010</v>
      </c>
      <c r="C5" s="557" t="s">
        <v>1011</v>
      </c>
      <c r="D5" s="557" t="s">
        <v>1012</v>
      </c>
      <c r="E5" s="559" t="s">
        <v>19</v>
      </c>
      <c r="F5" s="559" t="s">
        <v>19</v>
      </c>
      <c r="G5" s="557" t="s">
        <v>95</v>
      </c>
      <c r="H5" s="557">
        <v>2026</v>
      </c>
      <c r="I5" s="557" t="s">
        <v>785</v>
      </c>
      <c r="J5" s="557" t="s">
        <v>203</v>
      </c>
      <c r="K5" s="557" t="s">
        <v>204</v>
      </c>
      <c r="L5" s="557" t="s">
        <v>205</v>
      </c>
      <c r="M5" s="557" t="s">
        <v>721</v>
      </c>
      <c r="N5" s="557" t="s">
        <v>1013</v>
      </c>
      <c r="O5" s="557" t="s">
        <v>1013</v>
      </c>
      <c r="P5" s="560" t="s">
        <v>980</v>
      </c>
      <c r="Q5" s="557"/>
      <c r="R5" s="557"/>
      <c r="S5" s="40">
        <f>SUMIFS('Sales HC by Dept &amp; T&amp;E Segment'!V:V,'Sales HC by Dept &amp; T&amp;E Segment'!$F:$F,$P5,'Sales HC by Dept &amp; T&amp;E Segment'!$G:$G,$G5)</f>
        <v>92000</v>
      </c>
      <c r="T5" s="40">
        <f>SUMIFS('Sales HC by Dept &amp; T&amp;E Segment'!W:W,'Sales HC by Dept &amp; T&amp;E Segment'!$F:$F,$P5,'Sales HC by Dept &amp; T&amp;E Segment'!$G:$G,$G5)</f>
        <v>92000</v>
      </c>
      <c r="U5" s="40">
        <f>SUMIFS('Sales HC by Dept &amp; T&amp;E Segment'!X:X,'Sales HC by Dept &amp; T&amp;E Segment'!$F:$F,$P5,'Sales HC by Dept &amp; T&amp;E Segment'!$G:$G,$G5)</f>
        <v>92000</v>
      </c>
      <c r="V5" s="40">
        <f>SUMIFS('Sales HC by Dept &amp; T&amp;E Segment'!Y:Y,'Sales HC by Dept &amp; T&amp;E Segment'!$F:$F,$P5,'Sales HC by Dept &amp; T&amp;E Segment'!$G:$G,$G5)</f>
        <v>92000</v>
      </c>
      <c r="W5" s="40">
        <f>SUMIFS('Sales HC by Dept &amp; T&amp;E Segment'!Z:Z,'Sales HC by Dept &amp; T&amp;E Segment'!$F:$F,$P5,'Sales HC by Dept &amp; T&amp;E Segment'!$G:$G,$G5)</f>
        <v>92000</v>
      </c>
      <c r="X5" s="40">
        <f>SUMIFS('Sales HC by Dept &amp; T&amp;E Segment'!AA:AA,'Sales HC by Dept &amp; T&amp;E Segment'!$F:$F,$P5,'Sales HC by Dept &amp; T&amp;E Segment'!$G:$G,$G5)</f>
        <v>92000</v>
      </c>
      <c r="Y5" s="40">
        <f>SUMIFS('Sales HC by Dept &amp; T&amp;E Segment'!AB:AB,'Sales HC by Dept &amp; T&amp;E Segment'!$F:$F,$P5,'Sales HC by Dept &amp; T&amp;E Segment'!$G:$G,$G5)</f>
        <v>92000</v>
      </c>
      <c r="Z5" s="40">
        <f>SUMIFS('Sales HC by Dept &amp; T&amp;E Segment'!AC:AC,'Sales HC by Dept &amp; T&amp;E Segment'!$F:$F,$P5,'Sales HC by Dept &amp; T&amp;E Segment'!$G:$G,$G5)</f>
        <v>92000</v>
      </c>
      <c r="AA5" s="40">
        <f>SUMIFS('Sales HC by Dept &amp; T&amp;E Segment'!AD:AD,'Sales HC by Dept &amp; T&amp;E Segment'!$F:$F,$P5,'Sales HC by Dept &amp; T&amp;E Segment'!$G:$G,$G5)</f>
        <v>92000</v>
      </c>
      <c r="AB5" s="40">
        <f>SUMIFS('Sales HC by Dept &amp; T&amp;E Segment'!AE:AE,'Sales HC by Dept &amp; T&amp;E Segment'!$F:$F,$P5,'Sales HC by Dept &amp; T&amp;E Segment'!$G:$G,$G5)</f>
        <v>92000</v>
      </c>
      <c r="AC5" s="40">
        <f>SUMIFS('Sales HC by Dept &amp; T&amp;E Segment'!AF:AF,'Sales HC by Dept &amp; T&amp;E Segment'!$F:$F,$P5,'Sales HC by Dept &amp; T&amp;E Segment'!$G:$G,$G5)</f>
        <v>92000</v>
      </c>
      <c r="AD5" s="40">
        <f>SUMIFS('Sales HC by Dept &amp; T&amp;E Segment'!AG:AG,'Sales HC by Dept &amp; T&amp;E Segment'!$F:$F,$P5,'Sales HC by Dept &amp; T&amp;E Segment'!$G:$G,$G5)</f>
        <v>92000</v>
      </c>
      <c r="AE5" s="46">
        <f t="shared" si="0"/>
        <v>1104000</v>
      </c>
      <c r="AI5" s="505">
        <f t="shared" si="1"/>
        <v>276000</v>
      </c>
      <c r="AJ5" s="6">
        <f t="shared" si="2"/>
        <v>276000</v>
      </c>
      <c r="AK5" s="6">
        <f t="shared" si="3"/>
        <v>276000</v>
      </c>
      <c r="AL5" s="6">
        <f t="shared" si="4"/>
        <v>276000</v>
      </c>
      <c r="AM5" s="6">
        <f t="shared" si="5"/>
        <v>1104000</v>
      </c>
      <c r="AN5" s="6">
        <f t="shared" si="6"/>
        <v>0</v>
      </c>
      <c r="AP5" s="6">
        <f t="shared" si="7"/>
        <v>552000</v>
      </c>
      <c r="AQ5" s="6">
        <f t="shared" si="8"/>
        <v>552000</v>
      </c>
      <c r="AR5" s="6">
        <f t="shared" si="9"/>
        <v>0</v>
      </c>
    </row>
    <row r="6" spans="2:44" ht="14.4" hidden="1">
      <c r="B6" s="561" t="s">
        <v>1014</v>
      </c>
      <c r="C6" s="557" t="s">
        <v>1015</v>
      </c>
      <c r="D6" s="557" t="s">
        <v>1016</v>
      </c>
      <c r="E6" s="559" t="s">
        <v>19</v>
      </c>
      <c r="F6" s="559" t="s">
        <v>19</v>
      </c>
      <c r="G6" s="557" t="s">
        <v>95</v>
      </c>
      <c r="H6" s="557">
        <v>2026</v>
      </c>
      <c r="I6" s="557" t="s">
        <v>785</v>
      </c>
      <c r="J6" s="557" t="s">
        <v>203</v>
      </c>
      <c r="K6" s="557" t="s">
        <v>204</v>
      </c>
      <c r="L6" s="557" t="s">
        <v>205</v>
      </c>
      <c r="M6" s="557" t="s">
        <v>721</v>
      </c>
      <c r="N6" s="557" t="s">
        <v>1017</v>
      </c>
      <c r="O6" s="557" t="s">
        <v>1017</v>
      </c>
      <c r="P6" s="560" t="s">
        <v>1071</v>
      </c>
      <c r="Q6" s="557"/>
      <c r="R6" s="557"/>
      <c r="S6" s="40">
        <f>SUMIFS('Sales HC by Dept &amp; T&amp;E Segment'!V:V,'Sales HC by Dept &amp; T&amp;E Segment'!$F:$F,$P6,'Sales HC by Dept &amp; T&amp;E Segment'!$G:$G,$G6)</f>
        <v>102000</v>
      </c>
      <c r="T6" s="40">
        <f>SUMIFS('Sales HC by Dept &amp; T&amp;E Segment'!W:W,'Sales HC by Dept &amp; T&amp;E Segment'!$F:$F,$P6,'Sales HC by Dept &amp; T&amp;E Segment'!$G:$G,$G6)</f>
        <v>102000</v>
      </c>
      <c r="U6" s="40">
        <f>SUMIFS('Sales HC by Dept &amp; T&amp;E Segment'!X:X,'Sales HC by Dept &amp; T&amp;E Segment'!$F:$F,$P6,'Sales HC by Dept &amp; T&amp;E Segment'!$G:$G,$G6)</f>
        <v>102000</v>
      </c>
      <c r="V6" s="40">
        <f>SUMIFS('Sales HC by Dept &amp; T&amp;E Segment'!Y:Y,'Sales HC by Dept &amp; T&amp;E Segment'!$F:$F,$P6,'Sales HC by Dept &amp; T&amp;E Segment'!$G:$G,$G6)</f>
        <v>102000</v>
      </c>
      <c r="W6" s="40">
        <f>SUMIFS('Sales HC by Dept &amp; T&amp;E Segment'!Z:Z,'Sales HC by Dept &amp; T&amp;E Segment'!$F:$F,$P6,'Sales HC by Dept &amp; T&amp;E Segment'!$G:$G,$G6)</f>
        <v>102000</v>
      </c>
      <c r="X6" s="40">
        <f>SUMIFS('Sales HC by Dept &amp; T&amp;E Segment'!AA:AA,'Sales HC by Dept &amp; T&amp;E Segment'!$F:$F,$P6,'Sales HC by Dept &amp; T&amp;E Segment'!$G:$G,$G6)</f>
        <v>102000</v>
      </c>
      <c r="Y6" s="40">
        <f>SUMIFS('Sales HC by Dept &amp; T&amp;E Segment'!AB:AB,'Sales HC by Dept &amp; T&amp;E Segment'!$F:$F,$P6,'Sales HC by Dept &amp; T&amp;E Segment'!$G:$G,$G6)</f>
        <v>102000</v>
      </c>
      <c r="Z6" s="40">
        <f>SUMIFS('Sales HC by Dept &amp; T&amp;E Segment'!AC:AC,'Sales HC by Dept &amp; T&amp;E Segment'!$F:$F,$P6,'Sales HC by Dept &amp; T&amp;E Segment'!$G:$G,$G6)</f>
        <v>102000</v>
      </c>
      <c r="AA6" s="40">
        <f>SUMIFS('Sales HC by Dept &amp; T&amp;E Segment'!AD:AD,'Sales HC by Dept &amp; T&amp;E Segment'!$F:$F,$P6,'Sales HC by Dept &amp; T&amp;E Segment'!$G:$G,$G6)</f>
        <v>102000</v>
      </c>
      <c r="AB6" s="40">
        <f>SUMIFS('Sales HC by Dept &amp; T&amp;E Segment'!AE:AE,'Sales HC by Dept &amp; T&amp;E Segment'!$F:$F,$P6,'Sales HC by Dept &amp; T&amp;E Segment'!$G:$G,$G6)</f>
        <v>102000</v>
      </c>
      <c r="AC6" s="40">
        <f>SUMIFS('Sales HC by Dept &amp; T&amp;E Segment'!AF:AF,'Sales HC by Dept &amp; T&amp;E Segment'!$F:$F,$P6,'Sales HC by Dept &amp; T&amp;E Segment'!$G:$G,$G6)</f>
        <v>102000</v>
      </c>
      <c r="AD6" s="40">
        <f>SUMIFS('Sales HC by Dept &amp; T&amp;E Segment'!AG:AG,'Sales HC by Dept &amp; T&amp;E Segment'!$F:$F,$P6,'Sales HC by Dept &amp; T&amp;E Segment'!$G:$G,$G6)</f>
        <v>102000</v>
      </c>
      <c r="AE6" s="46">
        <f t="shared" si="0"/>
        <v>1224000</v>
      </c>
      <c r="AI6" s="505">
        <f t="shared" si="1"/>
        <v>306000</v>
      </c>
      <c r="AJ6" s="6">
        <f t="shared" si="2"/>
        <v>306000</v>
      </c>
      <c r="AK6" s="6">
        <f t="shared" si="3"/>
        <v>306000</v>
      </c>
      <c r="AL6" s="6">
        <f t="shared" si="4"/>
        <v>306000</v>
      </c>
      <c r="AM6" s="6">
        <f t="shared" si="5"/>
        <v>1224000</v>
      </c>
      <c r="AN6" s="6">
        <f t="shared" si="6"/>
        <v>0</v>
      </c>
      <c r="AP6" s="6">
        <f t="shared" si="7"/>
        <v>612000</v>
      </c>
      <c r="AQ6" s="6">
        <f t="shared" si="8"/>
        <v>612000</v>
      </c>
      <c r="AR6" s="6">
        <f t="shared" si="9"/>
        <v>0</v>
      </c>
    </row>
    <row r="7" spans="2:44" ht="14.4" hidden="1">
      <c r="B7" s="561" t="s">
        <v>1018</v>
      </c>
      <c r="C7" s="557" t="s">
        <v>1019</v>
      </c>
      <c r="D7" s="557" t="s">
        <v>1020</v>
      </c>
      <c r="E7" s="559" t="s">
        <v>19</v>
      </c>
      <c r="F7" s="559" t="s">
        <v>19</v>
      </c>
      <c r="G7" s="557" t="s">
        <v>95</v>
      </c>
      <c r="H7" s="557">
        <v>2026</v>
      </c>
      <c r="I7" s="557" t="s">
        <v>785</v>
      </c>
      <c r="J7" s="557" t="s">
        <v>203</v>
      </c>
      <c r="K7" s="557" t="s">
        <v>204</v>
      </c>
      <c r="L7" s="557" t="s">
        <v>205</v>
      </c>
      <c r="M7" s="557" t="s">
        <v>721</v>
      </c>
      <c r="N7" s="557" t="s">
        <v>1021</v>
      </c>
      <c r="O7" s="557" t="s">
        <v>1021</v>
      </c>
      <c r="P7" s="560" t="s">
        <v>976</v>
      </c>
      <c r="Q7" s="557"/>
      <c r="R7" s="557"/>
      <c r="S7" s="40">
        <f>SUMIFS('Sales HC by Dept &amp; T&amp;E Segment'!V:V,'Sales HC by Dept &amp; T&amp;E Segment'!$F:$F,$P7,'Sales HC by Dept &amp; T&amp;E Segment'!$G:$G,$G7)</f>
        <v>107000</v>
      </c>
      <c r="T7" s="40">
        <f>SUMIFS('Sales HC by Dept &amp; T&amp;E Segment'!W:W,'Sales HC by Dept &amp; T&amp;E Segment'!$F:$F,$P7,'Sales HC by Dept &amp; T&amp;E Segment'!$G:$G,$G7)</f>
        <v>107000</v>
      </c>
      <c r="U7" s="40">
        <f>SUMIFS('Sales HC by Dept &amp; T&amp;E Segment'!X:X,'Sales HC by Dept &amp; T&amp;E Segment'!$F:$F,$P7,'Sales HC by Dept &amp; T&amp;E Segment'!$G:$G,$G7)</f>
        <v>107000</v>
      </c>
      <c r="V7" s="40">
        <f>SUMIFS('Sales HC by Dept &amp; T&amp;E Segment'!Y:Y,'Sales HC by Dept &amp; T&amp;E Segment'!$F:$F,$P7,'Sales HC by Dept &amp; T&amp;E Segment'!$G:$G,$G7)</f>
        <v>107000</v>
      </c>
      <c r="W7" s="40">
        <f>SUMIFS('Sales HC by Dept &amp; T&amp;E Segment'!Z:Z,'Sales HC by Dept &amp; T&amp;E Segment'!$F:$F,$P7,'Sales HC by Dept &amp; T&amp;E Segment'!$G:$G,$G7)</f>
        <v>107000</v>
      </c>
      <c r="X7" s="40">
        <f>SUMIFS('Sales HC by Dept &amp; T&amp;E Segment'!AA:AA,'Sales HC by Dept &amp; T&amp;E Segment'!$F:$F,$P7,'Sales HC by Dept &amp; T&amp;E Segment'!$G:$G,$G7)</f>
        <v>107000</v>
      </c>
      <c r="Y7" s="40">
        <f>SUMIFS('Sales HC by Dept &amp; T&amp;E Segment'!AB:AB,'Sales HC by Dept &amp; T&amp;E Segment'!$F:$F,$P7,'Sales HC by Dept &amp; T&amp;E Segment'!$G:$G,$G7)</f>
        <v>107000</v>
      </c>
      <c r="Z7" s="40">
        <f>SUMIFS('Sales HC by Dept &amp; T&amp;E Segment'!AC:AC,'Sales HC by Dept &amp; T&amp;E Segment'!$F:$F,$P7,'Sales HC by Dept &amp; T&amp;E Segment'!$G:$G,$G7)</f>
        <v>107000</v>
      </c>
      <c r="AA7" s="40">
        <f>SUMIFS('Sales HC by Dept &amp; T&amp;E Segment'!AD:AD,'Sales HC by Dept &amp; T&amp;E Segment'!$F:$F,$P7,'Sales HC by Dept &amp; T&amp;E Segment'!$G:$G,$G7)</f>
        <v>107000</v>
      </c>
      <c r="AB7" s="40">
        <f>SUMIFS('Sales HC by Dept &amp; T&amp;E Segment'!AE:AE,'Sales HC by Dept &amp; T&amp;E Segment'!$F:$F,$P7,'Sales HC by Dept &amp; T&amp;E Segment'!$G:$G,$G7)</f>
        <v>107000</v>
      </c>
      <c r="AC7" s="40">
        <f>SUMIFS('Sales HC by Dept &amp; T&amp;E Segment'!AF:AF,'Sales HC by Dept &amp; T&amp;E Segment'!$F:$F,$P7,'Sales HC by Dept &amp; T&amp;E Segment'!$G:$G,$G7)</f>
        <v>107000</v>
      </c>
      <c r="AD7" s="40">
        <f>SUMIFS('Sales HC by Dept &amp; T&amp;E Segment'!AG:AG,'Sales HC by Dept &amp; T&amp;E Segment'!$F:$F,$P7,'Sales HC by Dept &amp; T&amp;E Segment'!$G:$G,$G7)</f>
        <v>107000</v>
      </c>
      <c r="AE7" s="46">
        <f t="shared" si="0"/>
        <v>1284000</v>
      </c>
      <c r="AI7" s="505">
        <f t="shared" si="1"/>
        <v>321000</v>
      </c>
      <c r="AJ7" s="6">
        <f t="shared" si="2"/>
        <v>321000</v>
      </c>
      <c r="AK7" s="6">
        <f t="shared" si="3"/>
        <v>321000</v>
      </c>
      <c r="AL7" s="6">
        <f t="shared" si="4"/>
        <v>321000</v>
      </c>
      <c r="AM7" s="6">
        <f t="shared" si="5"/>
        <v>1284000</v>
      </c>
      <c r="AN7" s="6">
        <f t="shared" si="6"/>
        <v>0</v>
      </c>
      <c r="AP7" s="6">
        <f t="shared" si="7"/>
        <v>642000</v>
      </c>
      <c r="AQ7" s="6">
        <f t="shared" si="8"/>
        <v>642000</v>
      </c>
      <c r="AR7" s="6">
        <f t="shared" si="9"/>
        <v>0</v>
      </c>
    </row>
    <row r="8" spans="2:44" ht="14.4" hidden="1">
      <c r="B8" s="561" t="s">
        <v>1022</v>
      </c>
      <c r="C8" s="557" t="s">
        <v>1023</v>
      </c>
      <c r="D8" s="557" t="s">
        <v>1024</v>
      </c>
      <c r="E8" s="559" t="s">
        <v>19</v>
      </c>
      <c r="F8" s="559" t="s">
        <v>19</v>
      </c>
      <c r="G8" s="557" t="s">
        <v>95</v>
      </c>
      <c r="H8" s="557">
        <v>2026</v>
      </c>
      <c r="I8" s="557" t="s">
        <v>785</v>
      </c>
      <c r="J8" s="557" t="s">
        <v>203</v>
      </c>
      <c r="K8" s="557" t="s">
        <v>204</v>
      </c>
      <c r="L8" s="557" t="s">
        <v>205</v>
      </c>
      <c r="M8" s="557" t="s">
        <v>721</v>
      </c>
      <c r="N8" s="557" t="s">
        <v>1025</v>
      </c>
      <c r="O8" s="557" t="s">
        <v>1025</v>
      </c>
      <c r="P8" s="560" t="s">
        <v>977</v>
      </c>
      <c r="Q8" s="557"/>
      <c r="R8" s="557"/>
      <c r="S8" s="40">
        <f>SUMIFS('Sales HC by Dept &amp; T&amp;E Segment'!V:V,'Sales HC by Dept &amp; T&amp;E Segment'!$F:$F,$P8,'Sales HC by Dept &amp; T&amp;E Segment'!$G:$G,$G8)</f>
        <v>89000</v>
      </c>
      <c r="T8" s="40">
        <f>SUMIFS('Sales HC by Dept &amp; T&amp;E Segment'!W:W,'Sales HC by Dept &amp; T&amp;E Segment'!$F:$F,$P8,'Sales HC by Dept &amp; T&amp;E Segment'!$G:$G,$G8)</f>
        <v>89000</v>
      </c>
      <c r="U8" s="40">
        <f>SUMIFS('Sales HC by Dept &amp; T&amp;E Segment'!X:X,'Sales HC by Dept &amp; T&amp;E Segment'!$F:$F,$P8,'Sales HC by Dept &amp; T&amp;E Segment'!$G:$G,$G8)</f>
        <v>89000</v>
      </c>
      <c r="V8" s="40">
        <f>SUMIFS('Sales HC by Dept &amp; T&amp;E Segment'!Y:Y,'Sales HC by Dept &amp; T&amp;E Segment'!$F:$F,$P8,'Sales HC by Dept &amp; T&amp;E Segment'!$G:$G,$G8)</f>
        <v>89000</v>
      </c>
      <c r="W8" s="40">
        <f>SUMIFS('Sales HC by Dept &amp; T&amp;E Segment'!Z:Z,'Sales HC by Dept &amp; T&amp;E Segment'!$F:$F,$P8,'Sales HC by Dept &amp; T&amp;E Segment'!$G:$G,$G8)</f>
        <v>89000</v>
      </c>
      <c r="X8" s="40">
        <f>SUMIFS('Sales HC by Dept &amp; T&amp;E Segment'!AA:AA,'Sales HC by Dept &amp; T&amp;E Segment'!$F:$F,$P8,'Sales HC by Dept &amp; T&amp;E Segment'!$G:$G,$G8)</f>
        <v>89000</v>
      </c>
      <c r="Y8" s="40">
        <f>SUMIFS('Sales HC by Dept &amp; T&amp;E Segment'!AB:AB,'Sales HC by Dept &amp; T&amp;E Segment'!$F:$F,$P8,'Sales HC by Dept &amp; T&amp;E Segment'!$G:$G,$G8)</f>
        <v>89000</v>
      </c>
      <c r="Z8" s="40">
        <f>SUMIFS('Sales HC by Dept &amp; T&amp;E Segment'!AC:AC,'Sales HC by Dept &amp; T&amp;E Segment'!$F:$F,$P8,'Sales HC by Dept &amp; T&amp;E Segment'!$G:$G,$G8)</f>
        <v>89000</v>
      </c>
      <c r="AA8" s="40">
        <f>SUMIFS('Sales HC by Dept &amp; T&amp;E Segment'!AD:AD,'Sales HC by Dept &amp; T&amp;E Segment'!$F:$F,$P8,'Sales HC by Dept &amp; T&amp;E Segment'!$G:$G,$G8)</f>
        <v>89000</v>
      </c>
      <c r="AB8" s="40">
        <f>SUMIFS('Sales HC by Dept &amp; T&amp;E Segment'!AE:AE,'Sales HC by Dept &amp; T&amp;E Segment'!$F:$F,$P8,'Sales HC by Dept &amp; T&amp;E Segment'!$G:$G,$G8)</f>
        <v>89000</v>
      </c>
      <c r="AC8" s="40">
        <f>SUMIFS('Sales HC by Dept &amp; T&amp;E Segment'!AF:AF,'Sales HC by Dept &amp; T&amp;E Segment'!$F:$F,$P8,'Sales HC by Dept &amp; T&amp;E Segment'!$G:$G,$G8)</f>
        <v>89000</v>
      </c>
      <c r="AD8" s="40">
        <f>SUMIFS('Sales HC by Dept &amp; T&amp;E Segment'!AG:AG,'Sales HC by Dept &amp; T&amp;E Segment'!$F:$F,$P8,'Sales HC by Dept &amp; T&amp;E Segment'!$G:$G,$G8)</f>
        <v>89000</v>
      </c>
      <c r="AE8" s="46">
        <f t="shared" si="0"/>
        <v>1068000</v>
      </c>
      <c r="AI8" s="505">
        <f t="shared" si="1"/>
        <v>267000</v>
      </c>
      <c r="AJ8" s="6">
        <f t="shared" si="2"/>
        <v>267000</v>
      </c>
      <c r="AK8" s="6">
        <f t="shared" si="3"/>
        <v>267000</v>
      </c>
      <c r="AL8" s="6">
        <f t="shared" si="4"/>
        <v>267000</v>
      </c>
      <c r="AM8" s="6">
        <f t="shared" si="5"/>
        <v>1068000</v>
      </c>
      <c r="AN8" s="6">
        <f t="shared" si="6"/>
        <v>0</v>
      </c>
      <c r="AP8" s="6">
        <f t="shared" si="7"/>
        <v>534000</v>
      </c>
      <c r="AQ8" s="6">
        <f t="shared" si="8"/>
        <v>534000</v>
      </c>
      <c r="AR8" s="6">
        <f t="shared" si="9"/>
        <v>0</v>
      </c>
    </row>
    <row r="9" spans="2:44" ht="14.4" hidden="1">
      <c r="B9" s="561" t="s">
        <v>1026</v>
      </c>
      <c r="C9" s="557" t="s">
        <v>1027</v>
      </c>
      <c r="D9" s="557" t="s">
        <v>1028</v>
      </c>
      <c r="E9" s="559" t="s">
        <v>19</v>
      </c>
      <c r="F9" s="559" t="s">
        <v>19</v>
      </c>
      <c r="G9" s="557" t="s">
        <v>95</v>
      </c>
      <c r="H9" s="557">
        <v>2026</v>
      </c>
      <c r="I9" s="557" t="s">
        <v>785</v>
      </c>
      <c r="J9" s="557" t="s">
        <v>203</v>
      </c>
      <c r="K9" s="557" t="s">
        <v>204</v>
      </c>
      <c r="L9" s="557" t="s">
        <v>205</v>
      </c>
      <c r="M9" s="557" t="s">
        <v>721</v>
      </c>
      <c r="N9" s="557" t="s">
        <v>961</v>
      </c>
      <c r="O9" s="557" t="s">
        <v>961</v>
      </c>
      <c r="P9" s="560" t="s">
        <v>1072</v>
      </c>
      <c r="Q9" s="557"/>
      <c r="R9" s="557"/>
      <c r="S9" s="40">
        <f>SUMIFS('Sales HC by Dept &amp; T&amp;E Segment'!V:V,'Sales HC by Dept &amp; T&amp;E Segment'!$F:$F,$P9,'Sales HC by Dept &amp; T&amp;E Segment'!$G:$G,$G9)</f>
        <v>100000</v>
      </c>
      <c r="T9" s="40">
        <f>SUMIFS('Sales HC by Dept &amp; T&amp;E Segment'!W:W,'Sales HC by Dept &amp; T&amp;E Segment'!$F:$F,$P9,'Sales HC by Dept &amp; T&amp;E Segment'!$G:$G,$G9)</f>
        <v>100000</v>
      </c>
      <c r="U9" s="40">
        <f>SUMIFS('Sales HC by Dept &amp; T&amp;E Segment'!X:X,'Sales HC by Dept &amp; T&amp;E Segment'!$F:$F,$P9,'Sales HC by Dept &amp; T&amp;E Segment'!$G:$G,$G9)</f>
        <v>100000</v>
      </c>
      <c r="V9" s="40">
        <f>SUMIFS('Sales HC by Dept &amp; T&amp;E Segment'!Y:Y,'Sales HC by Dept &amp; T&amp;E Segment'!$F:$F,$P9,'Sales HC by Dept &amp; T&amp;E Segment'!$G:$G,$G9)</f>
        <v>100000</v>
      </c>
      <c r="W9" s="40">
        <f>SUMIFS('Sales HC by Dept &amp; T&amp;E Segment'!Z:Z,'Sales HC by Dept &amp; T&amp;E Segment'!$F:$F,$P9,'Sales HC by Dept &amp; T&amp;E Segment'!$G:$G,$G9)</f>
        <v>100000</v>
      </c>
      <c r="X9" s="40">
        <f>SUMIFS('Sales HC by Dept &amp; T&amp;E Segment'!AA:AA,'Sales HC by Dept &amp; T&amp;E Segment'!$F:$F,$P9,'Sales HC by Dept &amp; T&amp;E Segment'!$G:$G,$G9)</f>
        <v>100000</v>
      </c>
      <c r="Y9" s="40">
        <f>SUMIFS('Sales HC by Dept &amp; T&amp;E Segment'!AB:AB,'Sales HC by Dept &amp; T&amp;E Segment'!$F:$F,$P9,'Sales HC by Dept &amp; T&amp;E Segment'!$G:$G,$G9)</f>
        <v>100000</v>
      </c>
      <c r="Z9" s="40">
        <f>SUMIFS('Sales HC by Dept &amp; T&amp;E Segment'!AC:AC,'Sales HC by Dept &amp; T&amp;E Segment'!$F:$F,$P9,'Sales HC by Dept &amp; T&amp;E Segment'!$G:$G,$G9)</f>
        <v>100000</v>
      </c>
      <c r="AA9" s="40">
        <f>SUMIFS('Sales HC by Dept &amp; T&amp;E Segment'!AD:AD,'Sales HC by Dept &amp; T&amp;E Segment'!$F:$F,$P9,'Sales HC by Dept &amp; T&amp;E Segment'!$G:$G,$G9)</f>
        <v>100000</v>
      </c>
      <c r="AB9" s="40">
        <f>SUMIFS('Sales HC by Dept &amp; T&amp;E Segment'!AE:AE,'Sales HC by Dept &amp; T&amp;E Segment'!$F:$F,$P9,'Sales HC by Dept &amp; T&amp;E Segment'!$G:$G,$G9)</f>
        <v>100000</v>
      </c>
      <c r="AC9" s="40">
        <f>SUMIFS('Sales HC by Dept &amp; T&amp;E Segment'!AF:AF,'Sales HC by Dept &amp; T&amp;E Segment'!$F:$F,$P9,'Sales HC by Dept &amp; T&amp;E Segment'!$G:$G,$G9)</f>
        <v>100000</v>
      </c>
      <c r="AD9" s="40">
        <f>SUMIFS('Sales HC by Dept &amp; T&amp;E Segment'!AG:AG,'Sales HC by Dept &amp; T&amp;E Segment'!$F:$F,$P9,'Sales HC by Dept &amp; T&amp;E Segment'!$G:$G,$G9)</f>
        <v>100000</v>
      </c>
      <c r="AE9" s="46">
        <f t="shared" si="0"/>
        <v>1200000</v>
      </c>
      <c r="AI9" s="505">
        <f t="shared" si="1"/>
        <v>300000</v>
      </c>
      <c r="AJ9" s="6">
        <f t="shared" si="2"/>
        <v>300000</v>
      </c>
      <c r="AK9" s="6">
        <f t="shared" si="3"/>
        <v>300000</v>
      </c>
      <c r="AL9" s="6">
        <f t="shared" si="4"/>
        <v>300000</v>
      </c>
      <c r="AM9" s="6">
        <f t="shared" si="5"/>
        <v>1200000</v>
      </c>
      <c r="AN9" s="6">
        <f t="shared" si="6"/>
        <v>0</v>
      </c>
      <c r="AP9" s="6">
        <f t="shared" si="7"/>
        <v>600000</v>
      </c>
      <c r="AQ9" s="6">
        <f t="shared" si="8"/>
        <v>600000</v>
      </c>
      <c r="AR9" s="6">
        <f t="shared" si="9"/>
        <v>0</v>
      </c>
    </row>
    <row r="10" spans="2:44" ht="14.4" hidden="1">
      <c r="B10" s="561" t="s">
        <v>1029</v>
      </c>
      <c r="C10" s="557" t="s">
        <v>1030</v>
      </c>
      <c r="D10" s="557" t="s">
        <v>1031</v>
      </c>
      <c r="E10" s="559" t="s">
        <v>19</v>
      </c>
      <c r="F10" s="559" t="s">
        <v>19</v>
      </c>
      <c r="G10" s="557" t="s">
        <v>95</v>
      </c>
      <c r="H10" s="557">
        <v>2026</v>
      </c>
      <c r="I10" s="557" t="s">
        <v>785</v>
      </c>
      <c r="J10" s="557" t="s">
        <v>203</v>
      </c>
      <c r="K10" s="557" t="s">
        <v>204</v>
      </c>
      <c r="L10" s="557" t="s">
        <v>205</v>
      </c>
      <c r="M10" s="557" t="s">
        <v>721</v>
      </c>
      <c r="N10" s="557" t="s">
        <v>968</v>
      </c>
      <c r="O10" s="557" t="s">
        <v>968</v>
      </c>
      <c r="P10" s="560" t="s">
        <v>981</v>
      </c>
      <c r="Q10" s="557"/>
      <c r="R10" s="557"/>
      <c r="S10" s="40">
        <f>SUMIFS('Sales HC by Dept &amp; T&amp;E Segment'!V:V,'Sales HC by Dept &amp; T&amp;E Segment'!$F:$F,$P10,'Sales HC by Dept &amp; T&amp;E Segment'!$G:$G,$G10)</f>
        <v>51000</v>
      </c>
      <c r="T10" s="40">
        <f>SUMIFS('Sales HC by Dept &amp; T&amp;E Segment'!W:W,'Sales HC by Dept &amp; T&amp;E Segment'!$F:$F,$P10,'Sales HC by Dept &amp; T&amp;E Segment'!$G:$G,$G10)</f>
        <v>51000</v>
      </c>
      <c r="U10" s="40">
        <f>SUMIFS('Sales HC by Dept &amp; T&amp;E Segment'!X:X,'Sales HC by Dept &amp; T&amp;E Segment'!$F:$F,$P10,'Sales HC by Dept &amp; T&amp;E Segment'!$G:$G,$G10)</f>
        <v>51000</v>
      </c>
      <c r="V10" s="40">
        <f>SUMIFS('Sales HC by Dept &amp; T&amp;E Segment'!Y:Y,'Sales HC by Dept &amp; T&amp;E Segment'!$F:$F,$P10,'Sales HC by Dept &amp; T&amp;E Segment'!$G:$G,$G10)</f>
        <v>51000</v>
      </c>
      <c r="W10" s="40">
        <f>SUMIFS('Sales HC by Dept &amp; T&amp;E Segment'!Z:Z,'Sales HC by Dept &amp; T&amp;E Segment'!$F:$F,$P10,'Sales HC by Dept &amp; T&amp;E Segment'!$G:$G,$G10)</f>
        <v>51000</v>
      </c>
      <c r="X10" s="40">
        <f>SUMIFS('Sales HC by Dept &amp; T&amp;E Segment'!AA:AA,'Sales HC by Dept &amp; T&amp;E Segment'!$F:$F,$P10,'Sales HC by Dept &amp; T&amp;E Segment'!$G:$G,$G10)</f>
        <v>51000</v>
      </c>
      <c r="Y10" s="40">
        <f>SUMIFS('Sales HC by Dept &amp; T&amp;E Segment'!AB:AB,'Sales HC by Dept &amp; T&amp;E Segment'!$F:$F,$P10,'Sales HC by Dept &amp; T&amp;E Segment'!$G:$G,$G10)</f>
        <v>51000</v>
      </c>
      <c r="Z10" s="40">
        <f>SUMIFS('Sales HC by Dept &amp; T&amp;E Segment'!AC:AC,'Sales HC by Dept &amp; T&amp;E Segment'!$F:$F,$P10,'Sales HC by Dept &amp; T&amp;E Segment'!$G:$G,$G10)</f>
        <v>51000</v>
      </c>
      <c r="AA10" s="40">
        <f>SUMIFS('Sales HC by Dept &amp; T&amp;E Segment'!AD:AD,'Sales HC by Dept &amp; T&amp;E Segment'!$F:$F,$P10,'Sales HC by Dept &amp; T&amp;E Segment'!$G:$G,$G10)</f>
        <v>51000</v>
      </c>
      <c r="AB10" s="40">
        <f>SUMIFS('Sales HC by Dept &amp; T&amp;E Segment'!AE:AE,'Sales HC by Dept &amp; T&amp;E Segment'!$F:$F,$P10,'Sales HC by Dept &amp; T&amp;E Segment'!$G:$G,$G10)</f>
        <v>51000</v>
      </c>
      <c r="AC10" s="40">
        <f>SUMIFS('Sales HC by Dept &amp; T&amp;E Segment'!AF:AF,'Sales HC by Dept &amp; T&amp;E Segment'!$F:$F,$P10,'Sales HC by Dept &amp; T&amp;E Segment'!$G:$G,$G10)</f>
        <v>51000</v>
      </c>
      <c r="AD10" s="40">
        <f>SUMIFS('Sales HC by Dept &amp; T&amp;E Segment'!AG:AG,'Sales HC by Dept &amp; T&amp;E Segment'!$F:$F,$P10,'Sales HC by Dept &amp; T&amp;E Segment'!$G:$G,$G10)</f>
        <v>51000</v>
      </c>
      <c r="AE10" s="46">
        <f t="shared" si="0"/>
        <v>612000</v>
      </c>
      <c r="AI10" s="505">
        <f t="shared" si="1"/>
        <v>153000</v>
      </c>
      <c r="AJ10" s="6">
        <f t="shared" si="2"/>
        <v>153000</v>
      </c>
      <c r="AK10" s="6">
        <f t="shared" si="3"/>
        <v>153000</v>
      </c>
      <c r="AL10" s="6">
        <f t="shared" si="4"/>
        <v>153000</v>
      </c>
      <c r="AM10" s="6">
        <f t="shared" si="5"/>
        <v>612000</v>
      </c>
      <c r="AN10" s="6">
        <f t="shared" si="6"/>
        <v>0</v>
      </c>
      <c r="AP10" s="6">
        <f t="shared" si="7"/>
        <v>306000</v>
      </c>
      <c r="AQ10" s="6">
        <f t="shared" si="8"/>
        <v>306000</v>
      </c>
      <c r="AR10" s="6">
        <f t="shared" si="9"/>
        <v>0</v>
      </c>
    </row>
    <row r="11" spans="2:44" ht="14.4" hidden="1">
      <c r="B11" s="561" t="s">
        <v>1032</v>
      </c>
      <c r="C11" s="557" t="s">
        <v>1033</v>
      </c>
      <c r="D11" s="557" t="s">
        <v>1034</v>
      </c>
      <c r="E11" s="559" t="s">
        <v>19</v>
      </c>
      <c r="F11" s="559" t="s">
        <v>19</v>
      </c>
      <c r="G11" s="557" t="s">
        <v>95</v>
      </c>
      <c r="H11" s="557">
        <v>2026</v>
      </c>
      <c r="I11" s="557" t="s">
        <v>785</v>
      </c>
      <c r="J11" s="557" t="s">
        <v>203</v>
      </c>
      <c r="K11" s="557" t="s">
        <v>204</v>
      </c>
      <c r="L11" s="557" t="s">
        <v>205</v>
      </c>
      <c r="M11" s="557" t="s">
        <v>721</v>
      </c>
      <c r="N11" s="557" t="s">
        <v>969</v>
      </c>
      <c r="O11" s="557" t="s">
        <v>969</v>
      </c>
      <c r="P11" s="560" t="s">
        <v>982</v>
      </c>
      <c r="Q11" s="557"/>
      <c r="R11" s="557"/>
      <c r="S11" s="40">
        <f>SUMIFS('Sales HC by Dept &amp; T&amp;E Segment'!V:V,'Sales HC by Dept &amp; T&amp;E Segment'!$F:$F,$P11,'Sales HC by Dept &amp; T&amp;E Segment'!$G:$G,$G11)</f>
        <v>120000</v>
      </c>
      <c r="T11" s="40">
        <f>SUMIFS('Sales HC by Dept &amp; T&amp;E Segment'!W:W,'Sales HC by Dept &amp; T&amp;E Segment'!$F:$F,$P11,'Sales HC by Dept &amp; T&amp;E Segment'!$G:$G,$G11)</f>
        <v>120000</v>
      </c>
      <c r="U11" s="40">
        <f>SUMIFS('Sales HC by Dept &amp; T&amp;E Segment'!X:X,'Sales HC by Dept &amp; T&amp;E Segment'!$F:$F,$P11,'Sales HC by Dept &amp; T&amp;E Segment'!$G:$G,$G11)</f>
        <v>120000</v>
      </c>
      <c r="V11" s="40">
        <f>SUMIFS('Sales HC by Dept &amp; T&amp;E Segment'!Y:Y,'Sales HC by Dept &amp; T&amp;E Segment'!$F:$F,$P11,'Sales HC by Dept &amp; T&amp;E Segment'!$G:$G,$G11)</f>
        <v>120000</v>
      </c>
      <c r="W11" s="40">
        <f>SUMIFS('Sales HC by Dept &amp; T&amp;E Segment'!Z:Z,'Sales HC by Dept &amp; T&amp;E Segment'!$F:$F,$P11,'Sales HC by Dept &amp; T&amp;E Segment'!$G:$G,$G11)</f>
        <v>120000</v>
      </c>
      <c r="X11" s="40">
        <f>SUMIFS('Sales HC by Dept &amp; T&amp;E Segment'!AA:AA,'Sales HC by Dept &amp; T&amp;E Segment'!$F:$F,$P11,'Sales HC by Dept &amp; T&amp;E Segment'!$G:$G,$G11)</f>
        <v>120000</v>
      </c>
      <c r="Y11" s="40">
        <f>SUMIFS('Sales HC by Dept &amp; T&amp;E Segment'!AB:AB,'Sales HC by Dept &amp; T&amp;E Segment'!$F:$F,$P11,'Sales HC by Dept &amp; T&amp;E Segment'!$G:$G,$G11)</f>
        <v>120000</v>
      </c>
      <c r="Z11" s="40">
        <f>SUMIFS('Sales HC by Dept &amp; T&amp;E Segment'!AC:AC,'Sales HC by Dept &amp; T&amp;E Segment'!$F:$F,$P11,'Sales HC by Dept &amp; T&amp;E Segment'!$G:$G,$G11)</f>
        <v>120000</v>
      </c>
      <c r="AA11" s="40">
        <f>SUMIFS('Sales HC by Dept &amp; T&amp;E Segment'!AD:AD,'Sales HC by Dept &amp; T&amp;E Segment'!$F:$F,$P11,'Sales HC by Dept &amp; T&amp;E Segment'!$G:$G,$G11)</f>
        <v>120000</v>
      </c>
      <c r="AB11" s="40">
        <f>SUMIFS('Sales HC by Dept &amp; T&amp;E Segment'!AE:AE,'Sales HC by Dept &amp; T&amp;E Segment'!$F:$F,$P11,'Sales HC by Dept &amp; T&amp;E Segment'!$G:$G,$G11)</f>
        <v>120000</v>
      </c>
      <c r="AC11" s="40">
        <f>SUMIFS('Sales HC by Dept &amp; T&amp;E Segment'!AF:AF,'Sales HC by Dept &amp; T&amp;E Segment'!$F:$F,$P11,'Sales HC by Dept &amp; T&amp;E Segment'!$G:$G,$G11)</f>
        <v>120000</v>
      </c>
      <c r="AD11" s="40">
        <f>SUMIFS('Sales HC by Dept &amp; T&amp;E Segment'!AG:AG,'Sales HC by Dept &amp; T&amp;E Segment'!$F:$F,$P11,'Sales HC by Dept &amp; T&amp;E Segment'!$G:$G,$G11)</f>
        <v>120000</v>
      </c>
      <c r="AE11" s="46">
        <f t="shared" si="0"/>
        <v>1440000</v>
      </c>
      <c r="AI11" s="505">
        <f t="shared" si="1"/>
        <v>360000</v>
      </c>
      <c r="AJ11" s="6">
        <f t="shared" si="2"/>
        <v>360000</v>
      </c>
      <c r="AK11" s="6">
        <f t="shared" si="3"/>
        <v>360000</v>
      </c>
      <c r="AL11" s="6">
        <f t="shared" si="4"/>
        <v>360000</v>
      </c>
      <c r="AM11" s="6">
        <f t="shared" si="5"/>
        <v>1440000</v>
      </c>
      <c r="AN11" s="6">
        <f t="shared" si="6"/>
        <v>0</v>
      </c>
      <c r="AP11" s="6">
        <f t="shared" si="7"/>
        <v>720000</v>
      </c>
      <c r="AQ11" s="6">
        <f t="shared" si="8"/>
        <v>720000</v>
      </c>
      <c r="AR11" s="6">
        <f t="shared" si="9"/>
        <v>0</v>
      </c>
    </row>
    <row r="12" spans="2:44" ht="14.4" hidden="1">
      <c r="B12" s="561" t="s">
        <v>1035</v>
      </c>
      <c r="C12" s="557" t="s">
        <v>1036</v>
      </c>
      <c r="D12" s="557" t="s">
        <v>1037</v>
      </c>
      <c r="E12" s="559" t="s">
        <v>19</v>
      </c>
      <c r="F12" s="559" t="s">
        <v>19</v>
      </c>
      <c r="G12" s="557" t="s">
        <v>95</v>
      </c>
      <c r="H12" s="557">
        <v>2026</v>
      </c>
      <c r="I12" s="557" t="s">
        <v>785</v>
      </c>
      <c r="J12" s="557" t="s">
        <v>203</v>
      </c>
      <c r="K12" s="557" t="s">
        <v>204</v>
      </c>
      <c r="L12" s="557" t="s">
        <v>205</v>
      </c>
      <c r="M12" s="557" t="s">
        <v>721</v>
      </c>
      <c r="N12" s="557" t="s">
        <v>970</v>
      </c>
      <c r="O12" s="557" t="s">
        <v>970</v>
      </c>
      <c r="P12" s="560" t="s">
        <v>983</v>
      </c>
      <c r="Q12" s="557"/>
      <c r="R12" s="557"/>
      <c r="S12" s="40">
        <f>SUMIFS('Sales HC by Dept &amp; T&amp;E Segment'!V:V,'Sales HC by Dept &amp; T&amp;E Segment'!$F:$F,$P12,'Sales HC by Dept &amp; T&amp;E Segment'!$G:$G,$G12)</f>
        <v>74000</v>
      </c>
      <c r="T12" s="40">
        <f>SUMIFS('Sales HC by Dept &amp; T&amp;E Segment'!W:W,'Sales HC by Dept &amp; T&amp;E Segment'!$F:$F,$P12,'Sales HC by Dept &amp; T&amp;E Segment'!$G:$G,$G12)</f>
        <v>74000</v>
      </c>
      <c r="U12" s="40">
        <f>SUMIFS('Sales HC by Dept &amp; T&amp;E Segment'!X:X,'Sales HC by Dept &amp; T&amp;E Segment'!$F:$F,$P12,'Sales HC by Dept &amp; T&amp;E Segment'!$G:$G,$G12)</f>
        <v>74000</v>
      </c>
      <c r="V12" s="40">
        <f>SUMIFS('Sales HC by Dept &amp; T&amp;E Segment'!Y:Y,'Sales HC by Dept &amp; T&amp;E Segment'!$F:$F,$P12,'Sales HC by Dept &amp; T&amp;E Segment'!$G:$G,$G12)</f>
        <v>74000</v>
      </c>
      <c r="W12" s="40">
        <f>SUMIFS('Sales HC by Dept &amp; T&amp;E Segment'!Z:Z,'Sales HC by Dept &amp; T&amp;E Segment'!$F:$F,$P12,'Sales HC by Dept &amp; T&amp;E Segment'!$G:$G,$G12)</f>
        <v>74000</v>
      </c>
      <c r="X12" s="40">
        <f>SUMIFS('Sales HC by Dept &amp; T&amp;E Segment'!AA:AA,'Sales HC by Dept &amp; T&amp;E Segment'!$F:$F,$P12,'Sales HC by Dept &amp; T&amp;E Segment'!$G:$G,$G12)</f>
        <v>74000</v>
      </c>
      <c r="Y12" s="40">
        <f>SUMIFS('Sales HC by Dept &amp; T&amp;E Segment'!AB:AB,'Sales HC by Dept &amp; T&amp;E Segment'!$F:$F,$P12,'Sales HC by Dept &amp; T&amp;E Segment'!$G:$G,$G12)</f>
        <v>74000</v>
      </c>
      <c r="Z12" s="40">
        <f>SUMIFS('Sales HC by Dept &amp; T&amp;E Segment'!AC:AC,'Sales HC by Dept &amp; T&amp;E Segment'!$F:$F,$P12,'Sales HC by Dept &amp; T&amp;E Segment'!$G:$G,$G12)</f>
        <v>74000</v>
      </c>
      <c r="AA12" s="40">
        <f>SUMIFS('Sales HC by Dept &amp; T&amp;E Segment'!AD:AD,'Sales HC by Dept &amp; T&amp;E Segment'!$F:$F,$P12,'Sales HC by Dept &amp; T&amp;E Segment'!$G:$G,$G12)</f>
        <v>74000</v>
      </c>
      <c r="AB12" s="40">
        <f>SUMIFS('Sales HC by Dept &amp; T&amp;E Segment'!AE:AE,'Sales HC by Dept &amp; T&amp;E Segment'!$F:$F,$P12,'Sales HC by Dept &amp; T&amp;E Segment'!$G:$G,$G12)</f>
        <v>74000</v>
      </c>
      <c r="AC12" s="40">
        <f>SUMIFS('Sales HC by Dept &amp; T&amp;E Segment'!AF:AF,'Sales HC by Dept &amp; T&amp;E Segment'!$F:$F,$P12,'Sales HC by Dept &amp; T&amp;E Segment'!$G:$G,$G12)</f>
        <v>74000</v>
      </c>
      <c r="AD12" s="40">
        <f>SUMIFS('Sales HC by Dept &amp; T&amp;E Segment'!AG:AG,'Sales HC by Dept &amp; T&amp;E Segment'!$F:$F,$P12,'Sales HC by Dept &amp; T&amp;E Segment'!$G:$G,$G12)</f>
        <v>74000</v>
      </c>
      <c r="AE12" s="46">
        <f t="shared" si="0"/>
        <v>888000</v>
      </c>
      <c r="AG12" s="6">
        <f>SUM(AE3:AE12)</f>
        <v>11172000</v>
      </c>
      <c r="AH12" s="6">
        <f>AG12-'Sales HC by Dept &amp; T&amp;E Segment'!S41</f>
        <v>0</v>
      </c>
      <c r="AI12" s="505">
        <f t="shared" si="1"/>
        <v>222000</v>
      </c>
      <c r="AJ12" s="6">
        <f t="shared" si="2"/>
        <v>222000</v>
      </c>
      <c r="AK12" s="6">
        <f t="shared" si="3"/>
        <v>222000</v>
      </c>
      <c r="AL12" s="6">
        <f t="shared" si="4"/>
        <v>222000</v>
      </c>
      <c r="AM12" s="6">
        <f t="shared" si="5"/>
        <v>888000</v>
      </c>
      <c r="AN12" s="6">
        <f t="shared" si="6"/>
        <v>0</v>
      </c>
      <c r="AP12" s="6">
        <f t="shared" si="7"/>
        <v>444000</v>
      </c>
      <c r="AQ12" s="6">
        <f t="shared" si="8"/>
        <v>444000</v>
      </c>
      <c r="AR12" s="6">
        <f t="shared" si="9"/>
        <v>0</v>
      </c>
    </row>
    <row r="13" spans="2:44" ht="14.4" hidden="1">
      <c r="B13" s="561" t="s">
        <v>1038</v>
      </c>
      <c r="C13" s="557" t="s">
        <v>1039</v>
      </c>
      <c r="D13" s="557" t="s">
        <v>1040</v>
      </c>
      <c r="E13" s="559" t="s">
        <v>19</v>
      </c>
      <c r="F13" s="559" t="s">
        <v>19</v>
      </c>
      <c r="G13" s="557" t="s">
        <v>96</v>
      </c>
      <c r="H13" s="557">
        <v>2026</v>
      </c>
      <c r="I13" s="557" t="s">
        <v>785</v>
      </c>
      <c r="J13" s="557" t="s">
        <v>203</v>
      </c>
      <c r="K13" s="557" t="s">
        <v>204</v>
      </c>
      <c r="L13" s="557" t="s">
        <v>205</v>
      </c>
      <c r="M13" s="557" t="s">
        <v>721</v>
      </c>
      <c r="N13" s="557" t="s">
        <v>1005</v>
      </c>
      <c r="O13" s="557" t="s">
        <v>1005</v>
      </c>
      <c r="P13" s="560" t="s">
        <v>978</v>
      </c>
      <c r="Q13" s="557"/>
      <c r="R13" s="557"/>
      <c r="S13" s="40">
        <f>SUMIFS('Sales HC by Dept &amp; T&amp;E Segment'!V:V,'Sales HC by Dept &amp; T&amp;E Segment'!$F:$F,$P13,'Sales HC by Dept &amp; T&amp;E Segment'!$G:$G,$G13)</f>
        <v>158000</v>
      </c>
      <c r="T13" s="40">
        <f>SUMIFS('Sales HC by Dept &amp; T&amp;E Segment'!W:W,'Sales HC by Dept &amp; T&amp;E Segment'!$F:$F,$P13,'Sales HC by Dept &amp; T&amp;E Segment'!$G:$G,$G13)</f>
        <v>158000</v>
      </c>
      <c r="U13" s="40">
        <f>SUMIFS('Sales HC by Dept &amp; T&amp;E Segment'!X:X,'Sales HC by Dept &amp; T&amp;E Segment'!$F:$F,$P13,'Sales HC by Dept &amp; T&amp;E Segment'!$G:$G,$G13)</f>
        <v>158000</v>
      </c>
      <c r="V13" s="40">
        <f>SUMIFS('Sales HC by Dept &amp; T&amp;E Segment'!Y:Y,'Sales HC by Dept &amp; T&amp;E Segment'!$F:$F,$P13,'Sales HC by Dept &amp; T&amp;E Segment'!$G:$G,$G13)</f>
        <v>178000</v>
      </c>
      <c r="W13" s="40">
        <f>SUMIFS('Sales HC by Dept &amp; T&amp;E Segment'!Z:Z,'Sales HC by Dept &amp; T&amp;E Segment'!$F:$F,$P13,'Sales HC by Dept &amp; T&amp;E Segment'!$G:$G,$G13)</f>
        <v>178000</v>
      </c>
      <c r="X13" s="40">
        <f>SUMIFS('Sales HC by Dept &amp; T&amp;E Segment'!AA:AA,'Sales HC by Dept &amp; T&amp;E Segment'!$F:$F,$P13,'Sales HC by Dept &amp; T&amp;E Segment'!$G:$G,$G13)</f>
        <v>178000</v>
      </c>
      <c r="Y13" s="40">
        <f>SUMIFS('Sales HC by Dept &amp; T&amp;E Segment'!AB:AB,'Sales HC by Dept &amp; T&amp;E Segment'!$F:$F,$P13,'Sales HC by Dept &amp; T&amp;E Segment'!$G:$G,$G13)</f>
        <v>178000</v>
      </c>
      <c r="Z13" s="40">
        <f>SUMIFS('Sales HC by Dept &amp; T&amp;E Segment'!AC:AC,'Sales HC by Dept &amp; T&amp;E Segment'!$F:$F,$P13,'Sales HC by Dept &amp; T&amp;E Segment'!$G:$G,$G13)</f>
        <v>178000</v>
      </c>
      <c r="AA13" s="40">
        <f>SUMIFS('Sales HC by Dept &amp; T&amp;E Segment'!AD:AD,'Sales HC by Dept &amp; T&amp;E Segment'!$F:$F,$P13,'Sales HC by Dept &amp; T&amp;E Segment'!$G:$G,$G13)</f>
        <v>178000</v>
      </c>
      <c r="AB13" s="40">
        <f>SUMIFS('Sales HC by Dept &amp; T&amp;E Segment'!AE:AE,'Sales HC by Dept &amp; T&amp;E Segment'!$F:$F,$P13,'Sales HC by Dept &amp; T&amp;E Segment'!$G:$G,$G13)</f>
        <v>178000</v>
      </c>
      <c r="AC13" s="40">
        <f>SUMIFS('Sales HC by Dept &amp; T&amp;E Segment'!AF:AF,'Sales HC by Dept &amp; T&amp;E Segment'!$F:$F,$P13,'Sales HC by Dept &amp; T&amp;E Segment'!$G:$G,$G13)</f>
        <v>178000</v>
      </c>
      <c r="AD13" s="40">
        <f>SUMIFS('Sales HC by Dept &amp; T&amp;E Segment'!AG:AG,'Sales HC by Dept &amp; T&amp;E Segment'!$F:$F,$P13,'Sales HC by Dept &amp; T&amp;E Segment'!$G:$G,$G13)</f>
        <v>178000</v>
      </c>
      <c r="AE13" s="46">
        <f t="shared" si="0"/>
        <v>2076000</v>
      </c>
      <c r="AI13" s="505">
        <f t="shared" si="1"/>
        <v>474000</v>
      </c>
      <c r="AJ13" s="6">
        <f t="shared" si="2"/>
        <v>534000</v>
      </c>
      <c r="AK13" s="6">
        <f t="shared" si="3"/>
        <v>534000</v>
      </c>
      <c r="AL13" s="6">
        <f t="shared" si="4"/>
        <v>534000</v>
      </c>
      <c r="AM13" s="6">
        <f t="shared" si="5"/>
        <v>2076000</v>
      </c>
      <c r="AN13" s="6">
        <f t="shared" si="6"/>
        <v>0</v>
      </c>
      <c r="AP13" s="6">
        <f t="shared" si="7"/>
        <v>1008000</v>
      </c>
      <c r="AQ13" s="6">
        <f t="shared" si="8"/>
        <v>1068000</v>
      </c>
      <c r="AR13" s="6">
        <f t="shared" si="9"/>
        <v>0</v>
      </c>
    </row>
    <row r="14" spans="2:44" ht="14.4" hidden="1">
      <c r="B14" s="561" t="s">
        <v>1041</v>
      </c>
      <c r="C14" s="557" t="s">
        <v>1042</v>
      </c>
      <c r="D14" s="557" t="s">
        <v>1043</v>
      </c>
      <c r="E14" s="559" t="s">
        <v>19</v>
      </c>
      <c r="F14" s="559" t="s">
        <v>19</v>
      </c>
      <c r="G14" s="557" t="s">
        <v>96</v>
      </c>
      <c r="H14" s="557">
        <v>2026</v>
      </c>
      <c r="I14" s="557" t="s">
        <v>785</v>
      </c>
      <c r="J14" s="557" t="s">
        <v>203</v>
      </c>
      <c r="K14" s="557" t="s">
        <v>204</v>
      </c>
      <c r="L14" s="557" t="s">
        <v>205</v>
      </c>
      <c r="M14" s="557" t="s">
        <v>721</v>
      </c>
      <c r="N14" s="557" t="s">
        <v>1009</v>
      </c>
      <c r="O14" s="557" t="s">
        <v>1009</v>
      </c>
      <c r="P14" s="560" t="s">
        <v>979</v>
      </c>
      <c r="Q14" s="557"/>
      <c r="R14" s="557"/>
      <c r="S14" s="40">
        <f>SUMIFS('Sales HC by Dept &amp; T&amp;E Segment'!V:V,'Sales HC by Dept &amp; T&amp;E Segment'!$F:$F,$P14,'Sales HC by Dept &amp; T&amp;E Segment'!$G:$G,$G14)</f>
        <v>157000</v>
      </c>
      <c r="T14" s="40">
        <f>SUMIFS('Sales HC by Dept &amp; T&amp;E Segment'!W:W,'Sales HC by Dept &amp; T&amp;E Segment'!$F:$F,$P14,'Sales HC by Dept &amp; T&amp;E Segment'!$G:$G,$G14)</f>
        <v>157000</v>
      </c>
      <c r="U14" s="40">
        <f>SUMIFS('Sales HC by Dept &amp; T&amp;E Segment'!X:X,'Sales HC by Dept &amp; T&amp;E Segment'!$F:$F,$P14,'Sales HC by Dept &amp; T&amp;E Segment'!$G:$G,$G14)</f>
        <v>157000</v>
      </c>
      <c r="V14" s="40">
        <f>SUMIFS('Sales HC by Dept &amp; T&amp;E Segment'!Y:Y,'Sales HC by Dept &amp; T&amp;E Segment'!$F:$F,$P14,'Sales HC by Dept &amp; T&amp;E Segment'!$G:$G,$G14)</f>
        <v>172000</v>
      </c>
      <c r="W14" s="40">
        <f>SUMIFS('Sales HC by Dept &amp; T&amp;E Segment'!Z:Z,'Sales HC by Dept &amp; T&amp;E Segment'!$F:$F,$P14,'Sales HC by Dept &amp; T&amp;E Segment'!$G:$G,$G14)</f>
        <v>172000</v>
      </c>
      <c r="X14" s="40">
        <f>SUMIFS('Sales HC by Dept &amp; T&amp;E Segment'!AA:AA,'Sales HC by Dept &amp; T&amp;E Segment'!$F:$F,$P14,'Sales HC by Dept &amp; T&amp;E Segment'!$G:$G,$G14)</f>
        <v>172000</v>
      </c>
      <c r="Y14" s="40">
        <f>SUMIFS('Sales HC by Dept &amp; T&amp;E Segment'!AB:AB,'Sales HC by Dept &amp; T&amp;E Segment'!$F:$F,$P14,'Sales HC by Dept &amp; T&amp;E Segment'!$G:$G,$G14)</f>
        <v>172000</v>
      </c>
      <c r="Z14" s="40">
        <f>SUMIFS('Sales HC by Dept &amp; T&amp;E Segment'!AC:AC,'Sales HC by Dept &amp; T&amp;E Segment'!$F:$F,$P14,'Sales HC by Dept &amp; T&amp;E Segment'!$G:$G,$G14)</f>
        <v>172000</v>
      </c>
      <c r="AA14" s="40">
        <f>SUMIFS('Sales HC by Dept &amp; T&amp;E Segment'!AD:AD,'Sales HC by Dept &amp; T&amp;E Segment'!$F:$F,$P14,'Sales HC by Dept &amp; T&amp;E Segment'!$G:$G,$G14)</f>
        <v>172000</v>
      </c>
      <c r="AB14" s="40">
        <f>SUMIFS('Sales HC by Dept &amp; T&amp;E Segment'!AE:AE,'Sales HC by Dept &amp; T&amp;E Segment'!$F:$F,$P14,'Sales HC by Dept &amp; T&amp;E Segment'!$G:$G,$G14)</f>
        <v>172000</v>
      </c>
      <c r="AC14" s="40">
        <f>SUMIFS('Sales HC by Dept &amp; T&amp;E Segment'!AF:AF,'Sales HC by Dept &amp; T&amp;E Segment'!$F:$F,$P14,'Sales HC by Dept &amp; T&amp;E Segment'!$G:$G,$G14)</f>
        <v>172000</v>
      </c>
      <c r="AD14" s="40">
        <f>SUMIFS('Sales HC by Dept &amp; T&amp;E Segment'!AG:AG,'Sales HC by Dept &amp; T&amp;E Segment'!$F:$F,$P14,'Sales HC by Dept &amp; T&amp;E Segment'!$G:$G,$G14)</f>
        <v>172000</v>
      </c>
      <c r="AE14" s="46">
        <f t="shared" si="0"/>
        <v>2019000</v>
      </c>
      <c r="AI14" s="505">
        <f t="shared" si="1"/>
        <v>471000</v>
      </c>
      <c r="AJ14" s="6">
        <f t="shared" si="2"/>
        <v>516000</v>
      </c>
      <c r="AK14" s="6">
        <f t="shared" si="3"/>
        <v>516000</v>
      </c>
      <c r="AL14" s="6">
        <f t="shared" si="4"/>
        <v>516000</v>
      </c>
      <c r="AM14" s="6">
        <f t="shared" si="5"/>
        <v>2019000</v>
      </c>
      <c r="AN14" s="6">
        <f t="shared" si="6"/>
        <v>0</v>
      </c>
      <c r="AP14" s="6">
        <f t="shared" si="7"/>
        <v>987000</v>
      </c>
      <c r="AQ14" s="6">
        <f t="shared" si="8"/>
        <v>1032000</v>
      </c>
      <c r="AR14" s="6">
        <f t="shared" si="9"/>
        <v>0</v>
      </c>
    </row>
    <row r="15" spans="2:44" ht="14.4" hidden="1">
      <c r="B15" s="561" t="s">
        <v>1044</v>
      </c>
      <c r="C15" s="557" t="s">
        <v>1045</v>
      </c>
      <c r="D15" s="557" t="s">
        <v>1046</v>
      </c>
      <c r="E15" s="559" t="s">
        <v>19</v>
      </c>
      <c r="F15" s="559" t="s">
        <v>19</v>
      </c>
      <c r="G15" s="557" t="s">
        <v>96</v>
      </c>
      <c r="H15" s="557">
        <v>2026</v>
      </c>
      <c r="I15" s="557" t="s">
        <v>785</v>
      </c>
      <c r="J15" s="557" t="s">
        <v>203</v>
      </c>
      <c r="K15" s="557" t="s">
        <v>204</v>
      </c>
      <c r="L15" s="557" t="s">
        <v>205</v>
      </c>
      <c r="M15" s="557" t="s">
        <v>721</v>
      </c>
      <c r="N15" s="557" t="s">
        <v>1013</v>
      </c>
      <c r="O15" s="557" t="s">
        <v>1013</v>
      </c>
      <c r="P15" s="560" t="s">
        <v>980</v>
      </c>
      <c r="Q15" s="557"/>
      <c r="R15" s="557"/>
      <c r="S15" s="40">
        <f>SUMIFS('Sales HC by Dept &amp; T&amp;E Segment'!V:V,'Sales HC by Dept &amp; T&amp;E Segment'!$F:$F,$P15,'Sales HC by Dept &amp; T&amp;E Segment'!$G:$G,$G15)</f>
        <v>175000</v>
      </c>
      <c r="T15" s="40">
        <f>SUMIFS('Sales HC by Dept &amp; T&amp;E Segment'!W:W,'Sales HC by Dept &amp; T&amp;E Segment'!$F:$F,$P15,'Sales HC by Dept &amp; T&amp;E Segment'!$G:$G,$G15)</f>
        <v>175000</v>
      </c>
      <c r="U15" s="40">
        <f>SUMIFS('Sales HC by Dept &amp; T&amp;E Segment'!X:X,'Sales HC by Dept &amp; T&amp;E Segment'!$F:$F,$P15,'Sales HC by Dept &amp; T&amp;E Segment'!$G:$G,$G15)</f>
        <v>175000</v>
      </c>
      <c r="V15" s="40">
        <f>SUMIFS('Sales HC by Dept &amp; T&amp;E Segment'!Y:Y,'Sales HC by Dept &amp; T&amp;E Segment'!$F:$F,$P15,'Sales HC by Dept &amp; T&amp;E Segment'!$G:$G,$G15)</f>
        <v>190000</v>
      </c>
      <c r="W15" s="40">
        <f>SUMIFS('Sales HC by Dept &amp; T&amp;E Segment'!Z:Z,'Sales HC by Dept &amp; T&amp;E Segment'!$F:$F,$P15,'Sales HC by Dept &amp; T&amp;E Segment'!$G:$G,$G15)</f>
        <v>190000</v>
      </c>
      <c r="X15" s="40">
        <f>SUMIFS('Sales HC by Dept &amp; T&amp;E Segment'!AA:AA,'Sales HC by Dept &amp; T&amp;E Segment'!$F:$F,$P15,'Sales HC by Dept &amp; T&amp;E Segment'!$G:$G,$G15)</f>
        <v>190000</v>
      </c>
      <c r="Y15" s="40">
        <f>SUMIFS('Sales HC by Dept &amp; T&amp;E Segment'!AB:AB,'Sales HC by Dept &amp; T&amp;E Segment'!$F:$F,$P15,'Sales HC by Dept &amp; T&amp;E Segment'!$G:$G,$G15)</f>
        <v>190000</v>
      </c>
      <c r="Z15" s="40">
        <f>SUMIFS('Sales HC by Dept &amp; T&amp;E Segment'!AC:AC,'Sales HC by Dept &amp; T&amp;E Segment'!$F:$F,$P15,'Sales HC by Dept &amp; T&amp;E Segment'!$G:$G,$G15)</f>
        <v>190000</v>
      </c>
      <c r="AA15" s="40">
        <f>SUMIFS('Sales HC by Dept &amp; T&amp;E Segment'!AD:AD,'Sales HC by Dept &amp; T&amp;E Segment'!$F:$F,$P15,'Sales HC by Dept &amp; T&amp;E Segment'!$G:$G,$G15)</f>
        <v>190000</v>
      </c>
      <c r="AB15" s="40">
        <f>SUMIFS('Sales HC by Dept &amp; T&amp;E Segment'!AE:AE,'Sales HC by Dept &amp; T&amp;E Segment'!$F:$F,$P15,'Sales HC by Dept &amp; T&amp;E Segment'!$G:$G,$G15)</f>
        <v>190000</v>
      </c>
      <c r="AC15" s="40">
        <f>SUMIFS('Sales HC by Dept &amp; T&amp;E Segment'!AF:AF,'Sales HC by Dept &amp; T&amp;E Segment'!$F:$F,$P15,'Sales HC by Dept &amp; T&amp;E Segment'!$G:$G,$G15)</f>
        <v>190000</v>
      </c>
      <c r="AD15" s="40">
        <f>SUMIFS('Sales HC by Dept &amp; T&amp;E Segment'!AG:AG,'Sales HC by Dept &amp; T&amp;E Segment'!$F:$F,$P15,'Sales HC by Dept &amp; T&amp;E Segment'!$G:$G,$G15)</f>
        <v>190000</v>
      </c>
      <c r="AE15" s="46">
        <f t="shared" si="0"/>
        <v>2235000</v>
      </c>
      <c r="AI15" s="505">
        <f t="shared" si="1"/>
        <v>525000</v>
      </c>
      <c r="AJ15" s="6">
        <f t="shared" si="2"/>
        <v>570000</v>
      </c>
      <c r="AK15" s="6">
        <f t="shared" si="3"/>
        <v>570000</v>
      </c>
      <c r="AL15" s="6">
        <f t="shared" si="4"/>
        <v>570000</v>
      </c>
      <c r="AM15" s="6">
        <f t="shared" si="5"/>
        <v>2235000</v>
      </c>
      <c r="AN15" s="6">
        <f t="shared" si="6"/>
        <v>0</v>
      </c>
      <c r="AP15" s="6">
        <f t="shared" si="7"/>
        <v>1095000</v>
      </c>
      <c r="AQ15" s="6">
        <f t="shared" si="8"/>
        <v>1140000</v>
      </c>
      <c r="AR15" s="6">
        <f t="shared" si="9"/>
        <v>0</v>
      </c>
    </row>
    <row r="16" spans="2:44" ht="14.4" hidden="1">
      <c r="B16" s="561" t="s">
        <v>1047</v>
      </c>
      <c r="C16" s="557" t="s">
        <v>1048</v>
      </c>
      <c r="D16" s="557" t="s">
        <v>1049</v>
      </c>
      <c r="E16" s="559" t="s">
        <v>19</v>
      </c>
      <c r="F16" s="559" t="s">
        <v>19</v>
      </c>
      <c r="G16" s="557" t="s">
        <v>96</v>
      </c>
      <c r="H16" s="557">
        <v>2026</v>
      </c>
      <c r="I16" s="557" t="s">
        <v>785</v>
      </c>
      <c r="J16" s="557" t="s">
        <v>203</v>
      </c>
      <c r="K16" s="557" t="s">
        <v>204</v>
      </c>
      <c r="L16" s="557" t="s">
        <v>205</v>
      </c>
      <c r="M16" s="557" t="s">
        <v>721</v>
      </c>
      <c r="N16" s="557" t="s">
        <v>1017</v>
      </c>
      <c r="O16" s="557" t="s">
        <v>1017</v>
      </c>
      <c r="P16" s="560" t="s">
        <v>1071</v>
      </c>
      <c r="Q16" s="557"/>
      <c r="R16" s="557"/>
      <c r="S16" s="40">
        <f>SUMIFS('Sales HC by Dept &amp; T&amp;E Segment'!V:V,'Sales HC by Dept &amp; T&amp;E Segment'!$F:$F,$P16,'Sales HC by Dept &amp; T&amp;E Segment'!$G:$G,$G16)</f>
        <v>178000</v>
      </c>
      <c r="T16" s="40">
        <f>SUMIFS('Sales HC by Dept &amp; T&amp;E Segment'!W:W,'Sales HC by Dept &amp; T&amp;E Segment'!$F:$F,$P16,'Sales HC by Dept &amp; T&amp;E Segment'!$G:$G,$G16)</f>
        <v>178000</v>
      </c>
      <c r="U16" s="40">
        <f>SUMIFS('Sales HC by Dept &amp; T&amp;E Segment'!X:X,'Sales HC by Dept &amp; T&amp;E Segment'!$F:$F,$P16,'Sales HC by Dept &amp; T&amp;E Segment'!$G:$G,$G16)</f>
        <v>178000</v>
      </c>
      <c r="V16" s="40">
        <f>SUMIFS('Sales HC by Dept &amp; T&amp;E Segment'!Y:Y,'Sales HC by Dept &amp; T&amp;E Segment'!$F:$F,$P16,'Sales HC by Dept &amp; T&amp;E Segment'!$G:$G,$G16)</f>
        <v>203000</v>
      </c>
      <c r="W16" s="40">
        <f>SUMIFS('Sales HC by Dept &amp; T&amp;E Segment'!Z:Z,'Sales HC by Dept &amp; T&amp;E Segment'!$F:$F,$P16,'Sales HC by Dept &amp; T&amp;E Segment'!$G:$G,$G16)</f>
        <v>203000</v>
      </c>
      <c r="X16" s="40">
        <f>SUMIFS('Sales HC by Dept &amp; T&amp;E Segment'!AA:AA,'Sales HC by Dept &amp; T&amp;E Segment'!$F:$F,$P16,'Sales HC by Dept &amp; T&amp;E Segment'!$G:$G,$G16)</f>
        <v>203000</v>
      </c>
      <c r="Y16" s="40">
        <f>SUMIFS('Sales HC by Dept &amp; T&amp;E Segment'!AB:AB,'Sales HC by Dept &amp; T&amp;E Segment'!$F:$F,$P16,'Sales HC by Dept &amp; T&amp;E Segment'!$G:$G,$G16)</f>
        <v>203000</v>
      </c>
      <c r="Z16" s="40">
        <f>SUMIFS('Sales HC by Dept &amp; T&amp;E Segment'!AC:AC,'Sales HC by Dept &amp; T&amp;E Segment'!$F:$F,$P16,'Sales HC by Dept &amp; T&amp;E Segment'!$G:$G,$G16)</f>
        <v>203000</v>
      </c>
      <c r="AA16" s="40">
        <f>SUMIFS('Sales HC by Dept &amp; T&amp;E Segment'!AD:AD,'Sales HC by Dept &amp; T&amp;E Segment'!$F:$F,$P16,'Sales HC by Dept &amp; T&amp;E Segment'!$G:$G,$G16)</f>
        <v>203000</v>
      </c>
      <c r="AB16" s="40">
        <f>SUMIFS('Sales HC by Dept &amp; T&amp;E Segment'!AE:AE,'Sales HC by Dept &amp; T&amp;E Segment'!$F:$F,$P16,'Sales HC by Dept &amp; T&amp;E Segment'!$G:$G,$G16)</f>
        <v>203000</v>
      </c>
      <c r="AC16" s="40">
        <f>SUMIFS('Sales HC by Dept &amp; T&amp;E Segment'!AF:AF,'Sales HC by Dept &amp; T&amp;E Segment'!$F:$F,$P16,'Sales HC by Dept &amp; T&amp;E Segment'!$G:$G,$G16)</f>
        <v>203000</v>
      </c>
      <c r="AD16" s="40">
        <f>SUMIFS('Sales HC by Dept &amp; T&amp;E Segment'!AG:AG,'Sales HC by Dept &amp; T&amp;E Segment'!$F:$F,$P16,'Sales HC by Dept &amp; T&amp;E Segment'!$G:$G,$G16)</f>
        <v>203000</v>
      </c>
      <c r="AE16" s="46">
        <f t="shared" si="0"/>
        <v>2361000</v>
      </c>
      <c r="AI16" s="505">
        <f t="shared" si="1"/>
        <v>534000</v>
      </c>
      <c r="AJ16" s="6">
        <f t="shared" si="2"/>
        <v>609000</v>
      </c>
      <c r="AK16" s="6">
        <f t="shared" si="3"/>
        <v>609000</v>
      </c>
      <c r="AL16" s="6">
        <f t="shared" si="4"/>
        <v>609000</v>
      </c>
      <c r="AM16" s="6">
        <f t="shared" si="5"/>
        <v>2361000</v>
      </c>
      <c r="AN16" s="6">
        <f t="shared" si="6"/>
        <v>0</v>
      </c>
      <c r="AP16" s="6">
        <f t="shared" si="7"/>
        <v>1143000</v>
      </c>
      <c r="AQ16" s="6">
        <f t="shared" si="8"/>
        <v>1218000</v>
      </c>
      <c r="AR16" s="6">
        <f t="shared" si="9"/>
        <v>0</v>
      </c>
    </row>
    <row r="17" spans="2:44" ht="14.4" hidden="1">
      <c r="B17" s="561" t="s">
        <v>1050</v>
      </c>
      <c r="C17" s="557" t="s">
        <v>1051</v>
      </c>
      <c r="D17" s="557" t="s">
        <v>1052</v>
      </c>
      <c r="E17" s="559" t="s">
        <v>19</v>
      </c>
      <c r="F17" s="559" t="s">
        <v>19</v>
      </c>
      <c r="G17" s="557" t="s">
        <v>96</v>
      </c>
      <c r="H17" s="557">
        <v>2026</v>
      </c>
      <c r="I17" s="557" t="s">
        <v>785</v>
      </c>
      <c r="J17" s="557" t="s">
        <v>203</v>
      </c>
      <c r="K17" s="557" t="s">
        <v>204</v>
      </c>
      <c r="L17" s="557" t="s">
        <v>205</v>
      </c>
      <c r="M17" s="557" t="s">
        <v>721</v>
      </c>
      <c r="N17" s="557" t="s">
        <v>1021</v>
      </c>
      <c r="O17" s="557" t="s">
        <v>1021</v>
      </c>
      <c r="P17" s="560" t="s">
        <v>976</v>
      </c>
      <c r="Q17" s="557"/>
      <c r="R17" s="557"/>
      <c r="S17" s="40">
        <f>SUMIFS('Sales HC by Dept &amp; T&amp;E Segment'!V:V,'Sales HC by Dept &amp; T&amp;E Segment'!$F:$F,$P17,'Sales HC by Dept &amp; T&amp;E Segment'!$G:$G,$G17)</f>
        <v>265000</v>
      </c>
      <c r="T17" s="40">
        <f>SUMIFS('Sales HC by Dept &amp; T&amp;E Segment'!W:W,'Sales HC by Dept &amp; T&amp;E Segment'!$F:$F,$P17,'Sales HC by Dept &amp; T&amp;E Segment'!$G:$G,$G17)</f>
        <v>265000</v>
      </c>
      <c r="U17" s="40">
        <f>SUMIFS('Sales HC by Dept &amp; T&amp;E Segment'!X:X,'Sales HC by Dept &amp; T&amp;E Segment'!$F:$F,$P17,'Sales HC by Dept &amp; T&amp;E Segment'!$G:$G,$G17)</f>
        <v>265000</v>
      </c>
      <c r="V17" s="40">
        <f>SUMIFS('Sales HC by Dept &amp; T&amp;E Segment'!Y:Y,'Sales HC by Dept &amp; T&amp;E Segment'!$F:$F,$P17,'Sales HC by Dept &amp; T&amp;E Segment'!$G:$G,$G17)</f>
        <v>299000</v>
      </c>
      <c r="W17" s="40">
        <f>SUMIFS('Sales HC by Dept &amp; T&amp;E Segment'!Z:Z,'Sales HC by Dept &amp; T&amp;E Segment'!$F:$F,$P17,'Sales HC by Dept &amp; T&amp;E Segment'!$G:$G,$G17)</f>
        <v>299000</v>
      </c>
      <c r="X17" s="40">
        <f>SUMIFS('Sales HC by Dept &amp; T&amp;E Segment'!AA:AA,'Sales HC by Dept &amp; T&amp;E Segment'!$F:$F,$P17,'Sales HC by Dept &amp; T&amp;E Segment'!$G:$G,$G17)</f>
        <v>299000</v>
      </c>
      <c r="Y17" s="40">
        <f>SUMIFS('Sales HC by Dept &amp; T&amp;E Segment'!AB:AB,'Sales HC by Dept &amp; T&amp;E Segment'!$F:$F,$P17,'Sales HC by Dept &amp; T&amp;E Segment'!$G:$G,$G17)</f>
        <v>299000</v>
      </c>
      <c r="Z17" s="40">
        <f>SUMIFS('Sales HC by Dept &amp; T&amp;E Segment'!AC:AC,'Sales HC by Dept &amp; T&amp;E Segment'!$F:$F,$P17,'Sales HC by Dept &amp; T&amp;E Segment'!$G:$G,$G17)</f>
        <v>299000</v>
      </c>
      <c r="AA17" s="40">
        <f>SUMIFS('Sales HC by Dept &amp; T&amp;E Segment'!AD:AD,'Sales HC by Dept &amp; T&amp;E Segment'!$F:$F,$P17,'Sales HC by Dept &amp; T&amp;E Segment'!$G:$G,$G17)</f>
        <v>299000</v>
      </c>
      <c r="AB17" s="40">
        <f>SUMIFS('Sales HC by Dept &amp; T&amp;E Segment'!AE:AE,'Sales HC by Dept &amp; T&amp;E Segment'!$F:$F,$P17,'Sales HC by Dept &amp; T&amp;E Segment'!$G:$G,$G17)</f>
        <v>299000</v>
      </c>
      <c r="AC17" s="40">
        <f>SUMIFS('Sales HC by Dept &amp; T&amp;E Segment'!AF:AF,'Sales HC by Dept &amp; T&amp;E Segment'!$F:$F,$P17,'Sales HC by Dept &amp; T&amp;E Segment'!$G:$G,$G17)</f>
        <v>299000</v>
      </c>
      <c r="AD17" s="40">
        <f>SUMIFS('Sales HC by Dept &amp; T&amp;E Segment'!AG:AG,'Sales HC by Dept &amp; T&amp;E Segment'!$F:$F,$P17,'Sales HC by Dept &amp; T&amp;E Segment'!$G:$G,$G17)</f>
        <v>299000</v>
      </c>
      <c r="AE17" s="46">
        <f t="shared" si="0"/>
        <v>3486000</v>
      </c>
      <c r="AI17" s="505">
        <f t="shared" si="1"/>
        <v>795000</v>
      </c>
      <c r="AJ17" s="6">
        <f t="shared" si="2"/>
        <v>897000</v>
      </c>
      <c r="AK17" s="6">
        <f t="shared" si="3"/>
        <v>897000</v>
      </c>
      <c r="AL17" s="6">
        <f t="shared" si="4"/>
        <v>897000</v>
      </c>
      <c r="AM17" s="6">
        <f t="shared" si="5"/>
        <v>3486000</v>
      </c>
      <c r="AN17" s="6">
        <f t="shared" si="6"/>
        <v>0</v>
      </c>
      <c r="AP17" s="6">
        <f t="shared" si="7"/>
        <v>1692000</v>
      </c>
      <c r="AQ17" s="6">
        <f t="shared" si="8"/>
        <v>1794000</v>
      </c>
      <c r="AR17" s="6">
        <f t="shared" si="9"/>
        <v>0</v>
      </c>
    </row>
    <row r="18" spans="2:44" ht="14.4" hidden="1">
      <c r="B18" s="561" t="s">
        <v>1053</v>
      </c>
      <c r="C18" s="557" t="s">
        <v>1054</v>
      </c>
      <c r="D18" s="557" t="s">
        <v>1055</v>
      </c>
      <c r="E18" s="559" t="s">
        <v>19</v>
      </c>
      <c r="F18" s="559" t="s">
        <v>19</v>
      </c>
      <c r="G18" s="557" t="s">
        <v>96</v>
      </c>
      <c r="H18" s="557">
        <v>2026</v>
      </c>
      <c r="I18" s="557" t="s">
        <v>785</v>
      </c>
      <c r="J18" s="557" t="s">
        <v>203</v>
      </c>
      <c r="K18" s="557" t="s">
        <v>204</v>
      </c>
      <c r="L18" s="557" t="s">
        <v>205</v>
      </c>
      <c r="M18" s="557" t="s">
        <v>721</v>
      </c>
      <c r="N18" s="557" t="s">
        <v>1025</v>
      </c>
      <c r="O18" s="557" t="s">
        <v>1025</v>
      </c>
      <c r="P18" s="560" t="s">
        <v>977</v>
      </c>
      <c r="Q18" s="557"/>
      <c r="R18" s="557"/>
      <c r="S18" s="40">
        <f>SUMIFS('Sales HC by Dept &amp; T&amp;E Segment'!V:V,'Sales HC by Dept &amp; T&amp;E Segment'!$F:$F,$P18,'Sales HC by Dept &amp; T&amp;E Segment'!$G:$G,$G18)</f>
        <v>183000</v>
      </c>
      <c r="T18" s="40">
        <f>SUMIFS('Sales HC by Dept &amp; T&amp;E Segment'!W:W,'Sales HC by Dept &amp; T&amp;E Segment'!$F:$F,$P18,'Sales HC by Dept &amp; T&amp;E Segment'!$G:$G,$G18)</f>
        <v>183000</v>
      </c>
      <c r="U18" s="40">
        <f>SUMIFS('Sales HC by Dept &amp; T&amp;E Segment'!X:X,'Sales HC by Dept &amp; T&amp;E Segment'!$F:$F,$P18,'Sales HC by Dept &amp; T&amp;E Segment'!$G:$G,$G18)</f>
        <v>183000</v>
      </c>
      <c r="V18" s="40">
        <f>SUMIFS('Sales HC by Dept &amp; T&amp;E Segment'!Y:Y,'Sales HC by Dept &amp; T&amp;E Segment'!$F:$F,$P18,'Sales HC by Dept &amp; T&amp;E Segment'!$G:$G,$G18)</f>
        <v>223000</v>
      </c>
      <c r="W18" s="40">
        <f>SUMIFS('Sales HC by Dept &amp; T&amp;E Segment'!Z:Z,'Sales HC by Dept &amp; T&amp;E Segment'!$F:$F,$P18,'Sales HC by Dept &amp; T&amp;E Segment'!$G:$G,$G18)</f>
        <v>223000</v>
      </c>
      <c r="X18" s="40">
        <f>SUMIFS('Sales HC by Dept &amp; T&amp;E Segment'!AA:AA,'Sales HC by Dept &amp; T&amp;E Segment'!$F:$F,$P18,'Sales HC by Dept &amp; T&amp;E Segment'!$G:$G,$G18)</f>
        <v>223000</v>
      </c>
      <c r="Y18" s="40">
        <f>SUMIFS('Sales HC by Dept &amp; T&amp;E Segment'!AB:AB,'Sales HC by Dept &amp; T&amp;E Segment'!$F:$F,$P18,'Sales HC by Dept &amp; T&amp;E Segment'!$G:$G,$G18)</f>
        <v>223000</v>
      </c>
      <c r="Z18" s="40">
        <f>SUMIFS('Sales HC by Dept &amp; T&amp;E Segment'!AC:AC,'Sales HC by Dept &amp; T&amp;E Segment'!$F:$F,$P18,'Sales HC by Dept &amp; T&amp;E Segment'!$G:$G,$G18)</f>
        <v>223000</v>
      </c>
      <c r="AA18" s="40">
        <f>SUMIFS('Sales HC by Dept &amp; T&amp;E Segment'!AD:AD,'Sales HC by Dept &amp; T&amp;E Segment'!$F:$F,$P18,'Sales HC by Dept &amp; T&amp;E Segment'!$G:$G,$G18)</f>
        <v>223000</v>
      </c>
      <c r="AB18" s="40">
        <f>SUMIFS('Sales HC by Dept &amp; T&amp;E Segment'!AE:AE,'Sales HC by Dept &amp; T&amp;E Segment'!$F:$F,$P18,'Sales HC by Dept &amp; T&amp;E Segment'!$G:$G,$G18)</f>
        <v>223000</v>
      </c>
      <c r="AC18" s="40">
        <f>SUMIFS('Sales HC by Dept &amp; T&amp;E Segment'!AF:AF,'Sales HC by Dept &amp; T&amp;E Segment'!$F:$F,$P18,'Sales HC by Dept &amp; T&amp;E Segment'!$G:$G,$G18)</f>
        <v>223000</v>
      </c>
      <c r="AD18" s="40">
        <f>SUMIFS('Sales HC by Dept &amp; T&amp;E Segment'!AG:AG,'Sales HC by Dept &amp; T&amp;E Segment'!$F:$F,$P18,'Sales HC by Dept &amp; T&amp;E Segment'!$G:$G,$G18)</f>
        <v>223000</v>
      </c>
      <c r="AE18" s="46">
        <f t="shared" si="0"/>
        <v>2556000</v>
      </c>
      <c r="AI18" s="505">
        <f t="shared" si="1"/>
        <v>549000</v>
      </c>
      <c r="AJ18" s="6">
        <f t="shared" si="2"/>
        <v>669000</v>
      </c>
      <c r="AK18" s="6">
        <f t="shared" si="3"/>
        <v>669000</v>
      </c>
      <c r="AL18" s="6">
        <f t="shared" si="4"/>
        <v>669000</v>
      </c>
      <c r="AM18" s="6">
        <f t="shared" si="5"/>
        <v>2556000</v>
      </c>
      <c r="AN18" s="6">
        <f t="shared" si="6"/>
        <v>0</v>
      </c>
      <c r="AP18" s="6">
        <f t="shared" si="7"/>
        <v>1218000</v>
      </c>
      <c r="AQ18" s="6">
        <f t="shared" si="8"/>
        <v>1338000</v>
      </c>
      <c r="AR18" s="6">
        <f t="shared" si="9"/>
        <v>0</v>
      </c>
    </row>
    <row r="19" spans="2:44" ht="14.4" hidden="1">
      <c r="B19" s="561" t="s">
        <v>1056</v>
      </c>
      <c r="C19" s="557" t="s">
        <v>1057</v>
      </c>
      <c r="D19" s="557" t="s">
        <v>1058</v>
      </c>
      <c r="E19" s="559" t="s">
        <v>19</v>
      </c>
      <c r="F19" s="559" t="s">
        <v>19</v>
      </c>
      <c r="G19" s="557" t="s">
        <v>96</v>
      </c>
      <c r="H19" s="557">
        <v>2026</v>
      </c>
      <c r="I19" s="557" t="s">
        <v>785</v>
      </c>
      <c r="J19" s="557" t="s">
        <v>203</v>
      </c>
      <c r="K19" s="557" t="s">
        <v>204</v>
      </c>
      <c r="L19" s="557" t="s">
        <v>205</v>
      </c>
      <c r="M19" s="557" t="s">
        <v>721</v>
      </c>
      <c r="N19" s="557" t="s">
        <v>961</v>
      </c>
      <c r="O19" s="557" t="s">
        <v>961</v>
      </c>
      <c r="P19" s="560" t="s">
        <v>1072</v>
      </c>
      <c r="Q19" s="557"/>
      <c r="R19" s="557"/>
      <c r="S19" s="40">
        <f>SUMIFS('Sales HC by Dept &amp; T&amp;E Segment'!V:V,'Sales HC by Dept &amp; T&amp;E Segment'!$F:$F,$P19,'Sales HC by Dept &amp; T&amp;E Segment'!$G:$G,$G19)</f>
        <v>246000</v>
      </c>
      <c r="T19" s="40">
        <f>SUMIFS('Sales HC by Dept &amp; T&amp;E Segment'!W:W,'Sales HC by Dept &amp; T&amp;E Segment'!$F:$F,$P19,'Sales HC by Dept &amp; T&amp;E Segment'!$G:$G,$G19)</f>
        <v>246000</v>
      </c>
      <c r="U19" s="40">
        <f>SUMIFS('Sales HC by Dept &amp; T&amp;E Segment'!X:X,'Sales HC by Dept &amp; T&amp;E Segment'!$F:$F,$P19,'Sales HC by Dept &amp; T&amp;E Segment'!$G:$G,$G19)</f>
        <v>246000</v>
      </c>
      <c r="V19" s="40">
        <f>SUMIFS('Sales HC by Dept &amp; T&amp;E Segment'!Y:Y,'Sales HC by Dept &amp; T&amp;E Segment'!$F:$F,$P19,'Sales HC by Dept &amp; T&amp;E Segment'!$G:$G,$G19)</f>
        <v>300000</v>
      </c>
      <c r="W19" s="40">
        <f>SUMIFS('Sales HC by Dept &amp; T&amp;E Segment'!Z:Z,'Sales HC by Dept &amp; T&amp;E Segment'!$F:$F,$P19,'Sales HC by Dept &amp; T&amp;E Segment'!$G:$G,$G19)</f>
        <v>300000</v>
      </c>
      <c r="X19" s="40">
        <f>SUMIFS('Sales HC by Dept &amp; T&amp;E Segment'!AA:AA,'Sales HC by Dept &amp; T&amp;E Segment'!$F:$F,$P19,'Sales HC by Dept &amp; T&amp;E Segment'!$G:$G,$G19)</f>
        <v>300000</v>
      </c>
      <c r="Y19" s="40">
        <f>SUMIFS('Sales HC by Dept &amp; T&amp;E Segment'!AB:AB,'Sales HC by Dept &amp; T&amp;E Segment'!$F:$F,$P19,'Sales HC by Dept &amp; T&amp;E Segment'!$G:$G,$G19)</f>
        <v>300000</v>
      </c>
      <c r="Z19" s="40">
        <f>SUMIFS('Sales HC by Dept &amp; T&amp;E Segment'!AC:AC,'Sales HC by Dept &amp; T&amp;E Segment'!$F:$F,$P19,'Sales HC by Dept &amp; T&amp;E Segment'!$G:$G,$G19)</f>
        <v>300000</v>
      </c>
      <c r="AA19" s="40">
        <f>SUMIFS('Sales HC by Dept &amp; T&amp;E Segment'!AD:AD,'Sales HC by Dept &amp; T&amp;E Segment'!$F:$F,$P19,'Sales HC by Dept &amp; T&amp;E Segment'!$G:$G,$G19)</f>
        <v>300000</v>
      </c>
      <c r="AB19" s="40">
        <f>SUMIFS('Sales HC by Dept &amp; T&amp;E Segment'!AE:AE,'Sales HC by Dept &amp; T&amp;E Segment'!$F:$F,$P19,'Sales HC by Dept &amp; T&amp;E Segment'!$G:$G,$G19)</f>
        <v>300000</v>
      </c>
      <c r="AC19" s="40">
        <f>SUMIFS('Sales HC by Dept &amp; T&amp;E Segment'!AF:AF,'Sales HC by Dept &amp; T&amp;E Segment'!$F:$F,$P19,'Sales HC by Dept &amp; T&amp;E Segment'!$G:$G,$G19)</f>
        <v>300000</v>
      </c>
      <c r="AD19" s="40">
        <f>SUMIFS('Sales HC by Dept &amp; T&amp;E Segment'!AG:AG,'Sales HC by Dept &amp; T&amp;E Segment'!$F:$F,$P19,'Sales HC by Dept &amp; T&amp;E Segment'!$G:$G,$G19)</f>
        <v>300000</v>
      </c>
      <c r="AE19" s="46">
        <f t="shared" si="0"/>
        <v>3438000</v>
      </c>
      <c r="AI19" s="505">
        <f t="shared" si="1"/>
        <v>738000</v>
      </c>
      <c r="AJ19" s="6">
        <f t="shared" si="2"/>
        <v>900000</v>
      </c>
      <c r="AK19" s="6">
        <f t="shared" si="3"/>
        <v>900000</v>
      </c>
      <c r="AL19" s="6">
        <f t="shared" si="4"/>
        <v>900000</v>
      </c>
      <c r="AM19" s="6">
        <f t="shared" si="5"/>
        <v>3438000</v>
      </c>
      <c r="AN19" s="6">
        <f t="shared" si="6"/>
        <v>0</v>
      </c>
      <c r="AP19" s="6">
        <f t="shared" si="7"/>
        <v>1638000</v>
      </c>
      <c r="AQ19" s="6">
        <f t="shared" si="8"/>
        <v>1800000</v>
      </c>
      <c r="AR19" s="6">
        <f t="shared" si="9"/>
        <v>0</v>
      </c>
    </row>
    <row r="20" spans="2:44" ht="14.4" hidden="1">
      <c r="B20" s="561" t="s">
        <v>1059</v>
      </c>
      <c r="C20" s="557" t="s">
        <v>1060</v>
      </c>
      <c r="D20" s="557" t="s">
        <v>1061</v>
      </c>
      <c r="E20" s="559" t="s">
        <v>19</v>
      </c>
      <c r="F20" s="559" t="s">
        <v>19</v>
      </c>
      <c r="G20" s="557" t="s">
        <v>96</v>
      </c>
      <c r="H20" s="557">
        <v>2026</v>
      </c>
      <c r="I20" s="557" t="s">
        <v>785</v>
      </c>
      <c r="J20" s="557" t="s">
        <v>203</v>
      </c>
      <c r="K20" s="557" t="s">
        <v>204</v>
      </c>
      <c r="L20" s="557" t="s">
        <v>205</v>
      </c>
      <c r="M20" s="557" t="s">
        <v>721</v>
      </c>
      <c r="N20" s="557" t="s">
        <v>968</v>
      </c>
      <c r="O20" s="557" t="s">
        <v>968</v>
      </c>
      <c r="P20" s="560" t="s">
        <v>981</v>
      </c>
      <c r="Q20" s="557"/>
      <c r="R20" s="557"/>
      <c r="S20" s="40">
        <f>SUMIFS('Sales HC by Dept &amp; T&amp;E Segment'!V:V,'Sales HC by Dept &amp; T&amp;E Segment'!$F:$F,$P20,'Sales HC by Dept &amp; T&amp;E Segment'!$G:$G,$G20)</f>
        <v>124000</v>
      </c>
      <c r="T20" s="40">
        <f>SUMIFS('Sales HC by Dept &amp; T&amp;E Segment'!W:W,'Sales HC by Dept &amp; T&amp;E Segment'!$F:$F,$P20,'Sales HC by Dept &amp; T&amp;E Segment'!$G:$G,$G20)</f>
        <v>124000</v>
      </c>
      <c r="U20" s="40">
        <f>SUMIFS('Sales HC by Dept &amp; T&amp;E Segment'!X:X,'Sales HC by Dept &amp; T&amp;E Segment'!$F:$F,$P20,'Sales HC by Dept &amp; T&amp;E Segment'!$G:$G,$G20)</f>
        <v>124000</v>
      </c>
      <c r="V20" s="40">
        <f>SUMIFS('Sales HC by Dept &amp; T&amp;E Segment'!Y:Y,'Sales HC by Dept &amp; T&amp;E Segment'!$F:$F,$P20,'Sales HC by Dept &amp; T&amp;E Segment'!$G:$G,$G20)</f>
        <v>159000</v>
      </c>
      <c r="W20" s="40">
        <f>SUMIFS('Sales HC by Dept &amp; T&amp;E Segment'!Z:Z,'Sales HC by Dept &amp; T&amp;E Segment'!$F:$F,$P20,'Sales HC by Dept &amp; T&amp;E Segment'!$G:$G,$G20)</f>
        <v>159000</v>
      </c>
      <c r="X20" s="40">
        <f>SUMIFS('Sales HC by Dept &amp; T&amp;E Segment'!AA:AA,'Sales HC by Dept &amp; T&amp;E Segment'!$F:$F,$P20,'Sales HC by Dept &amp; T&amp;E Segment'!$G:$G,$G20)</f>
        <v>159000</v>
      </c>
      <c r="Y20" s="40">
        <f>SUMIFS('Sales HC by Dept &amp; T&amp;E Segment'!AB:AB,'Sales HC by Dept &amp; T&amp;E Segment'!$F:$F,$P20,'Sales HC by Dept &amp; T&amp;E Segment'!$G:$G,$G20)</f>
        <v>159000</v>
      </c>
      <c r="Z20" s="40">
        <f>SUMIFS('Sales HC by Dept &amp; T&amp;E Segment'!AC:AC,'Sales HC by Dept &amp; T&amp;E Segment'!$F:$F,$P20,'Sales HC by Dept &amp; T&amp;E Segment'!$G:$G,$G20)</f>
        <v>159000</v>
      </c>
      <c r="AA20" s="40">
        <f>SUMIFS('Sales HC by Dept &amp; T&amp;E Segment'!AD:AD,'Sales HC by Dept &amp; T&amp;E Segment'!$F:$F,$P20,'Sales HC by Dept &amp; T&amp;E Segment'!$G:$G,$G20)</f>
        <v>159000</v>
      </c>
      <c r="AB20" s="40">
        <f>SUMIFS('Sales HC by Dept &amp; T&amp;E Segment'!AE:AE,'Sales HC by Dept &amp; T&amp;E Segment'!$F:$F,$P20,'Sales HC by Dept &amp; T&amp;E Segment'!$G:$G,$G20)</f>
        <v>159000</v>
      </c>
      <c r="AC20" s="40">
        <f>SUMIFS('Sales HC by Dept &amp; T&amp;E Segment'!AF:AF,'Sales HC by Dept &amp; T&amp;E Segment'!$F:$F,$P20,'Sales HC by Dept &amp; T&amp;E Segment'!$G:$G,$G20)</f>
        <v>159000</v>
      </c>
      <c r="AD20" s="40">
        <f>SUMIFS('Sales HC by Dept &amp; T&amp;E Segment'!AG:AG,'Sales HC by Dept &amp; T&amp;E Segment'!$F:$F,$P20,'Sales HC by Dept &amp; T&amp;E Segment'!$G:$G,$G20)</f>
        <v>159000</v>
      </c>
      <c r="AE20" s="46">
        <f t="shared" si="0"/>
        <v>1803000</v>
      </c>
      <c r="AI20" s="505">
        <f t="shared" si="1"/>
        <v>372000</v>
      </c>
      <c r="AJ20" s="6">
        <f t="shared" si="2"/>
        <v>477000</v>
      </c>
      <c r="AK20" s="6">
        <f t="shared" si="3"/>
        <v>477000</v>
      </c>
      <c r="AL20" s="6">
        <f t="shared" si="4"/>
        <v>477000</v>
      </c>
      <c r="AM20" s="6">
        <f t="shared" si="5"/>
        <v>1803000</v>
      </c>
      <c r="AN20" s="6">
        <f t="shared" si="6"/>
        <v>0</v>
      </c>
      <c r="AP20" s="6">
        <f t="shared" si="7"/>
        <v>849000</v>
      </c>
      <c r="AQ20" s="6">
        <f t="shared" si="8"/>
        <v>954000</v>
      </c>
      <c r="AR20" s="6">
        <f t="shared" si="9"/>
        <v>0</v>
      </c>
    </row>
    <row r="21" spans="2:44" ht="14.4" hidden="1">
      <c r="B21" s="561" t="s">
        <v>1062</v>
      </c>
      <c r="C21" s="557" t="s">
        <v>1063</v>
      </c>
      <c r="D21" s="557" t="s">
        <v>1064</v>
      </c>
      <c r="E21" s="559" t="s">
        <v>19</v>
      </c>
      <c r="F21" s="559" t="s">
        <v>19</v>
      </c>
      <c r="G21" s="557" t="s">
        <v>96</v>
      </c>
      <c r="H21" s="557">
        <v>2026</v>
      </c>
      <c r="I21" s="557" t="s">
        <v>785</v>
      </c>
      <c r="J21" s="557" t="s">
        <v>203</v>
      </c>
      <c r="K21" s="557" t="s">
        <v>204</v>
      </c>
      <c r="L21" s="557" t="s">
        <v>205</v>
      </c>
      <c r="M21" s="557" t="s">
        <v>721</v>
      </c>
      <c r="N21" s="557" t="s">
        <v>969</v>
      </c>
      <c r="O21" s="557" t="s">
        <v>969</v>
      </c>
      <c r="P21" s="560" t="s">
        <v>982</v>
      </c>
      <c r="Q21" s="557"/>
      <c r="R21" s="557"/>
      <c r="S21" s="40">
        <f>SUMIFS('Sales HC by Dept &amp; T&amp;E Segment'!V:V,'Sales HC by Dept &amp; T&amp;E Segment'!$F:$F,$P21,'Sales HC by Dept &amp; T&amp;E Segment'!$G:$G,$G21)</f>
        <v>226000</v>
      </c>
      <c r="T21" s="40">
        <f>SUMIFS('Sales HC by Dept &amp; T&amp;E Segment'!W:W,'Sales HC by Dept &amp; T&amp;E Segment'!$F:$F,$P21,'Sales HC by Dept &amp; T&amp;E Segment'!$G:$G,$G21)</f>
        <v>226000</v>
      </c>
      <c r="U21" s="40">
        <f>SUMIFS('Sales HC by Dept &amp; T&amp;E Segment'!X:X,'Sales HC by Dept &amp; T&amp;E Segment'!$F:$F,$P21,'Sales HC by Dept &amp; T&amp;E Segment'!$G:$G,$G21)</f>
        <v>226000</v>
      </c>
      <c r="V21" s="40">
        <f>SUMIFS('Sales HC by Dept &amp; T&amp;E Segment'!Y:Y,'Sales HC by Dept &amp; T&amp;E Segment'!$F:$F,$P21,'Sales HC by Dept &amp; T&amp;E Segment'!$G:$G,$G21)</f>
        <v>259000</v>
      </c>
      <c r="W21" s="40">
        <f>SUMIFS('Sales HC by Dept &amp; T&amp;E Segment'!Z:Z,'Sales HC by Dept &amp; T&amp;E Segment'!$F:$F,$P21,'Sales HC by Dept &amp; T&amp;E Segment'!$G:$G,$G21)</f>
        <v>259000</v>
      </c>
      <c r="X21" s="40">
        <f>SUMIFS('Sales HC by Dept &amp; T&amp;E Segment'!AA:AA,'Sales HC by Dept &amp; T&amp;E Segment'!$F:$F,$P21,'Sales HC by Dept &amp; T&amp;E Segment'!$G:$G,$G21)</f>
        <v>259000</v>
      </c>
      <c r="Y21" s="40">
        <f>SUMIFS('Sales HC by Dept &amp; T&amp;E Segment'!AB:AB,'Sales HC by Dept &amp; T&amp;E Segment'!$F:$F,$P21,'Sales HC by Dept &amp; T&amp;E Segment'!$G:$G,$G21)</f>
        <v>259000</v>
      </c>
      <c r="Z21" s="40">
        <f>SUMIFS('Sales HC by Dept &amp; T&amp;E Segment'!AC:AC,'Sales HC by Dept &amp; T&amp;E Segment'!$F:$F,$P21,'Sales HC by Dept &amp; T&amp;E Segment'!$G:$G,$G21)</f>
        <v>259000</v>
      </c>
      <c r="AA21" s="40">
        <f>SUMIFS('Sales HC by Dept &amp; T&amp;E Segment'!AD:AD,'Sales HC by Dept &amp; T&amp;E Segment'!$F:$F,$P21,'Sales HC by Dept &amp; T&amp;E Segment'!$G:$G,$G21)</f>
        <v>259000</v>
      </c>
      <c r="AB21" s="40">
        <f>SUMIFS('Sales HC by Dept &amp; T&amp;E Segment'!AE:AE,'Sales HC by Dept &amp; T&amp;E Segment'!$F:$F,$P21,'Sales HC by Dept &amp; T&amp;E Segment'!$G:$G,$G21)</f>
        <v>259000</v>
      </c>
      <c r="AC21" s="40">
        <f>SUMIFS('Sales HC by Dept &amp; T&amp;E Segment'!AF:AF,'Sales HC by Dept &amp; T&amp;E Segment'!$F:$F,$P21,'Sales HC by Dept &amp; T&amp;E Segment'!$G:$G,$G21)</f>
        <v>259000</v>
      </c>
      <c r="AD21" s="40">
        <f>SUMIFS('Sales HC by Dept &amp; T&amp;E Segment'!AG:AG,'Sales HC by Dept &amp; T&amp;E Segment'!$F:$F,$P21,'Sales HC by Dept &amp; T&amp;E Segment'!$G:$G,$G21)</f>
        <v>259000</v>
      </c>
      <c r="AE21" s="46">
        <f t="shared" si="0"/>
        <v>3009000</v>
      </c>
      <c r="AI21" s="505">
        <f t="shared" si="1"/>
        <v>678000</v>
      </c>
      <c r="AJ21" s="6">
        <f t="shared" si="2"/>
        <v>777000</v>
      </c>
      <c r="AK21" s="6">
        <f t="shared" si="3"/>
        <v>777000</v>
      </c>
      <c r="AL21" s="6">
        <f t="shared" si="4"/>
        <v>777000</v>
      </c>
      <c r="AM21" s="6">
        <f t="shared" si="5"/>
        <v>3009000</v>
      </c>
      <c r="AN21" s="6">
        <f t="shared" si="6"/>
        <v>0</v>
      </c>
      <c r="AP21" s="6">
        <f t="shared" si="7"/>
        <v>1455000</v>
      </c>
      <c r="AQ21" s="6">
        <f t="shared" si="8"/>
        <v>1554000</v>
      </c>
      <c r="AR21" s="6">
        <f t="shared" si="9"/>
        <v>0</v>
      </c>
    </row>
    <row r="22" spans="2:44" ht="14.4" hidden="1">
      <c r="B22" s="561" t="s">
        <v>1065</v>
      </c>
      <c r="C22" s="557" t="s">
        <v>1066</v>
      </c>
      <c r="D22" s="557" t="s">
        <v>1067</v>
      </c>
      <c r="E22" s="559" t="s">
        <v>19</v>
      </c>
      <c r="F22" s="559" t="s">
        <v>19</v>
      </c>
      <c r="G22" s="557" t="s">
        <v>96</v>
      </c>
      <c r="H22" s="557">
        <v>2026</v>
      </c>
      <c r="I22" s="557" t="s">
        <v>785</v>
      </c>
      <c r="J22" s="557" t="s">
        <v>203</v>
      </c>
      <c r="K22" s="557" t="s">
        <v>204</v>
      </c>
      <c r="L22" s="557" t="s">
        <v>205</v>
      </c>
      <c r="M22" s="557" t="s">
        <v>721</v>
      </c>
      <c r="N22" s="557" t="s">
        <v>970</v>
      </c>
      <c r="O22" s="557" t="s">
        <v>970</v>
      </c>
      <c r="P22" s="560" t="s">
        <v>983</v>
      </c>
      <c r="Q22" s="557"/>
      <c r="R22" s="557"/>
      <c r="S22" s="40">
        <f>SUMIFS('Sales HC by Dept &amp; T&amp;E Segment'!V:V,'Sales HC by Dept &amp; T&amp;E Segment'!$F:$F,$P22,'Sales HC by Dept &amp; T&amp;E Segment'!$G:$G,$G22)</f>
        <v>197000</v>
      </c>
      <c r="T22" s="40">
        <f>SUMIFS('Sales HC by Dept &amp; T&amp;E Segment'!W:W,'Sales HC by Dept &amp; T&amp;E Segment'!$F:$F,$P22,'Sales HC by Dept &amp; T&amp;E Segment'!$G:$G,$G22)</f>
        <v>197000</v>
      </c>
      <c r="U22" s="40">
        <f>SUMIFS('Sales HC by Dept &amp; T&amp;E Segment'!X:X,'Sales HC by Dept &amp; T&amp;E Segment'!$F:$F,$P22,'Sales HC by Dept &amp; T&amp;E Segment'!$G:$G,$G22)</f>
        <v>197000</v>
      </c>
      <c r="V22" s="40">
        <f>SUMIFS('Sales HC by Dept &amp; T&amp;E Segment'!Y:Y,'Sales HC by Dept &amp; T&amp;E Segment'!$F:$F,$P22,'Sales HC by Dept &amp; T&amp;E Segment'!$G:$G,$G22)</f>
        <v>237000</v>
      </c>
      <c r="W22" s="40">
        <f>SUMIFS('Sales HC by Dept &amp; T&amp;E Segment'!Z:Z,'Sales HC by Dept &amp; T&amp;E Segment'!$F:$F,$P22,'Sales HC by Dept &amp; T&amp;E Segment'!$G:$G,$G22)</f>
        <v>237000</v>
      </c>
      <c r="X22" s="40">
        <f>SUMIFS('Sales HC by Dept &amp; T&amp;E Segment'!AA:AA,'Sales HC by Dept &amp; T&amp;E Segment'!$F:$F,$P22,'Sales HC by Dept &amp; T&amp;E Segment'!$G:$G,$G22)</f>
        <v>237000</v>
      </c>
      <c r="Y22" s="40">
        <f>SUMIFS('Sales HC by Dept &amp; T&amp;E Segment'!AB:AB,'Sales HC by Dept &amp; T&amp;E Segment'!$F:$F,$P22,'Sales HC by Dept &amp; T&amp;E Segment'!$G:$G,$G22)</f>
        <v>237000</v>
      </c>
      <c r="Z22" s="40">
        <f>SUMIFS('Sales HC by Dept &amp; T&amp;E Segment'!AC:AC,'Sales HC by Dept &amp; T&amp;E Segment'!$F:$F,$P22,'Sales HC by Dept &amp; T&amp;E Segment'!$G:$G,$G22)</f>
        <v>237000</v>
      </c>
      <c r="AA22" s="40">
        <f>SUMIFS('Sales HC by Dept &amp; T&amp;E Segment'!AD:AD,'Sales HC by Dept &amp; T&amp;E Segment'!$F:$F,$P22,'Sales HC by Dept &amp; T&amp;E Segment'!$G:$G,$G22)</f>
        <v>237000</v>
      </c>
      <c r="AB22" s="40">
        <f>SUMIFS('Sales HC by Dept &amp; T&amp;E Segment'!AE:AE,'Sales HC by Dept &amp; T&amp;E Segment'!$F:$F,$P22,'Sales HC by Dept &amp; T&amp;E Segment'!$G:$G,$G22)</f>
        <v>237000</v>
      </c>
      <c r="AC22" s="40">
        <f>SUMIFS('Sales HC by Dept &amp; T&amp;E Segment'!AF:AF,'Sales HC by Dept &amp; T&amp;E Segment'!$F:$F,$P22,'Sales HC by Dept &amp; T&amp;E Segment'!$G:$G,$G22)</f>
        <v>237000</v>
      </c>
      <c r="AD22" s="40">
        <f>SUMIFS('Sales HC by Dept &amp; T&amp;E Segment'!AG:AG,'Sales HC by Dept &amp; T&amp;E Segment'!$F:$F,$P22,'Sales HC by Dept &amp; T&amp;E Segment'!$G:$G,$G22)</f>
        <v>237000</v>
      </c>
      <c r="AE22" s="46">
        <f t="shared" si="0"/>
        <v>2724000</v>
      </c>
      <c r="AG22" s="6">
        <f>SUM(AE13:AE22)</f>
        <v>25707000</v>
      </c>
      <c r="AH22" s="6">
        <f>AG22-'Sales HC by Dept &amp; T&amp;E Segment'!S99</f>
        <v>0</v>
      </c>
      <c r="AI22" s="505">
        <f t="shared" si="1"/>
        <v>591000</v>
      </c>
      <c r="AJ22" s="6">
        <f t="shared" si="2"/>
        <v>711000</v>
      </c>
      <c r="AK22" s="6">
        <f t="shared" si="3"/>
        <v>711000</v>
      </c>
      <c r="AL22" s="6">
        <f t="shared" si="4"/>
        <v>711000</v>
      </c>
      <c r="AM22" s="6">
        <f t="shared" si="5"/>
        <v>2724000</v>
      </c>
      <c r="AN22" s="6">
        <f t="shared" si="6"/>
        <v>0</v>
      </c>
      <c r="AP22" s="6">
        <f t="shared" si="7"/>
        <v>1302000</v>
      </c>
      <c r="AQ22" s="6">
        <f t="shared" si="8"/>
        <v>1422000</v>
      </c>
      <c r="AR22" s="6">
        <f t="shared" si="9"/>
        <v>0</v>
      </c>
    </row>
    <row r="23" spans="2:44" ht="14.4" thickBot="1">
      <c r="B23" s="38" t="s">
        <v>1074</v>
      </c>
      <c r="C23" s="562">
        <v>10110100</v>
      </c>
      <c r="D23" s="563" t="s">
        <v>1075</v>
      </c>
      <c r="E23" s="564" t="s">
        <v>19</v>
      </c>
      <c r="F23" s="564" t="s">
        <v>19</v>
      </c>
      <c r="G23" s="565" t="s">
        <v>130</v>
      </c>
      <c r="H23" s="565">
        <v>2026</v>
      </c>
      <c r="I23" s="565" t="s">
        <v>785</v>
      </c>
      <c r="J23" s="565" t="s">
        <v>203</v>
      </c>
      <c r="K23" s="565" t="s">
        <v>204</v>
      </c>
      <c r="L23" s="565" t="s">
        <v>205</v>
      </c>
      <c r="M23" s="565" t="s">
        <v>721</v>
      </c>
      <c r="N23" s="563" t="s">
        <v>1075</v>
      </c>
      <c r="O23" s="563" t="s">
        <v>1075</v>
      </c>
      <c r="P23" s="563" t="s">
        <v>1075</v>
      </c>
      <c r="Q23" s="146"/>
      <c r="R23" s="146"/>
      <c r="S23" s="294">
        <v>539000</v>
      </c>
      <c r="T23" s="294">
        <v>539000</v>
      </c>
      <c r="U23" s="294">
        <v>539000</v>
      </c>
      <c r="V23" s="294">
        <v>639000</v>
      </c>
      <c r="W23" s="294">
        <v>639000</v>
      </c>
      <c r="X23" s="294">
        <v>639000</v>
      </c>
      <c r="Y23" s="294">
        <v>839000</v>
      </c>
      <c r="Z23" s="294">
        <v>839000</v>
      </c>
      <c r="AA23" s="294">
        <v>839000</v>
      </c>
      <c r="AB23" s="294">
        <v>1239000</v>
      </c>
      <c r="AC23" s="294">
        <v>1239000</v>
      </c>
      <c r="AD23" s="294">
        <v>1239000</v>
      </c>
      <c r="AE23" s="47">
        <f t="shared" ref="AE23" si="10">SUM(S23:AD23)</f>
        <v>9768000</v>
      </c>
      <c r="AG23" s="6">
        <f>AE23</f>
        <v>9768000</v>
      </c>
      <c r="AH23" s="6">
        <f>AE23-'Sales HC by Dept &amp; T&amp;E Segment'!S5</f>
        <v>0</v>
      </c>
      <c r="AI23" s="6">
        <f t="shared" si="1"/>
        <v>1617000</v>
      </c>
      <c r="AJ23" s="6">
        <f t="shared" si="2"/>
        <v>1917000</v>
      </c>
      <c r="AK23" s="6">
        <f t="shared" si="3"/>
        <v>2517000</v>
      </c>
      <c r="AL23" s="6">
        <f t="shared" si="4"/>
        <v>3717000</v>
      </c>
      <c r="AM23" s="6">
        <f t="shared" si="5"/>
        <v>9768000</v>
      </c>
      <c r="AN23" s="6">
        <f t="shared" si="6"/>
        <v>0</v>
      </c>
      <c r="AP23" s="6">
        <f t="shared" si="7"/>
        <v>3534000</v>
      </c>
      <c r="AQ23" s="6">
        <f t="shared" si="8"/>
        <v>6234000</v>
      </c>
      <c r="AR23" s="6">
        <f t="shared" si="9"/>
        <v>0</v>
      </c>
    </row>
    <row r="24" spans="2:44" ht="14.4" hidden="1" thickBot="1">
      <c r="C24" s="570"/>
      <c r="E24" s="571"/>
      <c r="F24" s="571"/>
      <c r="G24" s="572"/>
      <c r="H24" s="572"/>
      <c r="I24" s="572"/>
      <c r="J24" s="572"/>
      <c r="K24" s="572"/>
      <c r="L24" s="572"/>
      <c r="M24" s="572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G24" s="6"/>
      <c r="AH24" s="6"/>
    </row>
    <row r="25" spans="2:44" ht="14.4" hidden="1" thickBot="1">
      <c r="B25" s="310" t="s">
        <v>1081</v>
      </c>
      <c r="C25" s="573">
        <v>10005300</v>
      </c>
      <c r="D25" s="573" t="s">
        <v>1082</v>
      </c>
      <c r="E25" s="574" t="s">
        <v>19</v>
      </c>
      <c r="F25" s="574" t="s">
        <v>19</v>
      </c>
      <c r="G25" s="575" t="s">
        <v>96</v>
      </c>
      <c r="H25" s="575">
        <v>2026</v>
      </c>
      <c r="I25" s="575" t="s">
        <v>785</v>
      </c>
      <c r="J25" s="575" t="s">
        <v>203</v>
      </c>
      <c r="K25" s="575" t="s">
        <v>204</v>
      </c>
      <c r="L25" s="575" t="s">
        <v>205</v>
      </c>
      <c r="M25" s="575" t="s">
        <v>922</v>
      </c>
      <c r="N25" s="311" t="s">
        <v>1082</v>
      </c>
      <c r="O25" s="311" t="s">
        <v>1082</v>
      </c>
      <c r="P25" s="311" t="s">
        <v>1082</v>
      </c>
      <c r="Q25" s="311" t="s">
        <v>1083</v>
      </c>
      <c r="R25" s="311"/>
      <c r="S25" s="54">
        <v>12604.166666667001</v>
      </c>
      <c r="T25" s="54">
        <v>12604.166666667001</v>
      </c>
      <c r="U25" s="54">
        <v>12604.166666667001</v>
      </c>
      <c r="V25" s="54">
        <v>12604.166666667001</v>
      </c>
      <c r="W25" s="54">
        <v>12604.166666667001</v>
      </c>
      <c r="X25" s="54">
        <v>12604.166666667001</v>
      </c>
      <c r="Y25" s="54">
        <v>12604.166666667001</v>
      </c>
      <c r="Z25" s="54">
        <v>12604.166666667001</v>
      </c>
      <c r="AA25" s="54">
        <v>12604.166666667001</v>
      </c>
      <c r="AB25" s="54">
        <v>12604.166666667001</v>
      </c>
      <c r="AC25" s="54">
        <v>12604.166666667001</v>
      </c>
      <c r="AD25" s="54">
        <v>12604.166666667001</v>
      </c>
      <c r="AE25" s="576">
        <f t="shared" ref="AE25" si="11">SUM(S25:AD25)</f>
        <v>151250.00000000405</v>
      </c>
      <c r="AG25" s="6"/>
      <c r="AH25" s="6"/>
      <c r="AI25" s="6">
        <f>SUM(S25:U25)</f>
        <v>37812.500000001004</v>
      </c>
      <c r="AJ25" s="6">
        <f>SUM(V25:X25)</f>
        <v>37812.500000001004</v>
      </c>
      <c r="AK25" s="6">
        <f>SUM(Y25:AA25)</f>
        <v>37812.500000001004</v>
      </c>
      <c r="AL25" s="6">
        <f>SUM(AB25:AD25)</f>
        <v>37812.500000001004</v>
      </c>
      <c r="AM25" s="6">
        <f>SUM(AI25:AL25)</f>
        <v>151250.00000000402</v>
      </c>
      <c r="AN25" s="6">
        <f>AM25-AE25</f>
        <v>0</v>
      </c>
      <c r="AP25" s="6">
        <f>SUM(AI25:AJ25)</f>
        <v>75625.000000002008</v>
      </c>
      <c r="AQ25" s="6">
        <f>SUM(AK25:AL25)</f>
        <v>75625.000000002008</v>
      </c>
      <c r="AR25" s="6">
        <f>AP25+AQ25-AM25</f>
        <v>0</v>
      </c>
    </row>
    <row r="26" spans="2:44" hidden="1">
      <c r="C26" s="570"/>
      <c r="E26" s="571"/>
      <c r="F26" s="571"/>
      <c r="G26" s="572"/>
      <c r="H26" s="572"/>
      <c r="I26" s="572"/>
      <c r="J26" s="572"/>
      <c r="K26" s="572"/>
      <c r="L26" s="572"/>
      <c r="M26" s="572"/>
      <c r="N26" s="572"/>
      <c r="O26" s="572"/>
      <c r="P26" s="572"/>
      <c r="S26" s="109"/>
      <c r="T26" s="109"/>
      <c r="U26" s="109"/>
      <c r="V26" s="109"/>
      <c r="W26" s="109"/>
      <c r="X26" s="117"/>
      <c r="Y26" s="109"/>
      <c r="Z26" s="109"/>
      <c r="AA26" s="109"/>
      <c r="AB26" s="109"/>
      <c r="AC26" s="109"/>
      <c r="AD26" s="109"/>
      <c r="AE26" s="109"/>
      <c r="AG26" s="6"/>
      <c r="AH26" s="6"/>
    </row>
    <row r="27" spans="2:44" hidden="1">
      <c r="C27" s="570"/>
      <c r="E27" s="571"/>
      <c r="F27" s="571"/>
      <c r="G27" s="572"/>
      <c r="H27" s="572"/>
      <c r="I27" s="572"/>
      <c r="J27" s="572"/>
      <c r="K27" s="572"/>
      <c r="L27" s="572"/>
      <c r="M27" s="572"/>
      <c r="N27" s="572"/>
      <c r="O27" s="572"/>
      <c r="P27" s="572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G27" s="6"/>
      <c r="AH27" s="6"/>
    </row>
    <row r="28" spans="2:44" ht="14.4" hidden="1" thickBot="1"/>
    <row r="29" spans="2:44" hidden="1">
      <c r="B29" s="314" t="s">
        <v>1068</v>
      </c>
      <c r="C29" s="554" t="s">
        <v>1069</v>
      </c>
      <c r="D29" s="554" t="s">
        <v>994</v>
      </c>
      <c r="E29" s="554" t="s">
        <v>995</v>
      </c>
      <c r="F29" s="554" t="s">
        <v>996</v>
      </c>
      <c r="G29" s="554" t="s">
        <v>997</v>
      </c>
      <c r="H29" s="554" t="s">
        <v>998</v>
      </c>
      <c r="I29" s="554" t="s">
        <v>999</v>
      </c>
      <c r="J29" s="554" t="s">
        <v>147</v>
      </c>
      <c r="K29" s="554" t="s">
        <v>148</v>
      </c>
      <c r="L29" s="554" t="s">
        <v>149</v>
      </c>
      <c r="M29" s="554" t="s">
        <v>150</v>
      </c>
      <c r="N29" s="554" t="s">
        <v>151</v>
      </c>
      <c r="O29" s="554" t="s">
        <v>152</v>
      </c>
      <c r="P29" s="554" t="s">
        <v>1070</v>
      </c>
      <c r="Q29" s="554" t="s">
        <v>1000</v>
      </c>
      <c r="R29" s="554" t="s">
        <v>1001</v>
      </c>
      <c r="S29" s="555" t="s">
        <v>992</v>
      </c>
      <c r="T29" s="555" t="s">
        <v>993</v>
      </c>
      <c r="U29" s="555" t="s">
        <v>102</v>
      </c>
      <c r="V29" s="555" t="s">
        <v>104</v>
      </c>
      <c r="W29" s="555" t="s">
        <v>105</v>
      </c>
      <c r="X29" s="555" t="s">
        <v>106</v>
      </c>
      <c r="Y29" s="555" t="s">
        <v>107</v>
      </c>
      <c r="Z29" s="555" t="s">
        <v>108</v>
      </c>
      <c r="AA29" s="555" t="s">
        <v>109</v>
      </c>
      <c r="AB29" s="555" t="s">
        <v>110</v>
      </c>
      <c r="AC29" s="555" t="s">
        <v>111</v>
      </c>
      <c r="AD29" s="555" t="s">
        <v>112</v>
      </c>
      <c r="AE29" s="556" t="s">
        <v>85</v>
      </c>
    </row>
    <row r="30" spans="2:44" ht="14.4" hidden="1">
      <c r="B30" s="561" t="s">
        <v>1002</v>
      </c>
      <c r="C30" s="557" t="s">
        <v>1003</v>
      </c>
      <c r="D30" s="557" t="s">
        <v>1004</v>
      </c>
      <c r="E30" s="559" t="s">
        <v>17</v>
      </c>
      <c r="F30" s="559" t="s">
        <v>17</v>
      </c>
      <c r="G30" s="557" t="s">
        <v>95</v>
      </c>
      <c r="H30" s="557">
        <v>2026</v>
      </c>
      <c r="I30" s="557" t="s">
        <v>785</v>
      </c>
      <c r="J30" s="557" t="s">
        <v>203</v>
      </c>
      <c r="K30" s="557" t="s">
        <v>204</v>
      </c>
      <c r="L30" s="557" t="s">
        <v>205</v>
      </c>
      <c r="M30" s="557" t="s">
        <v>721</v>
      </c>
      <c r="N30" s="557" t="s">
        <v>1005</v>
      </c>
      <c r="O30" s="557" t="s">
        <v>1005</v>
      </c>
      <c r="P30" s="560" t="s">
        <v>978</v>
      </c>
      <c r="Q30" s="560" t="s">
        <v>1076</v>
      </c>
      <c r="R30" s="560" t="s">
        <v>1076</v>
      </c>
      <c r="S30" s="40">
        <f>SUMIFS('Sales HC by Dept &amp; T&amp;E Segment'!AL:AL,'Sales HC by Dept &amp; T&amp;E Segment'!$F:$F,$P30,'Sales HC by Dept &amp; T&amp;E Segment'!$G:$G,$G30)</f>
        <v>75000</v>
      </c>
      <c r="T30" s="40">
        <f>SUMIFS('Sales HC by Dept &amp; T&amp;E Segment'!AM:AM,'Sales HC by Dept &amp; T&amp;E Segment'!$F:$F,$P30,'Sales HC by Dept &amp; T&amp;E Segment'!$G:$G,$G30)</f>
        <v>75000</v>
      </c>
      <c r="U30" s="40">
        <f>SUMIFS('Sales HC by Dept &amp; T&amp;E Segment'!AN:AN,'Sales HC by Dept &amp; T&amp;E Segment'!$F:$F,$P30,'Sales HC by Dept &amp; T&amp;E Segment'!$G:$G,$G30)</f>
        <v>75000</v>
      </c>
      <c r="V30" s="40">
        <f>SUMIFS('Sales HC by Dept &amp; T&amp;E Segment'!AO:AO,'Sales HC by Dept &amp; T&amp;E Segment'!$F:$F,$P30,'Sales HC by Dept &amp; T&amp;E Segment'!$G:$G,$G30)</f>
        <v>75000</v>
      </c>
      <c r="W30" s="40">
        <f>SUMIFS('Sales HC by Dept &amp; T&amp;E Segment'!AP:AP,'Sales HC by Dept &amp; T&amp;E Segment'!$F:$F,$P30,'Sales HC by Dept &amp; T&amp;E Segment'!$G:$G,$G30)</f>
        <v>75000</v>
      </c>
      <c r="X30" s="40">
        <f>SUMIFS('Sales HC by Dept &amp; T&amp;E Segment'!AQ:AQ,'Sales HC by Dept &amp; T&amp;E Segment'!$F:$F,$P30,'Sales HC by Dept &amp; T&amp;E Segment'!$G:$G,$G30)</f>
        <v>75000</v>
      </c>
      <c r="Y30" s="40">
        <f>SUMIFS('Sales HC by Dept &amp; T&amp;E Segment'!AR:AR,'Sales HC by Dept &amp; T&amp;E Segment'!$F:$F,$P30,'Sales HC by Dept &amp; T&amp;E Segment'!$G:$G,$G30)</f>
        <v>75000</v>
      </c>
      <c r="Z30" s="40">
        <f>SUMIFS('Sales HC by Dept &amp; T&amp;E Segment'!AS:AS,'Sales HC by Dept &amp; T&amp;E Segment'!$F:$F,$P30,'Sales HC by Dept &amp; T&amp;E Segment'!$G:$G,$G30)</f>
        <v>75000</v>
      </c>
      <c r="AA30" s="40">
        <f>SUMIFS('Sales HC by Dept &amp; T&amp;E Segment'!AT:AT,'Sales HC by Dept &amp; T&amp;E Segment'!$F:$F,$P30,'Sales HC by Dept &amp; T&amp;E Segment'!$G:$G,$G30)</f>
        <v>75000</v>
      </c>
      <c r="AB30" s="40">
        <f>SUMIFS('Sales HC by Dept &amp; T&amp;E Segment'!AU:AU,'Sales HC by Dept &amp; T&amp;E Segment'!$F:$F,$P30,'Sales HC by Dept &amp; T&amp;E Segment'!$G:$G,$G30)</f>
        <v>75000</v>
      </c>
      <c r="AC30" s="40">
        <f>SUMIFS('Sales HC by Dept &amp; T&amp;E Segment'!AV:AV,'Sales HC by Dept &amp; T&amp;E Segment'!$F:$F,$P30,'Sales HC by Dept &amp; T&amp;E Segment'!$G:$G,$G30)</f>
        <v>75000</v>
      </c>
      <c r="AD30" s="40">
        <f>SUMIFS('Sales HC by Dept &amp; T&amp;E Segment'!AW:AW,'Sales HC by Dept &amp; T&amp;E Segment'!$F:$F,$P30,'Sales HC by Dept &amp; T&amp;E Segment'!$G:$G,$G30)</f>
        <v>75000</v>
      </c>
      <c r="AE30" s="46">
        <f t="shared" ref="AE30:AE50" si="12">SUM(S30:AD30)</f>
        <v>900000</v>
      </c>
      <c r="AI30" s="505">
        <f t="shared" ref="AI30:AI50" si="13">SUM(S30:U30)</f>
        <v>225000</v>
      </c>
      <c r="AJ30" s="6">
        <f t="shared" ref="AJ30:AJ50" si="14">SUM(V30:X30)</f>
        <v>225000</v>
      </c>
      <c r="AK30" s="6">
        <f t="shared" ref="AK30:AK50" si="15">SUM(Y30:AA30)</f>
        <v>225000</v>
      </c>
      <c r="AL30" s="6">
        <f t="shared" ref="AL30:AL50" si="16">SUM(AB30:AD30)</f>
        <v>225000</v>
      </c>
      <c r="AM30" s="6">
        <f t="shared" ref="AM30:AM50" si="17">SUM(AI30:AL30)</f>
        <v>900000</v>
      </c>
      <c r="AN30" s="6">
        <f t="shared" ref="AN30:AN50" si="18">AM30-AE30</f>
        <v>0</v>
      </c>
      <c r="AP30" s="6">
        <f t="shared" ref="AP30:AP50" si="19">SUM(AI30:AJ30)</f>
        <v>450000</v>
      </c>
      <c r="AQ30" s="6">
        <f t="shared" ref="AQ30:AQ50" si="20">SUM(AK30:AL30)</f>
        <v>450000</v>
      </c>
      <c r="AR30" s="6">
        <f t="shared" ref="AR30:AR50" si="21">AP30+AQ30-AM30</f>
        <v>0</v>
      </c>
    </row>
    <row r="31" spans="2:44" ht="14.4" hidden="1">
      <c r="B31" s="561" t="s">
        <v>1006</v>
      </c>
      <c r="C31" s="557" t="s">
        <v>1007</v>
      </c>
      <c r="D31" s="557" t="s">
        <v>1008</v>
      </c>
      <c r="E31" s="559" t="s">
        <v>17</v>
      </c>
      <c r="F31" s="559" t="s">
        <v>17</v>
      </c>
      <c r="G31" s="557" t="s">
        <v>95</v>
      </c>
      <c r="H31" s="557">
        <v>2026</v>
      </c>
      <c r="I31" s="557" t="s">
        <v>785</v>
      </c>
      <c r="J31" s="557" t="s">
        <v>203</v>
      </c>
      <c r="K31" s="557" t="s">
        <v>204</v>
      </c>
      <c r="L31" s="557" t="s">
        <v>205</v>
      </c>
      <c r="M31" s="557" t="s">
        <v>721</v>
      </c>
      <c r="N31" s="557" t="s">
        <v>1009</v>
      </c>
      <c r="O31" s="557" t="s">
        <v>1009</v>
      </c>
      <c r="P31" s="560" t="s">
        <v>979</v>
      </c>
      <c r="Q31" s="560" t="s">
        <v>1076</v>
      </c>
      <c r="R31" s="560" t="s">
        <v>1076</v>
      </c>
      <c r="S31" s="40">
        <f>SUMIFS('Sales HC by Dept &amp; T&amp;E Segment'!AL:AL,'Sales HC by Dept &amp; T&amp;E Segment'!$F:$F,$P31,'Sales HC by Dept &amp; T&amp;E Segment'!$G:$G,$G31)</f>
        <v>30000</v>
      </c>
      <c r="T31" s="40">
        <f>SUMIFS('Sales HC by Dept &amp; T&amp;E Segment'!AM:AM,'Sales HC by Dept &amp; T&amp;E Segment'!$F:$F,$P31,'Sales HC by Dept &amp; T&amp;E Segment'!$G:$G,$G31)</f>
        <v>30000</v>
      </c>
      <c r="U31" s="40">
        <f>SUMIFS('Sales HC by Dept &amp; T&amp;E Segment'!AN:AN,'Sales HC by Dept &amp; T&amp;E Segment'!$F:$F,$P31,'Sales HC by Dept &amp; T&amp;E Segment'!$G:$G,$G31)</f>
        <v>30000</v>
      </c>
      <c r="V31" s="40">
        <f>SUMIFS('Sales HC by Dept &amp; T&amp;E Segment'!AO:AO,'Sales HC by Dept &amp; T&amp;E Segment'!$F:$F,$P31,'Sales HC by Dept &amp; T&amp;E Segment'!$G:$G,$G31)</f>
        <v>30000</v>
      </c>
      <c r="W31" s="40">
        <f>SUMIFS('Sales HC by Dept &amp; T&amp;E Segment'!AP:AP,'Sales HC by Dept &amp; T&amp;E Segment'!$F:$F,$P31,'Sales HC by Dept &amp; T&amp;E Segment'!$G:$G,$G31)</f>
        <v>30000</v>
      </c>
      <c r="X31" s="40">
        <f>SUMIFS('Sales HC by Dept &amp; T&amp;E Segment'!AQ:AQ,'Sales HC by Dept &amp; T&amp;E Segment'!$F:$F,$P31,'Sales HC by Dept &amp; T&amp;E Segment'!$G:$G,$G31)</f>
        <v>30000</v>
      </c>
      <c r="Y31" s="40">
        <f>SUMIFS('Sales HC by Dept &amp; T&amp;E Segment'!AR:AR,'Sales HC by Dept &amp; T&amp;E Segment'!$F:$F,$P31,'Sales HC by Dept &amp; T&amp;E Segment'!$G:$G,$G31)</f>
        <v>30000</v>
      </c>
      <c r="Z31" s="40">
        <f>SUMIFS('Sales HC by Dept &amp; T&amp;E Segment'!AS:AS,'Sales HC by Dept &amp; T&amp;E Segment'!$F:$F,$P31,'Sales HC by Dept &amp; T&amp;E Segment'!$G:$G,$G31)</f>
        <v>30000</v>
      </c>
      <c r="AA31" s="40">
        <f>SUMIFS('Sales HC by Dept &amp; T&amp;E Segment'!AT:AT,'Sales HC by Dept &amp; T&amp;E Segment'!$F:$F,$P31,'Sales HC by Dept &amp; T&amp;E Segment'!$G:$G,$G31)</f>
        <v>30000</v>
      </c>
      <c r="AB31" s="40">
        <f>SUMIFS('Sales HC by Dept &amp; T&amp;E Segment'!AU:AU,'Sales HC by Dept &amp; T&amp;E Segment'!$F:$F,$P31,'Sales HC by Dept &amp; T&amp;E Segment'!$G:$G,$G31)</f>
        <v>30000</v>
      </c>
      <c r="AC31" s="40">
        <f>SUMIFS('Sales HC by Dept &amp; T&amp;E Segment'!AV:AV,'Sales HC by Dept &amp; T&amp;E Segment'!$F:$F,$P31,'Sales HC by Dept &amp; T&amp;E Segment'!$G:$G,$G31)</f>
        <v>30000</v>
      </c>
      <c r="AD31" s="40">
        <f>SUMIFS('Sales HC by Dept &amp; T&amp;E Segment'!AW:AW,'Sales HC by Dept &amp; T&amp;E Segment'!$F:$F,$P31,'Sales HC by Dept &amp; T&amp;E Segment'!$G:$G,$G31)</f>
        <v>30000</v>
      </c>
      <c r="AE31" s="46">
        <f t="shared" si="12"/>
        <v>360000</v>
      </c>
      <c r="AI31" s="505">
        <f t="shared" si="13"/>
        <v>90000</v>
      </c>
      <c r="AJ31" s="6">
        <f t="shared" si="14"/>
        <v>90000</v>
      </c>
      <c r="AK31" s="6">
        <f t="shared" si="15"/>
        <v>90000</v>
      </c>
      <c r="AL31" s="6">
        <f t="shared" si="16"/>
        <v>90000</v>
      </c>
      <c r="AM31" s="6">
        <f t="shared" si="17"/>
        <v>360000</v>
      </c>
      <c r="AN31" s="6">
        <f t="shared" si="18"/>
        <v>0</v>
      </c>
      <c r="AP31" s="6">
        <f t="shared" si="19"/>
        <v>180000</v>
      </c>
      <c r="AQ31" s="6">
        <f t="shared" si="20"/>
        <v>180000</v>
      </c>
      <c r="AR31" s="6">
        <f t="shared" si="21"/>
        <v>0</v>
      </c>
    </row>
    <row r="32" spans="2:44" ht="14.4" hidden="1">
      <c r="B32" s="561" t="s">
        <v>1010</v>
      </c>
      <c r="C32" s="557" t="s">
        <v>1011</v>
      </c>
      <c r="D32" s="557" t="s">
        <v>1012</v>
      </c>
      <c r="E32" s="559" t="s">
        <v>17</v>
      </c>
      <c r="F32" s="559" t="s">
        <v>17</v>
      </c>
      <c r="G32" s="557" t="s">
        <v>95</v>
      </c>
      <c r="H32" s="557">
        <v>2026</v>
      </c>
      <c r="I32" s="557" t="s">
        <v>785</v>
      </c>
      <c r="J32" s="557" t="s">
        <v>203</v>
      </c>
      <c r="K32" s="557" t="s">
        <v>204</v>
      </c>
      <c r="L32" s="557" t="s">
        <v>205</v>
      </c>
      <c r="M32" s="557" t="s">
        <v>721</v>
      </c>
      <c r="N32" s="557" t="s">
        <v>1013</v>
      </c>
      <c r="O32" s="557" t="s">
        <v>1013</v>
      </c>
      <c r="P32" s="560" t="s">
        <v>980</v>
      </c>
      <c r="Q32" s="560" t="s">
        <v>1076</v>
      </c>
      <c r="R32" s="560" t="s">
        <v>1076</v>
      </c>
      <c r="S32" s="40">
        <f>SUMIFS('Sales HC by Dept &amp; T&amp;E Segment'!AL:AL,'Sales HC by Dept &amp; T&amp;E Segment'!$F:$F,$P32,'Sales HC by Dept &amp; T&amp;E Segment'!$G:$G,$G32)</f>
        <v>48000</v>
      </c>
      <c r="T32" s="40">
        <f>SUMIFS('Sales HC by Dept &amp; T&amp;E Segment'!AM:AM,'Sales HC by Dept &amp; T&amp;E Segment'!$F:$F,$P32,'Sales HC by Dept &amp; T&amp;E Segment'!$G:$G,$G32)</f>
        <v>48000</v>
      </c>
      <c r="U32" s="40">
        <f>SUMIFS('Sales HC by Dept &amp; T&amp;E Segment'!AN:AN,'Sales HC by Dept &amp; T&amp;E Segment'!$F:$F,$P32,'Sales HC by Dept &amp; T&amp;E Segment'!$G:$G,$G32)</f>
        <v>48000</v>
      </c>
      <c r="V32" s="40">
        <f>SUMIFS('Sales HC by Dept &amp; T&amp;E Segment'!AO:AO,'Sales HC by Dept &amp; T&amp;E Segment'!$F:$F,$P32,'Sales HC by Dept &amp; T&amp;E Segment'!$G:$G,$G32)</f>
        <v>48000</v>
      </c>
      <c r="W32" s="40">
        <f>SUMIFS('Sales HC by Dept &amp; T&amp;E Segment'!AP:AP,'Sales HC by Dept &amp; T&amp;E Segment'!$F:$F,$P32,'Sales HC by Dept &amp; T&amp;E Segment'!$G:$G,$G32)</f>
        <v>48000</v>
      </c>
      <c r="X32" s="40">
        <f>SUMIFS('Sales HC by Dept &amp; T&amp;E Segment'!AQ:AQ,'Sales HC by Dept &amp; T&amp;E Segment'!$F:$F,$P32,'Sales HC by Dept &amp; T&amp;E Segment'!$G:$G,$G32)</f>
        <v>48000</v>
      </c>
      <c r="Y32" s="40">
        <f>SUMIFS('Sales HC by Dept &amp; T&amp;E Segment'!AR:AR,'Sales HC by Dept &amp; T&amp;E Segment'!$F:$F,$P32,'Sales HC by Dept &amp; T&amp;E Segment'!$G:$G,$G32)</f>
        <v>48000</v>
      </c>
      <c r="Z32" s="40">
        <f>SUMIFS('Sales HC by Dept &amp; T&amp;E Segment'!AS:AS,'Sales HC by Dept &amp; T&amp;E Segment'!$F:$F,$P32,'Sales HC by Dept &amp; T&amp;E Segment'!$G:$G,$G32)</f>
        <v>48000</v>
      </c>
      <c r="AA32" s="40">
        <f>SUMIFS('Sales HC by Dept &amp; T&amp;E Segment'!AT:AT,'Sales HC by Dept &amp; T&amp;E Segment'!$F:$F,$P32,'Sales HC by Dept &amp; T&amp;E Segment'!$G:$G,$G32)</f>
        <v>48000</v>
      </c>
      <c r="AB32" s="40">
        <f>SUMIFS('Sales HC by Dept &amp; T&amp;E Segment'!AU:AU,'Sales HC by Dept &amp; T&amp;E Segment'!$F:$F,$P32,'Sales HC by Dept &amp; T&amp;E Segment'!$G:$G,$G32)</f>
        <v>48000</v>
      </c>
      <c r="AC32" s="40">
        <f>SUMIFS('Sales HC by Dept &amp; T&amp;E Segment'!AV:AV,'Sales HC by Dept &amp; T&amp;E Segment'!$F:$F,$P32,'Sales HC by Dept &amp; T&amp;E Segment'!$G:$G,$G32)</f>
        <v>48000</v>
      </c>
      <c r="AD32" s="40">
        <f>SUMIFS('Sales HC by Dept &amp; T&amp;E Segment'!AW:AW,'Sales HC by Dept &amp; T&amp;E Segment'!$F:$F,$P32,'Sales HC by Dept &amp; T&amp;E Segment'!$G:$G,$G32)</f>
        <v>48000</v>
      </c>
      <c r="AE32" s="46">
        <f t="shared" si="12"/>
        <v>576000</v>
      </c>
      <c r="AI32" s="505">
        <f t="shared" si="13"/>
        <v>144000</v>
      </c>
      <c r="AJ32" s="6">
        <f t="shared" si="14"/>
        <v>144000</v>
      </c>
      <c r="AK32" s="6">
        <f t="shared" si="15"/>
        <v>144000</v>
      </c>
      <c r="AL32" s="6">
        <f t="shared" si="16"/>
        <v>144000</v>
      </c>
      <c r="AM32" s="6">
        <f t="shared" si="17"/>
        <v>576000</v>
      </c>
      <c r="AN32" s="6">
        <f t="shared" si="18"/>
        <v>0</v>
      </c>
      <c r="AP32" s="6">
        <f t="shared" si="19"/>
        <v>288000</v>
      </c>
      <c r="AQ32" s="6">
        <f t="shared" si="20"/>
        <v>288000</v>
      </c>
      <c r="AR32" s="6">
        <f t="shared" si="21"/>
        <v>0</v>
      </c>
    </row>
    <row r="33" spans="2:44" ht="14.4" hidden="1">
      <c r="B33" s="561" t="s">
        <v>1014</v>
      </c>
      <c r="C33" s="557" t="s">
        <v>1015</v>
      </c>
      <c r="D33" s="557" t="s">
        <v>1016</v>
      </c>
      <c r="E33" s="559" t="s">
        <v>17</v>
      </c>
      <c r="F33" s="559" t="s">
        <v>17</v>
      </c>
      <c r="G33" s="557" t="s">
        <v>95</v>
      </c>
      <c r="H33" s="557">
        <v>2026</v>
      </c>
      <c r="I33" s="557" t="s">
        <v>785</v>
      </c>
      <c r="J33" s="557" t="s">
        <v>203</v>
      </c>
      <c r="K33" s="557" t="s">
        <v>204</v>
      </c>
      <c r="L33" s="557" t="s">
        <v>205</v>
      </c>
      <c r="M33" s="557" t="s">
        <v>721</v>
      </c>
      <c r="N33" s="557" t="s">
        <v>1017</v>
      </c>
      <c r="O33" s="557" t="s">
        <v>1017</v>
      </c>
      <c r="P33" s="560" t="s">
        <v>1071</v>
      </c>
      <c r="Q33" s="560" t="s">
        <v>1076</v>
      </c>
      <c r="R33" s="560" t="s">
        <v>1076</v>
      </c>
      <c r="S33" s="40">
        <f>SUMIFS('Sales HC by Dept &amp; T&amp;E Segment'!AL:AL,'Sales HC by Dept &amp; T&amp;E Segment'!$F:$F,$P33,'Sales HC by Dept &amp; T&amp;E Segment'!$G:$G,$G33)</f>
        <v>54000</v>
      </c>
      <c r="T33" s="40">
        <f>SUMIFS('Sales HC by Dept &amp; T&amp;E Segment'!AM:AM,'Sales HC by Dept &amp; T&amp;E Segment'!$F:$F,$P33,'Sales HC by Dept &amp; T&amp;E Segment'!$G:$G,$G33)</f>
        <v>54000</v>
      </c>
      <c r="U33" s="40">
        <f>SUMIFS('Sales HC by Dept &amp; T&amp;E Segment'!AN:AN,'Sales HC by Dept &amp; T&amp;E Segment'!$F:$F,$P33,'Sales HC by Dept &amp; T&amp;E Segment'!$G:$G,$G33)</f>
        <v>54000</v>
      </c>
      <c r="V33" s="40">
        <f>SUMIFS('Sales HC by Dept &amp; T&amp;E Segment'!AO:AO,'Sales HC by Dept &amp; T&amp;E Segment'!$F:$F,$P33,'Sales HC by Dept &amp; T&amp;E Segment'!$G:$G,$G33)</f>
        <v>54000</v>
      </c>
      <c r="W33" s="40">
        <f>SUMIFS('Sales HC by Dept &amp; T&amp;E Segment'!AP:AP,'Sales HC by Dept &amp; T&amp;E Segment'!$F:$F,$P33,'Sales HC by Dept &amp; T&amp;E Segment'!$G:$G,$G33)</f>
        <v>54000</v>
      </c>
      <c r="X33" s="40">
        <f>SUMIFS('Sales HC by Dept &amp; T&amp;E Segment'!AQ:AQ,'Sales HC by Dept &amp; T&amp;E Segment'!$F:$F,$P33,'Sales HC by Dept &amp; T&amp;E Segment'!$G:$G,$G33)</f>
        <v>54000</v>
      </c>
      <c r="Y33" s="40">
        <f>SUMIFS('Sales HC by Dept &amp; T&amp;E Segment'!AR:AR,'Sales HC by Dept &amp; T&amp;E Segment'!$F:$F,$P33,'Sales HC by Dept &amp; T&amp;E Segment'!$G:$G,$G33)</f>
        <v>54000</v>
      </c>
      <c r="Z33" s="40">
        <f>SUMIFS('Sales HC by Dept &amp; T&amp;E Segment'!AS:AS,'Sales HC by Dept &amp; T&amp;E Segment'!$F:$F,$P33,'Sales HC by Dept &amp; T&amp;E Segment'!$G:$G,$G33)</f>
        <v>54000</v>
      </c>
      <c r="AA33" s="40">
        <f>SUMIFS('Sales HC by Dept &amp; T&amp;E Segment'!AT:AT,'Sales HC by Dept &amp; T&amp;E Segment'!$F:$F,$P33,'Sales HC by Dept &amp; T&amp;E Segment'!$G:$G,$G33)</f>
        <v>54000</v>
      </c>
      <c r="AB33" s="40">
        <f>SUMIFS('Sales HC by Dept &amp; T&amp;E Segment'!AU:AU,'Sales HC by Dept &amp; T&amp;E Segment'!$F:$F,$P33,'Sales HC by Dept &amp; T&amp;E Segment'!$G:$G,$G33)</f>
        <v>54000</v>
      </c>
      <c r="AC33" s="40">
        <f>SUMIFS('Sales HC by Dept &amp; T&amp;E Segment'!AV:AV,'Sales HC by Dept &amp; T&amp;E Segment'!$F:$F,$P33,'Sales HC by Dept &amp; T&amp;E Segment'!$G:$G,$G33)</f>
        <v>54000</v>
      </c>
      <c r="AD33" s="40">
        <f>SUMIFS('Sales HC by Dept &amp; T&amp;E Segment'!AW:AW,'Sales HC by Dept &amp; T&amp;E Segment'!$F:$F,$P33,'Sales HC by Dept &amp; T&amp;E Segment'!$G:$G,$G33)</f>
        <v>54000</v>
      </c>
      <c r="AE33" s="46">
        <f t="shared" si="12"/>
        <v>648000</v>
      </c>
      <c r="AI33" s="505">
        <f t="shared" si="13"/>
        <v>162000</v>
      </c>
      <c r="AJ33" s="6">
        <f t="shared" si="14"/>
        <v>162000</v>
      </c>
      <c r="AK33" s="6">
        <f t="shared" si="15"/>
        <v>162000</v>
      </c>
      <c r="AL33" s="6">
        <f t="shared" si="16"/>
        <v>162000</v>
      </c>
      <c r="AM33" s="6">
        <f t="shared" si="17"/>
        <v>648000</v>
      </c>
      <c r="AN33" s="6">
        <f t="shared" si="18"/>
        <v>0</v>
      </c>
      <c r="AP33" s="6">
        <f t="shared" si="19"/>
        <v>324000</v>
      </c>
      <c r="AQ33" s="6">
        <f t="shared" si="20"/>
        <v>324000</v>
      </c>
      <c r="AR33" s="6">
        <f t="shared" si="21"/>
        <v>0</v>
      </c>
    </row>
    <row r="34" spans="2:44" ht="14.4" hidden="1">
      <c r="B34" s="561" t="s">
        <v>1018</v>
      </c>
      <c r="C34" s="557" t="s">
        <v>1019</v>
      </c>
      <c r="D34" s="557" t="s">
        <v>1020</v>
      </c>
      <c r="E34" s="559" t="s">
        <v>17</v>
      </c>
      <c r="F34" s="559" t="s">
        <v>17</v>
      </c>
      <c r="G34" s="557" t="s">
        <v>95</v>
      </c>
      <c r="H34" s="557">
        <v>2026</v>
      </c>
      <c r="I34" s="557" t="s">
        <v>785</v>
      </c>
      <c r="J34" s="557" t="s">
        <v>203</v>
      </c>
      <c r="K34" s="557" t="s">
        <v>204</v>
      </c>
      <c r="L34" s="557" t="s">
        <v>205</v>
      </c>
      <c r="M34" s="557" t="s">
        <v>721</v>
      </c>
      <c r="N34" s="557" t="s">
        <v>1021</v>
      </c>
      <c r="O34" s="557" t="s">
        <v>1021</v>
      </c>
      <c r="P34" s="560" t="s">
        <v>976</v>
      </c>
      <c r="Q34" s="560" t="s">
        <v>1076</v>
      </c>
      <c r="R34" s="560" t="s">
        <v>1076</v>
      </c>
      <c r="S34" s="40">
        <f>SUMIFS('Sales HC by Dept &amp; T&amp;E Segment'!AL:AL,'Sales HC by Dept &amp; T&amp;E Segment'!$F:$F,$P34,'Sales HC by Dept &amp; T&amp;E Segment'!$G:$G,$G34)</f>
        <v>57000</v>
      </c>
      <c r="T34" s="40">
        <f>SUMIFS('Sales HC by Dept &amp; T&amp;E Segment'!AM:AM,'Sales HC by Dept &amp; T&amp;E Segment'!$F:$F,$P34,'Sales HC by Dept &amp; T&amp;E Segment'!$G:$G,$G34)</f>
        <v>57000</v>
      </c>
      <c r="U34" s="40">
        <f>SUMIFS('Sales HC by Dept &amp; T&amp;E Segment'!AN:AN,'Sales HC by Dept &amp; T&amp;E Segment'!$F:$F,$P34,'Sales HC by Dept &amp; T&amp;E Segment'!$G:$G,$G34)</f>
        <v>57000</v>
      </c>
      <c r="V34" s="40">
        <f>SUMIFS('Sales HC by Dept &amp; T&amp;E Segment'!AO:AO,'Sales HC by Dept &amp; T&amp;E Segment'!$F:$F,$P34,'Sales HC by Dept &amp; T&amp;E Segment'!$G:$G,$G34)</f>
        <v>57000</v>
      </c>
      <c r="W34" s="40">
        <f>SUMIFS('Sales HC by Dept &amp; T&amp;E Segment'!AP:AP,'Sales HC by Dept &amp; T&amp;E Segment'!$F:$F,$P34,'Sales HC by Dept &amp; T&amp;E Segment'!$G:$G,$G34)</f>
        <v>57000</v>
      </c>
      <c r="X34" s="40">
        <f>SUMIFS('Sales HC by Dept &amp; T&amp;E Segment'!AQ:AQ,'Sales HC by Dept &amp; T&amp;E Segment'!$F:$F,$P34,'Sales HC by Dept &amp; T&amp;E Segment'!$G:$G,$G34)</f>
        <v>57000</v>
      </c>
      <c r="Y34" s="40">
        <f>SUMIFS('Sales HC by Dept &amp; T&amp;E Segment'!AR:AR,'Sales HC by Dept &amp; T&amp;E Segment'!$F:$F,$P34,'Sales HC by Dept &amp; T&amp;E Segment'!$G:$G,$G34)</f>
        <v>57000</v>
      </c>
      <c r="Z34" s="40">
        <f>SUMIFS('Sales HC by Dept &amp; T&amp;E Segment'!AS:AS,'Sales HC by Dept &amp; T&amp;E Segment'!$F:$F,$P34,'Sales HC by Dept &amp; T&amp;E Segment'!$G:$G,$G34)</f>
        <v>57000</v>
      </c>
      <c r="AA34" s="40">
        <f>SUMIFS('Sales HC by Dept &amp; T&amp;E Segment'!AT:AT,'Sales HC by Dept &amp; T&amp;E Segment'!$F:$F,$P34,'Sales HC by Dept &amp; T&amp;E Segment'!$G:$G,$G34)</f>
        <v>57000</v>
      </c>
      <c r="AB34" s="40">
        <f>SUMIFS('Sales HC by Dept &amp; T&amp;E Segment'!AU:AU,'Sales HC by Dept &amp; T&amp;E Segment'!$F:$F,$P34,'Sales HC by Dept &amp; T&amp;E Segment'!$G:$G,$G34)</f>
        <v>57000</v>
      </c>
      <c r="AC34" s="40">
        <f>SUMIFS('Sales HC by Dept &amp; T&amp;E Segment'!AV:AV,'Sales HC by Dept &amp; T&amp;E Segment'!$F:$F,$P34,'Sales HC by Dept &amp; T&amp;E Segment'!$G:$G,$G34)</f>
        <v>57000</v>
      </c>
      <c r="AD34" s="40">
        <f>SUMIFS('Sales HC by Dept &amp; T&amp;E Segment'!AW:AW,'Sales HC by Dept &amp; T&amp;E Segment'!$F:$F,$P34,'Sales HC by Dept &amp; T&amp;E Segment'!$G:$G,$G34)</f>
        <v>57000</v>
      </c>
      <c r="AE34" s="46">
        <f t="shared" si="12"/>
        <v>684000</v>
      </c>
      <c r="AI34" s="505">
        <f t="shared" si="13"/>
        <v>171000</v>
      </c>
      <c r="AJ34" s="6">
        <f t="shared" si="14"/>
        <v>171000</v>
      </c>
      <c r="AK34" s="6">
        <f t="shared" si="15"/>
        <v>171000</v>
      </c>
      <c r="AL34" s="6">
        <f t="shared" si="16"/>
        <v>171000</v>
      </c>
      <c r="AM34" s="6">
        <f t="shared" si="17"/>
        <v>684000</v>
      </c>
      <c r="AN34" s="6">
        <f t="shared" si="18"/>
        <v>0</v>
      </c>
      <c r="AP34" s="6">
        <f t="shared" si="19"/>
        <v>342000</v>
      </c>
      <c r="AQ34" s="6">
        <f t="shared" si="20"/>
        <v>342000</v>
      </c>
      <c r="AR34" s="6">
        <f t="shared" si="21"/>
        <v>0</v>
      </c>
    </row>
    <row r="35" spans="2:44" ht="14.4" hidden="1">
      <c r="B35" s="561" t="s">
        <v>1022</v>
      </c>
      <c r="C35" s="557" t="s">
        <v>1023</v>
      </c>
      <c r="D35" s="557" t="s">
        <v>1024</v>
      </c>
      <c r="E35" s="559" t="s">
        <v>17</v>
      </c>
      <c r="F35" s="559" t="s">
        <v>17</v>
      </c>
      <c r="G35" s="557" t="s">
        <v>95</v>
      </c>
      <c r="H35" s="557">
        <v>2026</v>
      </c>
      <c r="I35" s="557" t="s">
        <v>785</v>
      </c>
      <c r="J35" s="557" t="s">
        <v>203</v>
      </c>
      <c r="K35" s="557" t="s">
        <v>204</v>
      </c>
      <c r="L35" s="557" t="s">
        <v>205</v>
      </c>
      <c r="M35" s="557" t="s">
        <v>721</v>
      </c>
      <c r="N35" s="557" t="s">
        <v>1025</v>
      </c>
      <c r="O35" s="557" t="s">
        <v>1025</v>
      </c>
      <c r="P35" s="560" t="s">
        <v>977</v>
      </c>
      <c r="Q35" s="560" t="s">
        <v>1076</v>
      </c>
      <c r="R35" s="560" t="s">
        <v>1076</v>
      </c>
      <c r="S35" s="40">
        <f>SUMIFS('Sales HC by Dept &amp; T&amp;E Segment'!AL:AL,'Sales HC by Dept &amp; T&amp;E Segment'!$F:$F,$P35,'Sales HC by Dept &amp; T&amp;E Segment'!$G:$G,$G35)</f>
        <v>48000</v>
      </c>
      <c r="T35" s="40">
        <f>SUMIFS('Sales HC by Dept &amp; T&amp;E Segment'!AM:AM,'Sales HC by Dept &amp; T&amp;E Segment'!$F:$F,$P35,'Sales HC by Dept &amp; T&amp;E Segment'!$G:$G,$G35)</f>
        <v>48000</v>
      </c>
      <c r="U35" s="40">
        <f>SUMIFS('Sales HC by Dept &amp; T&amp;E Segment'!AN:AN,'Sales HC by Dept &amp; T&amp;E Segment'!$F:$F,$P35,'Sales HC by Dept &amp; T&amp;E Segment'!$G:$G,$G35)</f>
        <v>48000</v>
      </c>
      <c r="V35" s="40">
        <f>SUMIFS('Sales HC by Dept &amp; T&amp;E Segment'!AO:AO,'Sales HC by Dept &amp; T&amp;E Segment'!$F:$F,$P35,'Sales HC by Dept &amp; T&amp;E Segment'!$G:$G,$G35)</f>
        <v>48000</v>
      </c>
      <c r="W35" s="40">
        <f>SUMIFS('Sales HC by Dept &amp; T&amp;E Segment'!AP:AP,'Sales HC by Dept &amp; T&amp;E Segment'!$F:$F,$P35,'Sales HC by Dept &amp; T&amp;E Segment'!$G:$G,$G35)</f>
        <v>48000</v>
      </c>
      <c r="X35" s="40">
        <f>SUMIFS('Sales HC by Dept &amp; T&amp;E Segment'!AQ:AQ,'Sales HC by Dept &amp; T&amp;E Segment'!$F:$F,$P35,'Sales HC by Dept &amp; T&amp;E Segment'!$G:$G,$G35)</f>
        <v>48000</v>
      </c>
      <c r="Y35" s="40">
        <f>SUMIFS('Sales HC by Dept &amp; T&amp;E Segment'!AR:AR,'Sales HC by Dept &amp; T&amp;E Segment'!$F:$F,$P35,'Sales HC by Dept &amp; T&amp;E Segment'!$G:$G,$G35)</f>
        <v>48000</v>
      </c>
      <c r="Z35" s="40">
        <f>SUMIFS('Sales HC by Dept &amp; T&amp;E Segment'!AS:AS,'Sales HC by Dept &amp; T&amp;E Segment'!$F:$F,$P35,'Sales HC by Dept &amp; T&amp;E Segment'!$G:$G,$G35)</f>
        <v>48000</v>
      </c>
      <c r="AA35" s="40">
        <f>SUMIFS('Sales HC by Dept &amp; T&amp;E Segment'!AT:AT,'Sales HC by Dept &amp; T&amp;E Segment'!$F:$F,$P35,'Sales HC by Dept &amp; T&amp;E Segment'!$G:$G,$G35)</f>
        <v>48000</v>
      </c>
      <c r="AB35" s="40">
        <f>SUMIFS('Sales HC by Dept &amp; T&amp;E Segment'!AU:AU,'Sales HC by Dept &amp; T&amp;E Segment'!$F:$F,$P35,'Sales HC by Dept &amp; T&amp;E Segment'!$G:$G,$G35)</f>
        <v>48000</v>
      </c>
      <c r="AC35" s="40">
        <f>SUMIFS('Sales HC by Dept &amp; T&amp;E Segment'!AV:AV,'Sales HC by Dept &amp; T&amp;E Segment'!$F:$F,$P35,'Sales HC by Dept &amp; T&amp;E Segment'!$G:$G,$G35)</f>
        <v>48000</v>
      </c>
      <c r="AD35" s="40">
        <f>SUMIFS('Sales HC by Dept &amp; T&amp;E Segment'!AW:AW,'Sales HC by Dept &amp; T&amp;E Segment'!$F:$F,$P35,'Sales HC by Dept &amp; T&amp;E Segment'!$G:$G,$G35)</f>
        <v>48000</v>
      </c>
      <c r="AE35" s="46">
        <f t="shared" si="12"/>
        <v>576000</v>
      </c>
      <c r="AI35" s="505">
        <f t="shared" si="13"/>
        <v>144000</v>
      </c>
      <c r="AJ35" s="6">
        <f t="shared" si="14"/>
        <v>144000</v>
      </c>
      <c r="AK35" s="6">
        <f t="shared" si="15"/>
        <v>144000</v>
      </c>
      <c r="AL35" s="6">
        <f t="shared" si="16"/>
        <v>144000</v>
      </c>
      <c r="AM35" s="6">
        <f t="shared" si="17"/>
        <v>576000</v>
      </c>
      <c r="AN35" s="6">
        <f t="shared" si="18"/>
        <v>0</v>
      </c>
      <c r="AP35" s="6">
        <f t="shared" si="19"/>
        <v>288000</v>
      </c>
      <c r="AQ35" s="6">
        <f t="shared" si="20"/>
        <v>288000</v>
      </c>
      <c r="AR35" s="6">
        <f t="shared" si="21"/>
        <v>0</v>
      </c>
    </row>
    <row r="36" spans="2:44" ht="14.4" hidden="1">
      <c r="B36" s="561" t="s">
        <v>1026</v>
      </c>
      <c r="C36" s="557" t="s">
        <v>1027</v>
      </c>
      <c r="D36" s="557" t="s">
        <v>1028</v>
      </c>
      <c r="E36" s="559" t="s">
        <v>17</v>
      </c>
      <c r="F36" s="559" t="s">
        <v>17</v>
      </c>
      <c r="G36" s="557" t="s">
        <v>95</v>
      </c>
      <c r="H36" s="557">
        <v>2026</v>
      </c>
      <c r="I36" s="557" t="s">
        <v>785</v>
      </c>
      <c r="J36" s="557" t="s">
        <v>203</v>
      </c>
      <c r="K36" s="557" t="s">
        <v>204</v>
      </c>
      <c r="L36" s="557" t="s">
        <v>205</v>
      </c>
      <c r="M36" s="557" t="s">
        <v>721</v>
      </c>
      <c r="N36" s="557" t="s">
        <v>961</v>
      </c>
      <c r="O36" s="557" t="s">
        <v>961</v>
      </c>
      <c r="P36" s="560" t="s">
        <v>1072</v>
      </c>
      <c r="Q36" s="560" t="s">
        <v>1076</v>
      </c>
      <c r="R36" s="560" t="s">
        <v>1076</v>
      </c>
      <c r="S36" s="40">
        <f>SUMIFS('Sales HC by Dept &amp; T&amp;E Segment'!AL:AL,'Sales HC by Dept &amp; T&amp;E Segment'!$F:$F,$P36,'Sales HC by Dept &amp; T&amp;E Segment'!$G:$G,$G36)</f>
        <v>51000</v>
      </c>
      <c r="T36" s="40">
        <f>SUMIFS('Sales HC by Dept &amp; T&amp;E Segment'!AM:AM,'Sales HC by Dept &amp; T&amp;E Segment'!$F:$F,$P36,'Sales HC by Dept &amp; T&amp;E Segment'!$G:$G,$G36)</f>
        <v>51000</v>
      </c>
      <c r="U36" s="40">
        <f>SUMIFS('Sales HC by Dept &amp; T&amp;E Segment'!AN:AN,'Sales HC by Dept &amp; T&amp;E Segment'!$F:$F,$P36,'Sales HC by Dept &amp; T&amp;E Segment'!$G:$G,$G36)</f>
        <v>51000</v>
      </c>
      <c r="V36" s="40">
        <f>SUMIFS('Sales HC by Dept &amp; T&amp;E Segment'!AO:AO,'Sales HC by Dept &amp; T&amp;E Segment'!$F:$F,$P36,'Sales HC by Dept &amp; T&amp;E Segment'!$G:$G,$G36)</f>
        <v>51000</v>
      </c>
      <c r="W36" s="40">
        <f>SUMIFS('Sales HC by Dept &amp; T&amp;E Segment'!AP:AP,'Sales HC by Dept &amp; T&amp;E Segment'!$F:$F,$P36,'Sales HC by Dept &amp; T&amp;E Segment'!$G:$G,$G36)</f>
        <v>51000</v>
      </c>
      <c r="X36" s="40">
        <f>SUMIFS('Sales HC by Dept &amp; T&amp;E Segment'!AQ:AQ,'Sales HC by Dept &amp; T&amp;E Segment'!$F:$F,$P36,'Sales HC by Dept &amp; T&amp;E Segment'!$G:$G,$G36)</f>
        <v>51000</v>
      </c>
      <c r="Y36" s="40">
        <f>SUMIFS('Sales HC by Dept &amp; T&amp;E Segment'!AR:AR,'Sales HC by Dept &amp; T&amp;E Segment'!$F:$F,$P36,'Sales HC by Dept &amp; T&amp;E Segment'!$G:$G,$G36)</f>
        <v>51000</v>
      </c>
      <c r="Z36" s="40">
        <f>SUMIFS('Sales HC by Dept &amp; T&amp;E Segment'!AS:AS,'Sales HC by Dept &amp; T&amp;E Segment'!$F:$F,$P36,'Sales HC by Dept &amp; T&amp;E Segment'!$G:$G,$G36)</f>
        <v>51000</v>
      </c>
      <c r="AA36" s="40">
        <f>SUMIFS('Sales HC by Dept &amp; T&amp;E Segment'!AT:AT,'Sales HC by Dept &amp; T&amp;E Segment'!$F:$F,$P36,'Sales HC by Dept &amp; T&amp;E Segment'!$G:$G,$G36)</f>
        <v>51000</v>
      </c>
      <c r="AB36" s="40">
        <f>SUMIFS('Sales HC by Dept &amp; T&amp;E Segment'!AU:AU,'Sales HC by Dept &amp; T&amp;E Segment'!$F:$F,$P36,'Sales HC by Dept &amp; T&amp;E Segment'!$G:$G,$G36)</f>
        <v>51000</v>
      </c>
      <c r="AC36" s="40">
        <f>SUMIFS('Sales HC by Dept &amp; T&amp;E Segment'!AV:AV,'Sales HC by Dept &amp; T&amp;E Segment'!$F:$F,$P36,'Sales HC by Dept &amp; T&amp;E Segment'!$G:$G,$G36)</f>
        <v>51000</v>
      </c>
      <c r="AD36" s="40">
        <f>SUMIFS('Sales HC by Dept &amp; T&amp;E Segment'!AW:AW,'Sales HC by Dept &amp; T&amp;E Segment'!$F:$F,$P36,'Sales HC by Dept &amp; T&amp;E Segment'!$G:$G,$G36)</f>
        <v>51000</v>
      </c>
      <c r="AE36" s="46">
        <f t="shared" si="12"/>
        <v>612000</v>
      </c>
      <c r="AI36" s="505">
        <f t="shared" si="13"/>
        <v>153000</v>
      </c>
      <c r="AJ36" s="6">
        <f t="shared" si="14"/>
        <v>153000</v>
      </c>
      <c r="AK36" s="6">
        <f t="shared" si="15"/>
        <v>153000</v>
      </c>
      <c r="AL36" s="6">
        <f t="shared" si="16"/>
        <v>153000</v>
      </c>
      <c r="AM36" s="6">
        <f t="shared" si="17"/>
        <v>612000</v>
      </c>
      <c r="AN36" s="6">
        <f t="shared" si="18"/>
        <v>0</v>
      </c>
      <c r="AP36" s="6">
        <f t="shared" si="19"/>
        <v>306000</v>
      </c>
      <c r="AQ36" s="6">
        <f t="shared" si="20"/>
        <v>306000</v>
      </c>
      <c r="AR36" s="6">
        <f t="shared" si="21"/>
        <v>0</v>
      </c>
    </row>
    <row r="37" spans="2:44" ht="14.4" hidden="1">
      <c r="B37" s="561" t="s">
        <v>1029</v>
      </c>
      <c r="C37" s="557" t="s">
        <v>1030</v>
      </c>
      <c r="D37" s="557" t="s">
        <v>1031</v>
      </c>
      <c r="E37" s="559" t="s">
        <v>17</v>
      </c>
      <c r="F37" s="559" t="s">
        <v>17</v>
      </c>
      <c r="G37" s="557" t="s">
        <v>95</v>
      </c>
      <c r="H37" s="557">
        <v>2026</v>
      </c>
      <c r="I37" s="557" t="s">
        <v>785</v>
      </c>
      <c r="J37" s="557" t="s">
        <v>203</v>
      </c>
      <c r="K37" s="557" t="s">
        <v>204</v>
      </c>
      <c r="L37" s="557" t="s">
        <v>205</v>
      </c>
      <c r="M37" s="557" t="s">
        <v>721</v>
      </c>
      <c r="N37" s="557" t="s">
        <v>968</v>
      </c>
      <c r="O37" s="557" t="s">
        <v>968</v>
      </c>
      <c r="P37" s="560" t="s">
        <v>981</v>
      </c>
      <c r="Q37" s="560" t="s">
        <v>1076</v>
      </c>
      <c r="R37" s="560" t="s">
        <v>1076</v>
      </c>
      <c r="S37" s="40">
        <f>SUMIFS('Sales HC by Dept &amp; T&amp;E Segment'!AL:AL,'Sales HC by Dept &amp; T&amp;E Segment'!$F:$F,$P37,'Sales HC by Dept &amp; T&amp;E Segment'!$G:$G,$G37)</f>
        <v>27000</v>
      </c>
      <c r="T37" s="40">
        <f>SUMIFS('Sales HC by Dept &amp; T&amp;E Segment'!AM:AM,'Sales HC by Dept &amp; T&amp;E Segment'!$F:$F,$P37,'Sales HC by Dept &amp; T&amp;E Segment'!$G:$G,$G37)</f>
        <v>27000</v>
      </c>
      <c r="U37" s="40">
        <f>SUMIFS('Sales HC by Dept &amp; T&amp;E Segment'!AN:AN,'Sales HC by Dept &amp; T&amp;E Segment'!$F:$F,$P37,'Sales HC by Dept &amp; T&amp;E Segment'!$G:$G,$G37)</f>
        <v>27000</v>
      </c>
      <c r="V37" s="40">
        <f>SUMIFS('Sales HC by Dept &amp; T&amp;E Segment'!AO:AO,'Sales HC by Dept &amp; T&amp;E Segment'!$F:$F,$P37,'Sales HC by Dept &amp; T&amp;E Segment'!$G:$G,$G37)</f>
        <v>27000</v>
      </c>
      <c r="W37" s="40">
        <f>SUMIFS('Sales HC by Dept &amp; T&amp;E Segment'!AP:AP,'Sales HC by Dept &amp; T&amp;E Segment'!$F:$F,$P37,'Sales HC by Dept &amp; T&amp;E Segment'!$G:$G,$G37)</f>
        <v>27000</v>
      </c>
      <c r="X37" s="40">
        <f>SUMIFS('Sales HC by Dept &amp; T&amp;E Segment'!AQ:AQ,'Sales HC by Dept &amp; T&amp;E Segment'!$F:$F,$P37,'Sales HC by Dept &amp; T&amp;E Segment'!$G:$G,$G37)</f>
        <v>27000</v>
      </c>
      <c r="Y37" s="40">
        <f>SUMIFS('Sales HC by Dept &amp; T&amp;E Segment'!AR:AR,'Sales HC by Dept &amp; T&amp;E Segment'!$F:$F,$P37,'Sales HC by Dept &amp; T&amp;E Segment'!$G:$G,$G37)</f>
        <v>27000</v>
      </c>
      <c r="Z37" s="40">
        <f>SUMIFS('Sales HC by Dept &amp; T&amp;E Segment'!AS:AS,'Sales HC by Dept &amp; T&amp;E Segment'!$F:$F,$P37,'Sales HC by Dept &amp; T&amp;E Segment'!$G:$G,$G37)</f>
        <v>27000</v>
      </c>
      <c r="AA37" s="40">
        <f>SUMIFS('Sales HC by Dept &amp; T&amp;E Segment'!AT:AT,'Sales HC by Dept &amp; T&amp;E Segment'!$F:$F,$P37,'Sales HC by Dept &amp; T&amp;E Segment'!$G:$G,$G37)</f>
        <v>27000</v>
      </c>
      <c r="AB37" s="40">
        <f>SUMIFS('Sales HC by Dept &amp; T&amp;E Segment'!AU:AU,'Sales HC by Dept &amp; T&amp;E Segment'!$F:$F,$P37,'Sales HC by Dept &amp; T&amp;E Segment'!$G:$G,$G37)</f>
        <v>27000</v>
      </c>
      <c r="AC37" s="40">
        <f>SUMIFS('Sales HC by Dept &amp; T&amp;E Segment'!AV:AV,'Sales HC by Dept &amp; T&amp;E Segment'!$F:$F,$P37,'Sales HC by Dept &amp; T&amp;E Segment'!$G:$G,$G37)</f>
        <v>27000</v>
      </c>
      <c r="AD37" s="40">
        <f>SUMIFS('Sales HC by Dept &amp; T&amp;E Segment'!AW:AW,'Sales HC by Dept &amp; T&amp;E Segment'!$F:$F,$P37,'Sales HC by Dept &amp; T&amp;E Segment'!$G:$G,$G37)</f>
        <v>27000</v>
      </c>
      <c r="AE37" s="46">
        <f t="shared" si="12"/>
        <v>324000</v>
      </c>
      <c r="AI37" s="505">
        <f t="shared" si="13"/>
        <v>81000</v>
      </c>
      <c r="AJ37" s="6">
        <f t="shared" si="14"/>
        <v>81000</v>
      </c>
      <c r="AK37" s="6">
        <f t="shared" si="15"/>
        <v>81000</v>
      </c>
      <c r="AL37" s="6">
        <f t="shared" si="16"/>
        <v>81000</v>
      </c>
      <c r="AM37" s="6">
        <f t="shared" si="17"/>
        <v>324000</v>
      </c>
      <c r="AN37" s="6">
        <f t="shared" si="18"/>
        <v>0</v>
      </c>
      <c r="AP37" s="6">
        <f t="shared" si="19"/>
        <v>162000</v>
      </c>
      <c r="AQ37" s="6">
        <f t="shared" si="20"/>
        <v>162000</v>
      </c>
      <c r="AR37" s="6">
        <f t="shared" si="21"/>
        <v>0</v>
      </c>
    </row>
    <row r="38" spans="2:44" ht="14.4" hidden="1">
      <c r="B38" s="561" t="s">
        <v>1032</v>
      </c>
      <c r="C38" s="557" t="s">
        <v>1033</v>
      </c>
      <c r="D38" s="557" t="s">
        <v>1034</v>
      </c>
      <c r="E38" s="559" t="s">
        <v>17</v>
      </c>
      <c r="F38" s="559" t="s">
        <v>17</v>
      </c>
      <c r="G38" s="557" t="s">
        <v>95</v>
      </c>
      <c r="H38" s="557">
        <v>2026</v>
      </c>
      <c r="I38" s="557" t="s">
        <v>785</v>
      </c>
      <c r="J38" s="557" t="s">
        <v>203</v>
      </c>
      <c r="K38" s="557" t="s">
        <v>204</v>
      </c>
      <c r="L38" s="557" t="s">
        <v>205</v>
      </c>
      <c r="M38" s="557" t="s">
        <v>721</v>
      </c>
      <c r="N38" s="557" t="s">
        <v>969</v>
      </c>
      <c r="O38" s="557" t="s">
        <v>969</v>
      </c>
      <c r="P38" s="560" t="s">
        <v>982</v>
      </c>
      <c r="Q38" s="560" t="s">
        <v>1076</v>
      </c>
      <c r="R38" s="560" t="s">
        <v>1076</v>
      </c>
      <c r="S38" s="40">
        <f>SUMIFS('Sales HC by Dept &amp; T&amp;E Segment'!AL:AL,'Sales HC by Dept &amp; T&amp;E Segment'!$F:$F,$P38,'Sales HC by Dept &amp; T&amp;E Segment'!$G:$G,$G38)</f>
        <v>63000</v>
      </c>
      <c r="T38" s="40">
        <f>SUMIFS('Sales HC by Dept &amp; T&amp;E Segment'!AM:AM,'Sales HC by Dept &amp; T&amp;E Segment'!$F:$F,$P38,'Sales HC by Dept &amp; T&amp;E Segment'!$G:$G,$G38)</f>
        <v>63000</v>
      </c>
      <c r="U38" s="40">
        <f>SUMIFS('Sales HC by Dept &amp; T&amp;E Segment'!AN:AN,'Sales HC by Dept &amp; T&amp;E Segment'!$F:$F,$P38,'Sales HC by Dept &amp; T&amp;E Segment'!$G:$G,$G38)</f>
        <v>63000</v>
      </c>
      <c r="V38" s="40">
        <f>SUMIFS('Sales HC by Dept &amp; T&amp;E Segment'!AO:AO,'Sales HC by Dept &amp; T&amp;E Segment'!$F:$F,$P38,'Sales HC by Dept &amp; T&amp;E Segment'!$G:$G,$G38)</f>
        <v>63000</v>
      </c>
      <c r="W38" s="40">
        <f>SUMIFS('Sales HC by Dept &amp; T&amp;E Segment'!AP:AP,'Sales HC by Dept &amp; T&amp;E Segment'!$F:$F,$P38,'Sales HC by Dept &amp; T&amp;E Segment'!$G:$G,$G38)</f>
        <v>63000</v>
      </c>
      <c r="X38" s="40">
        <f>SUMIFS('Sales HC by Dept &amp; T&amp;E Segment'!AQ:AQ,'Sales HC by Dept &amp; T&amp;E Segment'!$F:$F,$P38,'Sales HC by Dept &amp; T&amp;E Segment'!$G:$G,$G38)</f>
        <v>63000</v>
      </c>
      <c r="Y38" s="40">
        <f>SUMIFS('Sales HC by Dept &amp; T&amp;E Segment'!AR:AR,'Sales HC by Dept &amp; T&amp;E Segment'!$F:$F,$P38,'Sales HC by Dept &amp; T&amp;E Segment'!$G:$G,$G38)</f>
        <v>63000</v>
      </c>
      <c r="Z38" s="40">
        <f>SUMIFS('Sales HC by Dept &amp; T&amp;E Segment'!AS:AS,'Sales HC by Dept &amp; T&amp;E Segment'!$F:$F,$P38,'Sales HC by Dept &amp; T&amp;E Segment'!$G:$G,$G38)</f>
        <v>63000</v>
      </c>
      <c r="AA38" s="40">
        <f>SUMIFS('Sales HC by Dept &amp; T&amp;E Segment'!AT:AT,'Sales HC by Dept &amp; T&amp;E Segment'!$F:$F,$P38,'Sales HC by Dept &amp; T&amp;E Segment'!$G:$G,$G38)</f>
        <v>63000</v>
      </c>
      <c r="AB38" s="40">
        <f>SUMIFS('Sales HC by Dept &amp; T&amp;E Segment'!AU:AU,'Sales HC by Dept &amp; T&amp;E Segment'!$F:$F,$P38,'Sales HC by Dept &amp; T&amp;E Segment'!$G:$G,$G38)</f>
        <v>63000</v>
      </c>
      <c r="AC38" s="40">
        <f>SUMIFS('Sales HC by Dept &amp; T&amp;E Segment'!AV:AV,'Sales HC by Dept &amp; T&amp;E Segment'!$F:$F,$P38,'Sales HC by Dept &amp; T&amp;E Segment'!$G:$G,$G38)</f>
        <v>63000</v>
      </c>
      <c r="AD38" s="40">
        <f>SUMIFS('Sales HC by Dept &amp; T&amp;E Segment'!AW:AW,'Sales HC by Dept &amp; T&amp;E Segment'!$F:$F,$P38,'Sales HC by Dept &amp; T&amp;E Segment'!$G:$G,$G38)</f>
        <v>63000</v>
      </c>
      <c r="AE38" s="46">
        <f t="shared" si="12"/>
        <v>756000</v>
      </c>
      <c r="AI38" s="505">
        <f t="shared" si="13"/>
        <v>189000</v>
      </c>
      <c r="AJ38" s="6">
        <f t="shared" si="14"/>
        <v>189000</v>
      </c>
      <c r="AK38" s="6">
        <f t="shared" si="15"/>
        <v>189000</v>
      </c>
      <c r="AL38" s="6">
        <f t="shared" si="16"/>
        <v>189000</v>
      </c>
      <c r="AM38" s="6">
        <f t="shared" si="17"/>
        <v>756000</v>
      </c>
      <c r="AN38" s="6">
        <f t="shared" si="18"/>
        <v>0</v>
      </c>
      <c r="AP38" s="6">
        <f t="shared" si="19"/>
        <v>378000</v>
      </c>
      <c r="AQ38" s="6">
        <f t="shared" si="20"/>
        <v>378000</v>
      </c>
      <c r="AR38" s="6">
        <f t="shared" si="21"/>
        <v>0</v>
      </c>
    </row>
    <row r="39" spans="2:44" ht="14.4" hidden="1">
      <c r="B39" s="561" t="s">
        <v>1035</v>
      </c>
      <c r="C39" s="557" t="s">
        <v>1036</v>
      </c>
      <c r="D39" s="557" t="s">
        <v>1037</v>
      </c>
      <c r="E39" s="559" t="s">
        <v>17</v>
      </c>
      <c r="F39" s="559" t="s">
        <v>17</v>
      </c>
      <c r="G39" s="557" t="s">
        <v>95</v>
      </c>
      <c r="H39" s="557">
        <v>2026</v>
      </c>
      <c r="I39" s="557" t="s">
        <v>785</v>
      </c>
      <c r="J39" s="557" t="s">
        <v>203</v>
      </c>
      <c r="K39" s="557" t="s">
        <v>204</v>
      </c>
      <c r="L39" s="557" t="s">
        <v>205</v>
      </c>
      <c r="M39" s="557" t="s">
        <v>721</v>
      </c>
      <c r="N39" s="557" t="s">
        <v>970</v>
      </c>
      <c r="O39" s="557" t="s">
        <v>970</v>
      </c>
      <c r="P39" s="560" t="s">
        <v>983</v>
      </c>
      <c r="Q39" s="560" t="s">
        <v>1076</v>
      </c>
      <c r="R39" s="560" t="s">
        <v>1076</v>
      </c>
      <c r="S39" s="40">
        <f>SUMIFS('Sales HC by Dept &amp; T&amp;E Segment'!AL:AL,'Sales HC by Dept &amp; T&amp;E Segment'!$F:$F,$P39,'Sales HC by Dept &amp; T&amp;E Segment'!$G:$G,$G39)</f>
        <v>39000</v>
      </c>
      <c r="T39" s="40">
        <f>SUMIFS('Sales HC by Dept &amp; T&amp;E Segment'!AM:AM,'Sales HC by Dept &amp; T&amp;E Segment'!$F:$F,$P39,'Sales HC by Dept &amp; T&amp;E Segment'!$G:$G,$G39)</f>
        <v>39000</v>
      </c>
      <c r="U39" s="40">
        <f>SUMIFS('Sales HC by Dept &amp; T&amp;E Segment'!AN:AN,'Sales HC by Dept &amp; T&amp;E Segment'!$F:$F,$P39,'Sales HC by Dept &amp; T&amp;E Segment'!$G:$G,$G39)</f>
        <v>39000</v>
      </c>
      <c r="V39" s="40">
        <f>SUMIFS('Sales HC by Dept &amp; T&amp;E Segment'!AO:AO,'Sales HC by Dept &amp; T&amp;E Segment'!$F:$F,$P39,'Sales HC by Dept &amp; T&amp;E Segment'!$G:$G,$G39)</f>
        <v>39000</v>
      </c>
      <c r="W39" s="40">
        <f>SUMIFS('Sales HC by Dept &amp; T&amp;E Segment'!AP:AP,'Sales HC by Dept &amp; T&amp;E Segment'!$F:$F,$P39,'Sales HC by Dept &amp; T&amp;E Segment'!$G:$G,$G39)</f>
        <v>39000</v>
      </c>
      <c r="X39" s="40">
        <f>SUMIFS('Sales HC by Dept &amp; T&amp;E Segment'!AQ:AQ,'Sales HC by Dept &amp; T&amp;E Segment'!$F:$F,$P39,'Sales HC by Dept &amp; T&amp;E Segment'!$G:$G,$G39)</f>
        <v>39000</v>
      </c>
      <c r="Y39" s="40">
        <f>SUMIFS('Sales HC by Dept &amp; T&amp;E Segment'!AR:AR,'Sales HC by Dept &amp; T&amp;E Segment'!$F:$F,$P39,'Sales HC by Dept &amp; T&amp;E Segment'!$G:$G,$G39)</f>
        <v>39000</v>
      </c>
      <c r="Z39" s="40">
        <f>SUMIFS('Sales HC by Dept &amp; T&amp;E Segment'!AS:AS,'Sales HC by Dept &amp; T&amp;E Segment'!$F:$F,$P39,'Sales HC by Dept &amp; T&amp;E Segment'!$G:$G,$G39)</f>
        <v>39000</v>
      </c>
      <c r="AA39" s="40">
        <f>SUMIFS('Sales HC by Dept &amp; T&amp;E Segment'!AT:AT,'Sales HC by Dept &amp; T&amp;E Segment'!$F:$F,$P39,'Sales HC by Dept &amp; T&amp;E Segment'!$G:$G,$G39)</f>
        <v>39000</v>
      </c>
      <c r="AB39" s="40">
        <f>SUMIFS('Sales HC by Dept &amp; T&amp;E Segment'!AU:AU,'Sales HC by Dept &amp; T&amp;E Segment'!$F:$F,$P39,'Sales HC by Dept &amp; T&amp;E Segment'!$G:$G,$G39)</f>
        <v>39000</v>
      </c>
      <c r="AC39" s="40">
        <f>SUMIFS('Sales HC by Dept &amp; T&amp;E Segment'!AV:AV,'Sales HC by Dept &amp; T&amp;E Segment'!$F:$F,$P39,'Sales HC by Dept &amp; T&amp;E Segment'!$G:$G,$G39)</f>
        <v>39000</v>
      </c>
      <c r="AD39" s="40">
        <f>SUMIFS('Sales HC by Dept &amp; T&amp;E Segment'!AW:AW,'Sales HC by Dept &amp; T&amp;E Segment'!$F:$F,$P39,'Sales HC by Dept &amp; T&amp;E Segment'!$G:$G,$G39)</f>
        <v>39000</v>
      </c>
      <c r="AE39" s="46">
        <f t="shared" si="12"/>
        <v>468000</v>
      </c>
      <c r="AI39" s="505">
        <f t="shared" si="13"/>
        <v>117000</v>
      </c>
      <c r="AJ39" s="6">
        <f t="shared" si="14"/>
        <v>117000</v>
      </c>
      <c r="AK39" s="6">
        <f t="shared" si="15"/>
        <v>117000</v>
      </c>
      <c r="AL39" s="6">
        <f t="shared" si="16"/>
        <v>117000</v>
      </c>
      <c r="AM39" s="6">
        <f t="shared" si="17"/>
        <v>468000</v>
      </c>
      <c r="AN39" s="6">
        <f t="shared" si="18"/>
        <v>0</v>
      </c>
      <c r="AP39" s="6">
        <f t="shared" si="19"/>
        <v>234000</v>
      </c>
      <c r="AQ39" s="6">
        <f t="shared" si="20"/>
        <v>234000</v>
      </c>
      <c r="AR39" s="6">
        <f t="shared" si="21"/>
        <v>0</v>
      </c>
    </row>
    <row r="40" spans="2:44" ht="14.4" hidden="1">
      <c r="B40" s="561" t="s">
        <v>1038</v>
      </c>
      <c r="C40" s="557" t="s">
        <v>1039</v>
      </c>
      <c r="D40" s="557" t="s">
        <v>1040</v>
      </c>
      <c r="E40" s="559" t="s">
        <v>17</v>
      </c>
      <c r="F40" s="559" t="s">
        <v>17</v>
      </c>
      <c r="G40" s="557" t="s">
        <v>96</v>
      </c>
      <c r="H40" s="557">
        <v>2026</v>
      </c>
      <c r="I40" s="557" t="s">
        <v>785</v>
      </c>
      <c r="J40" s="557" t="s">
        <v>203</v>
      </c>
      <c r="K40" s="557" t="s">
        <v>204</v>
      </c>
      <c r="L40" s="557" t="s">
        <v>205</v>
      </c>
      <c r="M40" s="557" t="s">
        <v>721</v>
      </c>
      <c r="N40" s="557" t="s">
        <v>1005</v>
      </c>
      <c r="O40" s="557" t="s">
        <v>1005</v>
      </c>
      <c r="P40" s="560" t="s">
        <v>978</v>
      </c>
      <c r="Q40" s="560" t="s">
        <v>1076</v>
      </c>
      <c r="R40" s="560" t="s">
        <v>1076</v>
      </c>
      <c r="S40" s="40">
        <f>SUMIFS('Sales HC by Dept &amp; T&amp;E Segment'!AL:AL,'Sales HC by Dept &amp; T&amp;E Segment'!$F:$F,$P40,'Sales HC by Dept &amp; T&amp;E Segment'!$G:$G,$G40)</f>
        <v>73500</v>
      </c>
      <c r="T40" s="40">
        <f>SUMIFS('Sales HC by Dept &amp; T&amp;E Segment'!AM:AM,'Sales HC by Dept &amp; T&amp;E Segment'!$F:$F,$P40,'Sales HC by Dept &amp; T&amp;E Segment'!$G:$G,$G40)</f>
        <v>73500</v>
      </c>
      <c r="U40" s="40">
        <f>SUMIFS('Sales HC by Dept &amp; T&amp;E Segment'!AN:AN,'Sales HC by Dept &amp; T&amp;E Segment'!$F:$F,$P40,'Sales HC by Dept &amp; T&amp;E Segment'!$G:$G,$G40)</f>
        <v>73500</v>
      </c>
      <c r="V40" s="40">
        <f>SUMIFS('Sales HC by Dept &amp; T&amp;E Segment'!AO:AO,'Sales HC by Dept &amp; T&amp;E Segment'!$F:$F,$P40,'Sales HC by Dept &amp; T&amp;E Segment'!$G:$G,$G40)</f>
        <v>85500</v>
      </c>
      <c r="W40" s="40">
        <f>SUMIFS('Sales HC by Dept &amp; T&amp;E Segment'!AP:AP,'Sales HC by Dept &amp; T&amp;E Segment'!$F:$F,$P40,'Sales HC by Dept &amp; T&amp;E Segment'!$G:$G,$G40)</f>
        <v>85500</v>
      </c>
      <c r="X40" s="40">
        <f>SUMIFS('Sales HC by Dept &amp; T&amp;E Segment'!AQ:AQ,'Sales HC by Dept &amp; T&amp;E Segment'!$F:$F,$P40,'Sales HC by Dept &amp; T&amp;E Segment'!$G:$G,$G40)</f>
        <v>85500</v>
      </c>
      <c r="Y40" s="40">
        <f>SUMIFS('Sales HC by Dept &amp; T&amp;E Segment'!AR:AR,'Sales HC by Dept &amp; T&amp;E Segment'!$F:$F,$P40,'Sales HC by Dept &amp; T&amp;E Segment'!$G:$G,$G40)</f>
        <v>85500</v>
      </c>
      <c r="Z40" s="40">
        <f>SUMIFS('Sales HC by Dept &amp; T&amp;E Segment'!AS:AS,'Sales HC by Dept &amp; T&amp;E Segment'!$F:$F,$P40,'Sales HC by Dept &amp; T&amp;E Segment'!$G:$G,$G40)</f>
        <v>85500</v>
      </c>
      <c r="AA40" s="40">
        <f>SUMIFS('Sales HC by Dept &amp; T&amp;E Segment'!AT:AT,'Sales HC by Dept &amp; T&amp;E Segment'!$F:$F,$P40,'Sales HC by Dept &amp; T&amp;E Segment'!$G:$G,$G40)</f>
        <v>85500</v>
      </c>
      <c r="AB40" s="40">
        <f>SUMIFS('Sales HC by Dept &amp; T&amp;E Segment'!AU:AU,'Sales HC by Dept &amp; T&amp;E Segment'!$F:$F,$P40,'Sales HC by Dept &amp; T&amp;E Segment'!$G:$G,$G40)</f>
        <v>85500</v>
      </c>
      <c r="AC40" s="40">
        <f>SUMIFS('Sales HC by Dept &amp; T&amp;E Segment'!AV:AV,'Sales HC by Dept &amp; T&amp;E Segment'!$F:$F,$P40,'Sales HC by Dept &amp; T&amp;E Segment'!$G:$G,$G40)</f>
        <v>85500</v>
      </c>
      <c r="AD40" s="40">
        <f>SUMIFS('Sales HC by Dept &amp; T&amp;E Segment'!AW:AW,'Sales HC by Dept &amp; T&amp;E Segment'!$F:$F,$P40,'Sales HC by Dept &amp; T&amp;E Segment'!$G:$G,$G40)</f>
        <v>85500</v>
      </c>
      <c r="AE40" s="46">
        <f t="shared" si="12"/>
        <v>990000</v>
      </c>
      <c r="AI40" s="505">
        <f t="shared" si="13"/>
        <v>220500</v>
      </c>
      <c r="AJ40" s="6">
        <f t="shared" si="14"/>
        <v>256500</v>
      </c>
      <c r="AK40" s="6">
        <f t="shared" si="15"/>
        <v>256500</v>
      </c>
      <c r="AL40" s="6">
        <f t="shared" si="16"/>
        <v>256500</v>
      </c>
      <c r="AM40" s="6">
        <f t="shared" si="17"/>
        <v>990000</v>
      </c>
      <c r="AN40" s="6">
        <f t="shared" si="18"/>
        <v>0</v>
      </c>
      <c r="AP40" s="505">
        <f t="shared" si="19"/>
        <v>477000</v>
      </c>
      <c r="AQ40" s="6">
        <f t="shared" si="20"/>
        <v>513000</v>
      </c>
      <c r="AR40" s="6">
        <f t="shared" si="21"/>
        <v>0</v>
      </c>
    </row>
    <row r="41" spans="2:44" ht="14.4" hidden="1">
      <c r="B41" s="561" t="s">
        <v>1041</v>
      </c>
      <c r="C41" s="557" t="s">
        <v>1042</v>
      </c>
      <c r="D41" s="557" t="s">
        <v>1043</v>
      </c>
      <c r="E41" s="559" t="s">
        <v>17</v>
      </c>
      <c r="F41" s="559" t="s">
        <v>17</v>
      </c>
      <c r="G41" s="557" t="s">
        <v>96</v>
      </c>
      <c r="H41" s="557">
        <v>2026</v>
      </c>
      <c r="I41" s="557" t="s">
        <v>785</v>
      </c>
      <c r="J41" s="557" t="s">
        <v>203</v>
      </c>
      <c r="K41" s="557" t="s">
        <v>204</v>
      </c>
      <c r="L41" s="557" t="s">
        <v>205</v>
      </c>
      <c r="M41" s="557" t="s">
        <v>721</v>
      </c>
      <c r="N41" s="557" t="s">
        <v>1009</v>
      </c>
      <c r="O41" s="557" t="s">
        <v>1009</v>
      </c>
      <c r="P41" s="560" t="s">
        <v>979</v>
      </c>
      <c r="Q41" s="560" t="s">
        <v>1076</v>
      </c>
      <c r="R41" s="560" t="s">
        <v>1076</v>
      </c>
      <c r="S41" s="40">
        <f>SUMIFS('Sales HC by Dept &amp; T&amp;E Segment'!AL:AL,'Sales HC by Dept &amp; T&amp;E Segment'!$F:$F,$P41,'Sales HC by Dept &amp; T&amp;E Segment'!$G:$G,$G41)</f>
        <v>70500</v>
      </c>
      <c r="T41" s="40">
        <f>SUMIFS('Sales HC by Dept &amp; T&amp;E Segment'!AM:AM,'Sales HC by Dept &amp; T&amp;E Segment'!$F:$F,$P41,'Sales HC by Dept &amp; T&amp;E Segment'!$G:$G,$G41)</f>
        <v>70500</v>
      </c>
      <c r="U41" s="40">
        <f>SUMIFS('Sales HC by Dept &amp; T&amp;E Segment'!AN:AN,'Sales HC by Dept &amp; T&amp;E Segment'!$F:$F,$P41,'Sales HC by Dept &amp; T&amp;E Segment'!$G:$G,$G41)</f>
        <v>70500</v>
      </c>
      <c r="V41" s="40">
        <f>SUMIFS('Sales HC by Dept &amp; T&amp;E Segment'!AO:AO,'Sales HC by Dept &amp; T&amp;E Segment'!$F:$F,$P41,'Sales HC by Dept &amp; T&amp;E Segment'!$G:$G,$G41)</f>
        <v>79500</v>
      </c>
      <c r="W41" s="40">
        <f>SUMIFS('Sales HC by Dept &amp; T&amp;E Segment'!AP:AP,'Sales HC by Dept &amp; T&amp;E Segment'!$F:$F,$P41,'Sales HC by Dept &amp; T&amp;E Segment'!$G:$G,$G41)</f>
        <v>79500</v>
      </c>
      <c r="X41" s="40">
        <f>SUMIFS('Sales HC by Dept &amp; T&amp;E Segment'!AQ:AQ,'Sales HC by Dept &amp; T&amp;E Segment'!$F:$F,$P41,'Sales HC by Dept &amp; T&amp;E Segment'!$G:$G,$G41)</f>
        <v>79500</v>
      </c>
      <c r="Y41" s="40">
        <f>SUMIFS('Sales HC by Dept &amp; T&amp;E Segment'!AR:AR,'Sales HC by Dept &amp; T&amp;E Segment'!$F:$F,$P41,'Sales HC by Dept &amp; T&amp;E Segment'!$G:$G,$G41)</f>
        <v>79500</v>
      </c>
      <c r="Z41" s="40">
        <f>SUMIFS('Sales HC by Dept &amp; T&amp;E Segment'!AS:AS,'Sales HC by Dept &amp; T&amp;E Segment'!$F:$F,$P41,'Sales HC by Dept &amp; T&amp;E Segment'!$G:$G,$G41)</f>
        <v>79500</v>
      </c>
      <c r="AA41" s="40">
        <f>SUMIFS('Sales HC by Dept &amp; T&amp;E Segment'!AT:AT,'Sales HC by Dept &amp; T&amp;E Segment'!$F:$F,$P41,'Sales HC by Dept &amp; T&amp;E Segment'!$G:$G,$G41)</f>
        <v>79500</v>
      </c>
      <c r="AB41" s="40">
        <f>SUMIFS('Sales HC by Dept &amp; T&amp;E Segment'!AU:AU,'Sales HC by Dept &amp; T&amp;E Segment'!$F:$F,$P41,'Sales HC by Dept &amp; T&amp;E Segment'!$G:$G,$G41)</f>
        <v>79500</v>
      </c>
      <c r="AC41" s="40">
        <f>SUMIFS('Sales HC by Dept &amp; T&amp;E Segment'!AV:AV,'Sales HC by Dept &amp; T&amp;E Segment'!$F:$F,$P41,'Sales HC by Dept &amp; T&amp;E Segment'!$G:$G,$G41)</f>
        <v>79500</v>
      </c>
      <c r="AD41" s="40">
        <f>SUMIFS('Sales HC by Dept &amp; T&amp;E Segment'!AW:AW,'Sales HC by Dept &amp; T&amp;E Segment'!$F:$F,$P41,'Sales HC by Dept &amp; T&amp;E Segment'!$G:$G,$G41)</f>
        <v>79500</v>
      </c>
      <c r="AE41" s="46">
        <f t="shared" si="12"/>
        <v>927000</v>
      </c>
      <c r="AI41" s="505">
        <f t="shared" si="13"/>
        <v>211500</v>
      </c>
      <c r="AJ41" s="6">
        <f t="shared" si="14"/>
        <v>238500</v>
      </c>
      <c r="AK41" s="6">
        <f t="shared" si="15"/>
        <v>238500</v>
      </c>
      <c r="AL41" s="6">
        <f t="shared" si="16"/>
        <v>238500</v>
      </c>
      <c r="AM41" s="6">
        <f t="shared" si="17"/>
        <v>927000</v>
      </c>
      <c r="AN41" s="6">
        <f t="shared" si="18"/>
        <v>0</v>
      </c>
      <c r="AP41" s="505">
        <f t="shared" si="19"/>
        <v>450000</v>
      </c>
      <c r="AQ41" s="6">
        <f t="shared" si="20"/>
        <v>477000</v>
      </c>
      <c r="AR41" s="6">
        <f t="shared" si="21"/>
        <v>0</v>
      </c>
    </row>
    <row r="42" spans="2:44" ht="14.4" hidden="1">
      <c r="B42" s="561" t="s">
        <v>1044</v>
      </c>
      <c r="C42" s="557" t="s">
        <v>1045</v>
      </c>
      <c r="D42" s="557" t="s">
        <v>1046</v>
      </c>
      <c r="E42" s="559" t="s">
        <v>17</v>
      </c>
      <c r="F42" s="559" t="s">
        <v>17</v>
      </c>
      <c r="G42" s="557" t="s">
        <v>96</v>
      </c>
      <c r="H42" s="557">
        <v>2026</v>
      </c>
      <c r="I42" s="557" t="s">
        <v>785</v>
      </c>
      <c r="J42" s="557" t="s">
        <v>203</v>
      </c>
      <c r="K42" s="557" t="s">
        <v>204</v>
      </c>
      <c r="L42" s="557" t="s">
        <v>205</v>
      </c>
      <c r="M42" s="557" t="s">
        <v>721</v>
      </c>
      <c r="N42" s="557" t="s">
        <v>1013</v>
      </c>
      <c r="O42" s="557" t="s">
        <v>1013</v>
      </c>
      <c r="P42" s="560" t="s">
        <v>980</v>
      </c>
      <c r="Q42" s="560" t="s">
        <v>1076</v>
      </c>
      <c r="R42" s="560" t="s">
        <v>1076</v>
      </c>
      <c r="S42" s="40">
        <f>SUMIFS('Sales HC by Dept &amp; T&amp;E Segment'!AL:AL,'Sales HC by Dept &amp; T&amp;E Segment'!$F:$F,$P42,'Sales HC by Dept &amp; T&amp;E Segment'!$G:$G,$G42)</f>
        <v>76500</v>
      </c>
      <c r="T42" s="40">
        <f>SUMIFS('Sales HC by Dept &amp; T&amp;E Segment'!AM:AM,'Sales HC by Dept &amp; T&amp;E Segment'!$F:$F,$P42,'Sales HC by Dept &amp; T&amp;E Segment'!$G:$G,$G42)</f>
        <v>76500</v>
      </c>
      <c r="U42" s="40">
        <f>SUMIFS('Sales HC by Dept &amp; T&amp;E Segment'!AN:AN,'Sales HC by Dept &amp; T&amp;E Segment'!$F:$F,$P42,'Sales HC by Dept &amp; T&amp;E Segment'!$G:$G,$G42)</f>
        <v>76500</v>
      </c>
      <c r="V42" s="40">
        <f>SUMIFS('Sales HC by Dept &amp; T&amp;E Segment'!AO:AO,'Sales HC by Dept &amp; T&amp;E Segment'!$F:$F,$P42,'Sales HC by Dept &amp; T&amp;E Segment'!$G:$G,$G42)</f>
        <v>85500</v>
      </c>
      <c r="W42" s="40">
        <f>SUMIFS('Sales HC by Dept &amp; T&amp;E Segment'!AP:AP,'Sales HC by Dept &amp; T&amp;E Segment'!$F:$F,$P42,'Sales HC by Dept &amp; T&amp;E Segment'!$G:$G,$G42)</f>
        <v>85500</v>
      </c>
      <c r="X42" s="40">
        <f>SUMIFS('Sales HC by Dept &amp; T&amp;E Segment'!AQ:AQ,'Sales HC by Dept &amp; T&amp;E Segment'!$F:$F,$P42,'Sales HC by Dept &amp; T&amp;E Segment'!$G:$G,$G42)</f>
        <v>85500</v>
      </c>
      <c r="Y42" s="40">
        <f>SUMIFS('Sales HC by Dept &amp; T&amp;E Segment'!AR:AR,'Sales HC by Dept &amp; T&amp;E Segment'!$F:$F,$P42,'Sales HC by Dept &amp; T&amp;E Segment'!$G:$G,$G42)</f>
        <v>85500</v>
      </c>
      <c r="Z42" s="40">
        <f>SUMIFS('Sales HC by Dept &amp; T&amp;E Segment'!AS:AS,'Sales HC by Dept &amp; T&amp;E Segment'!$F:$F,$P42,'Sales HC by Dept &amp; T&amp;E Segment'!$G:$G,$G42)</f>
        <v>85500</v>
      </c>
      <c r="AA42" s="40">
        <f>SUMIFS('Sales HC by Dept &amp; T&amp;E Segment'!AT:AT,'Sales HC by Dept &amp; T&amp;E Segment'!$F:$F,$P42,'Sales HC by Dept &amp; T&amp;E Segment'!$G:$G,$G42)</f>
        <v>85500</v>
      </c>
      <c r="AB42" s="40">
        <f>SUMIFS('Sales HC by Dept &amp; T&amp;E Segment'!AU:AU,'Sales HC by Dept &amp; T&amp;E Segment'!$F:$F,$P42,'Sales HC by Dept &amp; T&amp;E Segment'!$G:$G,$G42)</f>
        <v>85500</v>
      </c>
      <c r="AC42" s="40">
        <f>SUMIFS('Sales HC by Dept &amp; T&amp;E Segment'!AV:AV,'Sales HC by Dept &amp; T&amp;E Segment'!$F:$F,$P42,'Sales HC by Dept &amp; T&amp;E Segment'!$G:$G,$G42)</f>
        <v>85500</v>
      </c>
      <c r="AD42" s="40">
        <f>SUMIFS('Sales HC by Dept &amp; T&amp;E Segment'!AW:AW,'Sales HC by Dept &amp; T&amp;E Segment'!$F:$F,$P42,'Sales HC by Dept &amp; T&amp;E Segment'!$G:$G,$G42)</f>
        <v>85500</v>
      </c>
      <c r="AE42" s="46">
        <f t="shared" si="12"/>
        <v>999000</v>
      </c>
      <c r="AI42" s="505">
        <f t="shared" si="13"/>
        <v>229500</v>
      </c>
      <c r="AJ42" s="6">
        <f t="shared" si="14"/>
        <v>256500</v>
      </c>
      <c r="AK42" s="6">
        <f t="shared" si="15"/>
        <v>256500</v>
      </c>
      <c r="AL42" s="6">
        <f t="shared" si="16"/>
        <v>256500</v>
      </c>
      <c r="AM42" s="6">
        <f t="shared" si="17"/>
        <v>999000</v>
      </c>
      <c r="AN42" s="6">
        <f t="shared" si="18"/>
        <v>0</v>
      </c>
      <c r="AP42" s="505">
        <f t="shared" si="19"/>
        <v>486000</v>
      </c>
      <c r="AQ42" s="6">
        <f t="shared" si="20"/>
        <v>513000</v>
      </c>
      <c r="AR42" s="6">
        <f t="shared" si="21"/>
        <v>0</v>
      </c>
    </row>
    <row r="43" spans="2:44" ht="14.4" hidden="1">
      <c r="B43" s="561" t="s">
        <v>1047</v>
      </c>
      <c r="C43" s="557" t="s">
        <v>1048</v>
      </c>
      <c r="D43" s="557" t="s">
        <v>1049</v>
      </c>
      <c r="E43" s="559" t="s">
        <v>17</v>
      </c>
      <c r="F43" s="559" t="s">
        <v>17</v>
      </c>
      <c r="G43" s="557" t="s">
        <v>96</v>
      </c>
      <c r="H43" s="557">
        <v>2026</v>
      </c>
      <c r="I43" s="557" t="s">
        <v>785</v>
      </c>
      <c r="J43" s="557" t="s">
        <v>203</v>
      </c>
      <c r="K43" s="557" t="s">
        <v>204</v>
      </c>
      <c r="L43" s="557" t="s">
        <v>205</v>
      </c>
      <c r="M43" s="557" t="s">
        <v>721</v>
      </c>
      <c r="N43" s="557" t="s">
        <v>1017</v>
      </c>
      <c r="O43" s="557" t="s">
        <v>1017</v>
      </c>
      <c r="P43" s="560" t="s">
        <v>1071</v>
      </c>
      <c r="Q43" s="560" t="s">
        <v>1076</v>
      </c>
      <c r="R43" s="560" t="s">
        <v>1076</v>
      </c>
      <c r="S43" s="40">
        <f>SUMIFS('Sales HC by Dept &amp; T&amp;E Segment'!AL:AL,'Sales HC by Dept &amp; T&amp;E Segment'!$F:$F,$P43,'Sales HC by Dept &amp; T&amp;E Segment'!$G:$G,$G43)</f>
        <v>85500</v>
      </c>
      <c r="T43" s="40">
        <f>SUMIFS('Sales HC by Dept &amp; T&amp;E Segment'!AM:AM,'Sales HC by Dept &amp; T&amp;E Segment'!$F:$F,$P43,'Sales HC by Dept &amp; T&amp;E Segment'!$G:$G,$G43)</f>
        <v>85500</v>
      </c>
      <c r="U43" s="40">
        <f>SUMIFS('Sales HC by Dept &amp; T&amp;E Segment'!AN:AN,'Sales HC by Dept &amp; T&amp;E Segment'!$F:$F,$P43,'Sales HC by Dept &amp; T&amp;E Segment'!$G:$G,$G43)</f>
        <v>85500</v>
      </c>
      <c r="V43" s="40">
        <f>SUMIFS('Sales HC by Dept &amp; T&amp;E Segment'!AO:AO,'Sales HC by Dept &amp; T&amp;E Segment'!$F:$F,$P43,'Sales HC by Dept &amp; T&amp;E Segment'!$G:$G,$G43)</f>
        <v>100500</v>
      </c>
      <c r="W43" s="40">
        <f>SUMIFS('Sales HC by Dept &amp; T&amp;E Segment'!AP:AP,'Sales HC by Dept &amp; T&amp;E Segment'!$F:$F,$P43,'Sales HC by Dept &amp; T&amp;E Segment'!$G:$G,$G43)</f>
        <v>100500</v>
      </c>
      <c r="X43" s="40">
        <f>SUMIFS('Sales HC by Dept &amp; T&amp;E Segment'!AQ:AQ,'Sales HC by Dept &amp; T&amp;E Segment'!$F:$F,$P43,'Sales HC by Dept &amp; T&amp;E Segment'!$G:$G,$G43)</f>
        <v>100500</v>
      </c>
      <c r="Y43" s="40">
        <f>SUMIFS('Sales HC by Dept &amp; T&amp;E Segment'!AR:AR,'Sales HC by Dept &amp; T&amp;E Segment'!$F:$F,$P43,'Sales HC by Dept &amp; T&amp;E Segment'!$G:$G,$G43)</f>
        <v>100500</v>
      </c>
      <c r="Z43" s="40">
        <f>SUMIFS('Sales HC by Dept &amp; T&amp;E Segment'!AS:AS,'Sales HC by Dept &amp; T&amp;E Segment'!$F:$F,$P43,'Sales HC by Dept &amp; T&amp;E Segment'!$G:$G,$G43)</f>
        <v>100500</v>
      </c>
      <c r="AA43" s="40">
        <f>SUMIFS('Sales HC by Dept &amp; T&amp;E Segment'!AT:AT,'Sales HC by Dept &amp; T&amp;E Segment'!$F:$F,$P43,'Sales HC by Dept &amp; T&amp;E Segment'!$G:$G,$G43)</f>
        <v>100500</v>
      </c>
      <c r="AB43" s="40">
        <f>SUMIFS('Sales HC by Dept &amp; T&amp;E Segment'!AU:AU,'Sales HC by Dept &amp; T&amp;E Segment'!$F:$F,$P43,'Sales HC by Dept &amp; T&amp;E Segment'!$G:$G,$G43)</f>
        <v>100500</v>
      </c>
      <c r="AC43" s="40">
        <f>SUMIFS('Sales HC by Dept &amp; T&amp;E Segment'!AV:AV,'Sales HC by Dept &amp; T&amp;E Segment'!$F:$F,$P43,'Sales HC by Dept &amp; T&amp;E Segment'!$G:$G,$G43)</f>
        <v>100500</v>
      </c>
      <c r="AD43" s="40">
        <f>SUMIFS('Sales HC by Dept &amp; T&amp;E Segment'!AW:AW,'Sales HC by Dept &amp; T&amp;E Segment'!$F:$F,$P43,'Sales HC by Dept &amp; T&amp;E Segment'!$G:$G,$G43)</f>
        <v>100500</v>
      </c>
      <c r="AE43" s="46">
        <f t="shared" si="12"/>
        <v>1161000</v>
      </c>
      <c r="AI43" s="505">
        <f t="shared" si="13"/>
        <v>256500</v>
      </c>
      <c r="AJ43" s="6">
        <f t="shared" si="14"/>
        <v>301500</v>
      </c>
      <c r="AK43" s="6">
        <f t="shared" si="15"/>
        <v>301500</v>
      </c>
      <c r="AL43" s="6">
        <f t="shared" si="16"/>
        <v>301500</v>
      </c>
      <c r="AM43" s="6">
        <f t="shared" si="17"/>
        <v>1161000</v>
      </c>
      <c r="AN43" s="6">
        <f t="shared" si="18"/>
        <v>0</v>
      </c>
      <c r="AP43" s="505">
        <f t="shared" si="19"/>
        <v>558000</v>
      </c>
      <c r="AQ43" s="6">
        <f t="shared" si="20"/>
        <v>603000</v>
      </c>
      <c r="AR43" s="6">
        <f t="shared" si="21"/>
        <v>0</v>
      </c>
    </row>
    <row r="44" spans="2:44" ht="14.4" hidden="1">
      <c r="B44" s="561" t="s">
        <v>1050</v>
      </c>
      <c r="C44" s="557" t="s">
        <v>1051</v>
      </c>
      <c r="D44" s="557" t="s">
        <v>1052</v>
      </c>
      <c r="E44" s="559" t="s">
        <v>17</v>
      </c>
      <c r="F44" s="559" t="s">
        <v>17</v>
      </c>
      <c r="G44" s="557" t="s">
        <v>96</v>
      </c>
      <c r="H44" s="557">
        <v>2026</v>
      </c>
      <c r="I44" s="557" t="s">
        <v>785</v>
      </c>
      <c r="J44" s="557" t="s">
        <v>203</v>
      </c>
      <c r="K44" s="557" t="s">
        <v>204</v>
      </c>
      <c r="L44" s="557" t="s">
        <v>205</v>
      </c>
      <c r="M44" s="557" t="s">
        <v>721</v>
      </c>
      <c r="N44" s="557" t="s">
        <v>1021</v>
      </c>
      <c r="O44" s="557" t="s">
        <v>1021</v>
      </c>
      <c r="P44" s="560" t="s">
        <v>976</v>
      </c>
      <c r="Q44" s="560" t="s">
        <v>1076</v>
      </c>
      <c r="R44" s="560" t="s">
        <v>1076</v>
      </c>
      <c r="S44" s="40">
        <f>SUMIFS('Sales HC by Dept &amp; T&amp;E Segment'!AL:AL,'Sales HC by Dept &amp; T&amp;E Segment'!$F:$F,$P44,'Sales HC by Dept &amp; T&amp;E Segment'!$G:$G,$G44)</f>
        <v>130500</v>
      </c>
      <c r="T44" s="40">
        <f>SUMIFS('Sales HC by Dept &amp; T&amp;E Segment'!AM:AM,'Sales HC by Dept &amp; T&amp;E Segment'!$F:$F,$P44,'Sales HC by Dept &amp; T&amp;E Segment'!$G:$G,$G44)</f>
        <v>130500</v>
      </c>
      <c r="U44" s="40">
        <f>SUMIFS('Sales HC by Dept &amp; T&amp;E Segment'!AN:AN,'Sales HC by Dept &amp; T&amp;E Segment'!$F:$F,$P44,'Sales HC by Dept &amp; T&amp;E Segment'!$G:$G,$G44)</f>
        <v>130500</v>
      </c>
      <c r="V44" s="40">
        <f>SUMIFS('Sales HC by Dept &amp; T&amp;E Segment'!AO:AO,'Sales HC by Dept &amp; T&amp;E Segment'!$F:$F,$P44,'Sales HC by Dept &amp; T&amp;E Segment'!$G:$G,$G44)</f>
        <v>148500</v>
      </c>
      <c r="W44" s="40">
        <f>SUMIFS('Sales HC by Dept &amp; T&amp;E Segment'!AP:AP,'Sales HC by Dept &amp; T&amp;E Segment'!$F:$F,$P44,'Sales HC by Dept &amp; T&amp;E Segment'!$G:$G,$G44)</f>
        <v>148500</v>
      </c>
      <c r="X44" s="40">
        <f>SUMIFS('Sales HC by Dept &amp; T&amp;E Segment'!AQ:AQ,'Sales HC by Dept &amp; T&amp;E Segment'!$F:$F,$P44,'Sales HC by Dept &amp; T&amp;E Segment'!$G:$G,$G44)</f>
        <v>148500</v>
      </c>
      <c r="Y44" s="40">
        <f>SUMIFS('Sales HC by Dept &amp; T&amp;E Segment'!AR:AR,'Sales HC by Dept &amp; T&amp;E Segment'!$F:$F,$P44,'Sales HC by Dept &amp; T&amp;E Segment'!$G:$G,$G44)</f>
        <v>148500</v>
      </c>
      <c r="Z44" s="40">
        <f>SUMIFS('Sales HC by Dept &amp; T&amp;E Segment'!AS:AS,'Sales HC by Dept &amp; T&amp;E Segment'!$F:$F,$P44,'Sales HC by Dept &amp; T&amp;E Segment'!$G:$G,$G44)</f>
        <v>148500</v>
      </c>
      <c r="AA44" s="40">
        <f>SUMIFS('Sales HC by Dept &amp; T&amp;E Segment'!AT:AT,'Sales HC by Dept &amp; T&amp;E Segment'!$F:$F,$P44,'Sales HC by Dept &amp; T&amp;E Segment'!$G:$G,$G44)</f>
        <v>148500</v>
      </c>
      <c r="AB44" s="40">
        <f>SUMIFS('Sales HC by Dept &amp; T&amp;E Segment'!AU:AU,'Sales HC by Dept &amp; T&amp;E Segment'!$F:$F,$P44,'Sales HC by Dept &amp; T&amp;E Segment'!$G:$G,$G44)</f>
        <v>148500</v>
      </c>
      <c r="AC44" s="40">
        <f>SUMIFS('Sales HC by Dept &amp; T&amp;E Segment'!AV:AV,'Sales HC by Dept &amp; T&amp;E Segment'!$F:$F,$P44,'Sales HC by Dept &amp; T&amp;E Segment'!$G:$G,$G44)</f>
        <v>148500</v>
      </c>
      <c r="AD44" s="40">
        <f>SUMIFS('Sales HC by Dept &amp; T&amp;E Segment'!AW:AW,'Sales HC by Dept &amp; T&amp;E Segment'!$F:$F,$P44,'Sales HC by Dept &amp; T&amp;E Segment'!$G:$G,$G44)</f>
        <v>148500</v>
      </c>
      <c r="AE44" s="46">
        <f t="shared" si="12"/>
        <v>1728000</v>
      </c>
      <c r="AI44" s="505">
        <f t="shared" si="13"/>
        <v>391500</v>
      </c>
      <c r="AJ44" s="6">
        <f t="shared" si="14"/>
        <v>445500</v>
      </c>
      <c r="AK44" s="6">
        <f t="shared" si="15"/>
        <v>445500</v>
      </c>
      <c r="AL44" s="6">
        <f t="shared" si="16"/>
        <v>445500</v>
      </c>
      <c r="AM44" s="6">
        <f t="shared" si="17"/>
        <v>1728000</v>
      </c>
      <c r="AN44" s="6">
        <f t="shared" si="18"/>
        <v>0</v>
      </c>
      <c r="AP44" s="505">
        <f t="shared" si="19"/>
        <v>837000</v>
      </c>
      <c r="AQ44" s="6">
        <f t="shared" si="20"/>
        <v>891000</v>
      </c>
      <c r="AR44" s="6">
        <f t="shared" si="21"/>
        <v>0</v>
      </c>
    </row>
    <row r="45" spans="2:44" ht="14.4" hidden="1">
      <c r="B45" s="561" t="s">
        <v>1053</v>
      </c>
      <c r="C45" s="557" t="s">
        <v>1054</v>
      </c>
      <c r="D45" s="557" t="s">
        <v>1055</v>
      </c>
      <c r="E45" s="559" t="s">
        <v>17</v>
      </c>
      <c r="F45" s="559" t="s">
        <v>17</v>
      </c>
      <c r="G45" s="557" t="s">
        <v>96</v>
      </c>
      <c r="H45" s="557">
        <v>2026</v>
      </c>
      <c r="I45" s="557" t="s">
        <v>785</v>
      </c>
      <c r="J45" s="557" t="s">
        <v>203</v>
      </c>
      <c r="K45" s="557" t="s">
        <v>204</v>
      </c>
      <c r="L45" s="557" t="s">
        <v>205</v>
      </c>
      <c r="M45" s="557" t="s">
        <v>721</v>
      </c>
      <c r="N45" s="557" t="s">
        <v>1025</v>
      </c>
      <c r="O45" s="557" t="s">
        <v>1025</v>
      </c>
      <c r="P45" s="560" t="s">
        <v>977</v>
      </c>
      <c r="Q45" s="560" t="s">
        <v>1076</v>
      </c>
      <c r="R45" s="560" t="s">
        <v>1076</v>
      </c>
      <c r="S45" s="40">
        <f>SUMIFS('Sales HC by Dept &amp; T&amp;E Segment'!AL:AL,'Sales HC by Dept &amp; T&amp;E Segment'!$F:$F,$P45,'Sales HC by Dept &amp; T&amp;E Segment'!$G:$G,$G45)</f>
        <v>88500</v>
      </c>
      <c r="T45" s="40">
        <f>SUMIFS('Sales HC by Dept &amp; T&amp;E Segment'!AM:AM,'Sales HC by Dept &amp; T&amp;E Segment'!$F:$F,$P45,'Sales HC by Dept &amp; T&amp;E Segment'!$G:$G,$G45)</f>
        <v>88500</v>
      </c>
      <c r="U45" s="40">
        <f>SUMIFS('Sales HC by Dept &amp; T&amp;E Segment'!AN:AN,'Sales HC by Dept &amp; T&amp;E Segment'!$F:$F,$P45,'Sales HC by Dept &amp; T&amp;E Segment'!$G:$G,$G45)</f>
        <v>88500</v>
      </c>
      <c r="V45" s="40">
        <f>SUMIFS('Sales HC by Dept &amp; T&amp;E Segment'!AO:AO,'Sales HC by Dept &amp; T&amp;E Segment'!$F:$F,$P45,'Sales HC by Dept &amp; T&amp;E Segment'!$G:$G,$G45)</f>
        <v>112500</v>
      </c>
      <c r="W45" s="40">
        <f>SUMIFS('Sales HC by Dept &amp; T&amp;E Segment'!AP:AP,'Sales HC by Dept &amp; T&amp;E Segment'!$F:$F,$P45,'Sales HC by Dept &amp; T&amp;E Segment'!$G:$G,$G45)</f>
        <v>112500</v>
      </c>
      <c r="X45" s="40">
        <f>SUMIFS('Sales HC by Dept &amp; T&amp;E Segment'!AQ:AQ,'Sales HC by Dept &amp; T&amp;E Segment'!$F:$F,$P45,'Sales HC by Dept &amp; T&amp;E Segment'!$G:$G,$G45)</f>
        <v>112500</v>
      </c>
      <c r="Y45" s="40">
        <f>SUMIFS('Sales HC by Dept &amp; T&amp;E Segment'!AR:AR,'Sales HC by Dept &amp; T&amp;E Segment'!$F:$F,$P45,'Sales HC by Dept &amp; T&amp;E Segment'!$G:$G,$G45)</f>
        <v>112500</v>
      </c>
      <c r="Z45" s="40">
        <f>SUMIFS('Sales HC by Dept &amp; T&amp;E Segment'!AS:AS,'Sales HC by Dept &amp; T&amp;E Segment'!$F:$F,$P45,'Sales HC by Dept &amp; T&amp;E Segment'!$G:$G,$G45)</f>
        <v>112500</v>
      </c>
      <c r="AA45" s="40">
        <f>SUMIFS('Sales HC by Dept &amp; T&amp;E Segment'!AT:AT,'Sales HC by Dept &amp; T&amp;E Segment'!$F:$F,$P45,'Sales HC by Dept &amp; T&amp;E Segment'!$G:$G,$G45)</f>
        <v>112500</v>
      </c>
      <c r="AB45" s="40">
        <f>SUMIFS('Sales HC by Dept &amp; T&amp;E Segment'!AU:AU,'Sales HC by Dept &amp; T&amp;E Segment'!$F:$F,$P45,'Sales HC by Dept &amp; T&amp;E Segment'!$G:$G,$G45)</f>
        <v>112500</v>
      </c>
      <c r="AC45" s="40">
        <f>SUMIFS('Sales HC by Dept &amp; T&amp;E Segment'!AV:AV,'Sales HC by Dept &amp; T&amp;E Segment'!$F:$F,$P45,'Sales HC by Dept &amp; T&amp;E Segment'!$G:$G,$G45)</f>
        <v>112500</v>
      </c>
      <c r="AD45" s="40">
        <f>SUMIFS('Sales HC by Dept &amp; T&amp;E Segment'!AW:AW,'Sales HC by Dept &amp; T&amp;E Segment'!$F:$F,$P45,'Sales HC by Dept &amp; T&amp;E Segment'!$G:$G,$G45)</f>
        <v>112500</v>
      </c>
      <c r="AE45" s="46">
        <f t="shared" si="12"/>
        <v>1278000</v>
      </c>
      <c r="AI45" s="505">
        <f t="shared" si="13"/>
        <v>265500</v>
      </c>
      <c r="AJ45" s="6">
        <f t="shared" si="14"/>
        <v>337500</v>
      </c>
      <c r="AK45" s="6">
        <f t="shared" si="15"/>
        <v>337500</v>
      </c>
      <c r="AL45" s="6">
        <f t="shared" si="16"/>
        <v>337500</v>
      </c>
      <c r="AM45" s="6">
        <f t="shared" si="17"/>
        <v>1278000</v>
      </c>
      <c r="AN45" s="6">
        <f t="shared" si="18"/>
        <v>0</v>
      </c>
      <c r="AP45" s="505">
        <f t="shared" si="19"/>
        <v>603000</v>
      </c>
      <c r="AQ45" s="6">
        <f t="shared" si="20"/>
        <v>675000</v>
      </c>
      <c r="AR45" s="6">
        <f t="shared" si="21"/>
        <v>0</v>
      </c>
    </row>
    <row r="46" spans="2:44" ht="14.4" hidden="1">
      <c r="B46" s="561" t="s">
        <v>1056</v>
      </c>
      <c r="C46" s="557" t="s">
        <v>1057</v>
      </c>
      <c r="D46" s="557" t="s">
        <v>1058</v>
      </c>
      <c r="E46" s="559" t="s">
        <v>17</v>
      </c>
      <c r="F46" s="559" t="s">
        <v>17</v>
      </c>
      <c r="G46" s="557" t="s">
        <v>96</v>
      </c>
      <c r="H46" s="557">
        <v>2026</v>
      </c>
      <c r="I46" s="557" t="s">
        <v>785</v>
      </c>
      <c r="J46" s="557" t="s">
        <v>203</v>
      </c>
      <c r="K46" s="557" t="s">
        <v>204</v>
      </c>
      <c r="L46" s="557" t="s">
        <v>205</v>
      </c>
      <c r="M46" s="557" t="s">
        <v>721</v>
      </c>
      <c r="N46" s="557" t="s">
        <v>961</v>
      </c>
      <c r="O46" s="557" t="s">
        <v>961</v>
      </c>
      <c r="P46" s="560" t="s">
        <v>1072</v>
      </c>
      <c r="Q46" s="560" t="s">
        <v>1076</v>
      </c>
      <c r="R46" s="560" t="s">
        <v>1076</v>
      </c>
      <c r="S46" s="40">
        <f>SUMIFS('Sales HC by Dept &amp; T&amp;E Segment'!AL:AL,'Sales HC by Dept &amp; T&amp;E Segment'!$F:$F,$P46,'Sales HC by Dept &amp; T&amp;E Segment'!$G:$G,$G46)</f>
        <v>121500</v>
      </c>
      <c r="T46" s="40">
        <f>SUMIFS('Sales HC by Dept &amp; T&amp;E Segment'!AM:AM,'Sales HC by Dept &amp; T&amp;E Segment'!$F:$F,$P46,'Sales HC by Dept &amp; T&amp;E Segment'!$G:$G,$G46)</f>
        <v>121500</v>
      </c>
      <c r="U46" s="40">
        <f>SUMIFS('Sales HC by Dept &amp; T&amp;E Segment'!AN:AN,'Sales HC by Dept &amp; T&amp;E Segment'!$F:$F,$P46,'Sales HC by Dept &amp; T&amp;E Segment'!$G:$G,$G46)</f>
        <v>121500</v>
      </c>
      <c r="V46" s="40">
        <f>SUMIFS('Sales HC by Dept &amp; T&amp;E Segment'!AO:AO,'Sales HC by Dept &amp; T&amp;E Segment'!$F:$F,$P46,'Sales HC by Dept &amp; T&amp;E Segment'!$G:$G,$G46)</f>
        <v>151500</v>
      </c>
      <c r="W46" s="40">
        <f>SUMIFS('Sales HC by Dept &amp; T&amp;E Segment'!AP:AP,'Sales HC by Dept &amp; T&amp;E Segment'!$F:$F,$P46,'Sales HC by Dept &amp; T&amp;E Segment'!$G:$G,$G46)</f>
        <v>151500</v>
      </c>
      <c r="X46" s="40">
        <f>SUMIFS('Sales HC by Dept &amp; T&amp;E Segment'!AQ:AQ,'Sales HC by Dept &amp; T&amp;E Segment'!$F:$F,$P46,'Sales HC by Dept &amp; T&amp;E Segment'!$G:$G,$G46)</f>
        <v>151500</v>
      </c>
      <c r="Y46" s="40">
        <f>SUMIFS('Sales HC by Dept &amp; T&amp;E Segment'!AR:AR,'Sales HC by Dept &amp; T&amp;E Segment'!$F:$F,$P46,'Sales HC by Dept &amp; T&amp;E Segment'!$G:$G,$G46)</f>
        <v>151500</v>
      </c>
      <c r="Z46" s="40">
        <f>SUMIFS('Sales HC by Dept &amp; T&amp;E Segment'!AS:AS,'Sales HC by Dept &amp; T&amp;E Segment'!$F:$F,$P46,'Sales HC by Dept &amp; T&amp;E Segment'!$G:$G,$G46)</f>
        <v>151500</v>
      </c>
      <c r="AA46" s="40">
        <f>SUMIFS('Sales HC by Dept &amp; T&amp;E Segment'!AT:AT,'Sales HC by Dept &amp; T&amp;E Segment'!$F:$F,$P46,'Sales HC by Dept &amp; T&amp;E Segment'!$G:$G,$G46)</f>
        <v>151500</v>
      </c>
      <c r="AB46" s="40">
        <f>SUMIFS('Sales HC by Dept &amp; T&amp;E Segment'!AU:AU,'Sales HC by Dept &amp; T&amp;E Segment'!$F:$F,$P46,'Sales HC by Dept &amp; T&amp;E Segment'!$G:$G,$G46)</f>
        <v>151500</v>
      </c>
      <c r="AC46" s="40">
        <f>SUMIFS('Sales HC by Dept &amp; T&amp;E Segment'!AV:AV,'Sales HC by Dept &amp; T&amp;E Segment'!$F:$F,$P46,'Sales HC by Dept &amp; T&amp;E Segment'!$G:$G,$G46)</f>
        <v>151500</v>
      </c>
      <c r="AD46" s="40">
        <f>SUMIFS('Sales HC by Dept &amp; T&amp;E Segment'!AW:AW,'Sales HC by Dept &amp; T&amp;E Segment'!$F:$F,$P46,'Sales HC by Dept &amp; T&amp;E Segment'!$G:$G,$G46)</f>
        <v>151500</v>
      </c>
      <c r="AE46" s="46">
        <f t="shared" si="12"/>
        <v>1728000</v>
      </c>
      <c r="AI46" s="505">
        <f t="shared" si="13"/>
        <v>364500</v>
      </c>
      <c r="AJ46" s="6">
        <f t="shared" si="14"/>
        <v>454500</v>
      </c>
      <c r="AK46" s="6">
        <f t="shared" si="15"/>
        <v>454500</v>
      </c>
      <c r="AL46" s="6">
        <f t="shared" si="16"/>
        <v>454500</v>
      </c>
      <c r="AM46" s="6">
        <f t="shared" si="17"/>
        <v>1728000</v>
      </c>
      <c r="AN46" s="6">
        <f t="shared" si="18"/>
        <v>0</v>
      </c>
      <c r="AP46" s="505">
        <f t="shared" si="19"/>
        <v>819000</v>
      </c>
      <c r="AQ46" s="6">
        <f t="shared" si="20"/>
        <v>909000</v>
      </c>
      <c r="AR46" s="6">
        <f t="shared" si="21"/>
        <v>0</v>
      </c>
    </row>
    <row r="47" spans="2:44" ht="14.4" hidden="1">
      <c r="B47" s="561" t="s">
        <v>1059</v>
      </c>
      <c r="C47" s="557" t="s">
        <v>1060</v>
      </c>
      <c r="D47" s="557" t="s">
        <v>1061</v>
      </c>
      <c r="E47" s="559" t="s">
        <v>17</v>
      </c>
      <c r="F47" s="559" t="s">
        <v>17</v>
      </c>
      <c r="G47" s="557" t="s">
        <v>96</v>
      </c>
      <c r="H47" s="557">
        <v>2026</v>
      </c>
      <c r="I47" s="557" t="s">
        <v>785</v>
      </c>
      <c r="J47" s="557" t="s">
        <v>203</v>
      </c>
      <c r="K47" s="557" t="s">
        <v>204</v>
      </c>
      <c r="L47" s="557" t="s">
        <v>205</v>
      </c>
      <c r="M47" s="557" t="s">
        <v>721</v>
      </c>
      <c r="N47" s="557" t="s">
        <v>968</v>
      </c>
      <c r="O47" s="557" t="s">
        <v>968</v>
      </c>
      <c r="P47" s="560" t="s">
        <v>981</v>
      </c>
      <c r="Q47" s="560" t="s">
        <v>1076</v>
      </c>
      <c r="R47" s="560" t="s">
        <v>1076</v>
      </c>
      <c r="S47" s="40">
        <f>SUMIFS('Sales HC by Dept &amp; T&amp;E Segment'!AL:AL,'Sales HC by Dept &amp; T&amp;E Segment'!$F:$F,$P47,'Sales HC by Dept &amp; T&amp;E Segment'!$G:$G,$G47)</f>
        <v>55500</v>
      </c>
      <c r="T47" s="40">
        <f>SUMIFS('Sales HC by Dept &amp; T&amp;E Segment'!AM:AM,'Sales HC by Dept &amp; T&amp;E Segment'!$F:$F,$P47,'Sales HC by Dept &amp; T&amp;E Segment'!$G:$G,$G47)</f>
        <v>55500</v>
      </c>
      <c r="U47" s="40">
        <f>SUMIFS('Sales HC by Dept &amp; T&amp;E Segment'!AN:AN,'Sales HC by Dept &amp; T&amp;E Segment'!$F:$F,$P47,'Sales HC by Dept &amp; T&amp;E Segment'!$G:$G,$G47)</f>
        <v>55500</v>
      </c>
      <c r="V47" s="40">
        <f>SUMIFS('Sales HC by Dept &amp; T&amp;E Segment'!AO:AO,'Sales HC by Dept &amp; T&amp;E Segment'!$F:$F,$P47,'Sales HC by Dept &amp; T&amp;E Segment'!$G:$G,$G47)</f>
        <v>76500</v>
      </c>
      <c r="W47" s="40">
        <f>SUMIFS('Sales HC by Dept &amp; T&amp;E Segment'!AP:AP,'Sales HC by Dept &amp; T&amp;E Segment'!$F:$F,$P47,'Sales HC by Dept &amp; T&amp;E Segment'!$G:$G,$G47)</f>
        <v>76500</v>
      </c>
      <c r="X47" s="40">
        <f>SUMIFS('Sales HC by Dept &amp; T&amp;E Segment'!AQ:AQ,'Sales HC by Dept &amp; T&amp;E Segment'!$F:$F,$P47,'Sales HC by Dept &amp; T&amp;E Segment'!$G:$G,$G47)</f>
        <v>76500</v>
      </c>
      <c r="Y47" s="40">
        <f>SUMIFS('Sales HC by Dept &amp; T&amp;E Segment'!AR:AR,'Sales HC by Dept &amp; T&amp;E Segment'!$F:$F,$P47,'Sales HC by Dept &amp; T&amp;E Segment'!$G:$G,$G47)</f>
        <v>76500</v>
      </c>
      <c r="Z47" s="40">
        <f>SUMIFS('Sales HC by Dept &amp; T&amp;E Segment'!AS:AS,'Sales HC by Dept &amp; T&amp;E Segment'!$F:$F,$P47,'Sales HC by Dept &amp; T&amp;E Segment'!$G:$G,$G47)</f>
        <v>76500</v>
      </c>
      <c r="AA47" s="40">
        <f>SUMIFS('Sales HC by Dept &amp; T&amp;E Segment'!AT:AT,'Sales HC by Dept &amp; T&amp;E Segment'!$F:$F,$P47,'Sales HC by Dept &amp; T&amp;E Segment'!$G:$G,$G47)</f>
        <v>76500</v>
      </c>
      <c r="AB47" s="40">
        <f>SUMIFS('Sales HC by Dept &amp; T&amp;E Segment'!AU:AU,'Sales HC by Dept &amp; T&amp;E Segment'!$F:$F,$P47,'Sales HC by Dept &amp; T&amp;E Segment'!$G:$G,$G47)</f>
        <v>76500</v>
      </c>
      <c r="AC47" s="40">
        <f>SUMIFS('Sales HC by Dept &amp; T&amp;E Segment'!AV:AV,'Sales HC by Dept &amp; T&amp;E Segment'!$F:$F,$P47,'Sales HC by Dept &amp; T&amp;E Segment'!$G:$G,$G47)</f>
        <v>76500</v>
      </c>
      <c r="AD47" s="40">
        <f>SUMIFS('Sales HC by Dept &amp; T&amp;E Segment'!AW:AW,'Sales HC by Dept &amp; T&amp;E Segment'!$F:$F,$P47,'Sales HC by Dept &amp; T&amp;E Segment'!$G:$G,$G47)</f>
        <v>76500</v>
      </c>
      <c r="AE47" s="46">
        <f t="shared" si="12"/>
        <v>855000</v>
      </c>
      <c r="AI47" s="505">
        <f t="shared" si="13"/>
        <v>166500</v>
      </c>
      <c r="AJ47" s="6">
        <f t="shared" si="14"/>
        <v>229500</v>
      </c>
      <c r="AK47" s="6">
        <f t="shared" si="15"/>
        <v>229500</v>
      </c>
      <c r="AL47" s="6">
        <f t="shared" si="16"/>
        <v>229500</v>
      </c>
      <c r="AM47" s="6">
        <f t="shared" si="17"/>
        <v>855000</v>
      </c>
      <c r="AN47" s="6">
        <f t="shared" si="18"/>
        <v>0</v>
      </c>
      <c r="AP47" s="505">
        <f t="shared" si="19"/>
        <v>396000</v>
      </c>
      <c r="AQ47" s="6">
        <f t="shared" si="20"/>
        <v>459000</v>
      </c>
      <c r="AR47" s="6">
        <f t="shared" si="21"/>
        <v>0</v>
      </c>
    </row>
    <row r="48" spans="2:44" ht="14.4" hidden="1">
      <c r="B48" s="561" t="s">
        <v>1062</v>
      </c>
      <c r="C48" s="557" t="s">
        <v>1063</v>
      </c>
      <c r="D48" s="557" t="s">
        <v>1064</v>
      </c>
      <c r="E48" s="559" t="s">
        <v>17</v>
      </c>
      <c r="F48" s="559" t="s">
        <v>17</v>
      </c>
      <c r="G48" s="557" t="s">
        <v>96</v>
      </c>
      <c r="H48" s="557">
        <v>2026</v>
      </c>
      <c r="I48" s="557" t="s">
        <v>785</v>
      </c>
      <c r="J48" s="557" t="s">
        <v>203</v>
      </c>
      <c r="K48" s="557" t="s">
        <v>204</v>
      </c>
      <c r="L48" s="557" t="s">
        <v>205</v>
      </c>
      <c r="M48" s="557" t="s">
        <v>721</v>
      </c>
      <c r="N48" s="557" t="s">
        <v>969</v>
      </c>
      <c r="O48" s="557" t="s">
        <v>969</v>
      </c>
      <c r="P48" s="560" t="s">
        <v>982</v>
      </c>
      <c r="Q48" s="560" t="s">
        <v>1076</v>
      </c>
      <c r="R48" s="560" t="s">
        <v>1076</v>
      </c>
      <c r="S48" s="40">
        <f>SUMIFS('Sales HC by Dept &amp; T&amp;E Segment'!AL:AL,'Sales HC by Dept &amp; T&amp;E Segment'!$F:$F,$P48,'Sales HC by Dept &amp; T&amp;E Segment'!$G:$G,$G48)</f>
        <v>109500</v>
      </c>
      <c r="T48" s="40">
        <f>SUMIFS('Sales HC by Dept &amp; T&amp;E Segment'!AM:AM,'Sales HC by Dept &amp; T&amp;E Segment'!$F:$F,$P48,'Sales HC by Dept &amp; T&amp;E Segment'!$G:$G,$G48)</f>
        <v>109500</v>
      </c>
      <c r="U48" s="40">
        <f>SUMIFS('Sales HC by Dept &amp; T&amp;E Segment'!AN:AN,'Sales HC by Dept &amp; T&amp;E Segment'!$F:$F,$P48,'Sales HC by Dept &amp; T&amp;E Segment'!$G:$G,$G48)</f>
        <v>109500</v>
      </c>
      <c r="V48" s="40">
        <f>SUMIFS('Sales HC by Dept &amp; T&amp;E Segment'!AO:AO,'Sales HC by Dept &amp; T&amp;E Segment'!$F:$F,$P48,'Sales HC by Dept &amp; T&amp;E Segment'!$G:$G,$G48)</f>
        <v>124500</v>
      </c>
      <c r="W48" s="40">
        <f>SUMIFS('Sales HC by Dept &amp; T&amp;E Segment'!AP:AP,'Sales HC by Dept &amp; T&amp;E Segment'!$F:$F,$P48,'Sales HC by Dept &amp; T&amp;E Segment'!$G:$G,$G48)</f>
        <v>124500</v>
      </c>
      <c r="X48" s="40">
        <f>SUMIFS('Sales HC by Dept &amp; T&amp;E Segment'!AQ:AQ,'Sales HC by Dept &amp; T&amp;E Segment'!$F:$F,$P48,'Sales HC by Dept &amp; T&amp;E Segment'!$G:$G,$G48)</f>
        <v>124500</v>
      </c>
      <c r="Y48" s="40">
        <f>SUMIFS('Sales HC by Dept &amp; T&amp;E Segment'!AR:AR,'Sales HC by Dept &amp; T&amp;E Segment'!$F:$F,$P48,'Sales HC by Dept &amp; T&amp;E Segment'!$G:$G,$G48)</f>
        <v>124500</v>
      </c>
      <c r="Z48" s="40">
        <f>SUMIFS('Sales HC by Dept &amp; T&amp;E Segment'!AS:AS,'Sales HC by Dept &amp; T&amp;E Segment'!$F:$F,$P48,'Sales HC by Dept &amp; T&amp;E Segment'!$G:$G,$G48)</f>
        <v>124500</v>
      </c>
      <c r="AA48" s="40">
        <f>SUMIFS('Sales HC by Dept &amp; T&amp;E Segment'!AT:AT,'Sales HC by Dept &amp; T&amp;E Segment'!$F:$F,$P48,'Sales HC by Dept &amp; T&amp;E Segment'!$G:$G,$G48)</f>
        <v>124500</v>
      </c>
      <c r="AB48" s="40">
        <f>SUMIFS('Sales HC by Dept &amp; T&amp;E Segment'!AU:AU,'Sales HC by Dept &amp; T&amp;E Segment'!$F:$F,$P48,'Sales HC by Dept &amp; T&amp;E Segment'!$G:$G,$G48)</f>
        <v>124500</v>
      </c>
      <c r="AC48" s="40">
        <f>SUMIFS('Sales HC by Dept &amp; T&amp;E Segment'!AV:AV,'Sales HC by Dept &amp; T&amp;E Segment'!$F:$F,$P48,'Sales HC by Dept &amp; T&amp;E Segment'!$G:$G,$G48)</f>
        <v>124500</v>
      </c>
      <c r="AD48" s="40">
        <f>SUMIFS('Sales HC by Dept &amp; T&amp;E Segment'!AW:AW,'Sales HC by Dept &amp; T&amp;E Segment'!$F:$F,$P48,'Sales HC by Dept &amp; T&amp;E Segment'!$G:$G,$G48)</f>
        <v>124500</v>
      </c>
      <c r="AE48" s="46">
        <f t="shared" si="12"/>
        <v>1449000</v>
      </c>
      <c r="AI48" s="505">
        <f t="shared" si="13"/>
        <v>328500</v>
      </c>
      <c r="AJ48" s="6">
        <f t="shared" si="14"/>
        <v>373500</v>
      </c>
      <c r="AK48" s="6">
        <f t="shared" si="15"/>
        <v>373500</v>
      </c>
      <c r="AL48" s="6">
        <f t="shared" si="16"/>
        <v>373500</v>
      </c>
      <c r="AM48" s="6">
        <f t="shared" si="17"/>
        <v>1449000</v>
      </c>
      <c r="AN48" s="6">
        <f t="shared" si="18"/>
        <v>0</v>
      </c>
      <c r="AP48" s="505">
        <f t="shared" si="19"/>
        <v>702000</v>
      </c>
      <c r="AQ48" s="6">
        <f t="shared" si="20"/>
        <v>747000</v>
      </c>
      <c r="AR48" s="6">
        <f t="shared" si="21"/>
        <v>0</v>
      </c>
    </row>
    <row r="49" spans="2:44" ht="14.4" hidden="1">
      <c r="B49" s="561" t="s">
        <v>1065</v>
      </c>
      <c r="C49" s="557" t="s">
        <v>1066</v>
      </c>
      <c r="D49" s="557" t="s">
        <v>1067</v>
      </c>
      <c r="E49" s="559" t="s">
        <v>17</v>
      </c>
      <c r="F49" s="559" t="s">
        <v>17</v>
      </c>
      <c r="G49" s="557" t="s">
        <v>96</v>
      </c>
      <c r="H49" s="557">
        <v>2026</v>
      </c>
      <c r="I49" s="557" t="s">
        <v>785</v>
      </c>
      <c r="J49" s="557" t="s">
        <v>203</v>
      </c>
      <c r="K49" s="557" t="s">
        <v>204</v>
      </c>
      <c r="L49" s="557" t="s">
        <v>205</v>
      </c>
      <c r="M49" s="557" t="s">
        <v>721</v>
      </c>
      <c r="N49" s="557" t="s">
        <v>970</v>
      </c>
      <c r="O49" s="557" t="s">
        <v>970</v>
      </c>
      <c r="P49" s="560" t="s">
        <v>983</v>
      </c>
      <c r="Q49" s="560" t="s">
        <v>1076</v>
      </c>
      <c r="R49" s="560" t="s">
        <v>1076</v>
      </c>
      <c r="S49" s="40">
        <f>SUMIFS('Sales HC by Dept &amp; T&amp;E Segment'!AL:AL,'Sales HC by Dept &amp; T&amp;E Segment'!$F:$F,$P49,'Sales HC by Dept &amp; T&amp;E Segment'!$G:$G,$G49)</f>
        <v>94500</v>
      </c>
      <c r="T49" s="40">
        <f>SUMIFS('Sales HC by Dept &amp; T&amp;E Segment'!AM:AM,'Sales HC by Dept &amp; T&amp;E Segment'!$F:$F,$P49,'Sales HC by Dept &amp; T&amp;E Segment'!$G:$G,$G49)</f>
        <v>94500</v>
      </c>
      <c r="U49" s="40">
        <f>SUMIFS('Sales HC by Dept &amp; T&amp;E Segment'!AN:AN,'Sales HC by Dept &amp; T&amp;E Segment'!$F:$F,$P49,'Sales HC by Dept &amp; T&amp;E Segment'!$G:$G,$G49)</f>
        <v>94500</v>
      </c>
      <c r="V49" s="40">
        <f>SUMIFS('Sales HC by Dept &amp; T&amp;E Segment'!AO:AO,'Sales HC by Dept &amp; T&amp;E Segment'!$F:$F,$P49,'Sales HC by Dept &amp; T&amp;E Segment'!$G:$G,$G49)</f>
        <v>118500</v>
      </c>
      <c r="W49" s="40">
        <f>SUMIFS('Sales HC by Dept &amp; T&amp;E Segment'!AP:AP,'Sales HC by Dept &amp; T&amp;E Segment'!$F:$F,$P49,'Sales HC by Dept &amp; T&amp;E Segment'!$G:$G,$G49)</f>
        <v>118500</v>
      </c>
      <c r="X49" s="40">
        <f>SUMIFS('Sales HC by Dept &amp; T&amp;E Segment'!AQ:AQ,'Sales HC by Dept &amp; T&amp;E Segment'!$F:$F,$P49,'Sales HC by Dept &amp; T&amp;E Segment'!$G:$G,$G49)</f>
        <v>118500</v>
      </c>
      <c r="Y49" s="40">
        <f>SUMIFS('Sales HC by Dept &amp; T&amp;E Segment'!AR:AR,'Sales HC by Dept &amp; T&amp;E Segment'!$F:$F,$P49,'Sales HC by Dept &amp; T&amp;E Segment'!$G:$G,$G49)</f>
        <v>118500</v>
      </c>
      <c r="Z49" s="40">
        <f>SUMIFS('Sales HC by Dept &amp; T&amp;E Segment'!AS:AS,'Sales HC by Dept &amp; T&amp;E Segment'!$F:$F,$P49,'Sales HC by Dept &amp; T&amp;E Segment'!$G:$G,$G49)</f>
        <v>118500</v>
      </c>
      <c r="AA49" s="40">
        <f>SUMIFS('Sales HC by Dept &amp; T&amp;E Segment'!AT:AT,'Sales HC by Dept &amp; T&amp;E Segment'!$F:$F,$P49,'Sales HC by Dept &amp; T&amp;E Segment'!$G:$G,$G49)</f>
        <v>118500</v>
      </c>
      <c r="AB49" s="40">
        <f>SUMIFS('Sales HC by Dept &amp; T&amp;E Segment'!AU:AU,'Sales HC by Dept &amp; T&amp;E Segment'!$F:$F,$P49,'Sales HC by Dept &amp; T&amp;E Segment'!$G:$G,$G49)</f>
        <v>118500</v>
      </c>
      <c r="AC49" s="40">
        <f>SUMIFS('Sales HC by Dept &amp; T&amp;E Segment'!AV:AV,'Sales HC by Dept &amp; T&amp;E Segment'!$F:$F,$P49,'Sales HC by Dept &amp; T&amp;E Segment'!$G:$G,$G49)</f>
        <v>118500</v>
      </c>
      <c r="AD49" s="40">
        <f>SUMIFS('Sales HC by Dept &amp; T&amp;E Segment'!AW:AW,'Sales HC by Dept &amp; T&amp;E Segment'!$F:$F,$P49,'Sales HC by Dept &amp; T&amp;E Segment'!$G:$G,$G49)</f>
        <v>118500</v>
      </c>
      <c r="AE49" s="46">
        <f t="shared" si="12"/>
        <v>1350000</v>
      </c>
      <c r="AI49" s="505">
        <f t="shared" si="13"/>
        <v>283500</v>
      </c>
      <c r="AJ49" s="6">
        <f t="shared" si="14"/>
        <v>355500</v>
      </c>
      <c r="AK49" s="6">
        <f t="shared" si="15"/>
        <v>355500</v>
      </c>
      <c r="AL49" s="6">
        <f t="shared" si="16"/>
        <v>355500</v>
      </c>
      <c r="AM49" s="6">
        <f t="shared" si="17"/>
        <v>1350000</v>
      </c>
      <c r="AN49" s="6">
        <f t="shared" si="18"/>
        <v>0</v>
      </c>
      <c r="AP49" s="505">
        <f t="shared" si="19"/>
        <v>639000</v>
      </c>
      <c r="AQ49" s="6">
        <f t="shared" si="20"/>
        <v>711000</v>
      </c>
      <c r="AR49" s="6">
        <f t="shared" si="21"/>
        <v>0</v>
      </c>
    </row>
    <row r="50" spans="2:44" ht="15" hidden="1" thickBot="1">
      <c r="B50" s="38" t="s">
        <v>1074</v>
      </c>
      <c r="C50" s="562">
        <v>10110100</v>
      </c>
      <c r="D50" s="563" t="s">
        <v>1075</v>
      </c>
      <c r="E50" s="559" t="s">
        <v>17</v>
      </c>
      <c r="F50" s="559" t="s">
        <v>17</v>
      </c>
      <c r="G50" s="565" t="s">
        <v>130</v>
      </c>
      <c r="H50" s="565">
        <v>2026</v>
      </c>
      <c r="I50" s="565" t="s">
        <v>785</v>
      </c>
      <c r="J50" s="565" t="s">
        <v>203</v>
      </c>
      <c r="K50" s="565" t="s">
        <v>204</v>
      </c>
      <c r="L50" s="565" t="s">
        <v>205</v>
      </c>
      <c r="M50" s="565" t="s">
        <v>721</v>
      </c>
      <c r="N50" s="563" t="s">
        <v>1075</v>
      </c>
      <c r="O50" s="563" t="s">
        <v>1075</v>
      </c>
      <c r="P50" s="563" t="s">
        <v>1075</v>
      </c>
      <c r="Q50" s="560" t="s">
        <v>1076</v>
      </c>
      <c r="R50" s="560" t="s">
        <v>1076</v>
      </c>
      <c r="S50" s="40">
        <f>SUMIFS('Sales HC by Dept &amp; T&amp;E Segment'!AL:AL,'Sales HC by Dept &amp; T&amp;E Segment'!$F:$F,$P50,'Sales HC by Dept &amp; T&amp;E Segment'!$G:$G,$G50)</f>
        <v>0</v>
      </c>
      <c r="T50" s="40">
        <f>SUMIFS('Sales HC by Dept &amp; T&amp;E Segment'!AM:AM,'Sales HC by Dept &amp; T&amp;E Segment'!$F:$F,$P50,'Sales HC by Dept &amp; T&amp;E Segment'!$G:$G,$G50)</f>
        <v>0</v>
      </c>
      <c r="U50" s="40">
        <f>SUMIFS('Sales HC by Dept &amp; T&amp;E Segment'!AN:AN,'Sales HC by Dept &amp; T&amp;E Segment'!$F:$F,$P50,'Sales HC by Dept &amp; T&amp;E Segment'!$G:$G,$G50)</f>
        <v>0</v>
      </c>
      <c r="V50" s="40">
        <f>SUMIFS('Sales HC by Dept &amp; T&amp;E Segment'!AO:AO,'Sales HC by Dept &amp; T&amp;E Segment'!$F:$F,$P50,'Sales HC by Dept &amp; T&amp;E Segment'!$G:$G,$G50)</f>
        <v>256500</v>
      </c>
      <c r="W50" s="40">
        <f>SUMIFS('Sales HC by Dept &amp; T&amp;E Segment'!AP:AP,'Sales HC by Dept &amp; T&amp;E Segment'!$F:$F,$P50,'Sales HC by Dept &amp; T&amp;E Segment'!$G:$G,$G50)</f>
        <v>256500</v>
      </c>
      <c r="X50" s="40">
        <f>SUMIFS('Sales HC by Dept &amp; T&amp;E Segment'!AQ:AQ,'Sales HC by Dept &amp; T&amp;E Segment'!$F:$F,$P50,'Sales HC by Dept &amp; T&amp;E Segment'!$G:$G,$G50)</f>
        <v>256500</v>
      </c>
      <c r="Y50" s="40">
        <f>SUMIFS('Sales HC by Dept &amp; T&amp;E Segment'!AR:AR,'Sales HC by Dept &amp; T&amp;E Segment'!$F:$F,$P50,'Sales HC by Dept &amp; T&amp;E Segment'!$G:$G,$G50)</f>
        <v>376500</v>
      </c>
      <c r="Z50" s="40">
        <f>SUMIFS('Sales HC by Dept &amp; T&amp;E Segment'!AS:AS,'Sales HC by Dept &amp; T&amp;E Segment'!$F:$F,$P50,'Sales HC by Dept &amp; T&amp;E Segment'!$G:$G,$G50)</f>
        <v>376500</v>
      </c>
      <c r="AA50" s="40">
        <f>SUMIFS('Sales HC by Dept &amp; T&amp;E Segment'!AT:AT,'Sales HC by Dept &amp; T&amp;E Segment'!$F:$F,$P50,'Sales HC by Dept &amp; T&amp;E Segment'!$G:$G,$G50)</f>
        <v>376500</v>
      </c>
      <c r="AB50" s="40">
        <f>SUMIFS('Sales HC by Dept &amp; T&amp;E Segment'!AU:AU,'Sales HC by Dept &amp; T&amp;E Segment'!$F:$F,$P50,'Sales HC by Dept &amp; T&amp;E Segment'!$G:$G,$G50)</f>
        <v>616500</v>
      </c>
      <c r="AC50" s="40">
        <f>SUMIFS('Sales HC by Dept &amp; T&amp;E Segment'!AV:AV,'Sales HC by Dept &amp; T&amp;E Segment'!$F:$F,$P50,'Sales HC by Dept &amp; T&amp;E Segment'!$G:$G,$G50)</f>
        <v>616500</v>
      </c>
      <c r="AD50" s="40">
        <f>SUMIFS('Sales HC by Dept &amp; T&amp;E Segment'!AW:AW,'Sales HC by Dept &amp; T&amp;E Segment'!$F:$F,$P50,'Sales HC by Dept &amp; T&amp;E Segment'!$G:$G,$G50)</f>
        <v>616500</v>
      </c>
      <c r="AE50" s="46">
        <f t="shared" si="12"/>
        <v>3748500</v>
      </c>
      <c r="AI50" s="6">
        <f t="shared" si="13"/>
        <v>0</v>
      </c>
      <c r="AJ50" s="6">
        <f t="shared" si="14"/>
        <v>769500</v>
      </c>
      <c r="AK50" s="6">
        <f t="shared" si="15"/>
        <v>1129500</v>
      </c>
      <c r="AL50" s="6">
        <f t="shared" si="16"/>
        <v>1849500</v>
      </c>
      <c r="AM50" s="6">
        <f t="shared" si="17"/>
        <v>3748500</v>
      </c>
      <c r="AN50" s="6">
        <f t="shared" si="18"/>
        <v>0</v>
      </c>
      <c r="AP50" s="6">
        <f t="shared" si="19"/>
        <v>769500</v>
      </c>
      <c r="AQ50" s="6">
        <f t="shared" si="20"/>
        <v>2979000</v>
      </c>
      <c r="AR50" s="6">
        <f t="shared" si="21"/>
        <v>0</v>
      </c>
    </row>
    <row r="51" spans="2:44" hidden="1"/>
    <row r="52" spans="2:44" ht="14.4" hidden="1" thickBot="1"/>
    <row r="53" spans="2:44" hidden="1">
      <c r="B53" s="314" t="s">
        <v>1068</v>
      </c>
      <c r="C53" s="554" t="s">
        <v>1069</v>
      </c>
      <c r="D53" s="554" t="s">
        <v>994</v>
      </c>
      <c r="E53" s="554" t="s">
        <v>995</v>
      </c>
      <c r="F53" s="554" t="s">
        <v>996</v>
      </c>
      <c r="G53" s="554" t="s">
        <v>997</v>
      </c>
      <c r="H53" s="554" t="s">
        <v>998</v>
      </c>
      <c r="I53" s="554" t="s">
        <v>999</v>
      </c>
      <c r="J53" s="554" t="s">
        <v>147</v>
      </c>
      <c r="K53" s="554" t="s">
        <v>148</v>
      </c>
      <c r="L53" s="554" t="s">
        <v>149</v>
      </c>
      <c r="M53" s="554" t="s">
        <v>150</v>
      </c>
      <c r="N53" s="554" t="s">
        <v>151</v>
      </c>
      <c r="O53" s="554" t="s">
        <v>152</v>
      </c>
      <c r="P53" s="554" t="s">
        <v>1070</v>
      </c>
      <c r="Q53" s="554" t="s">
        <v>1000</v>
      </c>
      <c r="R53" s="566" t="s">
        <v>1001</v>
      </c>
      <c r="S53" s="568" t="s">
        <v>992</v>
      </c>
      <c r="T53" s="555" t="s">
        <v>993</v>
      </c>
      <c r="U53" s="555" t="s">
        <v>102</v>
      </c>
      <c r="V53" s="555" t="s">
        <v>104</v>
      </c>
      <c r="W53" s="555" t="s">
        <v>105</v>
      </c>
      <c r="X53" s="555" t="s">
        <v>106</v>
      </c>
      <c r="Y53" s="555" t="s">
        <v>107</v>
      </c>
      <c r="Z53" s="555" t="s">
        <v>108</v>
      </c>
      <c r="AA53" s="555" t="s">
        <v>109</v>
      </c>
      <c r="AB53" s="555" t="s">
        <v>110</v>
      </c>
      <c r="AC53" s="555" t="s">
        <v>111</v>
      </c>
      <c r="AD53" s="555" t="s">
        <v>112</v>
      </c>
      <c r="AE53" s="556" t="s">
        <v>85</v>
      </c>
    </row>
    <row r="54" spans="2:44" ht="14.4" hidden="1">
      <c r="B54" s="561" t="s">
        <v>1002</v>
      </c>
      <c r="C54" s="557" t="s">
        <v>1003</v>
      </c>
      <c r="D54" s="557" t="s">
        <v>1004</v>
      </c>
      <c r="E54" s="559" t="s">
        <v>17</v>
      </c>
      <c r="F54" s="559" t="s">
        <v>17</v>
      </c>
      <c r="G54" s="557" t="s">
        <v>95</v>
      </c>
      <c r="H54" s="557">
        <v>2026</v>
      </c>
      <c r="I54" s="557" t="s">
        <v>785</v>
      </c>
      <c r="J54" s="557" t="s">
        <v>203</v>
      </c>
      <c r="K54" s="557" t="s">
        <v>204</v>
      </c>
      <c r="L54" s="557" t="s">
        <v>205</v>
      </c>
      <c r="M54" s="557" t="s">
        <v>721</v>
      </c>
      <c r="N54" s="557" t="s">
        <v>1005</v>
      </c>
      <c r="O54" s="557" t="s">
        <v>1005</v>
      </c>
      <c r="P54" s="560" t="s">
        <v>978</v>
      </c>
      <c r="Q54" s="560" t="s">
        <v>1078</v>
      </c>
      <c r="R54" s="567" t="s">
        <v>1078</v>
      </c>
      <c r="S54" s="316" t="e">
        <f>S78-S30</f>
        <v>#REF!</v>
      </c>
      <c r="T54" s="40" t="e">
        <f t="shared" ref="T54:AD54" si="22">T78-T30</f>
        <v>#REF!</v>
      </c>
      <c r="U54" s="40" t="e">
        <f t="shared" si="22"/>
        <v>#REF!</v>
      </c>
      <c r="V54" s="40" t="e">
        <f t="shared" si="22"/>
        <v>#REF!</v>
      </c>
      <c r="W54" s="40" t="e">
        <f t="shared" si="22"/>
        <v>#REF!</v>
      </c>
      <c r="X54" s="40" t="e">
        <f t="shared" si="22"/>
        <v>#REF!</v>
      </c>
      <c r="Y54" s="40" t="e">
        <f t="shared" si="22"/>
        <v>#REF!</v>
      </c>
      <c r="Z54" s="40" t="e">
        <f t="shared" si="22"/>
        <v>#REF!</v>
      </c>
      <c r="AA54" s="40" t="e">
        <f t="shared" si="22"/>
        <v>#REF!</v>
      </c>
      <c r="AB54" s="40" t="e">
        <f t="shared" si="22"/>
        <v>#REF!</v>
      </c>
      <c r="AC54" s="40" t="e">
        <f t="shared" si="22"/>
        <v>#REF!</v>
      </c>
      <c r="AD54" s="40" t="e">
        <f t="shared" si="22"/>
        <v>#REF!</v>
      </c>
      <c r="AE54" s="46" t="e">
        <f t="shared" ref="AE54:AE74" si="23">SUM(S54:AD54)</f>
        <v>#REF!</v>
      </c>
      <c r="AI54" s="505" t="e">
        <f t="shared" ref="AI54:AI74" si="24">SUM(S54:U54)</f>
        <v>#REF!</v>
      </c>
      <c r="AJ54" s="6" t="e">
        <f t="shared" ref="AJ54:AJ74" si="25">SUM(V54:X54)</f>
        <v>#REF!</v>
      </c>
      <c r="AK54" s="6" t="e">
        <f t="shared" ref="AK54:AK74" si="26">SUM(Y54:AA54)</f>
        <v>#REF!</v>
      </c>
      <c r="AL54" s="6" t="e">
        <f t="shared" ref="AL54:AL74" si="27">SUM(AB54:AD54)</f>
        <v>#REF!</v>
      </c>
      <c r="AM54" s="6" t="e">
        <f t="shared" ref="AM54:AM74" si="28">SUM(AI54:AL54)</f>
        <v>#REF!</v>
      </c>
      <c r="AN54" s="6" t="e">
        <f t="shared" ref="AN54:AN74" si="29">AM54-AE54</f>
        <v>#REF!</v>
      </c>
      <c r="AP54" s="6" t="e">
        <f t="shared" ref="AP54:AP74" si="30">SUM(AI54:AJ54)</f>
        <v>#REF!</v>
      </c>
      <c r="AQ54" s="6" t="e">
        <f t="shared" ref="AQ54:AQ74" si="31">SUM(AK54:AL54)</f>
        <v>#REF!</v>
      </c>
      <c r="AR54" s="6" t="e">
        <f t="shared" ref="AR54:AR74" si="32">AP54+AQ54-AM54</f>
        <v>#REF!</v>
      </c>
    </row>
    <row r="55" spans="2:44" ht="14.4" hidden="1">
      <c r="B55" s="561" t="s">
        <v>1006</v>
      </c>
      <c r="C55" s="557" t="s">
        <v>1007</v>
      </c>
      <c r="D55" s="557" t="s">
        <v>1008</v>
      </c>
      <c r="E55" s="559" t="s">
        <v>17</v>
      </c>
      <c r="F55" s="559" t="s">
        <v>17</v>
      </c>
      <c r="G55" s="557" t="s">
        <v>95</v>
      </c>
      <c r="H55" s="557">
        <v>2026</v>
      </c>
      <c r="I55" s="557" t="s">
        <v>785</v>
      </c>
      <c r="J55" s="557" t="s">
        <v>203</v>
      </c>
      <c r="K55" s="557" t="s">
        <v>204</v>
      </c>
      <c r="L55" s="557" t="s">
        <v>205</v>
      </c>
      <c r="M55" s="557" t="s">
        <v>721</v>
      </c>
      <c r="N55" s="557" t="s">
        <v>1009</v>
      </c>
      <c r="O55" s="557" t="s">
        <v>1009</v>
      </c>
      <c r="P55" s="560" t="s">
        <v>979</v>
      </c>
      <c r="Q55" s="560" t="s">
        <v>1078</v>
      </c>
      <c r="R55" s="567" t="s">
        <v>1078</v>
      </c>
      <c r="S55" s="316" t="e">
        <f t="shared" ref="S55:AD55" si="33">S79-S31</f>
        <v>#REF!</v>
      </c>
      <c r="T55" s="40" t="e">
        <f t="shared" si="33"/>
        <v>#REF!</v>
      </c>
      <c r="U55" s="40" t="e">
        <f t="shared" si="33"/>
        <v>#REF!</v>
      </c>
      <c r="V55" s="40" t="e">
        <f t="shared" si="33"/>
        <v>#REF!</v>
      </c>
      <c r="W55" s="40" t="e">
        <f t="shared" si="33"/>
        <v>#REF!</v>
      </c>
      <c r="X55" s="40" t="e">
        <f t="shared" si="33"/>
        <v>#REF!</v>
      </c>
      <c r="Y55" s="40" t="e">
        <f t="shared" si="33"/>
        <v>#REF!</v>
      </c>
      <c r="Z55" s="40" t="e">
        <f t="shared" si="33"/>
        <v>#REF!</v>
      </c>
      <c r="AA55" s="40" t="e">
        <f t="shared" si="33"/>
        <v>#REF!</v>
      </c>
      <c r="AB55" s="40" t="e">
        <f t="shared" si="33"/>
        <v>#REF!</v>
      </c>
      <c r="AC55" s="40" t="e">
        <f t="shared" si="33"/>
        <v>#REF!</v>
      </c>
      <c r="AD55" s="40" t="e">
        <f t="shared" si="33"/>
        <v>#REF!</v>
      </c>
      <c r="AE55" s="46" t="e">
        <f t="shared" si="23"/>
        <v>#REF!</v>
      </c>
      <c r="AI55" s="505" t="e">
        <f t="shared" si="24"/>
        <v>#REF!</v>
      </c>
      <c r="AJ55" s="6" t="e">
        <f t="shared" si="25"/>
        <v>#REF!</v>
      </c>
      <c r="AK55" s="6" t="e">
        <f t="shared" si="26"/>
        <v>#REF!</v>
      </c>
      <c r="AL55" s="6" t="e">
        <f t="shared" si="27"/>
        <v>#REF!</v>
      </c>
      <c r="AM55" s="6" t="e">
        <f t="shared" si="28"/>
        <v>#REF!</v>
      </c>
      <c r="AN55" s="6" t="e">
        <f t="shared" si="29"/>
        <v>#REF!</v>
      </c>
      <c r="AP55" s="6" t="e">
        <f t="shared" si="30"/>
        <v>#REF!</v>
      </c>
      <c r="AQ55" s="6" t="e">
        <f t="shared" si="31"/>
        <v>#REF!</v>
      </c>
      <c r="AR55" s="6" t="e">
        <f t="shared" si="32"/>
        <v>#REF!</v>
      </c>
    </row>
    <row r="56" spans="2:44" ht="14.4" hidden="1">
      <c r="B56" s="561" t="s">
        <v>1010</v>
      </c>
      <c r="C56" s="557" t="s">
        <v>1011</v>
      </c>
      <c r="D56" s="557" t="s">
        <v>1012</v>
      </c>
      <c r="E56" s="559" t="s">
        <v>17</v>
      </c>
      <c r="F56" s="559" t="s">
        <v>17</v>
      </c>
      <c r="G56" s="557" t="s">
        <v>95</v>
      </c>
      <c r="H56" s="557">
        <v>2026</v>
      </c>
      <c r="I56" s="557" t="s">
        <v>785</v>
      </c>
      <c r="J56" s="557" t="s">
        <v>203</v>
      </c>
      <c r="K56" s="557" t="s">
        <v>204</v>
      </c>
      <c r="L56" s="557" t="s">
        <v>205</v>
      </c>
      <c r="M56" s="557" t="s">
        <v>721</v>
      </c>
      <c r="N56" s="557" t="s">
        <v>1013</v>
      </c>
      <c r="O56" s="557" t="s">
        <v>1013</v>
      </c>
      <c r="P56" s="560" t="s">
        <v>980</v>
      </c>
      <c r="Q56" s="560" t="s">
        <v>1078</v>
      </c>
      <c r="R56" s="567" t="s">
        <v>1078</v>
      </c>
      <c r="S56" s="316" t="e">
        <f t="shared" ref="S56:AD56" si="34">S80-S32</f>
        <v>#REF!</v>
      </c>
      <c r="T56" s="40" t="e">
        <f t="shared" si="34"/>
        <v>#REF!</v>
      </c>
      <c r="U56" s="40" t="e">
        <f t="shared" si="34"/>
        <v>#REF!</v>
      </c>
      <c r="V56" s="40" t="e">
        <f t="shared" si="34"/>
        <v>#REF!</v>
      </c>
      <c r="W56" s="40" t="e">
        <f t="shared" si="34"/>
        <v>#REF!</v>
      </c>
      <c r="X56" s="40" t="e">
        <f t="shared" si="34"/>
        <v>#REF!</v>
      </c>
      <c r="Y56" s="40" t="e">
        <f t="shared" si="34"/>
        <v>#REF!</v>
      </c>
      <c r="Z56" s="40" t="e">
        <f t="shared" si="34"/>
        <v>#REF!</v>
      </c>
      <c r="AA56" s="40" t="e">
        <f t="shared" si="34"/>
        <v>#REF!</v>
      </c>
      <c r="AB56" s="40" t="e">
        <f t="shared" si="34"/>
        <v>#REF!</v>
      </c>
      <c r="AC56" s="40" t="e">
        <f t="shared" si="34"/>
        <v>#REF!</v>
      </c>
      <c r="AD56" s="40" t="e">
        <f t="shared" si="34"/>
        <v>#REF!</v>
      </c>
      <c r="AE56" s="46" t="e">
        <f t="shared" si="23"/>
        <v>#REF!</v>
      </c>
      <c r="AI56" s="505" t="e">
        <f t="shared" si="24"/>
        <v>#REF!</v>
      </c>
      <c r="AJ56" s="6" t="e">
        <f t="shared" si="25"/>
        <v>#REF!</v>
      </c>
      <c r="AK56" s="6" t="e">
        <f t="shared" si="26"/>
        <v>#REF!</v>
      </c>
      <c r="AL56" s="6" t="e">
        <f t="shared" si="27"/>
        <v>#REF!</v>
      </c>
      <c r="AM56" s="6" t="e">
        <f t="shared" si="28"/>
        <v>#REF!</v>
      </c>
      <c r="AN56" s="6" t="e">
        <f t="shared" si="29"/>
        <v>#REF!</v>
      </c>
      <c r="AP56" s="6" t="e">
        <f t="shared" si="30"/>
        <v>#REF!</v>
      </c>
      <c r="AQ56" s="6" t="e">
        <f t="shared" si="31"/>
        <v>#REF!</v>
      </c>
      <c r="AR56" s="6" t="e">
        <f t="shared" si="32"/>
        <v>#REF!</v>
      </c>
    </row>
    <row r="57" spans="2:44" ht="14.4" hidden="1">
      <c r="B57" s="561" t="s">
        <v>1014</v>
      </c>
      <c r="C57" s="557" t="s">
        <v>1015</v>
      </c>
      <c r="D57" s="557" t="s">
        <v>1016</v>
      </c>
      <c r="E57" s="559" t="s">
        <v>17</v>
      </c>
      <c r="F57" s="559" t="s">
        <v>17</v>
      </c>
      <c r="G57" s="557" t="s">
        <v>95</v>
      </c>
      <c r="H57" s="557">
        <v>2026</v>
      </c>
      <c r="I57" s="557" t="s">
        <v>785</v>
      </c>
      <c r="J57" s="557" t="s">
        <v>203</v>
      </c>
      <c r="K57" s="557" t="s">
        <v>204</v>
      </c>
      <c r="L57" s="557" t="s">
        <v>205</v>
      </c>
      <c r="M57" s="557" t="s">
        <v>721</v>
      </c>
      <c r="N57" s="557" t="s">
        <v>1017</v>
      </c>
      <c r="O57" s="557" t="s">
        <v>1017</v>
      </c>
      <c r="P57" s="560" t="s">
        <v>1071</v>
      </c>
      <c r="Q57" s="560" t="s">
        <v>1078</v>
      </c>
      <c r="R57" s="567" t="s">
        <v>1078</v>
      </c>
      <c r="S57" s="316" t="e">
        <f t="shared" ref="S57:AD57" si="35">S81-S33</f>
        <v>#REF!</v>
      </c>
      <c r="T57" s="40" t="e">
        <f t="shared" si="35"/>
        <v>#REF!</v>
      </c>
      <c r="U57" s="40" t="e">
        <f t="shared" si="35"/>
        <v>#REF!</v>
      </c>
      <c r="V57" s="40" t="e">
        <f t="shared" si="35"/>
        <v>#REF!</v>
      </c>
      <c r="W57" s="40" t="e">
        <f t="shared" si="35"/>
        <v>#REF!</v>
      </c>
      <c r="X57" s="40" t="e">
        <f t="shared" si="35"/>
        <v>#REF!</v>
      </c>
      <c r="Y57" s="40" t="e">
        <f t="shared" si="35"/>
        <v>#REF!</v>
      </c>
      <c r="Z57" s="40" t="e">
        <f t="shared" si="35"/>
        <v>#REF!</v>
      </c>
      <c r="AA57" s="40" t="e">
        <f t="shared" si="35"/>
        <v>#REF!</v>
      </c>
      <c r="AB57" s="40" t="e">
        <f t="shared" si="35"/>
        <v>#REF!</v>
      </c>
      <c r="AC57" s="40" t="e">
        <f t="shared" si="35"/>
        <v>#REF!</v>
      </c>
      <c r="AD57" s="40" t="e">
        <f t="shared" si="35"/>
        <v>#REF!</v>
      </c>
      <c r="AE57" s="46" t="e">
        <f t="shared" si="23"/>
        <v>#REF!</v>
      </c>
      <c r="AI57" s="505" t="e">
        <f t="shared" si="24"/>
        <v>#REF!</v>
      </c>
      <c r="AJ57" s="6" t="e">
        <f t="shared" si="25"/>
        <v>#REF!</v>
      </c>
      <c r="AK57" s="6" t="e">
        <f t="shared" si="26"/>
        <v>#REF!</v>
      </c>
      <c r="AL57" s="6" t="e">
        <f t="shared" si="27"/>
        <v>#REF!</v>
      </c>
      <c r="AM57" s="6" t="e">
        <f t="shared" si="28"/>
        <v>#REF!</v>
      </c>
      <c r="AN57" s="6" t="e">
        <f t="shared" si="29"/>
        <v>#REF!</v>
      </c>
      <c r="AP57" s="6" t="e">
        <f t="shared" si="30"/>
        <v>#REF!</v>
      </c>
      <c r="AQ57" s="6" t="e">
        <f t="shared" si="31"/>
        <v>#REF!</v>
      </c>
      <c r="AR57" s="6" t="e">
        <f t="shared" si="32"/>
        <v>#REF!</v>
      </c>
    </row>
    <row r="58" spans="2:44" ht="14.4" hidden="1">
      <c r="B58" s="561" t="s">
        <v>1018</v>
      </c>
      <c r="C58" s="557" t="s">
        <v>1019</v>
      </c>
      <c r="D58" s="557" t="s">
        <v>1020</v>
      </c>
      <c r="E58" s="559" t="s">
        <v>17</v>
      </c>
      <c r="F58" s="559" t="s">
        <v>17</v>
      </c>
      <c r="G58" s="557" t="s">
        <v>95</v>
      </c>
      <c r="H58" s="557">
        <v>2026</v>
      </c>
      <c r="I58" s="557" t="s">
        <v>785</v>
      </c>
      <c r="J58" s="557" t="s">
        <v>203</v>
      </c>
      <c r="K58" s="557" t="s">
        <v>204</v>
      </c>
      <c r="L58" s="557" t="s">
        <v>205</v>
      </c>
      <c r="M58" s="557" t="s">
        <v>721</v>
      </c>
      <c r="N58" s="557" t="s">
        <v>1021</v>
      </c>
      <c r="O58" s="557" t="s">
        <v>1021</v>
      </c>
      <c r="P58" s="560" t="s">
        <v>976</v>
      </c>
      <c r="Q58" s="560" t="s">
        <v>1078</v>
      </c>
      <c r="R58" s="567" t="s">
        <v>1078</v>
      </c>
      <c r="S58" s="316" t="e">
        <f t="shared" ref="S58:AD58" si="36">S82-S34</f>
        <v>#REF!</v>
      </c>
      <c r="T58" s="40" t="e">
        <f t="shared" si="36"/>
        <v>#REF!</v>
      </c>
      <c r="U58" s="40" t="e">
        <f t="shared" si="36"/>
        <v>#REF!</v>
      </c>
      <c r="V58" s="40" t="e">
        <f t="shared" si="36"/>
        <v>#REF!</v>
      </c>
      <c r="W58" s="40" t="e">
        <f t="shared" si="36"/>
        <v>#REF!</v>
      </c>
      <c r="X58" s="40" t="e">
        <f t="shared" si="36"/>
        <v>#REF!</v>
      </c>
      <c r="Y58" s="40" t="e">
        <f t="shared" si="36"/>
        <v>#REF!</v>
      </c>
      <c r="Z58" s="40" t="e">
        <f t="shared" si="36"/>
        <v>#REF!</v>
      </c>
      <c r="AA58" s="40" t="e">
        <f t="shared" si="36"/>
        <v>#REF!</v>
      </c>
      <c r="AB58" s="40" t="e">
        <f t="shared" si="36"/>
        <v>#REF!</v>
      </c>
      <c r="AC58" s="40" t="e">
        <f t="shared" si="36"/>
        <v>#REF!</v>
      </c>
      <c r="AD58" s="40" t="e">
        <f t="shared" si="36"/>
        <v>#REF!</v>
      </c>
      <c r="AE58" s="46" t="e">
        <f t="shared" si="23"/>
        <v>#REF!</v>
      </c>
      <c r="AI58" s="505" t="e">
        <f t="shared" si="24"/>
        <v>#REF!</v>
      </c>
      <c r="AJ58" s="6" t="e">
        <f t="shared" si="25"/>
        <v>#REF!</v>
      </c>
      <c r="AK58" s="6" t="e">
        <f t="shared" si="26"/>
        <v>#REF!</v>
      </c>
      <c r="AL58" s="6" t="e">
        <f t="shared" si="27"/>
        <v>#REF!</v>
      </c>
      <c r="AM58" s="6" t="e">
        <f t="shared" si="28"/>
        <v>#REF!</v>
      </c>
      <c r="AN58" s="6" t="e">
        <f t="shared" si="29"/>
        <v>#REF!</v>
      </c>
      <c r="AP58" s="6" t="e">
        <f t="shared" si="30"/>
        <v>#REF!</v>
      </c>
      <c r="AQ58" s="6" t="e">
        <f t="shared" si="31"/>
        <v>#REF!</v>
      </c>
      <c r="AR58" s="6" t="e">
        <f t="shared" si="32"/>
        <v>#REF!</v>
      </c>
    </row>
    <row r="59" spans="2:44" ht="14.4" hidden="1">
      <c r="B59" s="561" t="s">
        <v>1022</v>
      </c>
      <c r="C59" s="557" t="s">
        <v>1023</v>
      </c>
      <c r="D59" s="557" t="s">
        <v>1024</v>
      </c>
      <c r="E59" s="559" t="s">
        <v>17</v>
      </c>
      <c r="F59" s="559" t="s">
        <v>17</v>
      </c>
      <c r="G59" s="557" t="s">
        <v>95</v>
      </c>
      <c r="H59" s="557">
        <v>2026</v>
      </c>
      <c r="I59" s="557" t="s">
        <v>785</v>
      </c>
      <c r="J59" s="557" t="s">
        <v>203</v>
      </c>
      <c r="K59" s="557" t="s">
        <v>204</v>
      </c>
      <c r="L59" s="557" t="s">
        <v>205</v>
      </c>
      <c r="M59" s="557" t="s">
        <v>721</v>
      </c>
      <c r="N59" s="557" t="s">
        <v>1025</v>
      </c>
      <c r="O59" s="557" t="s">
        <v>1025</v>
      </c>
      <c r="P59" s="560" t="s">
        <v>977</v>
      </c>
      <c r="Q59" s="560" t="s">
        <v>1078</v>
      </c>
      <c r="R59" s="567" t="s">
        <v>1078</v>
      </c>
      <c r="S59" s="316" t="e">
        <f t="shared" ref="S59:AD59" si="37">S83-S35</f>
        <v>#REF!</v>
      </c>
      <c r="T59" s="40" t="e">
        <f t="shared" si="37"/>
        <v>#REF!</v>
      </c>
      <c r="U59" s="40" t="e">
        <f t="shared" si="37"/>
        <v>#REF!</v>
      </c>
      <c r="V59" s="40" t="e">
        <f t="shared" si="37"/>
        <v>#REF!</v>
      </c>
      <c r="W59" s="40" t="e">
        <f t="shared" si="37"/>
        <v>#REF!</v>
      </c>
      <c r="X59" s="40" t="e">
        <f t="shared" si="37"/>
        <v>#REF!</v>
      </c>
      <c r="Y59" s="40" t="e">
        <f t="shared" si="37"/>
        <v>#REF!</v>
      </c>
      <c r="Z59" s="40" t="e">
        <f t="shared" si="37"/>
        <v>#REF!</v>
      </c>
      <c r="AA59" s="40" t="e">
        <f t="shared" si="37"/>
        <v>#REF!</v>
      </c>
      <c r="AB59" s="40" t="e">
        <f t="shared" si="37"/>
        <v>#REF!</v>
      </c>
      <c r="AC59" s="40" t="e">
        <f t="shared" si="37"/>
        <v>#REF!</v>
      </c>
      <c r="AD59" s="40" t="e">
        <f t="shared" si="37"/>
        <v>#REF!</v>
      </c>
      <c r="AE59" s="46" t="e">
        <f t="shared" si="23"/>
        <v>#REF!</v>
      </c>
      <c r="AI59" s="505" t="e">
        <f t="shared" si="24"/>
        <v>#REF!</v>
      </c>
      <c r="AJ59" s="6" t="e">
        <f t="shared" si="25"/>
        <v>#REF!</v>
      </c>
      <c r="AK59" s="6" t="e">
        <f t="shared" si="26"/>
        <v>#REF!</v>
      </c>
      <c r="AL59" s="6" t="e">
        <f t="shared" si="27"/>
        <v>#REF!</v>
      </c>
      <c r="AM59" s="6" t="e">
        <f t="shared" si="28"/>
        <v>#REF!</v>
      </c>
      <c r="AN59" s="6" t="e">
        <f t="shared" si="29"/>
        <v>#REF!</v>
      </c>
      <c r="AP59" s="6" t="e">
        <f t="shared" si="30"/>
        <v>#REF!</v>
      </c>
      <c r="AQ59" s="6" t="e">
        <f t="shared" si="31"/>
        <v>#REF!</v>
      </c>
      <c r="AR59" s="6" t="e">
        <f t="shared" si="32"/>
        <v>#REF!</v>
      </c>
    </row>
    <row r="60" spans="2:44" ht="14.4" hidden="1">
      <c r="B60" s="561" t="s">
        <v>1026</v>
      </c>
      <c r="C60" s="557" t="s">
        <v>1027</v>
      </c>
      <c r="D60" s="557" t="s">
        <v>1028</v>
      </c>
      <c r="E60" s="559" t="s">
        <v>17</v>
      </c>
      <c r="F60" s="559" t="s">
        <v>17</v>
      </c>
      <c r="G60" s="557" t="s">
        <v>95</v>
      </c>
      <c r="H60" s="557">
        <v>2026</v>
      </c>
      <c r="I60" s="557" t="s">
        <v>785</v>
      </c>
      <c r="J60" s="557" t="s">
        <v>203</v>
      </c>
      <c r="K60" s="557" t="s">
        <v>204</v>
      </c>
      <c r="L60" s="557" t="s">
        <v>205</v>
      </c>
      <c r="M60" s="557" t="s">
        <v>721</v>
      </c>
      <c r="N60" s="557" t="s">
        <v>961</v>
      </c>
      <c r="O60" s="557" t="s">
        <v>961</v>
      </c>
      <c r="P60" s="560" t="s">
        <v>1072</v>
      </c>
      <c r="Q60" s="560" t="s">
        <v>1078</v>
      </c>
      <c r="R60" s="567" t="s">
        <v>1078</v>
      </c>
      <c r="S60" s="316" t="e">
        <f t="shared" ref="S60:AD60" si="38">S84-S36</f>
        <v>#REF!</v>
      </c>
      <c r="T60" s="40" t="e">
        <f t="shared" si="38"/>
        <v>#REF!</v>
      </c>
      <c r="U60" s="40" t="e">
        <f t="shared" si="38"/>
        <v>#REF!</v>
      </c>
      <c r="V60" s="40" t="e">
        <f t="shared" si="38"/>
        <v>#REF!</v>
      </c>
      <c r="W60" s="40" t="e">
        <f t="shared" si="38"/>
        <v>#REF!</v>
      </c>
      <c r="X60" s="40" t="e">
        <f t="shared" si="38"/>
        <v>#REF!</v>
      </c>
      <c r="Y60" s="40" t="e">
        <f t="shared" si="38"/>
        <v>#REF!</v>
      </c>
      <c r="Z60" s="40" t="e">
        <f t="shared" si="38"/>
        <v>#REF!</v>
      </c>
      <c r="AA60" s="40" t="e">
        <f t="shared" si="38"/>
        <v>#REF!</v>
      </c>
      <c r="AB60" s="40" t="e">
        <f t="shared" si="38"/>
        <v>#REF!</v>
      </c>
      <c r="AC60" s="40" t="e">
        <f t="shared" si="38"/>
        <v>#REF!</v>
      </c>
      <c r="AD60" s="40" t="e">
        <f t="shared" si="38"/>
        <v>#REF!</v>
      </c>
      <c r="AE60" s="46" t="e">
        <f t="shared" si="23"/>
        <v>#REF!</v>
      </c>
      <c r="AI60" s="505" t="e">
        <f t="shared" si="24"/>
        <v>#REF!</v>
      </c>
      <c r="AJ60" s="6" t="e">
        <f t="shared" si="25"/>
        <v>#REF!</v>
      </c>
      <c r="AK60" s="6" t="e">
        <f t="shared" si="26"/>
        <v>#REF!</v>
      </c>
      <c r="AL60" s="6" t="e">
        <f t="shared" si="27"/>
        <v>#REF!</v>
      </c>
      <c r="AM60" s="6" t="e">
        <f t="shared" si="28"/>
        <v>#REF!</v>
      </c>
      <c r="AN60" s="6" t="e">
        <f t="shared" si="29"/>
        <v>#REF!</v>
      </c>
      <c r="AP60" s="6" t="e">
        <f t="shared" si="30"/>
        <v>#REF!</v>
      </c>
      <c r="AQ60" s="6" t="e">
        <f t="shared" si="31"/>
        <v>#REF!</v>
      </c>
      <c r="AR60" s="6" t="e">
        <f t="shared" si="32"/>
        <v>#REF!</v>
      </c>
    </row>
    <row r="61" spans="2:44" ht="14.4" hidden="1">
      <c r="B61" s="561" t="s">
        <v>1029</v>
      </c>
      <c r="C61" s="557" t="s">
        <v>1030</v>
      </c>
      <c r="D61" s="557" t="s">
        <v>1031</v>
      </c>
      <c r="E61" s="559" t="s">
        <v>17</v>
      </c>
      <c r="F61" s="559" t="s">
        <v>17</v>
      </c>
      <c r="G61" s="557" t="s">
        <v>95</v>
      </c>
      <c r="H61" s="557">
        <v>2026</v>
      </c>
      <c r="I61" s="557" t="s">
        <v>785</v>
      </c>
      <c r="J61" s="557" t="s">
        <v>203</v>
      </c>
      <c r="K61" s="557" t="s">
        <v>204</v>
      </c>
      <c r="L61" s="557" t="s">
        <v>205</v>
      </c>
      <c r="M61" s="557" t="s">
        <v>721</v>
      </c>
      <c r="N61" s="557" t="s">
        <v>968</v>
      </c>
      <c r="O61" s="557" t="s">
        <v>968</v>
      </c>
      <c r="P61" s="560" t="s">
        <v>981</v>
      </c>
      <c r="Q61" s="560" t="s">
        <v>1078</v>
      </c>
      <c r="R61" s="567" t="s">
        <v>1078</v>
      </c>
      <c r="S61" s="316" t="e">
        <f t="shared" ref="S61:AD61" si="39">S85-S37</f>
        <v>#REF!</v>
      </c>
      <c r="T61" s="40" t="e">
        <f t="shared" si="39"/>
        <v>#REF!</v>
      </c>
      <c r="U61" s="40" t="e">
        <f t="shared" si="39"/>
        <v>#REF!</v>
      </c>
      <c r="V61" s="40" t="e">
        <f t="shared" si="39"/>
        <v>#REF!</v>
      </c>
      <c r="W61" s="40" t="e">
        <f t="shared" si="39"/>
        <v>#REF!</v>
      </c>
      <c r="X61" s="40" t="e">
        <f t="shared" si="39"/>
        <v>#REF!</v>
      </c>
      <c r="Y61" s="40" t="e">
        <f t="shared" si="39"/>
        <v>#REF!</v>
      </c>
      <c r="Z61" s="40" t="e">
        <f t="shared" si="39"/>
        <v>#REF!</v>
      </c>
      <c r="AA61" s="40" t="e">
        <f t="shared" si="39"/>
        <v>#REF!</v>
      </c>
      <c r="AB61" s="40" t="e">
        <f t="shared" si="39"/>
        <v>#REF!</v>
      </c>
      <c r="AC61" s="40" t="e">
        <f t="shared" si="39"/>
        <v>#REF!</v>
      </c>
      <c r="AD61" s="40" t="e">
        <f t="shared" si="39"/>
        <v>#REF!</v>
      </c>
      <c r="AE61" s="46" t="e">
        <f t="shared" si="23"/>
        <v>#REF!</v>
      </c>
      <c r="AI61" s="505" t="e">
        <f t="shared" si="24"/>
        <v>#REF!</v>
      </c>
      <c r="AJ61" s="6" t="e">
        <f t="shared" si="25"/>
        <v>#REF!</v>
      </c>
      <c r="AK61" s="6" t="e">
        <f t="shared" si="26"/>
        <v>#REF!</v>
      </c>
      <c r="AL61" s="6" t="e">
        <f t="shared" si="27"/>
        <v>#REF!</v>
      </c>
      <c r="AM61" s="6" t="e">
        <f t="shared" si="28"/>
        <v>#REF!</v>
      </c>
      <c r="AN61" s="6" t="e">
        <f t="shared" si="29"/>
        <v>#REF!</v>
      </c>
      <c r="AP61" s="6" t="e">
        <f t="shared" si="30"/>
        <v>#REF!</v>
      </c>
      <c r="AQ61" s="6" t="e">
        <f t="shared" si="31"/>
        <v>#REF!</v>
      </c>
      <c r="AR61" s="6" t="e">
        <f t="shared" si="32"/>
        <v>#REF!</v>
      </c>
    </row>
    <row r="62" spans="2:44" ht="14.4" hidden="1">
      <c r="B62" s="561" t="s">
        <v>1032</v>
      </c>
      <c r="C62" s="557" t="s">
        <v>1033</v>
      </c>
      <c r="D62" s="557" t="s">
        <v>1034</v>
      </c>
      <c r="E62" s="559" t="s">
        <v>17</v>
      </c>
      <c r="F62" s="559" t="s">
        <v>17</v>
      </c>
      <c r="G62" s="557" t="s">
        <v>95</v>
      </c>
      <c r="H62" s="557">
        <v>2026</v>
      </c>
      <c r="I62" s="557" t="s">
        <v>785</v>
      </c>
      <c r="J62" s="557" t="s">
        <v>203</v>
      </c>
      <c r="K62" s="557" t="s">
        <v>204</v>
      </c>
      <c r="L62" s="557" t="s">
        <v>205</v>
      </c>
      <c r="M62" s="557" t="s">
        <v>721</v>
      </c>
      <c r="N62" s="557" t="s">
        <v>969</v>
      </c>
      <c r="O62" s="557" t="s">
        <v>969</v>
      </c>
      <c r="P62" s="560" t="s">
        <v>982</v>
      </c>
      <c r="Q62" s="560" t="s">
        <v>1078</v>
      </c>
      <c r="R62" s="567" t="s">
        <v>1078</v>
      </c>
      <c r="S62" s="316" t="e">
        <f t="shared" ref="S62:AD62" si="40">S86-S38</f>
        <v>#REF!</v>
      </c>
      <c r="T62" s="40" t="e">
        <f t="shared" si="40"/>
        <v>#REF!</v>
      </c>
      <c r="U62" s="40" t="e">
        <f t="shared" si="40"/>
        <v>#REF!</v>
      </c>
      <c r="V62" s="40" t="e">
        <f t="shared" si="40"/>
        <v>#REF!</v>
      </c>
      <c r="W62" s="40" t="e">
        <f t="shared" si="40"/>
        <v>#REF!</v>
      </c>
      <c r="X62" s="40" t="e">
        <f t="shared" si="40"/>
        <v>#REF!</v>
      </c>
      <c r="Y62" s="40" t="e">
        <f t="shared" si="40"/>
        <v>#REF!</v>
      </c>
      <c r="Z62" s="40" t="e">
        <f t="shared" si="40"/>
        <v>#REF!</v>
      </c>
      <c r="AA62" s="40" t="e">
        <f t="shared" si="40"/>
        <v>#REF!</v>
      </c>
      <c r="AB62" s="40" t="e">
        <f t="shared" si="40"/>
        <v>#REF!</v>
      </c>
      <c r="AC62" s="40" t="e">
        <f t="shared" si="40"/>
        <v>#REF!</v>
      </c>
      <c r="AD62" s="40" t="e">
        <f t="shared" si="40"/>
        <v>#REF!</v>
      </c>
      <c r="AE62" s="46" t="e">
        <f t="shared" si="23"/>
        <v>#REF!</v>
      </c>
      <c r="AI62" s="505" t="e">
        <f t="shared" si="24"/>
        <v>#REF!</v>
      </c>
      <c r="AJ62" s="6" t="e">
        <f t="shared" si="25"/>
        <v>#REF!</v>
      </c>
      <c r="AK62" s="6" t="e">
        <f t="shared" si="26"/>
        <v>#REF!</v>
      </c>
      <c r="AL62" s="6" t="e">
        <f t="shared" si="27"/>
        <v>#REF!</v>
      </c>
      <c r="AM62" s="6" t="e">
        <f t="shared" si="28"/>
        <v>#REF!</v>
      </c>
      <c r="AN62" s="6" t="e">
        <f t="shared" si="29"/>
        <v>#REF!</v>
      </c>
      <c r="AP62" s="6" t="e">
        <f t="shared" si="30"/>
        <v>#REF!</v>
      </c>
      <c r="AQ62" s="6" t="e">
        <f t="shared" si="31"/>
        <v>#REF!</v>
      </c>
      <c r="AR62" s="6" t="e">
        <f t="shared" si="32"/>
        <v>#REF!</v>
      </c>
    </row>
    <row r="63" spans="2:44" ht="14.4" hidden="1">
      <c r="B63" s="561" t="s">
        <v>1035</v>
      </c>
      <c r="C63" s="557" t="s">
        <v>1036</v>
      </c>
      <c r="D63" s="557" t="s">
        <v>1037</v>
      </c>
      <c r="E63" s="559" t="s">
        <v>17</v>
      </c>
      <c r="F63" s="559" t="s">
        <v>17</v>
      </c>
      <c r="G63" s="557" t="s">
        <v>95</v>
      </c>
      <c r="H63" s="557">
        <v>2026</v>
      </c>
      <c r="I63" s="557" t="s">
        <v>785</v>
      </c>
      <c r="J63" s="557" t="s">
        <v>203</v>
      </c>
      <c r="K63" s="557" t="s">
        <v>204</v>
      </c>
      <c r="L63" s="557" t="s">
        <v>205</v>
      </c>
      <c r="M63" s="557" t="s">
        <v>721</v>
      </c>
      <c r="N63" s="557" t="s">
        <v>970</v>
      </c>
      <c r="O63" s="557" t="s">
        <v>970</v>
      </c>
      <c r="P63" s="560" t="s">
        <v>983</v>
      </c>
      <c r="Q63" s="560" t="s">
        <v>1078</v>
      </c>
      <c r="R63" s="567" t="s">
        <v>1078</v>
      </c>
      <c r="S63" s="316" t="e">
        <f t="shared" ref="S63:AD63" si="41">S87-S39</f>
        <v>#REF!</v>
      </c>
      <c r="T63" s="40" t="e">
        <f t="shared" si="41"/>
        <v>#REF!</v>
      </c>
      <c r="U63" s="40" t="e">
        <f t="shared" si="41"/>
        <v>#REF!</v>
      </c>
      <c r="V63" s="40" t="e">
        <f t="shared" si="41"/>
        <v>#REF!</v>
      </c>
      <c r="W63" s="40" t="e">
        <f t="shared" si="41"/>
        <v>#REF!</v>
      </c>
      <c r="X63" s="40" t="e">
        <f t="shared" si="41"/>
        <v>#REF!</v>
      </c>
      <c r="Y63" s="40" t="e">
        <f t="shared" si="41"/>
        <v>#REF!</v>
      </c>
      <c r="Z63" s="40" t="e">
        <f t="shared" si="41"/>
        <v>#REF!</v>
      </c>
      <c r="AA63" s="40" t="e">
        <f t="shared" si="41"/>
        <v>#REF!</v>
      </c>
      <c r="AB63" s="40" t="e">
        <f t="shared" si="41"/>
        <v>#REF!</v>
      </c>
      <c r="AC63" s="40" t="e">
        <f t="shared" si="41"/>
        <v>#REF!</v>
      </c>
      <c r="AD63" s="40" t="e">
        <f t="shared" si="41"/>
        <v>#REF!</v>
      </c>
      <c r="AE63" s="46" t="e">
        <f t="shared" si="23"/>
        <v>#REF!</v>
      </c>
      <c r="AI63" s="505" t="e">
        <f t="shared" si="24"/>
        <v>#REF!</v>
      </c>
      <c r="AJ63" s="6" t="e">
        <f t="shared" si="25"/>
        <v>#REF!</v>
      </c>
      <c r="AK63" s="6" t="e">
        <f t="shared" si="26"/>
        <v>#REF!</v>
      </c>
      <c r="AL63" s="6" t="e">
        <f t="shared" si="27"/>
        <v>#REF!</v>
      </c>
      <c r="AM63" s="6" t="e">
        <f t="shared" si="28"/>
        <v>#REF!</v>
      </c>
      <c r="AN63" s="6" t="e">
        <f t="shared" si="29"/>
        <v>#REF!</v>
      </c>
      <c r="AP63" s="6" t="e">
        <f t="shared" si="30"/>
        <v>#REF!</v>
      </c>
      <c r="AQ63" s="6" t="e">
        <f t="shared" si="31"/>
        <v>#REF!</v>
      </c>
      <c r="AR63" s="6" t="e">
        <f t="shared" si="32"/>
        <v>#REF!</v>
      </c>
    </row>
    <row r="64" spans="2:44" ht="14.4" hidden="1">
      <c r="B64" s="561" t="s">
        <v>1038</v>
      </c>
      <c r="C64" s="557" t="s">
        <v>1039</v>
      </c>
      <c r="D64" s="557" t="s">
        <v>1040</v>
      </c>
      <c r="E64" s="559" t="s">
        <v>17</v>
      </c>
      <c r="F64" s="559" t="s">
        <v>17</v>
      </c>
      <c r="G64" s="557" t="s">
        <v>96</v>
      </c>
      <c r="H64" s="557">
        <v>2026</v>
      </c>
      <c r="I64" s="557" t="s">
        <v>785</v>
      </c>
      <c r="J64" s="557" t="s">
        <v>203</v>
      </c>
      <c r="K64" s="557" t="s">
        <v>204</v>
      </c>
      <c r="L64" s="557" t="s">
        <v>205</v>
      </c>
      <c r="M64" s="557" t="s">
        <v>721</v>
      </c>
      <c r="N64" s="557" t="s">
        <v>1005</v>
      </c>
      <c r="O64" s="557" t="s">
        <v>1005</v>
      </c>
      <c r="P64" s="560" t="s">
        <v>978</v>
      </c>
      <c r="Q64" s="560" t="s">
        <v>1078</v>
      </c>
      <c r="R64" s="567" t="s">
        <v>1078</v>
      </c>
      <c r="S64" s="316" t="e">
        <f t="shared" ref="S64:AD64" si="42">S88-S40</f>
        <v>#REF!</v>
      </c>
      <c r="T64" s="40" t="e">
        <f t="shared" si="42"/>
        <v>#REF!</v>
      </c>
      <c r="U64" s="40" t="e">
        <f t="shared" si="42"/>
        <v>#REF!</v>
      </c>
      <c r="V64" s="40" t="e">
        <f t="shared" si="42"/>
        <v>#REF!</v>
      </c>
      <c r="W64" s="40" t="e">
        <f t="shared" si="42"/>
        <v>#REF!</v>
      </c>
      <c r="X64" s="40" t="e">
        <f t="shared" si="42"/>
        <v>#REF!</v>
      </c>
      <c r="Y64" s="40" t="e">
        <f t="shared" si="42"/>
        <v>#REF!</v>
      </c>
      <c r="Z64" s="40" t="e">
        <f t="shared" si="42"/>
        <v>#REF!</v>
      </c>
      <c r="AA64" s="40" t="e">
        <f t="shared" si="42"/>
        <v>#REF!</v>
      </c>
      <c r="AB64" s="40" t="e">
        <f t="shared" si="42"/>
        <v>#REF!</v>
      </c>
      <c r="AC64" s="40" t="e">
        <f t="shared" si="42"/>
        <v>#REF!</v>
      </c>
      <c r="AD64" s="40" t="e">
        <f t="shared" si="42"/>
        <v>#REF!</v>
      </c>
      <c r="AE64" s="46" t="e">
        <f t="shared" si="23"/>
        <v>#REF!</v>
      </c>
      <c r="AI64" s="505" t="e">
        <f t="shared" si="24"/>
        <v>#REF!</v>
      </c>
      <c r="AJ64" s="6" t="e">
        <f t="shared" si="25"/>
        <v>#REF!</v>
      </c>
      <c r="AK64" s="6" t="e">
        <f t="shared" si="26"/>
        <v>#REF!</v>
      </c>
      <c r="AL64" s="6" t="e">
        <f t="shared" si="27"/>
        <v>#REF!</v>
      </c>
      <c r="AM64" s="6" t="e">
        <f t="shared" si="28"/>
        <v>#REF!</v>
      </c>
      <c r="AN64" s="6" t="e">
        <f t="shared" si="29"/>
        <v>#REF!</v>
      </c>
      <c r="AP64" s="505" t="e">
        <f t="shared" si="30"/>
        <v>#REF!</v>
      </c>
      <c r="AQ64" s="6" t="e">
        <f t="shared" si="31"/>
        <v>#REF!</v>
      </c>
      <c r="AR64" s="6" t="e">
        <f t="shared" si="32"/>
        <v>#REF!</v>
      </c>
    </row>
    <row r="65" spans="2:44" ht="14.4" hidden="1">
      <c r="B65" s="561" t="s">
        <v>1041</v>
      </c>
      <c r="C65" s="557" t="s">
        <v>1042</v>
      </c>
      <c r="D65" s="557" t="s">
        <v>1043</v>
      </c>
      <c r="E65" s="559" t="s">
        <v>17</v>
      </c>
      <c r="F65" s="559" t="s">
        <v>17</v>
      </c>
      <c r="G65" s="557" t="s">
        <v>96</v>
      </c>
      <c r="H65" s="557">
        <v>2026</v>
      </c>
      <c r="I65" s="557" t="s">
        <v>785</v>
      </c>
      <c r="J65" s="557" t="s">
        <v>203</v>
      </c>
      <c r="K65" s="557" t="s">
        <v>204</v>
      </c>
      <c r="L65" s="557" t="s">
        <v>205</v>
      </c>
      <c r="M65" s="557" t="s">
        <v>721</v>
      </c>
      <c r="N65" s="557" t="s">
        <v>1009</v>
      </c>
      <c r="O65" s="557" t="s">
        <v>1009</v>
      </c>
      <c r="P65" s="560" t="s">
        <v>979</v>
      </c>
      <c r="Q65" s="560" t="s">
        <v>1078</v>
      </c>
      <c r="R65" s="567" t="s">
        <v>1078</v>
      </c>
      <c r="S65" s="316" t="e">
        <f t="shared" ref="S65:AD65" si="43">S89-S41</f>
        <v>#REF!</v>
      </c>
      <c r="T65" s="40" t="e">
        <f t="shared" si="43"/>
        <v>#REF!</v>
      </c>
      <c r="U65" s="40" t="e">
        <f t="shared" si="43"/>
        <v>#REF!</v>
      </c>
      <c r="V65" s="40" t="e">
        <f t="shared" si="43"/>
        <v>#REF!</v>
      </c>
      <c r="W65" s="40" t="e">
        <f t="shared" si="43"/>
        <v>#REF!</v>
      </c>
      <c r="X65" s="40" t="e">
        <f t="shared" si="43"/>
        <v>#REF!</v>
      </c>
      <c r="Y65" s="40" t="e">
        <f t="shared" si="43"/>
        <v>#REF!</v>
      </c>
      <c r="Z65" s="40" t="e">
        <f t="shared" si="43"/>
        <v>#REF!</v>
      </c>
      <c r="AA65" s="40" t="e">
        <f t="shared" si="43"/>
        <v>#REF!</v>
      </c>
      <c r="AB65" s="40" t="e">
        <f t="shared" si="43"/>
        <v>#REF!</v>
      </c>
      <c r="AC65" s="40" t="e">
        <f t="shared" si="43"/>
        <v>#REF!</v>
      </c>
      <c r="AD65" s="40" t="e">
        <f t="shared" si="43"/>
        <v>#REF!</v>
      </c>
      <c r="AE65" s="46" t="e">
        <f t="shared" si="23"/>
        <v>#REF!</v>
      </c>
      <c r="AI65" s="505" t="e">
        <f t="shared" si="24"/>
        <v>#REF!</v>
      </c>
      <c r="AJ65" s="6" t="e">
        <f t="shared" si="25"/>
        <v>#REF!</v>
      </c>
      <c r="AK65" s="6" t="e">
        <f t="shared" si="26"/>
        <v>#REF!</v>
      </c>
      <c r="AL65" s="6" t="e">
        <f t="shared" si="27"/>
        <v>#REF!</v>
      </c>
      <c r="AM65" s="6" t="e">
        <f t="shared" si="28"/>
        <v>#REF!</v>
      </c>
      <c r="AN65" s="6" t="e">
        <f t="shared" si="29"/>
        <v>#REF!</v>
      </c>
      <c r="AP65" s="505" t="e">
        <f t="shared" si="30"/>
        <v>#REF!</v>
      </c>
      <c r="AQ65" s="6" t="e">
        <f t="shared" si="31"/>
        <v>#REF!</v>
      </c>
      <c r="AR65" s="6" t="e">
        <f t="shared" si="32"/>
        <v>#REF!</v>
      </c>
    </row>
    <row r="66" spans="2:44" ht="14.4" hidden="1">
      <c r="B66" s="561" t="s">
        <v>1044</v>
      </c>
      <c r="C66" s="557" t="s">
        <v>1045</v>
      </c>
      <c r="D66" s="557" t="s">
        <v>1046</v>
      </c>
      <c r="E66" s="559" t="s">
        <v>17</v>
      </c>
      <c r="F66" s="559" t="s">
        <v>17</v>
      </c>
      <c r="G66" s="557" t="s">
        <v>96</v>
      </c>
      <c r="H66" s="557">
        <v>2026</v>
      </c>
      <c r="I66" s="557" t="s">
        <v>785</v>
      </c>
      <c r="J66" s="557" t="s">
        <v>203</v>
      </c>
      <c r="K66" s="557" t="s">
        <v>204</v>
      </c>
      <c r="L66" s="557" t="s">
        <v>205</v>
      </c>
      <c r="M66" s="557" t="s">
        <v>721</v>
      </c>
      <c r="N66" s="557" t="s">
        <v>1013</v>
      </c>
      <c r="O66" s="557" t="s">
        <v>1013</v>
      </c>
      <c r="P66" s="560" t="s">
        <v>980</v>
      </c>
      <c r="Q66" s="560" t="s">
        <v>1078</v>
      </c>
      <c r="R66" s="567" t="s">
        <v>1078</v>
      </c>
      <c r="S66" s="316" t="e">
        <f t="shared" ref="S66:AD66" si="44">S90-S42</f>
        <v>#REF!</v>
      </c>
      <c r="T66" s="40" t="e">
        <f t="shared" si="44"/>
        <v>#REF!</v>
      </c>
      <c r="U66" s="40" t="e">
        <f t="shared" si="44"/>
        <v>#REF!</v>
      </c>
      <c r="V66" s="40" t="e">
        <f t="shared" si="44"/>
        <v>#REF!</v>
      </c>
      <c r="W66" s="40" t="e">
        <f t="shared" si="44"/>
        <v>#REF!</v>
      </c>
      <c r="X66" s="40" t="e">
        <f t="shared" si="44"/>
        <v>#REF!</v>
      </c>
      <c r="Y66" s="40" t="e">
        <f t="shared" si="44"/>
        <v>#REF!</v>
      </c>
      <c r="Z66" s="40" t="e">
        <f t="shared" si="44"/>
        <v>#REF!</v>
      </c>
      <c r="AA66" s="40" t="e">
        <f t="shared" si="44"/>
        <v>#REF!</v>
      </c>
      <c r="AB66" s="40" t="e">
        <f t="shared" si="44"/>
        <v>#REF!</v>
      </c>
      <c r="AC66" s="40" t="e">
        <f t="shared" si="44"/>
        <v>#REF!</v>
      </c>
      <c r="AD66" s="40" t="e">
        <f t="shared" si="44"/>
        <v>#REF!</v>
      </c>
      <c r="AE66" s="46" t="e">
        <f t="shared" si="23"/>
        <v>#REF!</v>
      </c>
      <c r="AI66" s="505" t="e">
        <f t="shared" si="24"/>
        <v>#REF!</v>
      </c>
      <c r="AJ66" s="6" t="e">
        <f t="shared" si="25"/>
        <v>#REF!</v>
      </c>
      <c r="AK66" s="6" t="e">
        <f t="shared" si="26"/>
        <v>#REF!</v>
      </c>
      <c r="AL66" s="6" t="e">
        <f t="shared" si="27"/>
        <v>#REF!</v>
      </c>
      <c r="AM66" s="6" t="e">
        <f t="shared" si="28"/>
        <v>#REF!</v>
      </c>
      <c r="AN66" s="6" t="e">
        <f t="shared" si="29"/>
        <v>#REF!</v>
      </c>
      <c r="AP66" s="505" t="e">
        <f t="shared" si="30"/>
        <v>#REF!</v>
      </c>
      <c r="AQ66" s="6" t="e">
        <f t="shared" si="31"/>
        <v>#REF!</v>
      </c>
      <c r="AR66" s="6" t="e">
        <f t="shared" si="32"/>
        <v>#REF!</v>
      </c>
    </row>
    <row r="67" spans="2:44" ht="14.4" hidden="1">
      <c r="B67" s="561" t="s">
        <v>1047</v>
      </c>
      <c r="C67" s="557" t="s">
        <v>1048</v>
      </c>
      <c r="D67" s="557" t="s">
        <v>1049</v>
      </c>
      <c r="E67" s="559" t="s">
        <v>17</v>
      </c>
      <c r="F67" s="559" t="s">
        <v>17</v>
      </c>
      <c r="G67" s="557" t="s">
        <v>96</v>
      </c>
      <c r="H67" s="557">
        <v>2026</v>
      </c>
      <c r="I67" s="557" t="s">
        <v>785</v>
      </c>
      <c r="J67" s="557" t="s">
        <v>203</v>
      </c>
      <c r="K67" s="557" t="s">
        <v>204</v>
      </c>
      <c r="L67" s="557" t="s">
        <v>205</v>
      </c>
      <c r="M67" s="557" t="s">
        <v>721</v>
      </c>
      <c r="N67" s="557" t="s">
        <v>1017</v>
      </c>
      <c r="O67" s="557" t="s">
        <v>1017</v>
      </c>
      <c r="P67" s="560" t="s">
        <v>1071</v>
      </c>
      <c r="Q67" s="560" t="s">
        <v>1078</v>
      </c>
      <c r="R67" s="567" t="s">
        <v>1078</v>
      </c>
      <c r="S67" s="316" t="e">
        <f t="shared" ref="S67:AD67" si="45">S91-S43</f>
        <v>#REF!</v>
      </c>
      <c r="T67" s="40" t="e">
        <f t="shared" si="45"/>
        <v>#REF!</v>
      </c>
      <c r="U67" s="40" t="e">
        <f t="shared" si="45"/>
        <v>#REF!</v>
      </c>
      <c r="V67" s="40" t="e">
        <f t="shared" si="45"/>
        <v>#REF!</v>
      </c>
      <c r="W67" s="40" t="e">
        <f t="shared" si="45"/>
        <v>#REF!</v>
      </c>
      <c r="X67" s="40" t="e">
        <f t="shared" si="45"/>
        <v>#REF!</v>
      </c>
      <c r="Y67" s="40" t="e">
        <f t="shared" si="45"/>
        <v>#REF!</v>
      </c>
      <c r="Z67" s="40" t="e">
        <f t="shared" si="45"/>
        <v>#REF!</v>
      </c>
      <c r="AA67" s="40" t="e">
        <f t="shared" si="45"/>
        <v>#REF!</v>
      </c>
      <c r="AB67" s="40" t="e">
        <f t="shared" si="45"/>
        <v>#REF!</v>
      </c>
      <c r="AC67" s="40" t="e">
        <f t="shared" si="45"/>
        <v>#REF!</v>
      </c>
      <c r="AD67" s="40" t="e">
        <f t="shared" si="45"/>
        <v>#REF!</v>
      </c>
      <c r="AE67" s="46" t="e">
        <f t="shared" si="23"/>
        <v>#REF!</v>
      </c>
      <c r="AI67" s="505" t="e">
        <f t="shared" si="24"/>
        <v>#REF!</v>
      </c>
      <c r="AJ67" s="6" t="e">
        <f t="shared" si="25"/>
        <v>#REF!</v>
      </c>
      <c r="AK67" s="6" t="e">
        <f t="shared" si="26"/>
        <v>#REF!</v>
      </c>
      <c r="AL67" s="6" t="e">
        <f t="shared" si="27"/>
        <v>#REF!</v>
      </c>
      <c r="AM67" s="6" t="e">
        <f t="shared" si="28"/>
        <v>#REF!</v>
      </c>
      <c r="AN67" s="6" t="e">
        <f t="shared" si="29"/>
        <v>#REF!</v>
      </c>
      <c r="AP67" s="505" t="e">
        <f t="shared" si="30"/>
        <v>#REF!</v>
      </c>
      <c r="AQ67" s="6" t="e">
        <f t="shared" si="31"/>
        <v>#REF!</v>
      </c>
      <c r="AR67" s="6" t="e">
        <f t="shared" si="32"/>
        <v>#REF!</v>
      </c>
    </row>
    <row r="68" spans="2:44" ht="14.4" hidden="1">
      <c r="B68" s="561" t="s">
        <v>1050</v>
      </c>
      <c r="C68" s="557" t="s">
        <v>1051</v>
      </c>
      <c r="D68" s="557" t="s">
        <v>1052</v>
      </c>
      <c r="E68" s="559" t="s">
        <v>17</v>
      </c>
      <c r="F68" s="559" t="s">
        <v>17</v>
      </c>
      <c r="G68" s="557" t="s">
        <v>96</v>
      </c>
      <c r="H68" s="557">
        <v>2026</v>
      </c>
      <c r="I68" s="557" t="s">
        <v>785</v>
      </c>
      <c r="J68" s="557" t="s">
        <v>203</v>
      </c>
      <c r="K68" s="557" t="s">
        <v>204</v>
      </c>
      <c r="L68" s="557" t="s">
        <v>205</v>
      </c>
      <c r="M68" s="557" t="s">
        <v>721</v>
      </c>
      <c r="N68" s="557" t="s">
        <v>1021</v>
      </c>
      <c r="O68" s="557" t="s">
        <v>1021</v>
      </c>
      <c r="P68" s="560" t="s">
        <v>976</v>
      </c>
      <c r="Q68" s="560" t="s">
        <v>1078</v>
      </c>
      <c r="R68" s="567" t="s">
        <v>1078</v>
      </c>
      <c r="S68" s="316" t="e">
        <f t="shared" ref="S68:AD68" si="46">S92-S44</f>
        <v>#REF!</v>
      </c>
      <c r="T68" s="40" t="e">
        <f t="shared" si="46"/>
        <v>#REF!</v>
      </c>
      <c r="U68" s="40" t="e">
        <f t="shared" si="46"/>
        <v>#REF!</v>
      </c>
      <c r="V68" s="40" t="e">
        <f t="shared" si="46"/>
        <v>#REF!</v>
      </c>
      <c r="W68" s="40" t="e">
        <f t="shared" si="46"/>
        <v>#REF!</v>
      </c>
      <c r="X68" s="40" t="e">
        <f t="shared" si="46"/>
        <v>#REF!</v>
      </c>
      <c r="Y68" s="40" t="e">
        <f t="shared" si="46"/>
        <v>#REF!</v>
      </c>
      <c r="Z68" s="40" t="e">
        <f t="shared" si="46"/>
        <v>#REF!</v>
      </c>
      <c r="AA68" s="40" t="e">
        <f t="shared" si="46"/>
        <v>#REF!</v>
      </c>
      <c r="AB68" s="40" t="e">
        <f t="shared" si="46"/>
        <v>#REF!</v>
      </c>
      <c r="AC68" s="40" t="e">
        <f t="shared" si="46"/>
        <v>#REF!</v>
      </c>
      <c r="AD68" s="40" t="e">
        <f t="shared" si="46"/>
        <v>#REF!</v>
      </c>
      <c r="AE68" s="46" t="e">
        <f t="shared" si="23"/>
        <v>#REF!</v>
      </c>
      <c r="AI68" s="505" t="e">
        <f t="shared" si="24"/>
        <v>#REF!</v>
      </c>
      <c r="AJ68" s="6" t="e">
        <f t="shared" si="25"/>
        <v>#REF!</v>
      </c>
      <c r="AK68" s="6" t="e">
        <f t="shared" si="26"/>
        <v>#REF!</v>
      </c>
      <c r="AL68" s="6" t="e">
        <f t="shared" si="27"/>
        <v>#REF!</v>
      </c>
      <c r="AM68" s="6" t="e">
        <f t="shared" si="28"/>
        <v>#REF!</v>
      </c>
      <c r="AN68" s="6" t="e">
        <f t="shared" si="29"/>
        <v>#REF!</v>
      </c>
      <c r="AP68" s="505" t="e">
        <f t="shared" si="30"/>
        <v>#REF!</v>
      </c>
      <c r="AQ68" s="6" t="e">
        <f t="shared" si="31"/>
        <v>#REF!</v>
      </c>
      <c r="AR68" s="6" t="e">
        <f t="shared" si="32"/>
        <v>#REF!</v>
      </c>
    </row>
    <row r="69" spans="2:44" ht="14.4" hidden="1">
      <c r="B69" s="561" t="s">
        <v>1053</v>
      </c>
      <c r="C69" s="557" t="s">
        <v>1054</v>
      </c>
      <c r="D69" s="557" t="s">
        <v>1055</v>
      </c>
      <c r="E69" s="559" t="s">
        <v>17</v>
      </c>
      <c r="F69" s="559" t="s">
        <v>17</v>
      </c>
      <c r="G69" s="557" t="s">
        <v>96</v>
      </c>
      <c r="H69" s="557">
        <v>2026</v>
      </c>
      <c r="I69" s="557" t="s">
        <v>785</v>
      </c>
      <c r="J69" s="557" t="s">
        <v>203</v>
      </c>
      <c r="K69" s="557" t="s">
        <v>204</v>
      </c>
      <c r="L69" s="557" t="s">
        <v>205</v>
      </c>
      <c r="M69" s="557" t="s">
        <v>721</v>
      </c>
      <c r="N69" s="557" t="s">
        <v>1025</v>
      </c>
      <c r="O69" s="557" t="s">
        <v>1025</v>
      </c>
      <c r="P69" s="560" t="s">
        <v>977</v>
      </c>
      <c r="Q69" s="560" t="s">
        <v>1078</v>
      </c>
      <c r="R69" s="567" t="s">
        <v>1078</v>
      </c>
      <c r="S69" s="316" t="e">
        <f t="shared" ref="S69:AD69" si="47">S93-S45</f>
        <v>#REF!</v>
      </c>
      <c r="T69" s="40" t="e">
        <f t="shared" si="47"/>
        <v>#REF!</v>
      </c>
      <c r="U69" s="40" t="e">
        <f t="shared" si="47"/>
        <v>#REF!</v>
      </c>
      <c r="V69" s="40" t="e">
        <f t="shared" si="47"/>
        <v>#REF!</v>
      </c>
      <c r="W69" s="40" t="e">
        <f t="shared" si="47"/>
        <v>#REF!</v>
      </c>
      <c r="X69" s="40" t="e">
        <f t="shared" si="47"/>
        <v>#REF!</v>
      </c>
      <c r="Y69" s="40" t="e">
        <f t="shared" si="47"/>
        <v>#REF!</v>
      </c>
      <c r="Z69" s="40" t="e">
        <f t="shared" si="47"/>
        <v>#REF!</v>
      </c>
      <c r="AA69" s="40" t="e">
        <f t="shared" si="47"/>
        <v>#REF!</v>
      </c>
      <c r="AB69" s="40" t="e">
        <f t="shared" si="47"/>
        <v>#REF!</v>
      </c>
      <c r="AC69" s="40" t="e">
        <f t="shared" si="47"/>
        <v>#REF!</v>
      </c>
      <c r="AD69" s="40" t="e">
        <f t="shared" si="47"/>
        <v>#REF!</v>
      </c>
      <c r="AE69" s="46" t="e">
        <f t="shared" si="23"/>
        <v>#REF!</v>
      </c>
      <c r="AI69" s="505" t="e">
        <f t="shared" si="24"/>
        <v>#REF!</v>
      </c>
      <c r="AJ69" s="6" t="e">
        <f t="shared" si="25"/>
        <v>#REF!</v>
      </c>
      <c r="AK69" s="6" t="e">
        <f t="shared" si="26"/>
        <v>#REF!</v>
      </c>
      <c r="AL69" s="6" t="e">
        <f t="shared" si="27"/>
        <v>#REF!</v>
      </c>
      <c r="AM69" s="6" t="e">
        <f t="shared" si="28"/>
        <v>#REF!</v>
      </c>
      <c r="AN69" s="6" t="e">
        <f t="shared" si="29"/>
        <v>#REF!</v>
      </c>
      <c r="AP69" s="505" t="e">
        <f t="shared" si="30"/>
        <v>#REF!</v>
      </c>
      <c r="AQ69" s="6" t="e">
        <f t="shared" si="31"/>
        <v>#REF!</v>
      </c>
      <c r="AR69" s="6" t="e">
        <f t="shared" si="32"/>
        <v>#REF!</v>
      </c>
    </row>
    <row r="70" spans="2:44" ht="14.4" hidden="1">
      <c r="B70" s="561" t="s">
        <v>1056</v>
      </c>
      <c r="C70" s="557" t="s">
        <v>1057</v>
      </c>
      <c r="D70" s="557" t="s">
        <v>1058</v>
      </c>
      <c r="E70" s="559" t="s">
        <v>17</v>
      </c>
      <c r="F70" s="559" t="s">
        <v>17</v>
      </c>
      <c r="G70" s="557" t="s">
        <v>96</v>
      </c>
      <c r="H70" s="557">
        <v>2026</v>
      </c>
      <c r="I70" s="557" t="s">
        <v>785</v>
      </c>
      <c r="J70" s="557" t="s">
        <v>203</v>
      </c>
      <c r="K70" s="557" t="s">
        <v>204</v>
      </c>
      <c r="L70" s="557" t="s">
        <v>205</v>
      </c>
      <c r="M70" s="557" t="s">
        <v>721</v>
      </c>
      <c r="N70" s="557" t="s">
        <v>961</v>
      </c>
      <c r="O70" s="557" t="s">
        <v>961</v>
      </c>
      <c r="P70" s="560" t="s">
        <v>1072</v>
      </c>
      <c r="Q70" s="560" t="s">
        <v>1078</v>
      </c>
      <c r="R70" s="567" t="s">
        <v>1078</v>
      </c>
      <c r="S70" s="316" t="e">
        <f t="shared" ref="S70:AD70" si="48">S94-S46</f>
        <v>#REF!</v>
      </c>
      <c r="T70" s="40" t="e">
        <f t="shared" si="48"/>
        <v>#REF!</v>
      </c>
      <c r="U70" s="40" t="e">
        <f t="shared" si="48"/>
        <v>#REF!</v>
      </c>
      <c r="V70" s="40" t="e">
        <f t="shared" si="48"/>
        <v>#REF!</v>
      </c>
      <c r="W70" s="40" t="e">
        <f t="shared" si="48"/>
        <v>#REF!</v>
      </c>
      <c r="X70" s="40" t="e">
        <f t="shared" si="48"/>
        <v>#REF!</v>
      </c>
      <c r="Y70" s="40" t="e">
        <f t="shared" si="48"/>
        <v>#REF!</v>
      </c>
      <c r="Z70" s="40" t="e">
        <f t="shared" si="48"/>
        <v>#REF!</v>
      </c>
      <c r="AA70" s="40" t="e">
        <f t="shared" si="48"/>
        <v>#REF!</v>
      </c>
      <c r="AB70" s="40" t="e">
        <f t="shared" si="48"/>
        <v>#REF!</v>
      </c>
      <c r="AC70" s="40" t="e">
        <f t="shared" si="48"/>
        <v>#REF!</v>
      </c>
      <c r="AD70" s="40" t="e">
        <f t="shared" si="48"/>
        <v>#REF!</v>
      </c>
      <c r="AE70" s="46" t="e">
        <f t="shared" si="23"/>
        <v>#REF!</v>
      </c>
      <c r="AI70" s="505" t="e">
        <f t="shared" si="24"/>
        <v>#REF!</v>
      </c>
      <c r="AJ70" s="6" t="e">
        <f t="shared" si="25"/>
        <v>#REF!</v>
      </c>
      <c r="AK70" s="6" t="e">
        <f t="shared" si="26"/>
        <v>#REF!</v>
      </c>
      <c r="AL70" s="6" t="e">
        <f t="shared" si="27"/>
        <v>#REF!</v>
      </c>
      <c r="AM70" s="6" t="e">
        <f t="shared" si="28"/>
        <v>#REF!</v>
      </c>
      <c r="AN70" s="6" t="e">
        <f t="shared" si="29"/>
        <v>#REF!</v>
      </c>
      <c r="AP70" s="505" t="e">
        <f t="shared" si="30"/>
        <v>#REF!</v>
      </c>
      <c r="AQ70" s="6" t="e">
        <f t="shared" si="31"/>
        <v>#REF!</v>
      </c>
      <c r="AR70" s="6" t="e">
        <f t="shared" si="32"/>
        <v>#REF!</v>
      </c>
    </row>
    <row r="71" spans="2:44" ht="14.4" hidden="1">
      <c r="B71" s="561" t="s">
        <v>1059</v>
      </c>
      <c r="C71" s="557" t="s">
        <v>1060</v>
      </c>
      <c r="D71" s="557" t="s">
        <v>1061</v>
      </c>
      <c r="E71" s="559" t="s">
        <v>17</v>
      </c>
      <c r="F71" s="559" t="s">
        <v>17</v>
      </c>
      <c r="G71" s="557" t="s">
        <v>96</v>
      </c>
      <c r="H71" s="557">
        <v>2026</v>
      </c>
      <c r="I71" s="557" t="s">
        <v>785</v>
      </c>
      <c r="J71" s="557" t="s">
        <v>203</v>
      </c>
      <c r="K71" s="557" t="s">
        <v>204</v>
      </c>
      <c r="L71" s="557" t="s">
        <v>205</v>
      </c>
      <c r="M71" s="557" t="s">
        <v>721</v>
      </c>
      <c r="N71" s="557" t="s">
        <v>968</v>
      </c>
      <c r="O71" s="557" t="s">
        <v>968</v>
      </c>
      <c r="P71" s="560" t="s">
        <v>981</v>
      </c>
      <c r="Q71" s="560" t="s">
        <v>1078</v>
      </c>
      <c r="R71" s="567" t="s">
        <v>1078</v>
      </c>
      <c r="S71" s="316" t="e">
        <f t="shared" ref="S71:AD71" si="49">S95-S47</f>
        <v>#REF!</v>
      </c>
      <c r="T71" s="40" t="e">
        <f t="shared" si="49"/>
        <v>#REF!</v>
      </c>
      <c r="U71" s="40" t="e">
        <f t="shared" si="49"/>
        <v>#REF!</v>
      </c>
      <c r="V71" s="40" t="e">
        <f t="shared" si="49"/>
        <v>#REF!</v>
      </c>
      <c r="W71" s="40" t="e">
        <f t="shared" si="49"/>
        <v>#REF!</v>
      </c>
      <c r="X71" s="40" t="e">
        <f t="shared" si="49"/>
        <v>#REF!</v>
      </c>
      <c r="Y71" s="40" t="e">
        <f t="shared" si="49"/>
        <v>#REF!</v>
      </c>
      <c r="Z71" s="40" t="e">
        <f t="shared" si="49"/>
        <v>#REF!</v>
      </c>
      <c r="AA71" s="40" t="e">
        <f t="shared" si="49"/>
        <v>#REF!</v>
      </c>
      <c r="AB71" s="40" t="e">
        <f t="shared" si="49"/>
        <v>#REF!</v>
      </c>
      <c r="AC71" s="40" t="e">
        <f t="shared" si="49"/>
        <v>#REF!</v>
      </c>
      <c r="AD71" s="40" t="e">
        <f t="shared" si="49"/>
        <v>#REF!</v>
      </c>
      <c r="AE71" s="46" t="e">
        <f t="shared" si="23"/>
        <v>#REF!</v>
      </c>
      <c r="AI71" s="505" t="e">
        <f t="shared" si="24"/>
        <v>#REF!</v>
      </c>
      <c r="AJ71" s="6" t="e">
        <f t="shared" si="25"/>
        <v>#REF!</v>
      </c>
      <c r="AK71" s="6" t="e">
        <f t="shared" si="26"/>
        <v>#REF!</v>
      </c>
      <c r="AL71" s="6" t="e">
        <f t="shared" si="27"/>
        <v>#REF!</v>
      </c>
      <c r="AM71" s="6" t="e">
        <f t="shared" si="28"/>
        <v>#REF!</v>
      </c>
      <c r="AN71" s="6" t="e">
        <f t="shared" si="29"/>
        <v>#REF!</v>
      </c>
      <c r="AP71" s="505" t="e">
        <f t="shared" si="30"/>
        <v>#REF!</v>
      </c>
      <c r="AQ71" s="6" t="e">
        <f t="shared" si="31"/>
        <v>#REF!</v>
      </c>
      <c r="AR71" s="6" t="e">
        <f t="shared" si="32"/>
        <v>#REF!</v>
      </c>
    </row>
    <row r="72" spans="2:44" ht="14.4" hidden="1">
      <c r="B72" s="561" t="s">
        <v>1062</v>
      </c>
      <c r="C72" s="557" t="s">
        <v>1063</v>
      </c>
      <c r="D72" s="557" t="s">
        <v>1064</v>
      </c>
      <c r="E72" s="559" t="s">
        <v>17</v>
      </c>
      <c r="F72" s="559" t="s">
        <v>17</v>
      </c>
      <c r="G72" s="557" t="s">
        <v>96</v>
      </c>
      <c r="H72" s="557">
        <v>2026</v>
      </c>
      <c r="I72" s="557" t="s">
        <v>785</v>
      </c>
      <c r="J72" s="557" t="s">
        <v>203</v>
      </c>
      <c r="K72" s="557" t="s">
        <v>204</v>
      </c>
      <c r="L72" s="557" t="s">
        <v>205</v>
      </c>
      <c r="M72" s="557" t="s">
        <v>721</v>
      </c>
      <c r="N72" s="557" t="s">
        <v>969</v>
      </c>
      <c r="O72" s="557" t="s">
        <v>969</v>
      </c>
      <c r="P72" s="560" t="s">
        <v>982</v>
      </c>
      <c r="Q72" s="560" t="s">
        <v>1078</v>
      </c>
      <c r="R72" s="567" t="s">
        <v>1078</v>
      </c>
      <c r="S72" s="316" t="e">
        <f t="shared" ref="S72:AD72" si="50">S96-S48</f>
        <v>#REF!</v>
      </c>
      <c r="T72" s="40" t="e">
        <f t="shared" si="50"/>
        <v>#REF!</v>
      </c>
      <c r="U72" s="40" t="e">
        <f t="shared" si="50"/>
        <v>#REF!</v>
      </c>
      <c r="V72" s="40" t="e">
        <f t="shared" si="50"/>
        <v>#REF!</v>
      </c>
      <c r="W72" s="40" t="e">
        <f t="shared" si="50"/>
        <v>#REF!</v>
      </c>
      <c r="X72" s="40" t="e">
        <f t="shared" si="50"/>
        <v>#REF!</v>
      </c>
      <c r="Y72" s="40" t="e">
        <f t="shared" si="50"/>
        <v>#REF!</v>
      </c>
      <c r="Z72" s="40" t="e">
        <f t="shared" si="50"/>
        <v>#REF!</v>
      </c>
      <c r="AA72" s="40" t="e">
        <f t="shared" si="50"/>
        <v>#REF!</v>
      </c>
      <c r="AB72" s="40" t="e">
        <f t="shared" si="50"/>
        <v>#REF!</v>
      </c>
      <c r="AC72" s="40" t="e">
        <f t="shared" si="50"/>
        <v>#REF!</v>
      </c>
      <c r="AD72" s="40" t="e">
        <f t="shared" si="50"/>
        <v>#REF!</v>
      </c>
      <c r="AE72" s="46" t="e">
        <f t="shared" si="23"/>
        <v>#REF!</v>
      </c>
      <c r="AI72" s="505" t="e">
        <f t="shared" si="24"/>
        <v>#REF!</v>
      </c>
      <c r="AJ72" s="6" t="e">
        <f t="shared" si="25"/>
        <v>#REF!</v>
      </c>
      <c r="AK72" s="6" t="e">
        <f t="shared" si="26"/>
        <v>#REF!</v>
      </c>
      <c r="AL72" s="6" t="e">
        <f t="shared" si="27"/>
        <v>#REF!</v>
      </c>
      <c r="AM72" s="6" t="e">
        <f t="shared" si="28"/>
        <v>#REF!</v>
      </c>
      <c r="AN72" s="6" t="e">
        <f t="shared" si="29"/>
        <v>#REF!</v>
      </c>
      <c r="AP72" s="505" t="e">
        <f t="shared" si="30"/>
        <v>#REF!</v>
      </c>
      <c r="AQ72" s="6" t="e">
        <f t="shared" si="31"/>
        <v>#REF!</v>
      </c>
      <c r="AR72" s="6" t="e">
        <f t="shared" si="32"/>
        <v>#REF!</v>
      </c>
    </row>
    <row r="73" spans="2:44" ht="14.4" hidden="1">
      <c r="B73" s="561" t="s">
        <v>1065</v>
      </c>
      <c r="C73" s="557" t="s">
        <v>1066</v>
      </c>
      <c r="D73" s="557" t="s">
        <v>1067</v>
      </c>
      <c r="E73" s="559" t="s">
        <v>17</v>
      </c>
      <c r="F73" s="559" t="s">
        <v>17</v>
      </c>
      <c r="G73" s="557" t="s">
        <v>96</v>
      </c>
      <c r="H73" s="557">
        <v>2026</v>
      </c>
      <c r="I73" s="557" t="s">
        <v>785</v>
      </c>
      <c r="J73" s="557" t="s">
        <v>203</v>
      </c>
      <c r="K73" s="557" t="s">
        <v>204</v>
      </c>
      <c r="L73" s="557" t="s">
        <v>205</v>
      </c>
      <c r="M73" s="557" t="s">
        <v>721</v>
      </c>
      <c r="N73" s="557" t="s">
        <v>970</v>
      </c>
      <c r="O73" s="557" t="s">
        <v>970</v>
      </c>
      <c r="P73" s="560" t="s">
        <v>983</v>
      </c>
      <c r="Q73" s="560" t="s">
        <v>1078</v>
      </c>
      <c r="R73" s="567" t="s">
        <v>1078</v>
      </c>
      <c r="S73" s="316" t="e">
        <f t="shared" ref="S73:AD73" si="51">S97-S49</f>
        <v>#REF!</v>
      </c>
      <c r="T73" s="40" t="e">
        <f t="shared" si="51"/>
        <v>#REF!</v>
      </c>
      <c r="U73" s="40" t="e">
        <f t="shared" si="51"/>
        <v>#REF!</v>
      </c>
      <c r="V73" s="40" t="e">
        <f t="shared" si="51"/>
        <v>#REF!</v>
      </c>
      <c r="W73" s="40" t="e">
        <f t="shared" si="51"/>
        <v>#REF!</v>
      </c>
      <c r="X73" s="40" t="e">
        <f t="shared" si="51"/>
        <v>#REF!</v>
      </c>
      <c r="Y73" s="40" t="e">
        <f t="shared" si="51"/>
        <v>#REF!</v>
      </c>
      <c r="Z73" s="40" t="e">
        <f t="shared" si="51"/>
        <v>#REF!</v>
      </c>
      <c r="AA73" s="40" t="e">
        <f t="shared" si="51"/>
        <v>#REF!</v>
      </c>
      <c r="AB73" s="40" t="e">
        <f t="shared" si="51"/>
        <v>#REF!</v>
      </c>
      <c r="AC73" s="40" t="e">
        <f t="shared" si="51"/>
        <v>#REF!</v>
      </c>
      <c r="AD73" s="40" t="e">
        <f t="shared" si="51"/>
        <v>#REF!</v>
      </c>
      <c r="AE73" s="46" t="e">
        <f t="shared" si="23"/>
        <v>#REF!</v>
      </c>
      <c r="AI73" s="505" t="e">
        <f t="shared" si="24"/>
        <v>#REF!</v>
      </c>
      <c r="AJ73" s="6" t="e">
        <f t="shared" si="25"/>
        <v>#REF!</v>
      </c>
      <c r="AK73" s="6" t="e">
        <f t="shared" si="26"/>
        <v>#REF!</v>
      </c>
      <c r="AL73" s="6" t="e">
        <f t="shared" si="27"/>
        <v>#REF!</v>
      </c>
      <c r="AM73" s="6" t="e">
        <f t="shared" si="28"/>
        <v>#REF!</v>
      </c>
      <c r="AN73" s="6" t="e">
        <f t="shared" si="29"/>
        <v>#REF!</v>
      </c>
      <c r="AP73" s="505" t="e">
        <f t="shared" si="30"/>
        <v>#REF!</v>
      </c>
      <c r="AQ73" s="6" t="e">
        <f t="shared" si="31"/>
        <v>#REF!</v>
      </c>
      <c r="AR73" s="6" t="e">
        <f t="shared" si="32"/>
        <v>#REF!</v>
      </c>
    </row>
    <row r="74" spans="2:44" ht="15" hidden="1" thickBot="1">
      <c r="B74" s="38" t="s">
        <v>1074</v>
      </c>
      <c r="C74" s="562">
        <v>10110100</v>
      </c>
      <c r="D74" s="563" t="s">
        <v>1075</v>
      </c>
      <c r="E74" s="559" t="s">
        <v>17</v>
      </c>
      <c r="F74" s="559" t="s">
        <v>17</v>
      </c>
      <c r="G74" s="565" t="s">
        <v>130</v>
      </c>
      <c r="H74" s="565">
        <v>2026</v>
      </c>
      <c r="I74" s="565" t="s">
        <v>785</v>
      </c>
      <c r="J74" s="565" t="s">
        <v>203</v>
      </c>
      <c r="K74" s="565" t="s">
        <v>204</v>
      </c>
      <c r="L74" s="565" t="s">
        <v>205</v>
      </c>
      <c r="M74" s="565" t="s">
        <v>721</v>
      </c>
      <c r="N74" s="563" t="s">
        <v>1075</v>
      </c>
      <c r="O74" s="563" t="s">
        <v>1075</v>
      </c>
      <c r="P74" s="563" t="s">
        <v>1075</v>
      </c>
      <c r="Q74" s="560" t="s">
        <v>1078</v>
      </c>
      <c r="R74" s="567" t="s">
        <v>1078</v>
      </c>
      <c r="S74" s="569" t="e">
        <f t="shared" ref="S74:AD74" si="52">S98-S50</f>
        <v>#REF!</v>
      </c>
      <c r="T74" s="294" t="e">
        <f t="shared" si="52"/>
        <v>#REF!</v>
      </c>
      <c r="U74" s="294" t="e">
        <f t="shared" si="52"/>
        <v>#REF!</v>
      </c>
      <c r="V74" s="294" t="e">
        <f t="shared" si="52"/>
        <v>#REF!</v>
      </c>
      <c r="W74" s="294" t="e">
        <f t="shared" si="52"/>
        <v>#REF!</v>
      </c>
      <c r="X74" s="294" t="e">
        <f t="shared" si="52"/>
        <v>#REF!</v>
      </c>
      <c r="Y74" s="294" t="e">
        <f t="shared" si="52"/>
        <v>#REF!</v>
      </c>
      <c r="Z74" s="294" t="e">
        <f t="shared" si="52"/>
        <v>#REF!</v>
      </c>
      <c r="AA74" s="294" t="e">
        <f t="shared" si="52"/>
        <v>#REF!</v>
      </c>
      <c r="AB74" s="294" t="e">
        <f t="shared" si="52"/>
        <v>#REF!</v>
      </c>
      <c r="AC74" s="294" t="e">
        <f t="shared" si="52"/>
        <v>#REF!</v>
      </c>
      <c r="AD74" s="294" t="e">
        <f t="shared" si="52"/>
        <v>#REF!</v>
      </c>
      <c r="AE74" s="47" t="e">
        <f t="shared" si="23"/>
        <v>#REF!</v>
      </c>
      <c r="AI74" s="6" t="e">
        <f t="shared" si="24"/>
        <v>#REF!</v>
      </c>
      <c r="AJ74" s="6" t="e">
        <f t="shared" si="25"/>
        <v>#REF!</v>
      </c>
      <c r="AK74" s="6" t="e">
        <f t="shared" si="26"/>
        <v>#REF!</v>
      </c>
      <c r="AL74" s="6" t="e">
        <f t="shared" si="27"/>
        <v>#REF!</v>
      </c>
      <c r="AM74" s="6" t="e">
        <f t="shared" si="28"/>
        <v>#REF!</v>
      </c>
      <c r="AN74" s="6" t="e">
        <f t="shared" si="29"/>
        <v>#REF!</v>
      </c>
      <c r="AP74" s="6" t="e">
        <f t="shared" si="30"/>
        <v>#REF!</v>
      </c>
      <c r="AQ74" s="6" t="e">
        <f t="shared" si="31"/>
        <v>#REF!</v>
      </c>
      <c r="AR74" s="6" t="e">
        <f t="shared" si="32"/>
        <v>#REF!</v>
      </c>
    </row>
    <row r="75" spans="2:44" hidden="1"/>
    <row r="76" spans="2:44" ht="14.4" hidden="1" thickBot="1"/>
    <row r="77" spans="2:44" hidden="1">
      <c r="B77" s="314" t="s">
        <v>1068</v>
      </c>
      <c r="C77" s="554" t="s">
        <v>1069</v>
      </c>
      <c r="D77" s="554" t="s">
        <v>994</v>
      </c>
      <c r="E77" s="554" t="s">
        <v>995</v>
      </c>
      <c r="F77" s="554" t="s">
        <v>996</v>
      </c>
      <c r="G77" s="554" t="s">
        <v>997</v>
      </c>
      <c r="H77" s="554" t="s">
        <v>998</v>
      </c>
      <c r="I77" s="554" t="s">
        <v>999</v>
      </c>
      <c r="J77" s="554" t="s">
        <v>147</v>
      </c>
      <c r="K77" s="554" t="s">
        <v>148</v>
      </c>
      <c r="L77" s="554" t="s">
        <v>149</v>
      </c>
      <c r="M77" s="554" t="s">
        <v>150</v>
      </c>
      <c r="N77" s="554" t="s">
        <v>151</v>
      </c>
      <c r="O77" s="554" t="s">
        <v>152</v>
      </c>
      <c r="P77" s="554" t="s">
        <v>1070</v>
      </c>
      <c r="Q77" s="554" t="s">
        <v>1000</v>
      </c>
      <c r="R77" s="566" t="s">
        <v>1001</v>
      </c>
      <c r="S77" s="568" t="s">
        <v>992</v>
      </c>
      <c r="T77" s="555" t="s">
        <v>993</v>
      </c>
      <c r="U77" s="555" t="s">
        <v>102</v>
      </c>
      <c r="V77" s="555" t="s">
        <v>104</v>
      </c>
      <c r="W77" s="555" t="s">
        <v>105</v>
      </c>
      <c r="X77" s="555" t="s">
        <v>106</v>
      </c>
      <c r="Y77" s="555" t="s">
        <v>107</v>
      </c>
      <c r="Z77" s="555" t="s">
        <v>108</v>
      </c>
      <c r="AA77" s="555" t="s">
        <v>109</v>
      </c>
      <c r="AB77" s="555" t="s">
        <v>110</v>
      </c>
      <c r="AC77" s="555" t="s">
        <v>111</v>
      </c>
      <c r="AD77" s="555" t="s">
        <v>112</v>
      </c>
      <c r="AE77" s="556" t="s">
        <v>85</v>
      </c>
    </row>
    <row r="78" spans="2:44" ht="14.4" hidden="1">
      <c r="B78" s="561" t="s">
        <v>1002</v>
      </c>
      <c r="C78" s="557" t="s">
        <v>1003</v>
      </c>
      <c r="D78" s="557" t="s">
        <v>1004</v>
      </c>
      <c r="E78" s="559" t="s">
        <v>17</v>
      </c>
      <c r="F78" s="559" t="s">
        <v>17</v>
      </c>
      <c r="G78" s="557" t="s">
        <v>95</v>
      </c>
      <c r="H78" s="557">
        <v>2026</v>
      </c>
      <c r="I78" s="557" t="s">
        <v>785</v>
      </c>
      <c r="J78" s="557" t="s">
        <v>203</v>
      </c>
      <c r="K78" s="557" t="s">
        <v>204</v>
      </c>
      <c r="L78" s="557" t="s">
        <v>205</v>
      </c>
      <c r="M78" s="557" t="s">
        <v>721</v>
      </c>
      <c r="N78" s="557" t="s">
        <v>1005</v>
      </c>
      <c r="O78" s="557" t="s">
        <v>1005</v>
      </c>
      <c r="P78" s="560" t="s">
        <v>978</v>
      </c>
      <c r="Q78" s="560" t="s">
        <v>1080</v>
      </c>
      <c r="R78" s="567" t="s">
        <v>1079</v>
      </c>
      <c r="S78" s="316" t="e">
        <f>SUMIFS('1. Velsipity Summary'!CN:CN,'1. Velsipity Summary'!#REF!,$P78,'1. Velsipity Summary'!$CM:$CM,$G78)</f>
        <v>#REF!</v>
      </c>
      <c r="T78" s="40" t="e">
        <f>SUMIFS('1. Velsipity Summary'!CO:CO,'1. Velsipity Summary'!#REF!,$P78,'1. Velsipity Summary'!$CM:$CM,$G78)</f>
        <v>#REF!</v>
      </c>
      <c r="U78" s="40" t="e">
        <f>SUMIFS('1. Velsipity Summary'!CP:CP,'1. Velsipity Summary'!#REF!,$P78,'1. Velsipity Summary'!$CM:$CM,$G78)</f>
        <v>#REF!</v>
      </c>
      <c r="V78" s="40" t="e">
        <f>SUMIFS('1. Velsipity Summary'!CQ:CQ,'1. Velsipity Summary'!#REF!,$P78,'1. Velsipity Summary'!$CM:$CM,$G78)</f>
        <v>#REF!</v>
      </c>
      <c r="W78" s="40" t="e">
        <f>SUMIFS('1. Velsipity Summary'!CR:CR,'1. Velsipity Summary'!#REF!,$P78,'1. Velsipity Summary'!$CM:$CM,$G78)</f>
        <v>#REF!</v>
      </c>
      <c r="X78" s="40" t="e">
        <f>SUMIFS('1. Velsipity Summary'!CS:CS,'1. Velsipity Summary'!#REF!,$P78,'1. Velsipity Summary'!$CM:$CM,$G78)</f>
        <v>#REF!</v>
      </c>
      <c r="Y78" s="40" t="e">
        <f>SUMIFS('1. Velsipity Summary'!CT:CT,'1. Velsipity Summary'!#REF!,$P78,'1. Velsipity Summary'!$CM:$CM,$G78)</f>
        <v>#REF!</v>
      </c>
      <c r="Z78" s="40" t="e">
        <f>SUMIFS('1. Velsipity Summary'!CU:CU,'1. Velsipity Summary'!#REF!,$P78,'1. Velsipity Summary'!$CM:$CM,$G78)</f>
        <v>#REF!</v>
      </c>
      <c r="AA78" s="40" t="e">
        <f>SUMIFS('1. Velsipity Summary'!CV:CV,'1. Velsipity Summary'!#REF!,$P78,'1. Velsipity Summary'!$CM:$CM,$G78)</f>
        <v>#REF!</v>
      </c>
      <c r="AB78" s="40" t="e">
        <f>SUMIFS('1. Velsipity Summary'!CW:CW,'1. Velsipity Summary'!#REF!,$P78,'1. Velsipity Summary'!$CM:$CM,$G78)</f>
        <v>#REF!</v>
      </c>
      <c r="AC78" s="40" t="e">
        <f>SUMIFS('1. Velsipity Summary'!CX:CX,'1. Velsipity Summary'!#REF!,$P78,'1. Velsipity Summary'!$CM:$CM,$G78)</f>
        <v>#REF!</v>
      </c>
      <c r="AD78" s="40" t="e">
        <f>SUMIFS('1. Velsipity Summary'!CY:CY,'1. Velsipity Summary'!#REF!,$P78,'1. Velsipity Summary'!$CM:$CM,$G78)</f>
        <v>#REF!</v>
      </c>
      <c r="AE78" s="46" t="e">
        <f t="shared" ref="AE78:AE98" si="53">SUM(S78:AD78)</f>
        <v>#REF!</v>
      </c>
      <c r="AI78" s="6" t="e">
        <f t="shared" ref="AI78:AI98" si="54">SUM(S78:U78)</f>
        <v>#REF!</v>
      </c>
      <c r="AJ78" s="6" t="e">
        <f t="shared" ref="AJ78:AJ98" si="55">SUM(V78:X78)</f>
        <v>#REF!</v>
      </c>
      <c r="AK78" s="6" t="e">
        <f t="shared" ref="AK78:AK98" si="56">SUM(Y78:AA78)</f>
        <v>#REF!</v>
      </c>
      <c r="AL78" s="6" t="e">
        <f t="shared" ref="AL78:AL98" si="57">SUM(AB78:AD78)</f>
        <v>#REF!</v>
      </c>
      <c r="AM78" s="6" t="e">
        <f t="shared" ref="AM78:AM98" si="58">SUM(AI78:AL78)</f>
        <v>#REF!</v>
      </c>
      <c r="AN78" s="6" t="e">
        <f t="shared" ref="AN78:AN98" si="59">AM78-AE78</f>
        <v>#REF!</v>
      </c>
      <c r="AP78" s="6" t="e">
        <f t="shared" ref="AP78:AP98" si="60">SUM(AI78:AJ78)</f>
        <v>#REF!</v>
      </c>
      <c r="AQ78" s="6" t="e">
        <f t="shared" ref="AQ78:AQ98" si="61">SUM(AK78:AL78)</f>
        <v>#REF!</v>
      </c>
      <c r="AR78" s="6" t="e">
        <f t="shared" ref="AR78:AR98" si="62">AP78+AQ78-AM78</f>
        <v>#REF!</v>
      </c>
    </row>
    <row r="79" spans="2:44" ht="14.4" hidden="1">
      <c r="B79" s="561" t="s">
        <v>1006</v>
      </c>
      <c r="C79" s="557" t="s">
        <v>1007</v>
      </c>
      <c r="D79" s="557" t="s">
        <v>1008</v>
      </c>
      <c r="E79" s="559" t="s">
        <v>17</v>
      </c>
      <c r="F79" s="559" t="s">
        <v>17</v>
      </c>
      <c r="G79" s="557" t="s">
        <v>95</v>
      </c>
      <c r="H79" s="557">
        <v>2026</v>
      </c>
      <c r="I79" s="557" t="s">
        <v>785</v>
      </c>
      <c r="J79" s="557" t="s">
        <v>203</v>
      </c>
      <c r="K79" s="557" t="s">
        <v>204</v>
      </c>
      <c r="L79" s="557" t="s">
        <v>205</v>
      </c>
      <c r="M79" s="557" t="s">
        <v>721</v>
      </c>
      <c r="N79" s="557" t="s">
        <v>1009</v>
      </c>
      <c r="O79" s="557" t="s">
        <v>1009</v>
      </c>
      <c r="P79" s="560" t="s">
        <v>979</v>
      </c>
      <c r="Q79" s="560" t="s">
        <v>1079</v>
      </c>
      <c r="R79" s="567" t="s">
        <v>1079</v>
      </c>
      <c r="S79" s="316" t="e">
        <f>SUMIFS('1. Velsipity Summary'!CN:CN,'1. Velsipity Summary'!#REF!,$P79,'1. Velsipity Summary'!$CM:$CM,$G79)</f>
        <v>#REF!</v>
      </c>
      <c r="T79" s="40" t="e">
        <f>SUMIFS('1. Velsipity Summary'!CO:CO,'1. Velsipity Summary'!#REF!,$P79,'1. Velsipity Summary'!$CM:$CM,$G79)</f>
        <v>#REF!</v>
      </c>
      <c r="U79" s="40" t="e">
        <f>SUMIFS('1. Velsipity Summary'!CP:CP,'1. Velsipity Summary'!#REF!,$P79,'1. Velsipity Summary'!$CM:$CM,$G79)</f>
        <v>#REF!</v>
      </c>
      <c r="V79" s="40" t="e">
        <f>SUMIFS('1. Velsipity Summary'!CQ:CQ,'1. Velsipity Summary'!#REF!,$P79,'1. Velsipity Summary'!$CM:$CM,$G79)</f>
        <v>#REF!</v>
      </c>
      <c r="W79" s="40" t="e">
        <f>SUMIFS('1. Velsipity Summary'!CR:CR,'1. Velsipity Summary'!#REF!,$P79,'1. Velsipity Summary'!$CM:$CM,$G79)</f>
        <v>#REF!</v>
      </c>
      <c r="X79" s="40" t="e">
        <f>SUMIFS('1. Velsipity Summary'!CS:CS,'1. Velsipity Summary'!#REF!,$P79,'1. Velsipity Summary'!$CM:$CM,$G79)</f>
        <v>#REF!</v>
      </c>
      <c r="Y79" s="40" t="e">
        <f>SUMIFS('1. Velsipity Summary'!CT:CT,'1. Velsipity Summary'!#REF!,$P79,'1. Velsipity Summary'!$CM:$CM,$G79)</f>
        <v>#REF!</v>
      </c>
      <c r="Z79" s="40" t="e">
        <f>SUMIFS('1. Velsipity Summary'!CU:CU,'1. Velsipity Summary'!#REF!,$P79,'1. Velsipity Summary'!$CM:$CM,$G79)</f>
        <v>#REF!</v>
      </c>
      <c r="AA79" s="40" t="e">
        <f>SUMIFS('1. Velsipity Summary'!CV:CV,'1. Velsipity Summary'!#REF!,$P79,'1. Velsipity Summary'!$CM:$CM,$G79)</f>
        <v>#REF!</v>
      </c>
      <c r="AB79" s="40" t="e">
        <f>SUMIFS('1. Velsipity Summary'!CW:CW,'1. Velsipity Summary'!#REF!,$P79,'1. Velsipity Summary'!$CM:$CM,$G79)</f>
        <v>#REF!</v>
      </c>
      <c r="AC79" s="40" t="e">
        <f>SUMIFS('1. Velsipity Summary'!CX:CX,'1. Velsipity Summary'!#REF!,$P79,'1. Velsipity Summary'!$CM:$CM,$G79)</f>
        <v>#REF!</v>
      </c>
      <c r="AD79" s="40" t="e">
        <f>SUMIFS('1. Velsipity Summary'!CY:CY,'1. Velsipity Summary'!#REF!,$P79,'1. Velsipity Summary'!$CM:$CM,$G79)</f>
        <v>#REF!</v>
      </c>
      <c r="AE79" s="46" t="e">
        <f t="shared" si="53"/>
        <v>#REF!</v>
      </c>
      <c r="AI79" s="6" t="e">
        <f t="shared" si="54"/>
        <v>#REF!</v>
      </c>
      <c r="AJ79" s="6" t="e">
        <f t="shared" si="55"/>
        <v>#REF!</v>
      </c>
      <c r="AK79" s="6" t="e">
        <f t="shared" si="56"/>
        <v>#REF!</v>
      </c>
      <c r="AL79" s="6" t="e">
        <f t="shared" si="57"/>
        <v>#REF!</v>
      </c>
      <c r="AM79" s="6" t="e">
        <f t="shared" si="58"/>
        <v>#REF!</v>
      </c>
      <c r="AN79" s="6" t="e">
        <f t="shared" si="59"/>
        <v>#REF!</v>
      </c>
      <c r="AP79" s="6" t="e">
        <f t="shared" si="60"/>
        <v>#REF!</v>
      </c>
      <c r="AQ79" s="6" t="e">
        <f t="shared" si="61"/>
        <v>#REF!</v>
      </c>
      <c r="AR79" s="6" t="e">
        <f t="shared" si="62"/>
        <v>#REF!</v>
      </c>
    </row>
    <row r="80" spans="2:44" ht="14.4" hidden="1">
      <c r="B80" s="561" t="s">
        <v>1010</v>
      </c>
      <c r="C80" s="557" t="s">
        <v>1011</v>
      </c>
      <c r="D80" s="557" t="s">
        <v>1012</v>
      </c>
      <c r="E80" s="559" t="s">
        <v>17</v>
      </c>
      <c r="F80" s="559" t="s">
        <v>17</v>
      </c>
      <c r="G80" s="557" t="s">
        <v>95</v>
      </c>
      <c r="H80" s="557">
        <v>2026</v>
      </c>
      <c r="I80" s="557" t="s">
        <v>785</v>
      </c>
      <c r="J80" s="557" t="s">
        <v>203</v>
      </c>
      <c r="K80" s="557" t="s">
        <v>204</v>
      </c>
      <c r="L80" s="557" t="s">
        <v>205</v>
      </c>
      <c r="M80" s="557" t="s">
        <v>721</v>
      </c>
      <c r="N80" s="557" t="s">
        <v>1013</v>
      </c>
      <c r="O80" s="557" t="s">
        <v>1013</v>
      </c>
      <c r="P80" s="560" t="s">
        <v>980</v>
      </c>
      <c r="Q80" s="560" t="s">
        <v>1079</v>
      </c>
      <c r="R80" s="567" t="s">
        <v>1079</v>
      </c>
      <c r="S80" s="316" t="e">
        <f>SUMIFS('1. Velsipity Summary'!CN:CN,'1. Velsipity Summary'!#REF!,$P80,'1. Velsipity Summary'!$CM:$CM,$G80)</f>
        <v>#REF!</v>
      </c>
      <c r="T80" s="40" t="e">
        <f>SUMIFS('1. Velsipity Summary'!CO:CO,'1. Velsipity Summary'!#REF!,$P80,'1. Velsipity Summary'!$CM:$CM,$G80)</f>
        <v>#REF!</v>
      </c>
      <c r="U80" s="40" t="e">
        <f>SUMIFS('1. Velsipity Summary'!CP:CP,'1. Velsipity Summary'!#REF!,$P80,'1. Velsipity Summary'!$CM:$CM,$G80)</f>
        <v>#REF!</v>
      </c>
      <c r="V80" s="40" t="e">
        <f>SUMIFS('1. Velsipity Summary'!CQ:CQ,'1. Velsipity Summary'!#REF!,$P80,'1. Velsipity Summary'!$CM:$CM,$G80)</f>
        <v>#REF!</v>
      </c>
      <c r="W80" s="40" t="e">
        <f>SUMIFS('1. Velsipity Summary'!CR:CR,'1. Velsipity Summary'!#REF!,$P80,'1. Velsipity Summary'!$CM:$CM,$G80)</f>
        <v>#REF!</v>
      </c>
      <c r="X80" s="40" t="e">
        <f>SUMIFS('1. Velsipity Summary'!CS:CS,'1. Velsipity Summary'!#REF!,$P80,'1. Velsipity Summary'!$CM:$CM,$G80)</f>
        <v>#REF!</v>
      </c>
      <c r="Y80" s="40" t="e">
        <f>SUMIFS('1. Velsipity Summary'!CT:CT,'1. Velsipity Summary'!#REF!,$P80,'1. Velsipity Summary'!$CM:$CM,$G80)</f>
        <v>#REF!</v>
      </c>
      <c r="Z80" s="40" t="e">
        <f>SUMIFS('1. Velsipity Summary'!CU:CU,'1. Velsipity Summary'!#REF!,$P80,'1. Velsipity Summary'!$CM:$CM,$G80)</f>
        <v>#REF!</v>
      </c>
      <c r="AA80" s="40" t="e">
        <f>SUMIFS('1. Velsipity Summary'!CV:CV,'1. Velsipity Summary'!#REF!,$P80,'1. Velsipity Summary'!$CM:$CM,$G80)</f>
        <v>#REF!</v>
      </c>
      <c r="AB80" s="40" t="e">
        <f>SUMIFS('1. Velsipity Summary'!CW:CW,'1. Velsipity Summary'!#REF!,$P80,'1. Velsipity Summary'!$CM:$CM,$G80)</f>
        <v>#REF!</v>
      </c>
      <c r="AC80" s="40" t="e">
        <f>SUMIFS('1. Velsipity Summary'!CX:CX,'1. Velsipity Summary'!#REF!,$P80,'1. Velsipity Summary'!$CM:$CM,$G80)</f>
        <v>#REF!</v>
      </c>
      <c r="AD80" s="40" t="e">
        <f>SUMIFS('1. Velsipity Summary'!CY:CY,'1. Velsipity Summary'!#REF!,$P80,'1. Velsipity Summary'!$CM:$CM,$G80)</f>
        <v>#REF!</v>
      </c>
      <c r="AE80" s="46" t="e">
        <f t="shared" si="53"/>
        <v>#REF!</v>
      </c>
      <c r="AI80" s="6" t="e">
        <f t="shared" si="54"/>
        <v>#REF!</v>
      </c>
      <c r="AJ80" s="6" t="e">
        <f t="shared" si="55"/>
        <v>#REF!</v>
      </c>
      <c r="AK80" s="6" t="e">
        <f t="shared" si="56"/>
        <v>#REF!</v>
      </c>
      <c r="AL80" s="6" t="e">
        <f t="shared" si="57"/>
        <v>#REF!</v>
      </c>
      <c r="AM80" s="6" t="e">
        <f t="shared" si="58"/>
        <v>#REF!</v>
      </c>
      <c r="AN80" s="6" t="e">
        <f t="shared" si="59"/>
        <v>#REF!</v>
      </c>
      <c r="AP80" s="6" t="e">
        <f t="shared" si="60"/>
        <v>#REF!</v>
      </c>
      <c r="AQ80" s="6" t="e">
        <f t="shared" si="61"/>
        <v>#REF!</v>
      </c>
      <c r="AR80" s="6" t="e">
        <f t="shared" si="62"/>
        <v>#REF!</v>
      </c>
    </row>
    <row r="81" spans="2:44" ht="14.4" hidden="1">
      <c r="B81" s="561" t="s">
        <v>1014</v>
      </c>
      <c r="C81" s="557" t="s">
        <v>1015</v>
      </c>
      <c r="D81" s="557" t="s">
        <v>1016</v>
      </c>
      <c r="E81" s="559" t="s">
        <v>17</v>
      </c>
      <c r="F81" s="559" t="s">
        <v>17</v>
      </c>
      <c r="G81" s="557" t="s">
        <v>95</v>
      </c>
      <c r="H81" s="557">
        <v>2026</v>
      </c>
      <c r="I81" s="557" t="s">
        <v>785</v>
      </c>
      <c r="J81" s="557" t="s">
        <v>203</v>
      </c>
      <c r="K81" s="557" t="s">
        <v>204</v>
      </c>
      <c r="L81" s="557" t="s">
        <v>205</v>
      </c>
      <c r="M81" s="557" t="s">
        <v>721</v>
      </c>
      <c r="N81" s="557" t="s">
        <v>1017</v>
      </c>
      <c r="O81" s="557" t="s">
        <v>1017</v>
      </c>
      <c r="P81" s="560" t="s">
        <v>1071</v>
      </c>
      <c r="Q81" s="560" t="s">
        <v>1079</v>
      </c>
      <c r="R81" s="567" t="s">
        <v>1079</v>
      </c>
      <c r="S81" s="316" t="e">
        <f>SUMIFS('1. Velsipity Summary'!CN:CN,'1. Velsipity Summary'!#REF!,$P81,'1. Velsipity Summary'!$CM:$CM,$G81)</f>
        <v>#REF!</v>
      </c>
      <c r="T81" s="40" t="e">
        <f>SUMIFS('1. Velsipity Summary'!CO:CO,'1. Velsipity Summary'!#REF!,$P81,'1. Velsipity Summary'!$CM:$CM,$G81)</f>
        <v>#REF!</v>
      </c>
      <c r="U81" s="40" t="e">
        <f>SUMIFS('1. Velsipity Summary'!CP:CP,'1. Velsipity Summary'!#REF!,$P81,'1. Velsipity Summary'!$CM:$CM,$G81)</f>
        <v>#REF!</v>
      </c>
      <c r="V81" s="40" t="e">
        <f>SUMIFS('1. Velsipity Summary'!CQ:CQ,'1. Velsipity Summary'!#REF!,$P81,'1. Velsipity Summary'!$CM:$CM,$G81)</f>
        <v>#REF!</v>
      </c>
      <c r="W81" s="40" t="e">
        <f>SUMIFS('1. Velsipity Summary'!CR:CR,'1. Velsipity Summary'!#REF!,$P81,'1. Velsipity Summary'!$CM:$CM,$G81)</f>
        <v>#REF!</v>
      </c>
      <c r="X81" s="40" t="e">
        <f>SUMIFS('1. Velsipity Summary'!CS:CS,'1. Velsipity Summary'!#REF!,$P81,'1. Velsipity Summary'!$CM:$CM,$G81)</f>
        <v>#REF!</v>
      </c>
      <c r="Y81" s="40" t="e">
        <f>SUMIFS('1. Velsipity Summary'!CT:CT,'1. Velsipity Summary'!#REF!,$P81,'1. Velsipity Summary'!$CM:$CM,$G81)</f>
        <v>#REF!</v>
      </c>
      <c r="Z81" s="40" t="e">
        <f>SUMIFS('1. Velsipity Summary'!CU:CU,'1. Velsipity Summary'!#REF!,$P81,'1. Velsipity Summary'!$CM:$CM,$G81)</f>
        <v>#REF!</v>
      </c>
      <c r="AA81" s="40" t="e">
        <f>SUMIFS('1. Velsipity Summary'!CV:CV,'1. Velsipity Summary'!#REF!,$P81,'1. Velsipity Summary'!$CM:$CM,$G81)</f>
        <v>#REF!</v>
      </c>
      <c r="AB81" s="40" t="e">
        <f>SUMIFS('1. Velsipity Summary'!CW:CW,'1. Velsipity Summary'!#REF!,$P81,'1. Velsipity Summary'!$CM:$CM,$G81)</f>
        <v>#REF!</v>
      </c>
      <c r="AC81" s="40" t="e">
        <f>SUMIFS('1. Velsipity Summary'!CX:CX,'1. Velsipity Summary'!#REF!,$P81,'1. Velsipity Summary'!$CM:$CM,$G81)</f>
        <v>#REF!</v>
      </c>
      <c r="AD81" s="40" t="e">
        <f>SUMIFS('1. Velsipity Summary'!CY:CY,'1. Velsipity Summary'!#REF!,$P81,'1. Velsipity Summary'!$CM:$CM,$G81)</f>
        <v>#REF!</v>
      </c>
      <c r="AE81" s="46" t="e">
        <f t="shared" si="53"/>
        <v>#REF!</v>
      </c>
      <c r="AI81" s="6" t="e">
        <f t="shared" si="54"/>
        <v>#REF!</v>
      </c>
      <c r="AJ81" s="6" t="e">
        <f t="shared" si="55"/>
        <v>#REF!</v>
      </c>
      <c r="AK81" s="6" t="e">
        <f t="shared" si="56"/>
        <v>#REF!</v>
      </c>
      <c r="AL81" s="6" t="e">
        <f t="shared" si="57"/>
        <v>#REF!</v>
      </c>
      <c r="AM81" s="6" t="e">
        <f t="shared" si="58"/>
        <v>#REF!</v>
      </c>
      <c r="AN81" s="6" t="e">
        <f t="shared" si="59"/>
        <v>#REF!</v>
      </c>
      <c r="AP81" s="6" t="e">
        <f t="shared" si="60"/>
        <v>#REF!</v>
      </c>
      <c r="AQ81" s="6" t="e">
        <f t="shared" si="61"/>
        <v>#REF!</v>
      </c>
      <c r="AR81" s="6" t="e">
        <f t="shared" si="62"/>
        <v>#REF!</v>
      </c>
    </row>
    <row r="82" spans="2:44" ht="14.4" hidden="1">
      <c r="B82" s="561" t="s">
        <v>1018</v>
      </c>
      <c r="C82" s="557" t="s">
        <v>1019</v>
      </c>
      <c r="D82" s="557" t="s">
        <v>1020</v>
      </c>
      <c r="E82" s="559" t="s">
        <v>17</v>
      </c>
      <c r="F82" s="559" t="s">
        <v>17</v>
      </c>
      <c r="G82" s="557" t="s">
        <v>95</v>
      </c>
      <c r="H82" s="557">
        <v>2026</v>
      </c>
      <c r="I82" s="557" t="s">
        <v>785</v>
      </c>
      <c r="J82" s="557" t="s">
        <v>203</v>
      </c>
      <c r="K82" s="557" t="s">
        <v>204</v>
      </c>
      <c r="L82" s="557" t="s">
        <v>205</v>
      </c>
      <c r="M82" s="557" t="s">
        <v>721</v>
      </c>
      <c r="N82" s="557" t="s">
        <v>1021</v>
      </c>
      <c r="O82" s="557" t="s">
        <v>1021</v>
      </c>
      <c r="P82" s="560" t="s">
        <v>976</v>
      </c>
      <c r="Q82" s="560" t="s">
        <v>1079</v>
      </c>
      <c r="R82" s="567" t="s">
        <v>1079</v>
      </c>
      <c r="S82" s="316" t="e">
        <f>SUMIFS('1. Velsipity Summary'!CN:CN,'1. Velsipity Summary'!#REF!,$P82,'1. Velsipity Summary'!$CM:$CM,$G82)</f>
        <v>#REF!</v>
      </c>
      <c r="T82" s="40" t="e">
        <f>SUMIFS('1. Velsipity Summary'!CO:CO,'1. Velsipity Summary'!#REF!,$P82,'1. Velsipity Summary'!$CM:$CM,$G82)</f>
        <v>#REF!</v>
      </c>
      <c r="U82" s="40" t="e">
        <f>SUMIFS('1. Velsipity Summary'!CP:CP,'1. Velsipity Summary'!#REF!,$P82,'1. Velsipity Summary'!$CM:$CM,$G82)</f>
        <v>#REF!</v>
      </c>
      <c r="V82" s="40" t="e">
        <f>SUMIFS('1. Velsipity Summary'!CQ:CQ,'1. Velsipity Summary'!#REF!,$P82,'1. Velsipity Summary'!$CM:$CM,$G82)</f>
        <v>#REF!</v>
      </c>
      <c r="W82" s="40" t="e">
        <f>SUMIFS('1. Velsipity Summary'!CR:CR,'1. Velsipity Summary'!#REF!,$P82,'1. Velsipity Summary'!$CM:$CM,$G82)</f>
        <v>#REF!</v>
      </c>
      <c r="X82" s="40" t="e">
        <f>SUMIFS('1. Velsipity Summary'!CS:CS,'1. Velsipity Summary'!#REF!,$P82,'1. Velsipity Summary'!$CM:$CM,$G82)</f>
        <v>#REF!</v>
      </c>
      <c r="Y82" s="40" t="e">
        <f>SUMIFS('1. Velsipity Summary'!CT:CT,'1. Velsipity Summary'!#REF!,$P82,'1. Velsipity Summary'!$CM:$CM,$G82)</f>
        <v>#REF!</v>
      </c>
      <c r="Z82" s="40" t="e">
        <f>SUMIFS('1. Velsipity Summary'!CU:CU,'1. Velsipity Summary'!#REF!,$P82,'1. Velsipity Summary'!$CM:$CM,$G82)</f>
        <v>#REF!</v>
      </c>
      <c r="AA82" s="40" t="e">
        <f>SUMIFS('1. Velsipity Summary'!CV:CV,'1. Velsipity Summary'!#REF!,$P82,'1. Velsipity Summary'!$CM:$CM,$G82)</f>
        <v>#REF!</v>
      </c>
      <c r="AB82" s="40" t="e">
        <f>SUMIFS('1. Velsipity Summary'!CW:CW,'1. Velsipity Summary'!#REF!,$P82,'1. Velsipity Summary'!$CM:$CM,$G82)</f>
        <v>#REF!</v>
      </c>
      <c r="AC82" s="40" t="e">
        <f>SUMIFS('1. Velsipity Summary'!CX:CX,'1. Velsipity Summary'!#REF!,$P82,'1. Velsipity Summary'!$CM:$CM,$G82)</f>
        <v>#REF!</v>
      </c>
      <c r="AD82" s="40" t="e">
        <f>SUMIFS('1. Velsipity Summary'!CY:CY,'1. Velsipity Summary'!#REF!,$P82,'1. Velsipity Summary'!$CM:$CM,$G82)</f>
        <v>#REF!</v>
      </c>
      <c r="AE82" s="46" t="e">
        <f t="shared" si="53"/>
        <v>#REF!</v>
      </c>
      <c r="AI82" s="6" t="e">
        <f t="shared" si="54"/>
        <v>#REF!</v>
      </c>
      <c r="AJ82" s="6" t="e">
        <f t="shared" si="55"/>
        <v>#REF!</v>
      </c>
      <c r="AK82" s="6" t="e">
        <f t="shared" si="56"/>
        <v>#REF!</v>
      </c>
      <c r="AL82" s="6" t="e">
        <f t="shared" si="57"/>
        <v>#REF!</v>
      </c>
      <c r="AM82" s="6" t="e">
        <f t="shared" si="58"/>
        <v>#REF!</v>
      </c>
      <c r="AN82" s="6" t="e">
        <f t="shared" si="59"/>
        <v>#REF!</v>
      </c>
      <c r="AP82" s="6" t="e">
        <f t="shared" si="60"/>
        <v>#REF!</v>
      </c>
      <c r="AQ82" s="6" t="e">
        <f t="shared" si="61"/>
        <v>#REF!</v>
      </c>
      <c r="AR82" s="6" t="e">
        <f t="shared" si="62"/>
        <v>#REF!</v>
      </c>
    </row>
    <row r="83" spans="2:44" ht="14.4" hidden="1">
      <c r="B83" s="561" t="s">
        <v>1022</v>
      </c>
      <c r="C83" s="557" t="s">
        <v>1023</v>
      </c>
      <c r="D83" s="557" t="s">
        <v>1024</v>
      </c>
      <c r="E83" s="559" t="s">
        <v>17</v>
      </c>
      <c r="F83" s="559" t="s">
        <v>17</v>
      </c>
      <c r="G83" s="557" t="s">
        <v>95</v>
      </c>
      <c r="H83" s="557">
        <v>2026</v>
      </c>
      <c r="I83" s="557" t="s">
        <v>785</v>
      </c>
      <c r="J83" s="557" t="s">
        <v>203</v>
      </c>
      <c r="K83" s="557" t="s">
        <v>204</v>
      </c>
      <c r="L83" s="557" t="s">
        <v>205</v>
      </c>
      <c r="M83" s="557" t="s">
        <v>721</v>
      </c>
      <c r="N83" s="557" t="s">
        <v>1025</v>
      </c>
      <c r="O83" s="557" t="s">
        <v>1025</v>
      </c>
      <c r="P83" s="560" t="s">
        <v>977</v>
      </c>
      <c r="Q83" s="560" t="s">
        <v>1079</v>
      </c>
      <c r="R83" s="567" t="s">
        <v>1079</v>
      </c>
      <c r="S83" s="316" t="e">
        <f>SUMIFS('1. Velsipity Summary'!CN:CN,'1. Velsipity Summary'!#REF!,$P83,'1. Velsipity Summary'!$CM:$CM,$G83)</f>
        <v>#REF!</v>
      </c>
      <c r="T83" s="40" t="e">
        <f>SUMIFS('1. Velsipity Summary'!CO:CO,'1. Velsipity Summary'!#REF!,$P83,'1. Velsipity Summary'!$CM:$CM,$G83)</f>
        <v>#REF!</v>
      </c>
      <c r="U83" s="40" t="e">
        <f>SUMIFS('1. Velsipity Summary'!CP:CP,'1. Velsipity Summary'!#REF!,$P83,'1. Velsipity Summary'!$CM:$CM,$G83)</f>
        <v>#REF!</v>
      </c>
      <c r="V83" s="40" t="e">
        <f>SUMIFS('1. Velsipity Summary'!CQ:CQ,'1. Velsipity Summary'!#REF!,$P83,'1. Velsipity Summary'!$CM:$CM,$G83)</f>
        <v>#REF!</v>
      </c>
      <c r="W83" s="40" t="e">
        <f>SUMIFS('1. Velsipity Summary'!CR:CR,'1. Velsipity Summary'!#REF!,$P83,'1. Velsipity Summary'!$CM:$CM,$G83)</f>
        <v>#REF!</v>
      </c>
      <c r="X83" s="40" t="e">
        <f>SUMIFS('1. Velsipity Summary'!CS:CS,'1. Velsipity Summary'!#REF!,$P83,'1. Velsipity Summary'!$CM:$CM,$G83)</f>
        <v>#REF!</v>
      </c>
      <c r="Y83" s="40" t="e">
        <f>SUMIFS('1. Velsipity Summary'!CT:CT,'1. Velsipity Summary'!#REF!,$P83,'1. Velsipity Summary'!$CM:$CM,$G83)</f>
        <v>#REF!</v>
      </c>
      <c r="Z83" s="40" t="e">
        <f>SUMIFS('1. Velsipity Summary'!CU:CU,'1. Velsipity Summary'!#REF!,$P83,'1. Velsipity Summary'!$CM:$CM,$G83)</f>
        <v>#REF!</v>
      </c>
      <c r="AA83" s="40" t="e">
        <f>SUMIFS('1. Velsipity Summary'!CV:CV,'1. Velsipity Summary'!#REF!,$P83,'1. Velsipity Summary'!$CM:$CM,$G83)</f>
        <v>#REF!</v>
      </c>
      <c r="AB83" s="40" t="e">
        <f>SUMIFS('1. Velsipity Summary'!CW:CW,'1. Velsipity Summary'!#REF!,$P83,'1. Velsipity Summary'!$CM:$CM,$G83)</f>
        <v>#REF!</v>
      </c>
      <c r="AC83" s="40" t="e">
        <f>SUMIFS('1. Velsipity Summary'!CX:CX,'1. Velsipity Summary'!#REF!,$P83,'1. Velsipity Summary'!$CM:$CM,$G83)</f>
        <v>#REF!</v>
      </c>
      <c r="AD83" s="40" t="e">
        <f>SUMIFS('1. Velsipity Summary'!CY:CY,'1. Velsipity Summary'!#REF!,$P83,'1. Velsipity Summary'!$CM:$CM,$G83)</f>
        <v>#REF!</v>
      </c>
      <c r="AE83" s="46" t="e">
        <f t="shared" si="53"/>
        <v>#REF!</v>
      </c>
      <c r="AI83" s="6" t="e">
        <f t="shared" si="54"/>
        <v>#REF!</v>
      </c>
      <c r="AJ83" s="6" t="e">
        <f t="shared" si="55"/>
        <v>#REF!</v>
      </c>
      <c r="AK83" s="6" t="e">
        <f t="shared" si="56"/>
        <v>#REF!</v>
      </c>
      <c r="AL83" s="6" t="e">
        <f t="shared" si="57"/>
        <v>#REF!</v>
      </c>
      <c r="AM83" s="6" t="e">
        <f t="shared" si="58"/>
        <v>#REF!</v>
      </c>
      <c r="AN83" s="6" t="e">
        <f t="shared" si="59"/>
        <v>#REF!</v>
      </c>
      <c r="AP83" s="6" t="e">
        <f t="shared" si="60"/>
        <v>#REF!</v>
      </c>
      <c r="AQ83" s="6" t="e">
        <f t="shared" si="61"/>
        <v>#REF!</v>
      </c>
      <c r="AR83" s="6" t="e">
        <f t="shared" si="62"/>
        <v>#REF!</v>
      </c>
    </row>
    <row r="84" spans="2:44" ht="14.4" hidden="1">
      <c r="B84" s="561" t="s">
        <v>1026</v>
      </c>
      <c r="C84" s="557" t="s">
        <v>1027</v>
      </c>
      <c r="D84" s="557" t="s">
        <v>1028</v>
      </c>
      <c r="E84" s="559" t="s">
        <v>17</v>
      </c>
      <c r="F84" s="559" t="s">
        <v>17</v>
      </c>
      <c r="G84" s="557" t="s">
        <v>95</v>
      </c>
      <c r="H84" s="557">
        <v>2026</v>
      </c>
      <c r="I84" s="557" t="s">
        <v>785</v>
      </c>
      <c r="J84" s="557" t="s">
        <v>203</v>
      </c>
      <c r="K84" s="557" t="s">
        <v>204</v>
      </c>
      <c r="L84" s="557" t="s">
        <v>205</v>
      </c>
      <c r="M84" s="557" t="s">
        <v>721</v>
      </c>
      <c r="N84" s="557" t="s">
        <v>961</v>
      </c>
      <c r="O84" s="557" t="s">
        <v>961</v>
      </c>
      <c r="P84" s="560" t="s">
        <v>1072</v>
      </c>
      <c r="Q84" s="560" t="s">
        <v>1079</v>
      </c>
      <c r="R84" s="567" t="s">
        <v>1079</v>
      </c>
      <c r="S84" s="316" t="e">
        <f>SUMIFS('1. Velsipity Summary'!CN:CN,'1. Velsipity Summary'!#REF!,$P84,'1. Velsipity Summary'!$CM:$CM,$G84)</f>
        <v>#REF!</v>
      </c>
      <c r="T84" s="40" t="e">
        <f>SUMIFS('1. Velsipity Summary'!CO:CO,'1. Velsipity Summary'!#REF!,$P84,'1. Velsipity Summary'!$CM:$CM,$G84)</f>
        <v>#REF!</v>
      </c>
      <c r="U84" s="40" t="e">
        <f>SUMIFS('1. Velsipity Summary'!CP:CP,'1. Velsipity Summary'!#REF!,$P84,'1. Velsipity Summary'!$CM:$CM,$G84)</f>
        <v>#REF!</v>
      </c>
      <c r="V84" s="40" t="e">
        <f>SUMIFS('1. Velsipity Summary'!CQ:CQ,'1. Velsipity Summary'!#REF!,$P84,'1. Velsipity Summary'!$CM:$CM,$G84)</f>
        <v>#REF!</v>
      </c>
      <c r="W84" s="40" t="e">
        <f>SUMIFS('1. Velsipity Summary'!CR:CR,'1. Velsipity Summary'!#REF!,$P84,'1. Velsipity Summary'!$CM:$CM,$G84)</f>
        <v>#REF!</v>
      </c>
      <c r="X84" s="40" t="e">
        <f>SUMIFS('1. Velsipity Summary'!CS:CS,'1. Velsipity Summary'!#REF!,$P84,'1. Velsipity Summary'!$CM:$CM,$G84)</f>
        <v>#REF!</v>
      </c>
      <c r="Y84" s="40" t="e">
        <f>SUMIFS('1. Velsipity Summary'!CT:CT,'1. Velsipity Summary'!#REF!,$P84,'1. Velsipity Summary'!$CM:$CM,$G84)</f>
        <v>#REF!</v>
      </c>
      <c r="Z84" s="40" t="e">
        <f>SUMIFS('1. Velsipity Summary'!CU:CU,'1. Velsipity Summary'!#REF!,$P84,'1. Velsipity Summary'!$CM:$CM,$G84)</f>
        <v>#REF!</v>
      </c>
      <c r="AA84" s="40" t="e">
        <f>SUMIFS('1. Velsipity Summary'!CV:CV,'1. Velsipity Summary'!#REF!,$P84,'1. Velsipity Summary'!$CM:$CM,$G84)</f>
        <v>#REF!</v>
      </c>
      <c r="AB84" s="40" t="e">
        <f>SUMIFS('1. Velsipity Summary'!CW:CW,'1. Velsipity Summary'!#REF!,$P84,'1. Velsipity Summary'!$CM:$CM,$G84)</f>
        <v>#REF!</v>
      </c>
      <c r="AC84" s="40" t="e">
        <f>SUMIFS('1. Velsipity Summary'!CX:CX,'1. Velsipity Summary'!#REF!,$P84,'1. Velsipity Summary'!$CM:$CM,$G84)</f>
        <v>#REF!</v>
      </c>
      <c r="AD84" s="40" t="e">
        <f>SUMIFS('1. Velsipity Summary'!CY:CY,'1. Velsipity Summary'!#REF!,$P84,'1. Velsipity Summary'!$CM:$CM,$G84)</f>
        <v>#REF!</v>
      </c>
      <c r="AE84" s="46" t="e">
        <f t="shared" si="53"/>
        <v>#REF!</v>
      </c>
      <c r="AI84" s="6" t="e">
        <f t="shared" si="54"/>
        <v>#REF!</v>
      </c>
      <c r="AJ84" s="6" t="e">
        <f t="shared" si="55"/>
        <v>#REF!</v>
      </c>
      <c r="AK84" s="6" t="e">
        <f t="shared" si="56"/>
        <v>#REF!</v>
      </c>
      <c r="AL84" s="6" t="e">
        <f t="shared" si="57"/>
        <v>#REF!</v>
      </c>
      <c r="AM84" s="6" t="e">
        <f t="shared" si="58"/>
        <v>#REF!</v>
      </c>
      <c r="AN84" s="6" t="e">
        <f t="shared" si="59"/>
        <v>#REF!</v>
      </c>
      <c r="AP84" s="6" t="e">
        <f t="shared" si="60"/>
        <v>#REF!</v>
      </c>
      <c r="AQ84" s="6" t="e">
        <f t="shared" si="61"/>
        <v>#REF!</v>
      </c>
      <c r="AR84" s="6" t="e">
        <f t="shared" si="62"/>
        <v>#REF!</v>
      </c>
    </row>
    <row r="85" spans="2:44" ht="14.4" hidden="1">
      <c r="B85" s="561" t="s">
        <v>1029</v>
      </c>
      <c r="C85" s="557" t="s">
        <v>1030</v>
      </c>
      <c r="D85" s="557" t="s">
        <v>1031</v>
      </c>
      <c r="E85" s="559" t="s">
        <v>17</v>
      </c>
      <c r="F85" s="559" t="s">
        <v>17</v>
      </c>
      <c r="G85" s="557" t="s">
        <v>95</v>
      </c>
      <c r="H85" s="557">
        <v>2026</v>
      </c>
      <c r="I85" s="557" t="s">
        <v>785</v>
      </c>
      <c r="J85" s="557" t="s">
        <v>203</v>
      </c>
      <c r="K85" s="557" t="s">
        <v>204</v>
      </c>
      <c r="L85" s="557" t="s">
        <v>205</v>
      </c>
      <c r="M85" s="557" t="s">
        <v>721</v>
      </c>
      <c r="N85" s="557" t="s">
        <v>968</v>
      </c>
      <c r="O85" s="557" t="s">
        <v>968</v>
      </c>
      <c r="P85" s="560" t="s">
        <v>981</v>
      </c>
      <c r="Q85" s="560" t="s">
        <v>1079</v>
      </c>
      <c r="R85" s="567" t="s">
        <v>1079</v>
      </c>
      <c r="S85" s="316" t="e">
        <f>SUMIFS('1. Velsipity Summary'!CN:CN,'1. Velsipity Summary'!#REF!,$P85,'1. Velsipity Summary'!$CM:$CM,$G85)</f>
        <v>#REF!</v>
      </c>
      <c r="T85" s="40" t="e">
        <f>SUMIFS('1. Velsipity Summary'!CO:CO,'1. Velsipity Summary'!#REF!,$P85,'1. Velsipity Summary'!$CM:$CM,$G85)</f>
        <v>#REF!</v>
      </c>
      <c r="U85" s="40" t="e">
        <f>SUMIFS('1. Velsipity Summary'!CP:CP,'1. Velsipity Summary'!#REF!,$P85,'1. Velsipity Summary'!$CM:$CM,$G85)</f>
        <v>#REF!</v>
      </c>
      <c r="V85" s="40" t="e">
        <f>SUMIFS('1. Velsipity Summary'!CQ:CQ,'1. Velsipity Summary'!#REF!,$P85,'1. Velsipity Summary'!$CM:$CM,$G85)</f>
        <v>#REF!</v>
      </c>
      <c r="W85" s="40" t="e">
        <f>SUMIFS('1. Velsipity Summary'!CR:CR,'1. Velsipity Summary'!#REF!,$P85,'1. Velsipity Summary'!$CM:$CM,$G85)</f>
        <v>#REF!</v>
      </c>
      <c r="X85" s="40" t="e">
        <f>SUMIFS('1. Velsipity Summary'!CS:CS,'1. Velsipity Summary'!#REF!,$P85,'1. Velsipity Summary'!$CM:$CM,$G85)</f>
        <v>#REF!</v>
      </c>
      <c r="Y85" s="40" t="e">
        <f>SUMIFS('1. Velsipity Summary'!CT:CT,'1. Velsipity Summary'!#REF!,$P85,'1. Velsipity Summary'!$CM:$CM,$G85)</f>
        <v>#REF!</v>
      </c>
      <c r="Z85" s="40" t="e">
        <f>SUMIFS('1. Velsipity Summary'!CU:CU,'1. Velsipity Summary'!#REF!,$P85,'1. Velsipity Summary'!$CM:$CM,$G85)</f>
        <v>#REF!</v>
      </c>
      <c r="AA85" s="40" t="e">
        <f>SUMIFS('1. Velsipity Summary'!CV:CV,'1. Velsipity Summary'!#REF!,$P85,'1. Velsipity Summary'!$CM:$CM,$G85)</f>
        <v>#REF!</v>
      </c>
      <c r="AB85" s="40" t="e">
        <f>SUMIFS('1. Velsipity Summary'!CW:CW,'1. Velsipity Summary'!#REF!,$P85,'1. Velsipity Summary'!$CM:$CM,$G85)</f>
        <v>#REF!</v>
      </c>
      <c r="AC85" s="40" t="e">
        <f>SUMIFS('1. Velsipity Summary'!CX:CX,'1. Velsipity Summary'!#REF!,$P85,'1. Velsipity Summary'!$CM:$CM,$G85)</f>
        <v>#REF!</v>
      </c>
      <c r="AD85" s="40" t="e">
        <f>SUMIFS('1. Velsipity Summary'!CY:CY,'1. Velsipity Summary'!#REF!,$P85,'1. Velsipity Summary'!$CM:$CM,$G85)</f>
        <v>#REF!</v>
      </c>
      <c r="AE85" s="46" t="e">
        <f t="shared" si="53"/>
        <v>#REF!</v>
      </c>
      <c r="AI85" s="6" t="e">
        <f t="shared" si="54"/>
        <v>#REF!</v>
      </c>
      <c r="AJ85" s="6" t="e">
        <f t="shared" si="55"/>
        <v>#REF!</v>
      </c>
      <c r="AK85" s="6" t="e">
        <f t="shared" si="56"/>
        <v>#REF!</v>
      </c>
      <c r="AL85" s="6" t="e">
        <f t="shared" si="57"/>
        <v>#REF!</v>
      </c>
      <c r="AM85" s="6" t="e">
        <f t="shared" si="58"/>
        <v>#REF!</v>
      </c>
      <c r="AN85" s="6" t="e">
        <f t="shared" si="59"/>
        <v>#REF!</v>
      </c>
      <c r="AP85" s="6" t="e">
        <f t="shared" si="60"/>
        <v>#REF!</v>
      </c>
      <c r="AQ85" s="6" t="e">
        <f t="shared" si="61"/>
        <v>#REF!</v>
      </c>
      <c r="AR85" s="6" t="e">
        <f t="shared" si="62"/>
        <v>#REF!</v>
      </c>
    </row>
    <row r="86" spans="2:44" ht="14.4" hidden="1">
      <c r="B86" s="561" t="s">
        <v>1032</v>
      </c>
      <c r="C86" s="557" t="s">
        <v>1033</v>
      </c>
      <c r="D86" s="557" t="s">
        <v>1034</v>
      </c>
      <c r="E86" s="559" t="s">
        <v>17</v>
      </c>
      <c r="F86" s="559" t="s">
        <v>17</v>
      </c>
      <c r="G86" s="557" t="s">
        <v>95</v>
      </c>
      <c r="H86" s="557">
        <v>2026</v>
      </c>
      <c r="I86" s="557" t="s">
        <v>785</v>
      </c>
      <c r="J86" s="557" t="s">
        <v>203</v>
      </c>
      <c r="K86" s="557" t="s">
        <v>204</v>
      </c>
      <c r="L86" s="557" t="s">
        <v>205</v>
      </c>
      <c r="M86" s="557" t="s">
        <v>721</v>
      </c>
      <c r="N86" s="557" t="s">
        <v>969</v>
      </c>
      <c r="O86" s="557" t="s">
        <v>969</v>
      </c>
      <c r="P86" s="560" t="s">
        <v>982</v>
      </c>
      <c r="Q86" s="560" t="s">
        <v>1079</v>
      </c>
      <c r="R86" s="567" t="s">
        <v>1079</v>
      </c>
      <c r="S86" s="316" t="e">
        <f>SUMIFS('1. Velsipity Summary'!CN:CN,'1. Velsipity Summary'!#REF!,$P86,'1. Velsipity Summary'!$CM:$CM,$G86)</f>
        <v>#REF!</v>
      </c>
      <c r="T86" s="40" t="e">
        <f>SUMIFS('1. Velsipity Summary'!CO:CO,'1. Velsipity Summary'!#REF!,$P86,'1. Velsipity Summary'!$CM:$CM,$G86)</f>
        <v>#REF!</v>
      </c>
      <c r="U86" s="40" t="e">
        <f>SUMIFS('1. Velsipity Summary'!CP:CP,'1. Velsipity Summary'!#REF!,$P86,'1. Velsipity Summary'!$CM:$CM,$G86)</f>
        <v>#REF!</v>
      </c>
      <c r="V86" s="40" t="e">
        <f>SUMIFS('1. Velsipity Summary'!CQ:CQ,'1. Velsipity Summary'!#REF!,$P86,'1. Velsipity Summary'!$CM:$CM,$G86)</f>
        <v>#REF!</v>
      </c>
      <c r="W86" s="40" t="e">
        <f>SUMIFS('1. Velsipity Summary'!CR:CR,'1. Velsipity Summary'!#REF!,$P86,'1. Velsipity Summary'!$CM:$CM,$G86)</f>
        <v>#REF!</v>
      </c>
      <c r="X86" s="40" t="e">
        <f>SUMIFS('1. Velsipity Summary'!CS:CS,'1. Velsipity Summary'!#REF!,$P86,'1. Velsipity Summary'!$CM:$CM,$G86)</f>
        <v>#REF!</v>
      </c>
      <c r="Y86" s="40" t="e">
        <f>SUMIFS('1. Velsipity Summary'!CT:CT,'1. Velsipity Summary'!#REF!,$P86,'1. Velsipity Summary'!$CM:$CM,$G86)</f>
        <v>#REF!</v>
      </c>
      <c r="Z86" s="40" t="e">
        <f>SUMIFS('1. Velsipity Summary'!CU:CU,'1. Velsipity Summary'!#REF!,$P86,'1. Velsipity Summary'!$CM:$CM,$G86)</f>
        <v>#REF!</v>
      </c>
      <c r="AA86" s="40" t="e">
        <f>SUMIFS('1. Velsipity Summary'!CV:CV,'1. Velsipity Summary'!#REF!,$P86,'1. Velsipity Summary'!$CM:$CM,$G86)</f>
        <v>#REF!</v>
      </c>
      <c r="AB86" s="40" t="e">
        <f>SUMIFS('1. Velsipity Summary'!CW:CW,'1. Velsipity Summary'!#REF!,$P86,'1. Velsipity Summary'!$CM:$CM,$G86)</f>
        <v>#REF!</v>
      </c>
      <c r="AC86" s="40" t="e">
        <f>SUMIFS('1. Velsipity Summary'!CX:CX,'1. Velsipity Summary'!#REF!,$P86,'1. Velsipity Summary'!$CM:$CM,$G86)</f>
        <v>#REF!</v>
      </c>
      <c r="AD86" s="40" t="e">
        <f>SUMIFS('1. Velsipity Summary'!CY:CY,'1. Velsipity Summary'!#REF!,$P86,'1. Velsipity Summary'!$CM:$CM,$G86)</f>
        <v>#REF!</v>
      </c>
      <c r="AE86" s="46" t="e">
        <f t="shared" si="53"/>
        <v>#REF!</v>
      </c>
      <c r="AI86" s="6" t="e">
        <f t="shared" si="54"/>
        <v>#REF!</v>
      </c>
      <c r="AJ86" s="6" t="e">
        <f t="shared" si="55"/>
        <v>#REF!</v>
      </c>
      <c r="AK86" s="6" t="e">
        <f t="shared" si="56"/>
        <v>#REF!</v>
      </c>
      <c r="AL86" s="6" t="e">
        <f t="shared" si="57"/>
        <v>#REF!</v>
      </c>
      <c r="AM86" s="6" t="e">
        <f t="shared" si="58"/>
        <v>#REF!</v>
      </c>
      <c r="AN86" s="6" t="e">
        <f t="shared" si="59"/>
        <v>#REF!</v>
      </c>
      <c r="AP86" s="6" t="e">
        <f t="shared" si="60"/>
        <v>#REF!</v>
      </c>
      <c r="AQ86" s="6" t="e">
        <f t="shared" si="61"/>
        <v>#REF!</v>
      </c>
      <c r="AR86" s="6" t="e">
        <f t="shared" si="62"/>
        <v>#REF!</v>
      </c>
    </row>
    <row r="87" spans="2:44" ht="14.4" hidden="1">
      <c r="B87" s="561" t="s">
        <v>1035</v>
      </c>
      <c r="C87" s="557" t="s">
        <v>1036</v>
      </c>
      <c r="D87" s="557" t="s">
        <v>1037</v>
      </c>
      <c r="E87" s="559" t="s">
        <v>17</v>
      </c>
      <c r="F87" s="559" t="s">
        <v>17</v>
      </c>
      <c r="G87" s="557" t="s">
        <v>95</v>
      </c>
      <c r="H87" s="557">
        <v>2026</v>
      </c>
      <c r="I87" s="557" t="s">
        <v>785</v>
      </c>
      <c r="J87" s="557" t="s">
        <v>203</v>
      </c>
      <c r="K87" s="557" t="s">
        <v>204</v>
      </c>
      <c r="L87" s="557" t="s">
        <v>205</v>
      </c>
      <c r="M87" s="557" t="s">
        <v>721</v>
      </c>
      <c r="N87" s="557" t="s">
        <v>970</v>
      </c>
      <c r="O87" s="557" t="s">
        <v>970</v>
      </c>
      <c r="P87" s="560" t="s">
        <v>983</v>
      </c>
      <c r="Q87" s="560" t="s">
        <v>1079</v>
      </c>
      <c r="R87" s="567" t="s">
        <v>1079</v>
      </c>
      <c r="S87" s="316" t="e">
        <f>SUMIFS('1. Velsipity Summary'!CN:CN,'1. Velsipity Summary'!#REF!,$P87,'1. Velsipity Summary'!$CM:$CM,$G87)</f>
        <v>#REF!</v>
      </c>
      <c r="T87" s="40" t="e">
        <f>SUMIFS('1. Velsipity Summary'!CO:CO,'1. Velsipity Summary'!#REF!,$P87,'1. Velsipity Summary'!$CM:$CM,$G87)</f>
        <v>#REF!</v>
      </c>
      <c r="U87" s="40" t="e">
        <f>SUMIFS('1. Velsipity Summary'!CP:CP,'1. Velsipity Summary'!#REF!,$P87,'1. Velsipity Summary'!$CM:$CM,$G87)</f>
        <v>#REF!</v>
      </c>
      <c r="V87" s="40" t="e">
        <f>SUMIFS('1. Velsipity Summary'!CQ:CQ,'1. Velsipity Summary'!#REF!,$P87,'1. Velsipity Summary'!$CM:$CM,$G87)</f>
        <v>#REF!</v>
      </c>
      <c r="W87" s="40" t="e">
        <f>SUMIFS('1. Velsipity Summary'!CR:CR,'1. Velsipity Summary'!#REF!,$P87,'1. Velsipity Summary'!$CM:$CM,$G87)</f>
        <v>#REF!</v>
      </c>
      <c r="X87" s="40" t="e">
        <f>SUMIFS('1. Velsipity Summary'!CS:CS,'1. Velsipity Summary'!#REF!,$P87,'1. Velsipity Summary'!$CM:$CM,$G87)</f>
        <v>#REF!</v>
      </c>
      <c r="Y87" s="40" t="e">
        <f>SUMIFS('1. Velsipity Summary'!CT:CT,'1. Velsipity Summary'!#REF!,$P87,'1. Velsipity Summary'!$CM:$CM,$G87)</f>
        <v>#REF!</v>
      </c>
      <c r="Z87" s="40" t="e">
        <f>SUMIFS('1. Velsipity Summary'!CU:CU,'1. Velsipity Summary'!#REF!,$P87,'1. Velsipity Summary'!$CM:$CM,$G87)</f>
        <v>#REF!</v>
      </c>
      <c r="AA87" s="40" t="e">
        <f>SUMIFS('1. Velsipity Summary'!CV:CV,'1. Velsipity Summary'!#REF!,$P87,'1. Velsipity Summary'!$CM:$CM,$G87)</f>
        <v>#REF!</v>
      </c>
      <c r="AB87" s="40" t="e">
        <f>SUMIFS('1. Velsipity Summary'!CW:CW,'1. Velsipity Summary'!#REF!,$P87,'1. Velsipity Summary'!$CM:$CM,$G87)</f>
        <v>#REF!</v>
      </c>
      <c r="AC87" s="40" t="e">
        <f>SUMIFS('1. Velsipity Summary'!CX:CX,'1. Velsipity Summary'!#REF!,$P87,'1. Velsipity Summary'!$CM:$CM,$G87)</f>
        <v>#REF!</v>
      </c>
      <c r="AD87" s="40" t="e">
        <f>SUMIFS('1. Velsipity Summary'!CY:CY,'1. Velsipity Summary'!#REF!,$P87,'1. Velsipity Summary'!$CM:$CM,$G87)</f>
        <v>#REF!</v>
      </c>
      <c r="AE87" s="46" t="e">
        <f t="shared" si="53"/>
        <v>#REF!</v>
      </c>
      <c r="AG87" s="1" t="e">
        <f>SUM(AE78:AE87)</f>
        <v>#REF!</v>
      </c>
      <c r="AH87" s="6" t="e">
        <f>AG87-'1. Velsipity Summary'!CZ25</f>
        <v>#REF!</v>
      </c>
      <c r="AI87" s="6" t="e">
        <f t="shared" si="54"/>
        <v>#REF!</v>
      </c>
      <c r="AJ87" s="6" t="e">
        <f t="shared" si="55"/>
        <v>#REF!</v>
      </c>
      <c r="AK87" s="6" t="e">
        <f t="shared" si="56"/>
        <v>#REF!</v>
      </c>
      <c r="AL87" s="6" t="e">
        <f t="shared" si="57"/>
        <v>#REF!</v>
      </c>
      <c r="AM87" s="6" t="e">
        <f t="shared" si="58"/>
        <v>#REF!</v>
      </c>
      <c r="AN87" s="6" t="e">
        <f t="shared" si="59"/>
        <v>#REF!</v>
      </c>
      <c r="AP87" s="6" t="e">
        <f t="shared" si="60"/>
        <v>#REF!</v>
      </c>
      <c r="AQ87" s="6" t="e">
        <f t="shared" si="61"/>
        <v>#REF!</v>
      </c>
      <c r="AR87" s="6" t="e">
        <f t="shared" si="62"/>
        <v>#REF!</v>
      </c>
    </row>
    <row r="88" spans="2:44" ht="14.4" hidden="1">
      <c r="B88" s="561" t="s">
        <v>1038</v>
      </c>
      <c r="C88" s="557" t="s">
        <v>1039</v>
      </c>
      <c r="D88" s="557" t="s">
        <v>1040</v>
      </c>
      <c r="E88" s="559" t="s">
        <v>17</v>
      </c>
      <c r="F88" s="559" t="s">
        <v>17</v>
      </c>
      <c r="G88" s="557" t="s">
        <v>96</v>
      </c>
      <c r="H88" s="557">
        <v>2026</v>
      </c>
      <c r="I88" s="557" t="s">
        <v>785</v>
      </c>
      <c r="J88" s="557" t="s">
        <v>203</v>
      </c>
      <c r="K88" s="557" t="s">
        <v>204</v>
      </c>
      <c r="L88" s="557" t="s">
        <v>205</v>
      </c>
      <c r="M88" s="557" t="s">
        <v>721</v>
      </c>
      <c r="N88" s="557" t="s">
        <v>1005</v>
      </c>
      <c r="O88" s="557" t="s">
        <v>1005</v>
      </c>
      <c r="P88" s="560" t="s">
        <v>978</v>
      </c>
      <c r="Q88" s="560" t="s">
        <v>1079</v>
      </c>
      <c r="R88" s="567" t="s">
        <v>1079</v>
      </c>
      <c r="S88" s="316" t="e">
        <f>SUMIFS('1. Velsipity Summary'!CN:CN,'1. Velsipity Summary'!#REF!,$P88,'1. Velsipity Summary'!$CM:$CM,$G88)</f>
        <v>#REF!</v>
      </c>
      <c r="T88" s="40" t="e">
        <f>SUMIFS('1. Velsipity Summary'!CO:CO,'1. Velsipity Summary'!#REF!,$P88,'1. Velsipity Summary'!$CM:$CM,$G88)</f>
        <v>#REF!</v>
      </c>
      <c r="U88" s="40" t="e">
        <f>SUMIFS('1. Velsipity Summary'!CP:CP,'1. Velsipity Summary'!#REF!,$P88,'1. Velsipity Summary'!$CM:$CM,$G88)</f>
        <v>#REF!</v>
      </c>
      <c r="V88" s="40" t="e">
        <f>SUMIFS('1. Velsipity Summary'!CQ:CQ,'1. Velsipity Summary'!#REF!,$P88,'1. Velsipity Summary'!$CM:$CM,$G88)</f>
        <v>#REF!</v>
      </c>
      <c r="W88" s="40" t="e">
        <f>SUMIFS('1. Velsipity Summary'!CR:CR,'1. Velsipity Summary'!#REF!,$P88,'1. Velsipity Summary'!$CM:$CM,$G88)</f>
        <v>#REF!</v>
      </c>
      <c r="X88" s="40" t="e">
        <f>SUMIFS('1. Velsipity Summary'!CS:CS,'1. Velsipity Summary'!#REF!,$P88,'1. Velsipity Summary'!$CM:$CM,$G88)</f>
        <v>#REF!</v>
      </c>
      <c r="Y88" s="40" t="e">
        <f>SUMIFS('1. Velsipity Summary'!CT:CT,'1. Velsipity Summary'!#REF!,$P88,'1. Velsipity Summary'!$CM:$CM,$G88)</f>
        <v>#REF!</v>
      </c>
      <c r="Z88" s="40" t="e">
        <f>SUMIFS('1. Velsipity Summary'!CU:CU,'1. Velsipity Summary'!#REF!,$P88,'1. Velsipity Summary'!$CM:$CM,$G88)</f>
        <v>#REF!</v>
      </c>
      <c r="AA88" s="40" t="e">
        <f>SUMIFS('1. Velsipity Summary'!CV:CV,'1. Velsipity Summary'!#REF!,$P88,'1. Velsipity Summary'!$CM:$CM,$G88)</f>
        <v>#REF!</v>
      </c>
      <c r="AB88" s="40" t="e">
        <f>SUMIFS('1. Velsipity Summary'!CW:CW,'1. Velsipity Summary'!#REF!,$P88,'1. Velsipity Summary'!$CM:$CM,$G88)</f>
        <v>#REF!</v>
      </c>
      <c r="AC88" s="40" t="e">
        <f>SUMIFS('1. Velsipity Summary'!CX:CX,'1. Velsipity Summary'!#REF!,$P88,'1. Velsipity Summary'!$CM:$CM,$G88)</f>
        <v>#REF!</v>
      </c>
      <c r="AD88" s="40" t="e">
        <f>SUMIFS('1. Velsipity Summary'!CY:CY,'1. Velsipity Summary'!#REF!,$P88,'1. Velsipity Summary'!$CM:$CM,$G88)</f>
        <v>#REF!</v>
      </c>
      <c r="AE88" s="46" t="e">
        <f t="shared" si="53"/>
        <v>#REF!</v>
      </c>
      <c r="AG88" s="1"/>
      <c r="AI88" s="6" t="e">
        <f t="shared" si="54"/>
        <v>#REF!</v>
      </c>
      <c r="AJ88" s="6" t="e">
        <f t="shared" si="55"/>
        <v>#REF!</v>
      </c>
      <c r="AK88" s="6" t="e">
        <f t="shared" si="56"/>
        <v>#REF!</v>
      </c>
      <c r="AL88" s="6" t="e">
        <f t="shared" si="57"/>
        <v>#REF!</v>
      </c>
      <c r="AM88" s="6" t="e">
        <f t="shared" si="58"/>
        <v>#REF!</v>
      </c>
      <c r="AN88" s="6" t="e">
        <f t="shared" si="59"/>
        <v>#REF!</v>
      </c>
      <c r="AP88" s="6" t="e">
        <f t="shared" si="60"/>
        <v>#REF!</v>
      </c>
      <c r="AQ88" s="6" t="e">
        <f t="shared" si="61"/>
        <v>#REF!</v>
      </c>
      <c r="AR88" s="6" t="e">
        <f t="shared" si="62"/>
        <v>#REF!</v>
      </c>
    </row>
    <row r="89" spans="2:44" ht="14.4" hidden="1">
      <c r="B89" s="561" t="s">
        <v>1041</v>
      </c>
      <c r="C89" s="557" t="s">
        <v>1042</v>
      </c>
      <c r="D89" s="557" t="s">
        <v>1043</v>
      </c>
      <c r="E89" s="559" t="s">
        <v>17</v>
      </c>
      <c r="F89" s="559" t="s">
        <v>17</v>
      </c>
      <c r="G89" s="557" t="s">
        <v>96</v>
      </c>
      <c r="H89" s="557">
        <v>2026</v>
      </c>
      <c r="I89" s="557" t="s">
        <v>785</v>
      </c>
      <c r="J89" s="557" t="s">
        <v>203</v>
      </c>
      <c r="K89" s="557" t="s">
        <v>204</v>
      </c>
      <c r="L89" s="557" t="s">
        <v>205</v>
      </c>
      <c r="M89" s="557" t="s">
        <v>721</v>
      </c>
      <c r="N89" s="557" t="s">
        <v>1009</v>
      </c>
      <c r="O89" s="557" t="s">
        <v>1009</v>
      </c>
      <c r="P89" s="560" t="s">
        <v>979</v>
      </c>
      <c r="Q89" s="560" t="s">
        <v>1079</v>
      </c>
      <c r="R89" s="567" t="s">
        <v>1079</v>
      </c>
      <c r="S89" s="316" t="e">
        <f>SUMIFS('1. Velsipity Summary'!CN:CN,'1. Velsipity Summary'!#REF!,$P89,'1. Velsipity Summary'!$CM:$CM,$G89)</f>
        <v>#REF!</v>
      </c>
      <c r="T89" s="40" t="e">
        <f>SUMIFS('1. Velsipity Summary'!CO:CO,'1. Velsipity Summary'!#REF!,$P89,'1. Velsipity Summary'!$CM:$CM,$G89)</f>
        <v>#REF!</v>
      </c>
      <c r="U89" s="40" t="e">
        <f>SUMIFS('1. Velsipity Summary'!CP:CP,'1. Velsipity Summary'!#REF!,$P89,'1. Velsipity Summary'!$CM:$CM,$G89)</f>
        <v>#REF!</v>
      </c>
      <c r="V89" s="40" t="e">
        <f>SUMIFS('1. Velsipity Summary'!CQ:CQ,'1. Velsipity Summary'!#REF!,$P89,'1. Velsipity Summary'!$CM:$CM,$G89)</f>
        <v>#REF!</v>
      </c>
      <c r="W89" s="40" t="e">
        <f>SUMIFS('1. Velsipity Summary'!CR:CR,'1. Velsipity Summary'!#REF!,$P89,'1. Velsipity Summary'!$CM:$CM,$G89)</f>
        <v>#REF!</v>
      </c>
      <c r="X89" s="40" t="e">
        <f>SUMIFS('1. Velsipity Summary'!CS:CS,'1. Velsipity Summary'!#REF!,$P89,'1. Velsipity Summary'!$CM:$CM,$G89)</f>
        <v>#REF!</v>
      </c>
      <c r="Y89" s="40" t="e">
        <f>SUMIFS('1. Velsipity Summary'!CT:CT,'1. Velsipity Summary'!#REF!,$P89,'1. Velsipity Summary'!$CM:$CM,$G89)</f>
        <v>#REF!</v>
      </c>
      <c r="Z89" s="40" t="e">
        <f>SUMIFS('1. Velsipity Summary'!CU:CU,'1. Velsipity Summary'!#REF!,$P89,'1. Velsipity Summary'!$CM:$CM,$G89)</f>
        <v>#REF!</v>
      </c>
      <c r="AA89" s="40" t="e">
        <f>SUMIFS('1. Velsipity Summary'!CV:CV,'1. Velsipity Summary'!#REF!,$P89,'1. Velsipity Summary'!$CM:$CM,$G89)</f>
        <v>#REF!</v>
      </c>
      <c r="AB89" s="40" t="e">
        <f>SUMIFS('1. Velsipity Summary'!CW:CW,'1. Velsipity Summary'!#REF!,$P89,'1. Velsipity Summary'!$CM:$CM,$G89)</f>
        <v>#REF!</v>
      </c>
      <c r="AC89" s="40" t="e">
        <f>SUMIFS('1. Velsipity Summary'!CX:CX,'1. Velsipity Summary'!#REF!,$P89,'1. Velsipity Summary'!$CM:$CM,$G89)</f>
        <v>#REF!</v>
      </c>
      <c r="AD89" s="40" t="e">
        <f>SUMIFS('1. Velsipity Summary'!CY:CY,'1. Velsipity Summary'!#REF!,$P89,'1. Velsipity Summary'!$CM:$CM,$G89)</f>
        <v>#REF!</v>
      </c>
      <c r="AE89" s="46" t="e">
        <f t="shared" si="53"/>
        <v>#REF!</v>
      </c>
      <c r="AG89" s="1"/>
      <c r="AI89" s="6" t="e">
        <f t="shared" si="54"/>
        <v>#REF!</v>
      </c>
      <c r="AJ89" s="6" t="e">
        <f t="shared" si="55"/>
        <v>#REF!</v>
      </c>
      <c r="AK89" s="6" t="e">
        <f t="shared" si="56"/>
        <v>#REF!</v>
      </c>
      <c r="AL89" s="6" t="e">
        <f t="shared" si="57"/>
        <v>#REF!</v>
      </c>
      <c r="AM89" s="6" t="e">
        <f t="shared" si="58"/>
        <v>#REF!</v>
      </c>
      <c r="AN89" s="6" t="e">
        <f t="shared" si="59"/>
        <v>#REF!</v>
      </c>
      <c r="AP89" s="6" t="e">
        <f t="shared" si="60"/>
        <v>#REF!</v>
      </c>
      <c r="AQ89" s="6" t="e">
        <f t="shared" si="61"/>
        <v>#REF!</v>
      </c>
      <c r="AR89" s="6" t="e">
        <f t="shared" si="62"/>
        <v>#REF!</v>
      </c>
    </row>
    <row r="90" spans="2:44" ht="14.4" hidden="1">
      <c r="B90" s="561" t="s">
        <v>1044</v>
      </c>
      <c r="C90" s="557" t="s">
        <v>1045</v>
      </c>
      <c r="D90" s="557" t="s">
        <v>1046</v>
      </c>
      <c r="E90" s="559" t="s">
        <v>17</v>
      </c>
      <c r="F90" s="559" t="s">
        <v>17</v>
      </c>
      <c r="G90" s="557" t="s">
        <v>96</v>
      </c>
      <c r="H90" s="557">
        <v>2026</v>
      </c>
      <c r="I90" s="557" t="s">
        <v>785</v>
      </c>
      <c r="J90" s="557" t="s">
        <v>203</v>
      </c>
      <c r="K90" s="557" t="s">
        <v>204</v>
      </c>
      <c r="L90" s="557" t="s">
        <v>205</v>
      </c>
      <c r="M90" s="557" t="s">
        <v>721</v>
      </c>
      <c r="N90" s="557" t="s">
        <v>1013</v>
      </c>
      <c r="O90" s="557" t="s">
        <v>1013</v>
      </c>
      <c r="P90" s="560" t="s">
        <v>980</v>
      </c>
      <c r="Q90" s="560" t="s">
        <v>1079</v>
      </c>
      <c r="R90" s="567" t="s">
        <v>1079</v>
      </c>
      <c r="S90" s="316" t="e">
        <f>SUMIFS('1. Velsipity Summary'!CN:CN,'1. Velsipity Summary'!#REF!,$P90,'1. Velsipity Summary'!$CM:$CM,$G90)</f>
        <v>#REF!</v>
      </c>
      <c r="T90" s="40" t="e">
        <f>SUMIFS('1. Velsipity Summary'!CO:CO,'1. Velsipity Summary'!#REF!,$P90,'1. Velsipity Summary'!$CM:$CM,$G90)</f>
        <v>#REF!</v>
      </c>
      <c r="U90" s="40" t="e">
        <f>SUMIFS('1. Velsipity Summary'!CP:CP,'1. Velsipity Summary'!#REF!,$P90,'1. Velsipity Summary'!$CM:$CM,$G90)</f>
        <v>#REF!</v>
      </c>
      <c r="V90" s="40" t="e">
        <f>SUMIFS('1. Velsipity Summary'!CQ:CQ,'1. Velsipity Summary'!#REF!,$P90,'1. Velsipity Summary'!$CM:$CM,$G90)</f>
        <v>#REF!</v>
      </c>
      <c r="W90" s="40" t="e">
        <f>SUMIFS('1. Velsipity Summary'!CR:CR,'1. Velsipity Summary'!#REF!,$P90,'1. Velsipity Summary'!$CM:$CM,$G90)</f>
        <v>#REF!</v>
      </c>
      <c r="X90" s="40" t="e">
        <f>SUMIFS('1. Velsipity Summary'!CS:CS,'1. Velsipity Summary'!#REF!,$P90,'1. Velsipity Summary'!$CM:$CM,$G90)</f>
        <v>#REF!</v>
      </c>
      <c r="Y90" s="40" t="e">
        <f>SUMIFS('1. Velsipity Summary'!CT:CT,'1. Velsipity Summary'!#REF!,$P90,'1. Velsipity Summary'!$CM:$CM,$G90)</f>
        <v>#REF!</v>
      </c>
      <c r="Z90" s="40" t="e">
        <f>SUMIFS('1. Velsipity Summary'!CU:CU,'1. Velsipity Summary'!#REF!,$P90,'1. Velsipity Summary'!$CM:$CM,$G90)</f>
        <v>#REF!</v>
      </c>
      <c r="AA90" s="40" t="e">
        <f>SUMIFS('1. Velsipity Summary'!CV:CV,'1. Velsipity Summary'!#REF!,$P90,'1. Velsipity Summary'!$CM:$CM,$G90)</f>
        <v>#REF!</v>
      </c>
      <c r="AB90" s="40" t="e">
        <f>SUMIFS('1. Velsipity Summary'!CW:CW,'1. Velsipity Summary'!#REF!,$P90,'1. Velsipity Summary'!$CM:$CM,$G90)</f>
        <v>#REF!</v>
      </c>
      <c r="AC90" s="40" t="e">
        <f>SUMIFS('1. Velsipity Summary'!CX:CX,'1. Velsipity Summary'!#REF!,$P90,'1. Velsipity Summary'!$CM:$CM,$G90)</f>
        <v>#REF!</v>
      </c>
      <c r="AD90" s="40" t="e">
        <f>SUMIFS('1. Velsipity Summary'!CY:CY,'1. Velsipity Summary'!#REF!,$P90,'1. Velsipity Summary'!$CM:$CM,$G90)</f>
        <v>#REF!</v>
      </c>
      <c r="AE90" s="46" t="e">
        <f t="shared" si="53"/>
        <v>#REF!</v>
      </c>
      <c r="AG90" s="1"/>
      <c r="AI90" s="6" t="e">
        <f t="shared" si="54"/>
        <v>#REF!</v>
      </c>
      <c r="AJ90" s="6" t="e">
        <f t="shared" si="55"/>
        <v>#REF!</v>
      </c>
      <c r="AK90" s="6" t="e">
        <f t="shared" si="56"/>
        <v>#REF!</v>
      </c>
      <c r="AL90" s="6" t="e">
        <f t="shared" si="57"/>
        <v>#REF!</v>
      </c>
      <c r="AM90" s="6" t="e">
        <f t="shared" si="58"/>
        <v>#REF!</v>
      </c>
      <c r="AN90" s="6" t="e">
        <f t="shared" si="59"/>
        <v>#REF!</v>
      </c>
      <c r="AP90" s="6" t="e">
        <f t="shared" si="60"/>
        <v>#REF!</v>
      </c>
      <c r="AQ90" s="6" t="e">
        <f t="shared" si="61"/>
        <v>#REF!</v>
      </c>
      <c r="AR90" s="6" t="e">
        <f t="shared" si="62"/>
        <v>#REF!</v>
      </c>
    </row>
    <row r="91" spans="2:44" ht="14.4" hidden="1">
      <c r="B91" s="561" t="s">
        <v>1047</v>
      </c>
      <c r="C91" s="557" t="s">
        <v>1048</v>
      </c>
      <c r="D91" s="557" t="s">
        <v>1049</v>
      </c>
      <c r="E91" s="559" t="s">
        <v>17</v>
      </c>
      <c r="F91" s="559" t="s">
        <v>17</v>
      </c>
      <c r="G91" s="557" t="s">
        <v>96</v>
      </c>
      <c r="H91" s="557">
        <v>2026</v>
      </c>
      <c r="I91" s="557" t="s">
        <v>785</v>
      </c>
      <c r="J91" s="557" t="s">
        <v>203</v>
      </c>
      <c r="K91" s="557" t="s">
        <v>204</v>
      </c>
      <c r="L91" s="557" t="s">
        <v>205</v>
      </c>
      <c r="M91" s="557" t="s">
        <v>721</v>
      </c>
      <c r="N91" s="557" t="s">
        <v>1017</v>
      </c>
      <c r="O91" s="557" t="s">
        <v>1017</v>
      </c>
      <c r="P91" s="560" t="s">
        <v>1071</v>
      </c>
      <c r="Q91" s="560" t="s">
        <v>1079</v>
      </c>
      <c r="R91" s="567" t="s">
        <v>1079</v>
      </c>
      <c r="S91" s="316" t="e">
        <f>SUMIFS('1. Velsipity Summary'!CN:CN,'1. Velsipity Summary'!#REF!,$P91,'1. Velsipity Summary'!$CM:$CM,$G91)</f>
        <v>#REF!</v>
      </c>
      <c r="T91" s="40" t="e">
        <f>SUMIFS('1. Velsipity Summary'!CO:CO,'1. Velsipity Summary'!#REF!,$P91,'1. Velsipity Summary'!$CM:$CM,$G91)</f>
        <v>#REF!</v>
      </c>
      <c r="U91" s="40" t="e">
        <f>SUMIFS('1. Velsipity Summary'!CP:CP,'1. Velsipity Summary'!#REF!,$P91,'1. Velsipity Summary'!$CM:$CM,$G91)</f>
        <v>#REF!</v>
      </c>
      <c r="V91" s="40" t="e">
        <f>SUMIFS('1. Velsipity Summary'!CQ:CQ,'1. Velsipity Summary'!#REF!,$P91,'1. Velsipity Summary'!$CM:$CM,$G91)</f>
        <v>#REF!</v>
      </c>
      <c r="W91" s="40" t="e">
        <f>SUMIFS('1. Velsipity Summary'!CR:CR,'1. Velsipity Summary'!#REF!,$P91,'1. Velsipity Summary'!$CM:$CM,$G91)</f>
        <v>#REF!</v>
      </c>
      <c r="X91" s="40" t="e">
        <f>SUMIFS('1. Velsipity Summary'!CS:CS,'1. Velsipity Summary'!#REF!,$P91,'1. Velsipity Summary'!$CM:$CM,$G91)</f>
        <v>#REF!</v>
      </c>
      <c r="Y91" s="40" t="e">
        <f>SUMIFS('1. Velsipity Summary'!CT:CT,'1. Velsipity Summary'!#REF!,$P91,'1. Velsipity Summary'!$CM:$CM,$G91)</f>
        <v>#REF!</v>
      </c>
      <c r="Z91" s="40" t="e">
        <f>SUMIFS('1. Velsipity Summary'!CU:CU,'1. Velsipity Summary'!#REF!,$P91,'1. Velsipity Summary'!$CM:$CM,$G91)</f>
        <v>#REF!</v>
      </c>
      <c r="AA91" s="40" t="e">
        <f>SUMIFS('1. Velsipity Summary'!CV:CV,'1. Velsipity Summary'!#REF!,$P91,'1. Velsipity Summary'!$CM:$CM,$G91)</f>
        <v>#REF!</v>
      </c>
      <c r="AB91" s="40" t="e">
        <f>SUMIFS('1. Velsipity Summary'!CW:CW,'1. Velsipity Summary'!#REF!,$P91,'1. Velsipity Summary'!$CM:$CM,$G91)</f>
        <v>#REF!</v>
      </c>
      <c r="AC91" s="40" t="e">
        <f>SUMIFS('1. Velsipity Summary'!CX:CX,'1. Velsipity Summary'!#REF!,$P91,'1. Velsipity Summary'!$CM:$CM,$G91)</f>
        <v>#REF!</v>
      </c>
      <c r="AD91" s="40" t="e">
        <f>SUMIFS('1. Velsipity Summary'!CY:CY,'1. Velsipity Summary'!#REF!,$P91,'1. Velsipity Summary'!$CM:$CM,$G91)</f>
        <v>#REF!</v>
      </c>
      <c r="AE91" s="46" t="e">
        <f t="shared" si="53"/>
        <v>#REF!</v>
      </c>
      <c r="AG91" s="1"/>
      <c r="AI91" s="6" t="e">
        <f t="shared" si="54"/>
        <v>#REF!</v>
      </c>
      <c r="AJ91" s="6" t="e">
        <f t="shared" si="55"/>
        <v>#REF!</v>
      </c>
      <c r="AK91" s="6" t="e">
        <f t="shared" si="56"/>
        <v>#REF!</v>
      </c>
      <c r="AL91" s="6" t="e">
        <f t="shared" si="57"/>
        <v>#REF!</v>
      </c>
      <c r="AM91" s="6" t="e">
        <f t="shared" si="58"/>
        <v>#REF!</v>
      </c>
      <c r="AN91" s="6" t="e">
        <f t="shared" si="59"/>
        <v>#REF!</v>
      </c>
      <c r="AP91" s="6" t="e">
        <f t="shared" si="60"/>
        <v>#REF!</v>
      </c>
      <c r="AQ91" s="6" t="e">
        <f t="shared" si="61"/>
        <v>#REF!</v>
      </c>
      <c r="AR91" s="6" t="e">
        <f t="shared" si="62"/>
        <v>#REF!</v>
      </c>
    </row>
    <row r="92" spans="2:44" ht="14.4" hidden="1">
      <c r="B92" s="561" t="s">
        <v>1050</v>
      </c>
      <c r="C92" s="557" t="s">
        <v>1051</v>
      </c>
      <c r="D92" s="557" t="s">
        <v>1052</v>
      </c>
      <c r="E92" s="559" t="s">
        <v>17</v>
      </c>
      <c r="F92" s="559" t="s">
        <v>17</v>
      </c>
      <c r="G92" s="557" t="s">
        <v>96</v>
      </c>
      <c r="H92" s="557">
        <v>2026</v>
      </c>
      <c r="I92" s="557" t="s">
        <v>785</v>
      </c>
      <c r="J92" s="557" t="s">
        <v>203</v>
      </c>
      <c r="K92" s="557" t="s">
        <v>204</v>
      </c>
      <c r="L92" s="557" t="s">
        <v>205</v>
      </c>
      <c r="M92" s="557" t="s">
        <v>721</v>
      </c>
      <c r="N92" s="557" t="s">
        <v>1021</v>
      </c>
      <c r="O92" s="557" t="s">
        <v>1021</v>
      </c>
      <c r="P92" s="560" t="s">
        <v>976</v>
      </c>
      <c r="Q92" s="560" t="s">
        <v>1079</v>
      </c>
      <c r="R92" s="567" t="s">
        <v>1079</v>
      </c>
      <c r="S92" s="316" t="e">
        <f>SUMIFS('1. Velsipity Summary'!CN:CN,'1. Velsipity Summary'!#REF!,$P92,'1. Velsipity Summary'!$CM:$CM,$G92)</f>
        <v>#REF!</v>
      </c>
      <c r="T92" s="40" t="e">
        <f>SUMIFS('1. Velsipity Summary'!CO:CO,'1. Velsipity Summary'!#REF!,$P92,'1. Velsipity Summary'!$CM:$CM,$G92)</f>
        <v>#REF!</v>
      </c>
      <c r="U92" s="40" t="e">
        <f>SUMIFS('1. Velsipity Summary'!CP:CP,'1. Velsipity Summary'!#REF!,$P92,'1. Velsipity Summary'!$CM:$CM,$G92)</f>
        <v>#REF!</v>
      </c>
      <c r="V92" s="40" t="e">
        <f>SUMIFS('1. Velsipity Summary'!CQ:CQ,'1. Velsipity Summary'!#REF!,$P92,'1. Velsipity Summary'!$CM:$CM,$G92)</f>
        <v>#REF!</v>
      </c>
      <c r="W92" s="40" t="e">
        <f>SUMIFS('1. Velsipity Summary'!CR:CR,'1. Velsipity Summary'!#REF!,$P92,'1. Velsipity Summary'!$CM:$CM,$G92)</f>
        <v>#REF!</v>
      </c>
      <c r="X92" s="40" t="e">
        <f>SUMIFS('1. Velsipity Summary'!CS:CS,'1. Velsipity Summary'!#REF!,$P92,'1. Velsipity Summary'!$CM:$CM,$G92)</f>
        <v>#REF!</v>
      </c>
      <c r="Y92" s="40" t="e">
        <f>SUMIFS('1. Velsipity Summary'!CT:CT,'1. Velsipity Summary'!#REF!,$P92,'1. Velsipity Summary'!$CM:$CM,$G92)</f>
        <v>#REF!</v>
      </c>
      <c r="Z92" s="40" t="e">
        <f>SUMIFS('1. Velsipity Summary'!CU:CU,'1. Velsipity Summary'!#REF!,$P92,'1. Velsipity Summary'!$CM:$CM,$G92)</f>
        <v>#REF!</v>
      </c>
      <c r="AA92" s="40" t="e">
        <f>SUMIFS('1. Velsipity Summary'!CV:CV,'1. Velsipity Summary'!#REF!,$P92,'1. Velsipity Summary'!$CM:$CM,$G92)</f>
        <v>#REF!</v>
      </c>
      <c r="AB92" s="40" t="e">
        <f>SUMIFS('1. Velsipity Summary'!CW:CW,'1. Velsipity Summary'!#REF!,$P92,'1. Velsipity Summary'!$CM:$CM,$G92)</f>
        <v>#REF!</v>
      </c>
      <c r="AC92" s="40" t="e">
        <f>SUMIFS('1. Velsipity Summary'!CX:CX,'1. Velsipity Summary'!#REF!,$P92,'1. Velsipity Summary'!$CM:$CM,$G92)</f>
        <v>#REF!</v>
      </c>
      <c r="AD92" s="40" t="e">
        <f>SUMIFS('1. Velsipity Summary'!CY:CY,'1. Velsipity Summary'!#REF!,$P92,'1. Velsipity Summary'!$CM:$CM,$G92)</f>
        <v>#REF!</v>
      </c>
      <c r="AE92" s="46" t="e">
        <f t="shared" si="53"/>
        <v>#REF!</v>
      </c>
      <c r="AG92" s="1"/>
      <c r="AI92" s="6" t="e">
        <f t="shared" si="54"/>
        <v>#REF!</v>
      </c>
      <c r="AJ92" s="6" t="e">
        <f t="shared" si="55"/>
        <v>#REF!</v>
      </c>
      <c r="AK92" s="6" t="e">
        <f t="shared" si="56"/>
        <v>#REF!</v>
      </c>
      <c r="AL92" s="6" t="e">
        <f t="shared" si="57"/>
        <v>#REF!</v>
      </c>
      <c r="AM92" s="6" t="e">
        <f t="shared" si="58"/>
        <v>#REF!</v>
      </c>
      <c r="AN92" s="6" t="e">
        <f t="shared" si="59"/>
        <v>#REF!</v>
      </c>
      <c r="AP92" s="6" t="e">
        <f t="shared" si="60"/>
        <v>#REF!</v>
      </c>
      <c r="AQ92" s="6" t="e">
        <f t="shared" si="61"/>
        <v>#REF!</v>
      </c>
      <c r="AR92" s="6" t="e">
        <f t="shared" si="62"/>
        <v>#REF!</v>
      </c>
    </row>
    <row r="93" spans="2:44" ht="14.4" hidden="1">
      <c r="B93" s="561" t="s">
        <v>1053</v>
      </c>
      <c r="C93" s="557" t="s">
        <v>1054</v>
      </c>
      <c r="D93" s="557" t="s">
        <v>1055</v>
      </c>
      <c r="E93" s="559" t="s">
        <v>17</v>
      </c>
      <c r="F93" s="559" t="s">
        <v>17</v>
      </c>
      <c r="G93" s="557" t="s">
        <v>96</v>
      </c>
      <c r="H93" s="557">
        <v>2026</v>
      </c>
      <c r="I93" s="557" t="s">
        <v>785</v>
      </c>
      <c r="J93" s="557" t="s">
        <v>203</v>
      </c>
      <c r="K93" s="557" t="s">
        <v>204</v>
      </c>
      <c r="L93" s="557" t="s">
        <v>205</v>
      </c>
      <c r="M93" s="557" t="s">
        <v>721</v>
      </c>
      <c r="N93" s="557" t="s">
        <v>1025</v>
      </c>
      <c r="O93" s="557" t="s">
        <v>1025</v>
      </c>
      <c r="P93" s="560" t="s">
        <v>977</v>
      </c>
      <c r="Q93" s="560" t="s">
        <v>1079</v>
      </c>
      <c r="R93" s="567" t="s">
        <v>1079</v>
      </c>
      <c r="S93" s="316" t="e">
        <f>SUMIFS('1. Velsipity Summary'!CN:CN,'1. Velsipity Summary'!#REF!,$P93,'1. Velsipity Summary'!$CM:$CM,$G93)</f>
        <v>#REF!</v>
      </c>
      <c r="T93" s="40" t="e">
        <f>SUMIFS('1. Velsipity Summary'!CO:CO,'1. Velsipity Summary'!#REF!,$P93,'1. Velsipity Summary'!$CM:$CM,$G93)</f>
        <v>#REF!</v>
      </c>
      <c r="U93" s="40" t="e">
        <f>SUMIFS('1. Velsipity Summary'!CP:CP,'1. Velsipity Summary'!#REF!,$P93,'1. Velsipity Summary'!$CM:$CM,$G93)</f>
        <v>#REF!</v>
      </c>
      <c r="V93" s="40" t="e">
        <f>SUMIFS('1. Velsipity Summary'!CQ:CQ,'1. Velsipity Summary'!#REF!,$P93,'1. Velsipity Summary'!$CM:$CM,$G93)</f>
        <v>#REF!</v>
      </c>
      <c r="W93" s="40" t="e">
        <f>SUMIFS('1. Velsipity Summary'!CR:CR,'1. Velsipity Summary'!#REF!,$P93,'1. Velsipity Summary'!$CM:$CM,$G93)</f>
        <v>#REF!</v>
      </c>
      <c r="X93" s="40" t="e">
        <f>SUMIFS('1. Velsipity Summary'!CS:CS,'1. Velsipity Summary'!#REF!,$P93,'1. Velsipity Summary'!$CM:$CM,$G93)</f>
        <v>#REF!</v>
      </c>
      <c r="Y93" s="40" t="e">
        <f>SUMIFS('1. Velsipity Summary'!CT:CT,'1. Velsipity Summary'!#REF!,$P93,'1. Velsipity Summary'!$CM:$CM,$G93)</f>
        <v>#REF!</v>
      </c>
      <c r="Z93" s="40" t="e">
        <f>SUMIFS('1. Velsipity Summary'!CU:CU,'1. Velsipity Summary'!#REF!,$P93,'1. Velsipity Summary'!$CM:$CM,$G93)</f>
        <v>#REF!</v>
      </c>
      <c r="AA93" s="40" t="e">
        <f>SUMIFS('1. Velsipity Summary'!CV:CV,'1. Velsipity Summary'!#REF!,$P93,'1. Velsipity Summary'!$CM:$CM,$G93)</f>
        <v>#REF!</v>
      </c>
      <c r="AB93" s="40" t="e">
        <f>SUMIFS('1. Velsipity Summary'!CW:CW,'1. Velsipity Summary'!#REF!,$P93,'1. Velsipity Summary'!$CM:$CM,$G93)</f>
        <v>#REF!</v>
      </c>
      <c r="AC93" s="40" t="e">
        <f>SUMIFS('1. Velsipity Summary'!CX:CX,'1. Velsipity Summary'!#REF!,$P93,'1. Velsipity Summary'!$CM:$CM,$G93)</f>
        <v>#REF!</v>
      </c>
      <c r="AD93" s="40" t="e">
        <f>SUMIFS('1. Velsipity Summary'!CY:CY,'1. Velsipity Summary'!#REF!,$P93,'1. Velsipity Summary'!$CM:$CM,$G93)</f>
        <v>#REF!</v>
      </c>
      <c r="AE93" s="46" t="e">
        <f t="shared" si="53"/>
        <v>#REF!</v>
      </c>
      <c r="AG93" s="1"/>
      <c r="AI93" s="6" t="e">
        <f t="shared" si="54"/>
        <v>#REF!</v>
      </c>
      <c r="AJ93" s="6" t="e">
        <f t="shared" si="55"/>
        <v>#REF!</v>
      </c>
      <c r="AK93" s="6" t="e">
        <f t="shared" si="56"/>
        <v>#REF!</v>
      </c>
      <c r="AL93" s="6" t="e">
        <f t="shared" si="57"/>
        <v>#REF!</v>
      </c>
      <c r="AM93" s="6" t="e">
        <f t="shared" si="58"/>
        <v>#REF!</v>
      </c>
      <c r="AN93" s="6" t="e">
        <f t="shared" si="59"/>
        <v>#REF!</v>
      </c>
      <c r="AP93" s="6" t="e">
        <f t="shared" si="60"/>
        <v>#REF!</v>
      </c>
      <c r="AQ93" s="6" t="e">
        <f t="shared" si="61"/>
        <v>#REF!</v>
      </c>
      <c r="AR93" s="6" t="e">
        <f t="shared" si="62"/>
        <v>#REF!</v>
      </c>
    </row>
    <row r="94" spans="2:44" ht="14.4" hidden="1">
      <c r="B94" s="561" t="s">
        <v>1056</v>
      </c>
      <c r="C94" s="557" t="s">
        <v>1057</v>
      </c>
      <c r="D94" s="557" t="s">
        <v>1058</v>
      </c>
      <c r="E94" s="559" t="s">
        <v>17</v>
      </c>
      <c r="F94" s="559" t="s">
        <v>17</v>
      </c>
      <c r="G94" s="557" t="s">
        <v>96</v>
      </c>
      <c r="H94" s="557">
        <v>2026</v>
      </c>
      <c r="I94" s="557" t="s">
        <v>785</v>
      </c>
      <c r="J94" s="557" t="s">
        <v>203</v>
      </c>
      <c r="K94" s="557" t="s">
        <v>204</v>
      </c>
      <c r="L94" s="557" t="s">
        <v>205</v>
      </c>
      <c r="M94" s="557" t="s">
        <v>721</v>
      </c>
      <c r="N94" s="557" t="s">
        <v>961</v>
      </c>
      <c r="O94" s="557" t="s">
        <v>961</v>
      </c>
      <c r="P94" s="560" t="s">
        <v>1072</v>
      </c>
      <c r="Q94" s="560" t="s">
        <v>1079</v>
      </c>
      <c r="R94" s="567" t="s">
        <v>1079</v>
      </c>
      <c r="S94" s="316" t="e">
        <f>SUMIFS('1. Velsipity Summary'!CN:CN,'1. Velsipity Summary'!#REF!,$P94,'1. Velsipity Summary'!$CM:$CM,$G94)</f>
        <v>#REF!</v>
      </c>
      <c r="T94" s="40" t="e">
        <f>SUMIFS('1. Velsipity Summary'!CO:CO,'1. Velsipity Summary'!#REF!,$P94,'1. Velsipity Summary'!$CM:$CM,$G94)</f>
        <v>#REF!</v>
      </c>
      <c r="U94" s="40" t="e">
        <f>SUMIFS('1. Velsipity Summary'!CP:CP,'1. Velsipity Summary'!#REF!,$P94,'1. Velsipity Summary'!$CM:$CM,$G94)</f>
        <v>#REF!</v>
      </c>
      <c r="V94" s="40" t="e">
        <f>SUMIFS('1. Velsipity Summary'!CQ:CQ,'1. Velsipity Summary'!#REF!,$P94,'1. Velsipity Summary'!$CM:$CM,$G94)</f>
        <v>#REF!</v>
      </c>
      <c r="W94" s="40" t="e">
        <f>SUMIFS('1. Velsipity Summary'!CR:CR,'1. Velsipity Summary'!#REF!,$P94,'1. Velsipity Summary'!$CM:$CM,$G94)</f>
        <v>#REF!</v>
      </c>
      <c r="X94" s="40" t="e">
        <f>SUMIFS('1. Velsipity Summary'!CS:CS,'1. Velsipity Summary'!#REF!,$P94,'1. Velsipity Summary'!$CM:$CM,$G94)</f>
        <v>#REF!</v>
      </c>
      <c r="Y94" s="40" t="e">
        <f>SUMIFS('1. Velsipity Summary'!CT:CT,'1. Velsipity Summary'!#REF!,$P94,'1. Velsipity Summary'!$CM:$CM,$G94)</f>
        <v>#REF!</v>
      </c>
      <c r="Z94" s="40" t="e">
        <f>SUMIFS('1. Velsipity Summary'!CU:CU,'1. Velsipity Summary'!#REF!,$P94,'1. Velsipity Summary'!$CM:$CM,$G94)</f>
        <v>#REF!</v>
      </c>
      <c r="AA94" s="40" t="e">
        <f>SUMIFS('1. Velsipity Summary'!CV:CV,'1. Velsipity Summary'!#REF!,$P94,'1. Velsipity Summary'!$CM:$CM,$G94)</f>
        <v>#REF!</v>
      </c>
      <c r="AB94" s="40" t="e">
        <f>SUMIFS('1. Velsipity Summary'!CW:CW,'1. Velsipity Summary'!#REF!,$P94,'1. Velsipity Summary'!$CM:$CM,$G94)</f>
        <v>#REF!</v>
      </c>
      <c r="AC94" s="40" t="e">
        <f>SUMIFS('1. Velsipity Summary'!CX:CX,'1. Velsipity Summary'!#REF!,$P94,'1. Velsipity Summary'!$CM:$CM,$G94)</f>
        <v>#REF!</v>
      </c>
      <c r="AD94" s="40" t="e">
        <f>SUMIFS('1. Velsipity Summary'!CY:CY,'1. Velsipity Summary'!#REF!,$P94,'1. Velsipity Summary'!$CM:$CM,$G94)</f>
        <v>#REF!</v>
      </c>
      <c r="AE94" s="46" t="e">
        <f t="shared" si="53"/>
        <v>#REF!</v>
      </c>
      <c r="AG94" s="1"/>
      <c r="AI94" s="6" t="e">
        <f t="shared" si="54"/>
        <v>#REF!</v>
      </c>
      <c r="AJ94" s="6" t="e">
        <f t="shared" si="55"/>
        <v>#REF!</v>
      </c>
      <c r="AK94" s="6" t="e">
        <f t="shared" si="56"/>
        <v>#REF!</v>
      </c>
      <c r="AL94" s="6" t="e">
        <f t="shared" si="57"/>
        <v>#REF!</v>
      </c>
      <c r="AM94" s="6" t="e">
        <f t="shared" si="58"/>
        <v>#REF!</v>
      </c>
      <c r="AN94" s="6" t="e">
        <f t="shared" si="59"/>
        <v>#REF!</v>
      </c>
      <c r="AP94" s="6" t="e">
        <f t="shared" si="60"/>
        <v>#REF!</v>
      </c>
      <c r="AQ94" s="6" t="e">
        <f t="shared" si="61"/>
        <v>#REF!</v>
      </c>
      <c r="AR94" s="6" t="e">
        <f t="shared" si="62"/>
        <v>#REF!</v>
      </c>
    </row>
    <row r="95" spans="2:44" ht="14.4" hidden="1">
      <c r="B95" s="561" t="s">
        <v>1059</v>
      </c>
      <c r="C95" s="557" t="s">
        <v>1060</v>
      </c>
      <c r="D95" s="557" t="s">
        <v>1061</v>
      </c>
      <c r="E95" s="559" t="s">
        <v>17</v>
      </c>
      <c r="F95" s="559" t="s">
        <v>17</v>
      </c>
      <c r="G95" s="557" t="s">
        <v>96</v>
      </c>
      <c r="H95" s="557">
        <v>2026</v>
      </c>
      <c r="I95" s="557" t="s">
        <v>785</v>
      </c>
      <c r="J95" s="557" t="s">
        <v>203</v>
      </c>
      <c r="K95" s="557" t="s">
        <v>204</v>
      </c>
      <c r="L95" s="557" t="s">
        <v>205</v>
      </c>
      <c r="M95" s="557" t="s">
        <v>721</v>
      </c>
      <c r="N95" s="557" t="s">
        <v>968</v>
      </c>
      <c r="O95" s="557" t="s">
        <v>968</v>
      </c>
      <c r="P95" s="560" t="s">
        <v>981</v>
      </c>
      <c r="Q95" s="560" t="s">
        <v>1079</v>
      </c>
      <c r="R95" s="567" t="s">
        <v>1079</v>
      </c>
      <c r="S95" s="316" t="e">
        <f>SUMIFS('1. Velsipity Summary'!CN:CN,'1. Velsipity Summary'!#REF!,$P95,'1. Velsipity Summary'!$CM:$CM,$G95)</f>
        <v>#REF!</v>
      </c>
      <c r="T95" s="40" t="e">
        <f>SUMIFS('1. Velsipity Summary'!CO:CO,'1. Velsipity Summary'!#REF!,$P95,'1. Velsipity Summary'!$CM:$CM,$G95)</f>
        <v>#REF!</v>
      </c>
      <c r="U95" s="40" t="e">
        <f>SUMIFS('1. Velsipity Summary'!CP:CP,'1. Velsipity Summary'!#REF!,$P95,'1. Velsipity Summary'!$CM:$CM,$G95)</f>
        <v>#REF!</v>
      </c>
      <c r="V95" s="40" t="e">
        <f>SUMIFS('1. Velsipity Summary'!CQ:CQ,'1. Velsipity Summary'!#REF!,$P95,'1. Velsipity Summary'!$CM:$CM,$G95)</f>
        <v>#REF!</v>
      </c>
      <c r="W95" s="40" t="e">
        <f>SUMIFS('1. Velsipity Summary'!CR:CR,'1. Velsipity Summary'!#REF!,$P95,'1. Velsipity Summary'!$CM:$CM,$G95)</f>
        <v>#REF!</v>
      </c>
      <c r="X95" s="40" t="e">
        <f>SUMIFS('1. Velsipity Summary'!CS:CS,'1. Velsipity Summary'!#REF!,$P95,'1. Velsipity Summary'!$CM:$CM,$G95)</f>
        <v>#REF!</v>
      </c>
      <c r="Y95" s="40" t="e">
        <f>SUMIFS('1. Velsipity Summary'!CT:CT,'1. Velsipity Summary'!#REF!,$P95,'1. Velsipity Summary'!$CM:$CM,$G95)</f>
        <v>#REF!</v>
      </c>
      <c r="Z95" s="40" t="e">
        <f>SUMIFS('1. Velsipity Summary'!CU:CU,'1. Velsipity Summary'!#REF!,$P95,'1. Velsipity Summary'!$CM:$CM,$G95)</f>
        <v>#REF!</v>
      </c>
      <c r="AA95" s="40" t="e">
        <f>SUMIFS('1. Velsipity Summary'!CV:CV,'1. Velsipity Summary'!#REF!,$P95,'1. Velsipity Summary'!$CM:$CM,$G95)</f>
        <v>#REF!</v>
      </c>
      <c r="AB95" s="40" t="e">
        <f>SUMIFS('1. Velsipity Summary'!CW:CW,'1. Velsipity Summary'!#REF!,$P95,'1. Velsipity Summary'!$CM:$CM,$G95)</f>
        <v>#REF!</v>
      </c>
      <c r="AC95" s="40" t="e">
        <f>SUMIFS('1. Velsipity Summary'!CX:CX,'1. Velsipity Summary'!#REF!,$P95,'1. Velsipity Summary'!$CM:$CM,$G95)</f>
        <v>#REF!</v>
      </c>
      <c r="AD95" s="40" t="e">
        <f>SUMIFS('1. Velsipity Summary'!CY:CY,'1. Velsipity Summary'!#REF!,$P95,'1. Velsipity Summary'!$CM:$CM,$G95)</f>
        <v>#REF!</v>
      </c>
      <c r="AE95" s="46" t="e">
        <f t="shared" si="53"/>
        <v>#REF!</v>
      </c>
      <c r="AG95" s="1"/>
      <c r="AI95" s="6" t="e">
        <f t="shared" si="54"/>
        <v>#REF!</v>
      </c>
      <c r="AJ95" s="6" t="e">
        <f t="shared" si="55"/>
        <v>#REF!</v>
      </c>
      <c r="AK95" s="6" t="e">
        <f t="shared" si="56"/>
        <v>#REF!</v>
      </c>
      <c r="AL95" s="6" t="e">
        <f t="shared" si="57"/>
        <v>#REF!</v>
      </c>
      <c r="AM95" s="6" t="e">
        <f t="shared" si="58"/>
        <v>#REF!</v>
      </c>
      <c r="AN95" s="6" t="e">
        <f t="shared" si="59"/>
        <v>#REF!</v>
      </c>
      <c r="AP95" s="6" t="e">
        <f t="shared" si="60"/>
        <v>#REF!</v>
      </c>
      <c r="AQ95" s="6" t="e">
        <f t="shared" si="61"/>
        <v>#REF!</v>
      </c>
      <c r="AR95" s="6" t="e">
        <f t="shared" si="62"/>
        <v>#REF!</v>
      </c>
    </row>
    <row r="96" spans="2:44" ht="14.4" hidden="1">
      <c r="B96" s="561" t="s">
        <v>1062</v>
      </c>
      <c r="C96" s="557" t="s">
        <v>1063</v>
      </c>
      <c r="D96" s="557" t="s">
        <v>1064</v>
      </c>
      <c r="E96" s="559" t="s">
        <v>17</v>
      </c>
      <c r="F96" s="559" t="s">
        <v>17</v>
      </c>
      <c r="G96" s="557" t="s">
        <v>96</v>
      </c>
      <c r="H96" s="557">
        <v>2026</v>
      </c>
      <c r="I96" s="557" t="s">
        <v>785</v>
      </c>
      <c r="J96" s="557" t="s">
        <v>203</v>
      </c>
      <c r="K96" s="557" t="s">
        <v>204</v>
      </c>
      <c r="L96" s="557" t="s">
        <v>205</v>
      </c>
      <c r="M96" s="557" t="s">
        <v>721</v>
      </c>
      <c r="N96" s="557" t="s">
        <v>969</v>
      </c>
      <c r="O96" s="557" t="s">
        <v>969</v>
      </c>
      <c r="P96" s="560" t="s">
        <v>982</v>
      </c>
      <c r="Q96" s="560" t="s">
        <v>1079</v>
      </c>
      <c r="R96" s="567" t="s">
        <v>1079</v>
      </c>
      <c r="S96" s="316" t="e">
        <f>SUMIFS('1. Velsipity Summary'!CN:CN,'1. Velsipity Summary'!#REF!,$P96,'1. Velsipity Summary'!$CM:$CM,$G96)</f>
        <v>#REF!</v>
      </c>
      <c r="T96" s="40" t="e">
        <f>SUMIFS('1. Velsipity Summary'!CO:CO,'1. Velsipity Summary'!#REF!,$P96,'1. Velsipity Summary'!$CM:$CM,$G96)</f>
        <v>#REF!</v>
      </c>
      <c r="U96" s="40" t="e">
        <f>SUMIFS('1. Velsipity Summary'!CP:CP,'1. Velsipity Summary'!#REF!,$P96,'1. Velsipity Summary'!$CM:$CM,$G96)</f>
        <v>#REF!</v>
      </c>
      <c r="V96" s="40" t="e">
        <f>SUMIFS('1. Velsipity Summary'!CQ:CQ,'1. Velsipity Summary'!#REF!,$P96,'1. Velsipity Summary'!$CM:$CM,$G96)</f>
        <v>#REF!</v>
      </c>
      <c r="W96" s="40" t="e">
        <f>SUMIFS('1. Velsipity Summary'!CR:CR,'1. Velsipity Summary'!#REF!,$P96,'1. Velsipity Summary'!$CM:$CM,$G96)</f>
        <v>#REF!</v>
      </c>
      <c r="X96" s="40" t="e">
        <f>SUMIFS('1. Velsipity Summary'!CS:CS,'1. Velsipity Summary'!#REF!,$P96,'1. Velsipity Summary'!$CM:$CM,$G96)</f>
        <v>#REF!</v>
      </c>
      <c r="Y96" s="40" t="e">
        <f>SUMIFS('1. Velsipity Summary'!CT:CT,'1. Velsipity Summary'!#REF!,$P96,'1. Velsipity Summary'!$CM:$CM,$G96)</f>
        <v>#REF!</v>
      </c>
      <c r="Z96" s="40" t="e">
        <f>SUMIFS('1. Velsipity Summary'!CU:CU,'1. Velsipity Summary'!#REF!,$P96,'1. Velsipity Summary'!$CM:$CM,$G96)</f>
        <v>#REF!</v>
      </c>
      <c r="AA96" s="40" t="e">
        <f>SUMIFS('1. Velsipity Summary'!CV:CV,'1. Velsipity Summary'!#REF!,$P96,'1. Velsipity Summary'!$CM:$CM,$G96)</f>
        <v>#REF!</v>
      </c>
      <c r="AB96" s="40" t="e">
        <f>SUMIFS('1. Velsipity Summary'!CW:CW,'1. Velsipity Summary'!#REF!,$P96,'1. Velsipity Summary'!$CM:$CM,$G96)</f>
        <v>#REF!</v>
      </c>
      <c r="AC96" s="40" t="e">
        <f>SUMIFS('1. Velsipity Summary'!CX:CX,'1. Velsipity Summary'!#REF!,$P96,'1. Velsipity Summary'!$CM:$CM,$G96)</f>
        <v>#REF!</v>
      </c>
      <c r="AD96" s="40" t="e">
        <f>SUMIFS('1. Velsipity Summary'!CY:CY,'1. Velsipity Summary'!#REF!,$P96,'1. Velsipity Summary'!$CM:$CM,$G96)</f>
        <v>#REF!</v>
      </c>
      <c r="AE96" s="46" t="e">
        <f t="shared" si="53"/>
        <v>#REF!</v>
      </c>
      <c r="AG96" s="1"/>
      <c r="AI96" s="6" t="e">
        <f t="shared" si="54"/>
        <v>#REF!</v>
      </c>
      <c r="AJ96" s="6" t="e">
        <f t="shared" si="55"/>
        <v>#REF!</v>
      </c>
      <c r="AK96" s="6" t="e">
        <f t="shared" si="56"/>
        <v>#REF!</v>
      </c>
      <c r="AL96" s="6" t="e">
        <f t="shared" si="57"/>
        <v>#REF!</v>
      </c>
      <c r="AM96" s="6" t="e">
        <f t="shared" si="58"/>
        <v>#REF!</v>
      </c>
      <c r="AN96" s="6" t="e">
        <f t="shared" si="59"/>
        <v>#REF!</v>
      </c>
      <c r="AP96" s="6" t="e">
        <f t="shared" si="60"/>
        <v>#REF!</v>
      </c>
      <c r="AQ96" s="6" t="e">
        <f t="shared" si="61"/>
        <v>#REF!</v>
      </c>
      <c r="AR96" s="6" t="e">
        <f t="shared" si="62"/>
        <v>#REF!</v>
      </c>
    </row>
    <row r="97" spans="2:44" ht="14.4" hidden="1">
      <c r="B97" s="561" t="s">
        <v>1065</v>
      </c>
      <c r="C97" s="557" t="s">
        <v>1066</v>
      </c>
      <c r="D97" s="557" t="s">
        <v>1067</v>
      </c>
      <c r="E97" s="559" t="s">
        <v>17</v>
      </c>
      <c r="F97" s="559" t="s">
        <v>17</v>
      </c>
      <c r="G97" s="557" t="s">
        <v>96</v>
      </c>
      <c r="H97" s="557">
        <v>2026</v>
      </c>
      <c r="I97" s="557" t="s">
        <v>785</v>
      </c>
      <c r="J97" s="557" t="s">
        <v>203</v>
      </c>
      <c r="K97" s="557" t="s">
        <v>204</v>
      </c>
      <c r="L97" s="557" t="s">
        <v>205</v>
      </c>
      <c r="M97" s="557" t="s">
        <v>721</v>
      </c>
      <c r="N97" s="557" t="s">
        <v>970</v>
      </c>
      <c r="O97" s="557" t="s">
        <v>970</v>
      </c>
      <c r="P97" s="560" t="s">
        <v>983</v>
      </c>
      <c r="Q97" s="560" t="s">
        <v>1079</v>
      </c>
      <c r="R97" s="567" t="s">
        <v>1079</v>
      </c>
      <c r="S97" s="316" t="e">
        <f>SUMIFS('1. Velsipity Summary'!CN:CN,'1. Velsipity Summary'!#REF!,$P97,'1. Velsipity Summary'!$CM:$CM,$G97)</f>
        <v>#REF!</v>
      </c>
      <c r="T97" s="40" t="e">
        <f>SUMIFS('1. Velsipity Summary'!CO:CO,'1. Velsipity Summary'!#REF!,$P97,'1. Velsipity Summary'!$CM:$CM,$G97)</f>
        <v>#REF!</v>
      </c>
      <c r="U97" s="40" t="e">
        <f>SUMIFS('1. Velsipity Summary'!CP:CP,'1. Velsipity Summary'!#REF!,$P97,'1. Velsipity Summary'!$CM:$CM,$G97)</f>
        <v>#REF!</v>
      </c>
      <c r="V97" s="40" t="e">
        <f>SUMIFS('1. Velsipity Summary'!CQ:CQ,'1. Velsipity Summary'!#REF!,$P97,'1. Velsipity Summary'!$CM:$CM,$G97)</f>
        <v>#REF!</v>
      </c>
      <c r="W97" s="40" t="e">
        <f>SUMIFS('1. Velsipity Summary'!CR:CR,'1. Velsipity Summary'!#REF!,$P97,'1. Velsipity Summary'!$CM:$CM,$G97)</f>
        <v>#REF!</v>
      </c>
      <c r="X97" s="40" t="e">
        <f>SUMIFS('1. Velsipity Summary'!CS:CS,'1. Velsipity Summary'!#REF!,$P97,'1. Velsipity Summary'!$CM:$CM,$G97)</f>
        <v>#REF!</v>
      </c>
      <c r="Y97" s="40" t="e">
        <f>SUMIFS('1. Velsipity Summary'!CT:CT,'1. Velsipity Summary'!#REF!,$P97,'1. Velsipity Summary'!$CM:$CM,$G97)</f>
        <v>#REF!</v>
      </c>
      <c r="Z97" s="40" t="e">
        <f>SUMIFS('1. Velsipity Summary'!CU:CU,'1. Velsipity Summary'!#REF!,$P97,'1. Velsipity Summary'!$CM:$CM,$G97)</f>
        <v>#REF!</v>
      </c>
      <c r="AA97" s="40" t="e">
        <f>SUMIFS('1. Velsipity Summary'!CV:CV,'1. Velsipity Summary'!#REF!,$P97,'1. Velsipity Summary'!$CM:$CM,$G97)</f>
        <v>#REF!</v>
      </c>
      <c r="AB97" s="40" t="e">
        <f>SUMIFS('1. Velsipity Summary'!CW:CW,'1. Velsipity Summary'!#REF!,$P97,'1. Velsipity Summary'!$CM:$CM,$G97)</f>
        <v>#REF!</v>
      </c>
      <c r="AC97" s="40" t="e">
        <f>SUMIFS('1. Velsipity Summary'!CX:CX,'1. Velsipity Summary'!#REF!,$P97,'1. Velsipity Summary'!$CM:$CM,$G97)</f>
        <v>#REF!</v>
      </c>
      <c r="AD97" s="40" t="e">
        <f>SUMIFS('1. Velsipity Summary'!CY:CY,'1. Velsipity Summary'!#REF!,$P97,'1. Velsipity Summary'!$CM:$CM,$G97)</f>
        <v>#REF!</v>
      </c>
      <c r="AE97" s="46" t="e">
        <f t="shared" si="53"/>
        <v>#REF!</v>
      </c>
      <c r="AG97" s="1" t="e">
        <f>SUM(AE88:AE97)</f>
        <v>#REF!</v>
      </c>
      <c r="AH97" s="6" t="e">
        <f>AG97-'1. Velsipity Summary'!CZ13</f>
        <v>#REF!</v>
      </c>
      <c r="AI97" s="6" t="e">
        <f t="shared" si="54"/>
        <v>#REF!</v>
      </c>
      <c r="AJ97" s="6" t="e">
        <f t="shared" si="55"/>
        <v>#REF!</v>
      </c>
      <c r="AK97" s="6" t="e">
        <f t="shared" si="56"/>
        <v>#REF!</v>
      </c>
      <c r="AL97" s="6" t="e">
        <f t="shared" si="57"/>
        <v>#REF!</v>
      </c>
      <c r="AM97" s="6" t="e">
        <f t="shared" si="58"/>
        <v>#REF!</v>
      </c>
      <c r="AN97" s="6" t="e">
        <f t="shared" si="59"/>
        <v>#REF!</v>
      </c>
      <c r="AP97" s="6" t="e">
        <f t="shared" si="60"/>
        <v>#REF!</v>
      </c>
      <c r="AQ97" s="6" t="e">
        <f t="shared" si="61"/>
        <v>#REF!</v>
      </c>
      <c r="AR97" s="6" t="e">
        <f t="shared" si="62"/>
        <v>#REF!</v>
      </c>
    </row>
    <row r="98" spans="2:44" ht="15" hidden="1" thickBot="1">
      <c r="B98" s="38" t="s">
        <v>1074</v>
      </c>
      <c r="C98" s="562">
        <v>10110100</v>
      </c>
      <c r="D98" s="563" t="s">
        <v>1075</v>
      </c>
      <c r="E98" s="559" t="s">
        <v>17</v>
      </c>
      <c r="F98" s="559" t="s">
        <v>17</v>
      </c>
      <c r="G98" s="565" t="s">
        <v>130</v>
      </c>
      <c r="H98" s="565">
        <v>2026</v>
      </c>
      <c r="I98" s="565" t="s">
        <v>785</v>
      </c>
      <c r="J98" s="565" t="s">
        <v>203</v>
      </c>
      <c r="K98" s="565" t="s">
        <v>204</v>
      </c>
      <c r="L98" s="565" t="s">
        <v>205</v>
      </c>
      <c r="M98" s="565" t="s">
        <v>721</v>
      </c>
      <c r="N98" s="563" t="s">
        <v>1075</v>
      </c>
      <c r="O98" s="563" t="s">
        <v>1075</v>
      </c>
      <c r="P98" s="563" t="s">
        <v>1075</v>
      </c>
      <c r="Q98" s="560" t="s">
        <v>1079</v>
      </c>
      <c r="R98" s="567" t="s">
        <v>1079</v>
      </c>
      <c r="S98" s="569" t="e">
        <f>SUMIFS('1. Velsipity Summary'!CN:CN,'1. Velsipity Summary'!#REF!,$P98,'1. Velsipity Summary'!$CM:$CM,$G98)</f>
        <v>#REF!</v>
      </c>
      <c r="T98" s="294" t="e">
        <f>SUMIFS('1. Velsipity Summary'!CO:CO,'1. Velsipity Summary'!#REF!,$P98,'1. Velsipity Summary'!$CM:$CM,$G98)</f>
        <v>#REF!</v>
      </c>
      <c r="U98" s="294" t="e">
        <f>SUMIFS('1. Velsipity Summary'!CP:CP,'1. Velsipity Summary'!#REF!,$P98,'1. Velsipity Summary'!$CM:$CM,$G98)</f>
        <v>#REF!</v>
      </c>
      <c r="V98" s="294" t="e">
        <f>SUMIFS('1. Velsipity Summary'!CQ:CQ,'1. Velsipity Summary'!#REF!,$P98,'1. Velsipity Summary'!$CM:$CM,$G98)</f>
        <v>#REF!</v>
      </c>
      <c r="W98" s="294" t="e">
        <f>SUMIFS('1. Velsipity Summary'!CR:CR,'1. Velsipity Summary'!#REF!,$P98,'1. Velsipity Summary'!$CM:$CM,$G98)</f>
        <v>#REF!</v>
      </c>
      <c r="X98" s="294" t="e">
        <f>SUMIFS('1. Velsipity Summary'!CS:CS,'1. Velsipity Summary'!#REF!,$P98,'1. Velsipity Summary'!$CM:$CM,$G98)</f>
        <v>#REF!</v>
      </c>
      <c r="Y98" s="294" t="e">
        <f>SUMIFS('1. Velsipity Summary'!CT:CT,'1. Velsipity Summary'!#REF!,$P98,'1. Velsipity Summary'!$CM:$CM,$G98)</f>
        <v>#REF!</v>
      </c>
      <c r="Z98" s="294" t="e">
        <f>SUMIFS('1. Velsipity Summary'!CU:CU,'1. Velsipity Summary'!#REF!,$P98,'1. Velsipity Summary'!$CM:$CM,$G98)</f>
        <v>#REF!</v>
      </c>
      <c r="AA98" s="294" t="e">
        <f>SUMIFS('1. Velsipity Summary'!CV:CV,'1. Velsipity Summary'!#REF!,$P98,'1. Velsipity Summary'!$CM:$CM,$G98)</f>
        <v>#REF!</v>
      </c>
      <c r="AB98" s="294" t="e">
        <f>SUMIFS('1. Velsipity Summary'!CW:CW,'1. Velsipity Summary'!#REF!,$P98,'1. Velsipity Summary'!$CM:$CM,$G98)</f>
        <v>#REF!</v>
      </c>
      <c r="AC98" s="294" t="e">
        <f>SUMIFS('1. Velsipity Summary'!CX:CX,'1. Velsipity Summary'!#REF!,$P98,'1. Velsipity Summary'!$CM:$CM,$G98)</f>
        <v>#REF!</v>
      </c>
      <c r="AD98" s="294" t="e">
        <f>SUMIFS('1. Velsipity Summary'!CY:CY,'1. Velsipity Summary'!#REF!,$P98,'1. Velsipity Summary'!$CM:$CM,$G98)</f>
        <v>#REF!</v>
      </c>
      <c r="AE98" s="47" t="e">
        <f t="shared" si="53"/>
        <v>#REF!</v>
      </c>
      <c r="AG98" s="1" t="e">
        <f>AE98</f>
        <v>#REF!</v>
      </c>
      <c r="AH98" s="6" t="e">
        <f>AG98-'1. Velsipity Summary'!CZ27</f>
        <v>#REF!</v>
      </c>
      <c r="AI98" s="6" t="e">
        <f t="shared" si="54"/>
        <v>#REF!</v>
      </c>
      <c r="AJ98" s="6" t="e">
        <f t="shared" si="55"/>
        <v>#REF!</v>
      </c>
      <c r="AK98" s="6" t="e">
        <f t="shared" si="56"/>
        <v>#REF!</v>
      </c>
      <c r="AL98" s="6" t="e">
        <f t="shared" si="57"/>
        <v>#REF!</v>
      </c>
      <c r="AM98" s="6" t="e">
        <f t="shared" si="58"/>
        <v>#REF!</v>
      </c>
      <c r="AN98" s="6" t="e">
        <f t="shared" si="59"/>
        <v>#REF!</v>
      </c>
      <c r="AP98" s="6" t="e">
        <f t="shared" si="60"/>
        <v>#REF!</v>
      </c>
      <c r="AQ98" s="6" t="e">
        <f t="shared" si="61"/>
        <v>#REF!</v>
      </c>
      <c r="AR98" s="6" t="e">
        <f t="shared" si="62"/>
        <v>#REF!</v>
      </c>
    </row>
    <row r="99" spans="2:44" hidden="1">
      <c r="AG99" s="1"/>
    </row>
    <row r="100" spans="2:44" hidden="1"/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727A1-3EF4-4DAB-9C6B-5CF952D2478B}">
  <sheetPr filterMode="1"/>
  <dimension ref="A1:AZ105"/>
  <sheetViews>
    <sheetView topLeftCell="D1" zoomScale="70" zoomScaleNormal="70" workbookViewId="0">
      <pane xSplit="5" ySplit="1" topLeftCell="I2" activePane="bottomRight" state="frozen"/>
      <selection activeCell="D1" sqref="D1"/>
      <selection pane="topRight" activeCell="I1" sqref="I1"/>
      <selection pane="bottomLeft" activeCell="D2" sqref="D2"/>
      <selection pane="bottomRight" activeCell="O128" sqref="O128"/>
    </sheetView>
  </sheetViews>
  <sheetFormatPr defaultColWidth="8.6640625" defaultRowHeight="13.8"/>
  <cols>
    <col min="1" max="5" width="13.5546875" style="551" bestFit="1" customWidth="1"/>
    <col min="6" max="7" width="13.5546875" style="551" customWidth="1"/>
    <col min="8" max="8" width="14" style="551" bestFit="1" customWidth="1"/>
    <col min="9" max="12" width="13.77734375" style="551" bestFit="1" customWidth="1"/>
    <col min="13" max="13" width="8.6640625" style="551"/>
    <col min="14" max="15" width="11.109375" style="551" bestFit="1" customWidth="1"/>
    <col min="16" max="17" width="12.5546875" style="551" bestFit="1" customWidth="1"/>
    <col min="18" max="18" width="10" style="551" bestFit="1" customWidth="1"/>
    <col min="19" max="19" width="13.6640625" style="551" bestFit="1" customWidth="1"/>
    <col min="20" max="20" width="11" style="551" bestFit="1" customWidth="1"/>
    <col min="21" max="21" width="8.6640625" style="551"/>
    <col min="22" max="33" width="10.21875" style="551" bestFit="1" customWidth="1"/>
    <col min="34" max="34" width="11.88671875" style="551" bestFit="1" customWidth="1"/>
    <col min="35" max="37" width="8.6640625" style="551"/>
    <col min="38" max="49" width="11.109375" style="551" bestFit="1" customWidth="1"/>
    <col min="50" max="50" width="12.5546875" style="551" bestFit="1" customWidth="1"/>
    <col min="51" max="16384" width="8.6640625" style="551"/>
  </cols>
  <sheetData>
    <row r="1" spans="1:52">
      <c r="A1" s="550" t="s">
        <v>945</v>
      </c>
      <c r="B1" s="550" t="s">
        <v>946</v>
      </c>
      <c r="C1" s="550" t="s">
        <v>947</v>
      </c>
      <c r="D1" s="550" t="s">
        <v>948</v>
      </c>
      <c r="E1" s="550" t="s">
        <v>949</v>
      </c>
      <c r="F1" s="550" t="s">
        <v>975</v>
      </c>
      <c r="G1" s="550" t="s">
        <v>984</v>
      </c>
      <c r="H1" s="550" t="s">
        <v>950</v>
      </c>
      <c r="I1" s="551" t="s">
        <v>951</v>
      </c>
      <c r="J1" s="551" t="s">
        <v>952</v>
      </c>
      <c r="K1" s="551" t="s">
        <v>953</v>
      </c>
      <c r="L1" s="551" t="s">
        <v>954</v>
      </c>
      <c r="N1" s="551" t="s">
        <v>985</v>
      </c>
      <c r="O1" s="551" t="s">
        <v>986</v>
      </c>
      <c r="P1" s="551" t="s">
        <v>987</v>
      </c>
      <c r="Q1" s="551" t="s">
        <v>988</v>
      </c>
      <c r="R1" s="551" t="s">
        <v>85</v>
      </c>
      <c r="S1" s="551" t="s">
        <v>78</v>
      </c>
      <c r="T1" s="551" t="s">
        <v>924</v>
      </c>
      <c r="V1" s="551" t="s">
        <v>100</v>
      </c>
      <c r="W1" s="551" t="s">
        <v>101</v>
      </c>
      <c r="X1" s="551" t="s">
        <v>102</v>
      </c>
      <c r="Y1" s="551" t="s">
        <v>104</v>
      </c>
      <c r="Z1" s="551" t="s">
        <v>105</v>
      </c>
      <c r="AA1" s="551" t="s">
        <v>106</v>
      </c>
      <c r="AB1" s="551" t="s">
        <v>107</v>
      </c>
      <c r="AC1" s="551" t="s">
        <v>108</v>
      </c>
      <c r="AD1" s="551" t="s">
        <v>109</v>
      </c>
      <c r="AE1" s="551" t="s">
        <v>110</v>
      </c>
      <c r="AF1" s="551" t="s">
        <v>111</v>
      </c>
      <c r="AG1" s="551" t="s">
        <v>112</v>
      </c>
      <c r="AH1" s="551" t="s">
        <v>85</v>
      </c>
      <c r="AI1" s="551" t="s">
        <v>924</v>
      </c>
      <c r="AK1" s="551" t="s">
        <v>1076</v>
      </c>
      <c r="AL1" s="551" t="s">
        <v>100</v>
      </c>
      <c r="AM1" s="551" t="s">
        <v>101</v>
      </c>
      <c r="AN1" s="551" t="s">
        <v>102</v>
      </c>
      <c r="AO1" s="551" t="s">
        <v>104</v>
      </c>
      <c r="AP1" s="551" t="s">
        <v>105</v>
      </c>
      <c r="AQ1" s="551" t="s">
        <v>106</v>
      </c>
      <c r="AR1" s="551" t="s">
        <v>107</v>
      </c>
      <c r="AS1" s="551" t="s">
        <v>108</v>
      </c>
      <c r="AT1" s="551" t="s">
        <v>109</v>
      </c>
      <c r="AU1" s="551" t="s">
        <v>110</v>
      </c>
      <c r="AV1" s="551" t="s">
        <v>111</v>
      </c>
      <c r="AW1" s="551" t="s">
        <v>112</v>
      </c>
      <c r="AX1" s="551" t="s">
        <v>85</v>
      </c>
      <c r="AZ1" s="551" t="s">
        <v>1078</v>
      </c>
    </row>
    <row r="2" spans="1:52">
      <c r="A2" s="551" t="s">
        <v>203</v>
      </c>
      <c r="B2" s="551" t="s">
        <v>955</v>
      </c>
      <c r="C2" s="551" t="s">
        <v>883</v>
      </c>
      <c r="D2" s="551" t="s">
        <v>883</v>
      </c>
      <c r="E2" s="551" t="s">
        <v>883</v>
      </c>
      <c r="F2" s="551" t="s">
        <v>1075</v>
      </c>
      <c r="G2" s="551" t="s">
        <v>130</v>
      </c>
      <c r="H2" s="551" t="s">
        <v>93</v>
      </c>
      <c r="I2" s="551">
        <v>23</v>
      </c>
      <c r="J2" s="551">
        <v>23</v>
      </c>
      <c r="K2" s="551">
        <v>23</v>
      </c>
      <c r="L2" s="551">
        <v>23</v>
      </c>
      <c r="N2" s="552">
        <f>SUMIFS('Sales T&amp;E &amp; 科室会WP'!$N:$N,'Sales T&amp;E &amp; 科室会WP'!$L:$L,$G2,'Sales T&amp;E &amp; 科室会WP'!$M:$M,$H2)*3*I2</f>
        <v>621000</v>
      </c>
      <c r="O2" s="552">
        <f>SUMIFS('Sales T&amp;E &amp; 科室会WP'!$N:$N,'Sales T&amp;E &amp; 科室会WP'!$L:$L,$G2,'Sales T&amp;E &amp; 科室会WP'!$M:$M,$H2)*3*J2</f>
        <v>621000</v>
      </c>
      <c r="P2" s="552">
        <f>SUMIFS('Sales T&amp;E &amp; 科室会WP'!$N:$N,'Sales T&amp;E &amp; 科室会WP'!$L:$L,$G2,'Sales T&amp;E &amp; 科室会WP'!$M:$M,$H2)*3*K2</f>
        <v>621000</v>
      </c>
      <c r="Q2" s="552">
        <f>SUMIFS('Sales T&amp;E &amp; 科室会WP'!$N:$N,'Sales T&amp;E &amp; 科室会WP'!$L:$L,$G2,'Sales T&amp;E &amp; 科室会WP'!$M:$M,$H2)*3*L2</f>
        <v>621000</v>
      </c>
      <c r="R2" s="553">
        <f>SUM(N2:Q2)</f>
        <v>2484000</v>
      </c>
      <c r="V2" s="553">
        <f>$N2/3</f>
        <v>207000</v>
      </c>
      <c r="W2" s="553">
        <f>$N2/3</f>
        <v>207000</v>
      </c>
      <c r="X2" s="553">
        <f>$N2/3</f>
        <v>207000</v>
      </c>
      <c r="Y2" s="553">
        <f>$O2/3</f>
        <v>207000</v>
      </c>
      <c r="Z2" s="553">
        <f>$O2/3</f>
        <v>207000</v>
      </c>
      <c r="AA2" s="553">
        <f>$O2/3</f>
        <v>207000</v>
      </c>
      <c r="AB2" s="553">
        <f>$P2/3</f>
        <v>207000</v>
      </c>
      <c r="AC2" s="553">
        <f>$P2/3</f>
        <v>207000</v>
      </c>
      <c r="AD2" s="553">
        <f>$P2/3</f>
        <v>207000</v>
      </c>
      <c r="AE2" s="553">
        <f>$Q2/3</f>
        <v>207000</v>
      </c>
      <c r="AF2" s="553">
        <f>$Q2/3</f>
        <v>207000</v>
      </c>
      <c r="AG2" s="553">
        <f>$Q2/3</f>
        <v>207000</v>
      </c>
      <c r="AH2" s="553">
        <f>SUM(V2:AG2)</f>
        <v>2484000</v>
      </c>
      <c r="AI2" s="553">
        <f>AH2-R2</f>
        <v>0</v>
      </c>
      <c r="AL2" s="552"/>
      <c r="AM2" s="552"/>
      <c r="AN2" s="552"/>
      <c r="AO2" s="552">
        <f>SUMIFS('Sales T&amp;E &amp; 科室会WP'!$T:$T,'Sales T&amp;E &amp; 科室会WP'!$Q:$Q,$H2)*$J2</f>
        <v>69000</v>
      </c>
      <c r="AP2" s="552">
        <f>SUMIFS('Sales T&amp;E &amp; 科室会WP'!$T:$T,'Sales T&amp;E &amp; 科室会WP'!$Q:$Q,$H2)*$J2</f>
        <v>69000</v>
      </c>
      <c r="AQ2" s="552">
        <f>SUMIFS('Sales T&amp;E &amp; 科室会WP'!$T:$T,'Sales T&amp;E &amp; 科室会WP'!$Q:$Q,$H2)*$J2</f>
        <v>69000</v>
      </c>
      <c r="AR2" s="552">
        <f>SUMIFS('Sales T&amp;E &amp; 科室会WP'!$T:$T,'Sales T&amp;E &amp; 科室会WP'!$Q:$Q,$H2)*$K2</f>
        <v>69000</v>
      </c>
      <c r="AS2" s="552">
        <f>SUMIFS('Sales T&amp;E &amp; 科室会WP'!$T:$T,'Sales T&amp;E &amp; 科室会WP'!$Q:$Q,$H2)*$K2</f>
        <v>69000</v>
      </c>
      <c r="AT2" s="552">
        <f>SUMIFS('Sales T&amp;E &amp; 科室会WP'!$T:$T,'Sales T&amp;E &amp; 科室会WP'!$Q:$Q,$H2)*$K2</f>
        <v>69000</v>
      </c>
      <c r="AU2" s="552">
        <f>SUMIFS('Sales T&amp;E &amp; 科室会WP'!$T:$T,'Sales T&amp;E &amp; 科室会WP'!$Q:$Q,$H2)*$L2</f>
        <v>69000</v>
      </c>
      <c r="AV2" s="552">
        <f>SUMIFS('Sales T&amp;E &amp; 科室会WP'!$T:$T,'Sales T&amp;E &amp; 科室会WP'!$Q:$Q,$H2)*$L2</f>
        <v>69000</v>
      </c>
      <c r="AW2" s="552">
        <f>SUMIFS('Sales T&amp;E &amp; 科室会WP'!$T:$T,'Sales T&amp;E &amp; 科室会WP'!$Q:$Q,$H2)*$L2</f>
        <v>69000</v>
      </c>
      <c r="AX2" s="552">
        <f>SUM(AL2:AW2)</f>
        <v>621000</v>
      </c>
    </row>
    <row r="3" spans="1:52">
      <c r="A3" s="551" t="s">
        <v>203</v>
      </c>
      <c r="B3" s="551" t="s">
        <v>955</v>
      </c>
      <c r="F3" s="551" t="s">
        <v>1075</v>
      </c>
      <c r="G3" s="551" t="s">
        <v>130</v>
      </c>
      <c r="H3" s="551" t="s">
        <v>956</v>
      </c>
      <c r="I3" s="551">
        <v>1</v>
      </c>
      <c r="J3" s="551">
        <v>1</v>
      </c>
      <c r="K3" s="551">
        <v>1</v>
      </c>
      <c r="L3" s="551">
        <v>1</v>
      </c>
      <c r="N3" s="552">
        <f>SUMIFS('Sales T&amp;E &amp; 科室会WP'!$N:$N,'Sales T&amp;E &amp; 科室会WP'!$L:$L,$G3,'Sales T&amp;E &amp; 科室会WP'!$M:$M,$H3)*3*I3</f>
        <v>66000</v>
      </c>
      <c r="O3" s="552">
        <f>SUMIFS('Sales T&amp;E &amp; 科室会WP'!$N:$N,'Sales T&amp;E &amp; 科室会WP'!$L:$L,$G3,'Sales T&amp;E &amp; 科室会WP'!$M:$M,$H3)*3*J3</f>
        <v>66000</v>
      </c>
      <c r="P3" s="552">
        <f>SUMIFS('Sales T&amp;E &amp; 科室会WP'!$N:$N,'Sales T&amp;E &amp; 科室会WP'!$L:$L,$G3,'Sales T&amp;E &amp; 科室会WP'!$M:$M,$H3)*3*K3</f>
        <v>66000</v>
      </c>
      <c r="Q3" s="552">
        <f>SUMIFS('Sales T&amp;E &amp; 科室会WP'!$N:$N,'Sales T&amp;E &amp; 科室会WP'!$L:$L,$G3,'Sales T&amp;E &amp; 科室会WP'!$M:$M,$H3)*3*L3</f>
        <v>66000</v>
      </c>
      <c r="R3" s="553">
        <f>SUM(N3:Q3)</f>
        <v>264000</v>
      </c>
      <c r="V3" s="553">
        <f t="shared" ref="V3:X18" si="0">$N3/3</f>
        <v>22000</v>
      </c>
      <c r="W3" s="553">
        <f t="shared" si="0"/>
        <v>22000</v>
      </c>
      <c r="X3" s="553">
        <f t="shared" si="0"/>
        <v>22000</v>
      </c>
      <c r="Y3" s="553">
        <f t="shared" ref="Y3:AA18" si="1">$O3/3</f>
        <v>22000</v>
      </c>
      <c r="Z3" s="553">
        <f t="shared" si="1"/>
        <v>22000</v>
      </c>
      <c r="AA3" s="553">
        <f t="shared" si="1"/>
        <v>22000</v>
      </c>
      <c r="AB3" s="553">
        <f t="shared" ref="AB3:AD18" si="2">$P3/3</f>
        <v>22000</v>
      </c>
      <c r="AC3" s="553">
        <f t="shared" si="2"/>
        <v>22000</v>
      </c>
      <c r="AD3" s="553">
        <f t="shared" si="2"/>
        <v>22000</v>
      </c>
      <c r="AE3" s="553">
        <f t="shared" ref="AE3:AG18" si="3">$Q3/3</f>
        <v>22000</v>
      </c>
      <c r="AF3" s="553">
        <f t="shared" si="3"/>
        <v>22000</v>
      </c>
      <c r="AG3" s="553">
        <f t="shared" si="3"/>
        <v>22000</v>
      </c>
      <c r="AH3" s="553">
        <f t="shared" ref="AH3:AH66" si="4">SUM(V3:AG3)</f>
        <v>264000</v>
      </c>
      <c r="AI3" s="553">
        <f t="shared" ref="AI3:AI66" si="5">AH3-R3</f>
        <v>0</v>
      </c>
      <c r="AL3" s="552"/>
      <c r="AM3" s="552"/>
      <c r="AN3" s="552"/>
      <c r="AO3" s="552">
        <f>SUMIFS('Sales T&amp;E &amp; 科室会WP'!$T:$T,'Sales T&amp;E &amp; 科室会WP'!$Q:$Q,$H3)*$J3</f>
        <v>0</v>
      </c>
      <c r="AP3" s="552">
        <f>SUMIFS('Sales T&amp;E &amp; 科室会WP'!$T:$T,'Sales T&amp;E &amp; 科室会WP'!$Q:$Q,$H3)*$J3</f>
        <v>0</v>
      </c>
      <c r="AQ3" s="552">
        <f>SUMIFS('Sales T&amp;E &amp; 科室会WP'!$T:$T,'Sales T&amp;E &amp; 科室会WP'!$Q:$Q,$H3)*$J3</f>
        <v>0</v>
      </c>
      <c r="AR3" s="552">
        <f>SUMIFS('Sales T&amp;E &amp; 科室会WP'!$T:$T,'Sales T&amp;E &amp; 科室会WP'!$Q:$Q,$H3)*$K3</f>
        <v>0</v>
      </c>
      <c r="AS3" s="552">
        <f>SUMIFS('Sales T&amp;E &amp; 科室会WP'!$T:$T,'Sales T&amp;E &amp; 科室会WP'!$Q:$Q,$H3)*$K3</f>
        <v>0</v>
      </c>
      <c r="AT3" s="552">
        <f>SUMIFS('Sales T&amp;E &amp; 科室会WP'!$T:$T,'Sales T&amp;E &amp; 科室会WP'!$Q:$Q,$H3)*$K3</f>
        <v>0</v>
      </c>
      <c r="AU3" s="552">
        <f>SUMIFS('Sales T&amp;E &amp; 科室会WP'!$T:$T,'Sales T&amp;E &amp; 科室会WP'!$Q:$Q,$H3)*$L3</f>
        <v>0</v>
      </c>
      <c r="AV3" s="552">
        <f>SUMIFS('Sales T&amp;E &amp; 科室会WP'!$T:$T,'Sales T&amp;E &amp; 科室会WP'!$Q:$Q,$H3)*$L3</f>
        <v>0</v>
      </c>
      <c r="AW3" s="552">
        <f>SUMIFS('Sales T&amp;E &amp; 科室会WP'!$T:$T,'Sales T&amp;E &amp; 科室会WP'!$Q:$Q,$H3)*$L3</f>
        <v>0</v>
      </c>
      <c r="AX3" s="552">
        <f t="shared" ref="AX3:AX66" si="6">SUM(AL3:AW3)</f>
        <v>0</v>
      </c>
    </row>
    <row r="4" spans="1:52">
      <c r="A4" s="551" t="s">
        <v>203</v>
      </c>
      <c r="B4" s="551" t="s">
        <v>955</v>
      </c>
      <c r="F4" s="551" t="s">
        <v>1075</v>
      </c>
      <c r="G4" s="551" t="s">
        <v>130</v>
      </c>
      <c r="H4" s="551" t="s">
        <v>97</v>
      </c>
      <c r="I4" s="551">
        <v>5</v>
      </c>
      <c r="J4" s="551">
        <v>5</v>
      </c>
      <c r="K4" s="551">
        <v>5</v>
      </c>
      <c r="L4" s="551">
        <v>5</v>
      </c>
      <c r="N4" s="552">
        <f>SUMIFS('Sales T&amp;E &amp; 科室会WP'!$N:$N,'Sales T&amp;E &amp; 科室会WP'!$L:$L,$G4,'Sales T&amp;E &amp; 科室会WP'!$M:$M,$H4)*3*I4</f>
        <v>330000</v>
      </c>
      <c r="O4" s="552">
        <f>SUMIFS('Sales T&amp;E &amp; 科室会WP'!$N:$N,'Sales T&amp;E &amp; 科室会WP'!$L:$L,$G4,'Sales T&amp;E &amp; 科室会WP'!$M:$M,$H4)*3*J4</f>
        <v>330000</v>
      </c>
      <c r="P4" s="552">
        <f>SUMIFS('Sales T&amp;E &amp; 科室会WP'!$N:$N,'Sales T&amp;E &amp; 科室会WP'!$L:$L,$G4,'Sales T&amp;E &amp; 科室会WP'!$M:$M,$H4)*3*K4</f>
        <v>330000</v>
      </c>
      <c r="Q4" s="552">
        <f>SUMIFS('Sales T&amp;E &amp; 科室会WP'!$N:$N,'Sales T&amp;E &amp; 科室会WP'!$L:$L,$G4,'Sales T&amp;E &amp; 科室会WP'!$M:$M,$H4)*3*L4</f>
        <v>330000</v>
      </c>
      <c r="R4" s="553">
        <f>SUM(N4:Q4)</f>
        <v>1320000</v>
      </c>
      <c r="V4" s="553">
        <f t="shared" si="0"/>
        <v>110000</v>
      </c>
      <c r="W4" s="553">
        <f t="shared" si="0"/>
        <v>110000</v>
      </c>
      <c r="X4" s="553">
        <f t="shared" si="0"/>
        <v>110000</v>
      </c>
      <c r="Y4" s="553">
        <f t="shared" si="1"/>
        <v>110000</v>
      </c>
      <c r="Z4" s="553">
        <f t="shared" si="1"/>
        <v>110000</v>
      </c>
      <c r="AA4" s="553">
        <f t="shared" si="1"/>
        <v>110000</v>
      </c>
      <c r="AB4" s="553">
        <f t="shared" si="2"/>
        <v>110000</v>
      </c>
      <c r="AC4" s="553">
        <f t="shared" si="2"/>
        <v>110000</v>
      </c>
      <c r="AD4" s="553">
        <f t="shared" si="2"/>
        <v>110000</v>
      </c>
      <c r="AE4" s="553">
        <f t="shared" si="3"/>
        <v>110000</v>
      </c>
      <c r="AF4" s="553">
        <f t="shared" si="3"/>
        <v>110000</v>
      </c>
      <c r="AG4" s="553">
        <f t="shared" si="3"/>
        <v>110000</v>
      </c>
      <c r="AH4" s="553">
        <f t="shared" si="4"/>
        <v>1320000</v>
      </c>
      <c r="AI4" s="553">
        <f t="shared" si="5"/>
        <v>0</v>
      </c>
      <c r="AL4" s="552"/>
      <c r="AM4" s="552"/>
      <c r="AN4" s="552"/>
      <c r="AO4" s="552">
        <f>SUMIFS('Sales T&amp;E &amp; 科室会WP'!$T:$T,'Sales T&amp;E &amp; 科室会WP'!$Q:$Q,$H4)*$J4</f>
        <v>7500</v>
      </c>
      <c r="AP4" s="552">
        <f>SUMIFS('Sales T&amp;E &amp; 科室会WP'!$T:$T,'Sales T&amp;E &amp; 科室会WP'!$Q:$Q,$H4)*$J4</f>
        <v>7500</v>
      </c>
      <c r="AQ4" s="552">
        <f>SUMIFS('Sales T&amp;E &amp; 科室会WP'!$T:$T,'Sales T&amp;E &amp; 科室会WP'!$Q:$Q,$H4)*$J4</f>
        <v>7500</v>
      </c>
      <c r="AR4" s="552">
        <f>SUMIFS('Sales T&amp;E &amp; 科室会WP'!$T:$T,'Sales T&amp;E &amp; 科室会WP'!$Q:$Q,$H4)*$K4</f>
        <v>7500</v>
      </c>
      <c r="AS4" s="552">
        <f>SUMIFS('Sales T&amp;E &amp; 科室会WP'!$T:$T,'Sales T&amp;E &amp; 科室会WP'!$Q:$Q,$H4)*$K4</f>
        <v>7500</v>
      </c>
      <c r="AT4" s="552">
        <f>SUMIFS('Sales T&amp;E &amp; 科室会WP'!$T:$T,'Sales T&amp;E &amp; 科室会WP'!$Q:$Q,$H4)*$K4</f>
        <v>7500</v>
      </c>
      <c r="AU4" s="552">
        <f>SUMIFS('Sales T&amp;E &amp; 科室会WP'!$T:$T,'Sales T&amp;E &amp; 科室会WP'!$Q:$Q,$H4)*$L4</f>
        <v>7500</v>
      </c>
      <c r="AV4" s="552">
        <f>SUMIFS('Sales T&amp;E &amp; 科室会WP'!$T:$T,'Sales T&amp;E &amp; 科室会WP'!$Q:$Q,$H4)*$L4</f>
        <v>7500</v>
      </c>
      <c r="AW4" s="552">
        <f>SUMIFS('Sales T&amp;E &amp; 科室会WP'!$T:$T,'Sales T&amp;E &amp; 科室会WP'!$Q:$Q,$H4)*$L4</f>
        <v>7500</v>
      </c>
      <c r="AX4" s="552">
        <f t="shared" si="6"/>
        <v>67500</v>
      </c>
    </row>
    <row r="5" spans="1:52">
      <c r="A5" s="551" t="s">
        <v>203</v>
      </c>
      <c r="B5" s="551" t="s">
        <v>955</v>
      </c>
      <c r="C5" s="551" t="s">
        <v>957</v>
      </c>
      <c r="D5" s="551" t="s">
        <v>957</v>
      </c>
      <c r="E5" s="551" t="s">
        <v>957</v>
      </c>
      <c r="F5" s="551" t="s">
        <v>1075</v>
      </c>
      <c r="G5" s="551" t="s">
        <v>130</v>
      </c>
      <c r="H5" s="551" t="s">
        <v>94</v>
      </c>
      <c r="I5" s="551">
        <v>40</v>
      </c>
      <c r="J5" s="551">
        <v>60</v>
      </c>
      <c r="K5" s="551">
        <v>100</v>
      </c>
      <c r="L5" s="551">
        <v>180</v>
      </c>
      <c r="N5" s="552">
        <f>SUMIFS('Sales T&amp;E &amp; 科室会WP'!$N:$N,'Sales T&amp;E &amp; 科室会WP'!$L:$L,$G5,'Sales T&amp;E &amp; 科室会WP'!$M:$M,$H5)*3*I5</f>
        <v>600000</v>
      </c>
      <c r="O5" s="552">
        <f>SUMIFS('Sales T&amp;E &amp; 科室会WP'!$N:$N,'Sales T&amp;E &amp; 科室会WP'!$L:$L,$G5,'Sales T&amp;E &amp; 科室会WP'!$M:$M,$H5)*3*J5</f>
        <v>900000</v>
      </c>
      <c r="P5" s="552">
        <f>SUMIFS('Sales T&amp;E &amp; 科室会WP'!$N:$N,'Sales T&amp;E &amp; 科室会WP'!$L:$L,$G5,'Sales T&amp;E &amp; 科室会WP'!$M:$M,$H5)*3*K5</f>
        <v>1500000</v>
      </c>
      <c r="Q5" s="552">
        <f>SUMIFS('Sales T&amp;E &amp; 科室会WP'!$N:$N,'Sales T&amp;E &amp; 科室会WP'!$L:$L,$G5,'Sales T&amp;E &amp; 科室会WP'!$M:$M,$H5)*3*L5</f>
        <v>2700000</v>
      </c>
      <c r="R5" s="553">
        <f>SUM(N5:Q5)</f>
        <v>5700000</v>
      </c>
      <c r="S5" s="553">
        <f>SUM(R2:R5)</f>
        <v>9768000</v>
      </c>
      <c r="T5" s="553">
        <f>S5-SUM('Sales T&amp;E &amp; 科室会WP'!P51)</f>
        <v>2118000</v>
      </c>
      <c r="V5" s="553">
        <f t="shared" si="0"/>
        <v>200000</v>
      </c>
      <c r="W5" s="553">
        <f t="shared" si="0"/>
        <v>200000</v>
      </c>
      <c r="X5" s="553">
        <f t="shared" si="0"/>
        <v>200000</v>
      </c>
      <c r="Y5" s="553">
        <f t="shared" si="1"/>
        <v>300000</v>
      </c>
      <c r="Z5" s="553">
        <f t="shared" si="1"/>
        <v>300000</v>
      </c>
      <c r="AA5" s="553">
        <f t="shared" si="1"/>
        <v>300000</v>
      </c>
      <c r="AB5" s="553">
        <f t="shared" si="2"/>
        <v>500000</v>
      </c>
      <c r="AC5" s="553">
        <f t="shared" si="2"/>
        <v>500000</v>
      </c>
      <c r="AD5" s="553">
        <f t="shared" si="2"/>
        <v>500000</v>
      </c>
      <c r="AE5" s="553">
        <f t="shared" si="3"/>
        <v>900000</v>
      </c>
      <c r="AF5" s="553">
        <f t="shared" si="3"/>
        <v>900000</v>
      </c>
      <c r="AG5" s="553">
        <f t="shared" si="3"/>
        <v>900000</v>
      </c>
      <c r="AH5" s="553">
        <f t="shared" si="4"/>
        <v>5700000</v>
      </c>
      <c r="AI5" s="553">
        <f t="shared" si="5"/>
        <v>0</v>
      </c>
      <c r="AL5" s="552"/>
      <c r="AM5" s="552"/>
      <c r="AN5" s="552"/>
      <c r="AO5" s="552">
        <f>SUMIFS('Sales T&amp;E &amp; 科室会WP'!$T:$T,'Sales T&amp;E &amp; 科室会WP'!$Q:$Q,$H5)*$J5</f>
        <v>180000</v>
      </c>
      <c r="AP5" s="552">
        <f>SUMIFS('Sales T&amp;E &amp; 科室会WP'!$T:$T,'Sales T&amp;E &amp; 科室会WP'!$Q:$Q,$H5)*$J5</f>
        <v>180000</v>
      </c>
      <c r="AQ5" s="552">
        <f>SUMIFS('Sales T&amp;E &amp; 科室会WP'!$T:$T,'Sales T&amp;E &amp; 科室会WP'!$Q:$Q,$H5)*$J5</f>
        <v>180000</v>
      </c>
      <c r="AR5" s="552">
        <f>SUMIFS('Sales T&amp;E &amp; 科室会WP'!$T:$T,'Sales T&amp;E &amp; 科室会WP'!$Q:$Q,$H5)*$K5</f>
        <v>300000</v>
      </c>
      <c r="AS5" s="552">
        <f>SUMIFS('Sales T&amp;E &amp; 科室会WP'!$T:$T,'Sales T&amp;E &amp; 科室会WP'!$Q:$Q,$H5)*$K5</f>
        <v>300000</v>
      </c>
      <c r="AT5" s="552">
        <f>SUMIFS('Sales T&amp;E &amp; 科室会WP'!$T:$T,'Sales T&amp;E &amp; 科室会WP'!$Q:$Q,$H5)*$K5</f>
        <v>300000</v>
      </c>
      <c r="AU5" s="552">
        <f>SUMIFS('Sales T&amp;E &amp; 科室会WP'!$T:$T,'Sales T&amp;E &amp; 科室会WP'!$Q:$Q,$H5)*$L5</f>
        <v>540000</v>
      </c>
      <c r="AV5" s="552">
        <f>SUMIFS('Sales T&amp;E &amp; 科室会WP'!$T:$T,'Sales T&amp;E &amp; 科室会WP'!$Q:$Q,$H5)*$L5</f>
        <v>540000</v>
      </c>
      <c r="AW5" s="552">
        <f>SUMIFS('Sales T&amp;E &amp; 科室会WP'!$T:$T,'Sales T&amp;E &amp; 科室会WP'!$Q:$Q,$H5)*$L5</f>
        <v>540000</v>
      </c>
      <c r="AX5" s="552">
        <f t="shared" si="6"/>
        <v>3060000</v>
      </c>
    </row>
    <row r="6" spans="1:52" hidden="1">
      <c r="A6" s="551" t="s">
        <v>203</v>
      </c>
      <c r="B6" s="551" t="s">
        <v>958</v>
      </c>
      <c r="C6" s="551" t="s">
        <v>959</v>
      </c>
      <c r="D6" s="551" t="s">
        <v>960</v>
      </c>
      <c r="E6" s="551" t="s">
        <v>961</v>
      </c>
      <c r="F6" s="508" t="s">
        <v>847</v>
      </c>
      <c r="G6" s="508" t="s">
        <v>42</v>
      </c>
      <c r="V6" s="553">
        <f t="shared" si="0"/>
        <v>0</v>
      </c>
      <c r="W6" s="553">
        <f t="shared" si="0"/>
        <v>0</v>
      </c>
      <c r="X6" s="553">
        <f t="shared" si="0"/>
        <v>0</v>
      </c>
      <c r="Y6" s="553">
        <f t="shared" si="1"/>
        <v>0</v>
      </c>
      <c r="Z6" s="553">
        <f t="shared" si="1"/>
        <v>0</v>
      </c>
      <c r="AA6" s="553">
        <f t="shared" si="1"/>
        <v>0</v>
      </c>
      <c r="AB6" s="553">
        <f t="shared" si="2"/>
        <v>0</v>
      </c>
      <c r="AC6" s="553">
        <f t="shared" si="2"/>
        <v>0</v>
      </c>
      <c r="AD6" s="553">
        <f t="shared" si="2"/>
        <v>0</v>
      </c>
      <c r="AE6" s="553">
        <f t="shared" si="3"/>
        <v>0</v>
      </c>
      <c r="AF6" s="553">
        <f t="shared" si="3"/>
        <v>0</v>
      </c>
      <c r="AG6" s="553">
        <f t="shared" si="3"/>
        <v>0</v>
      </c>
      <c r="AH6" s="553">
        <f t="shared" si="4"/>
        <v>0</v>
      </c>
      <c r="AI6" s="553">
        <f t="shared" si="5"/>
        <v>0</v>
      </c>
      <c r="AL6" s="552">
        <f>SUMIFS('Sales T&amp;E &amp; 科室会WP'!$T:$T,'Sales T&amp;E &amp; 科室会WP'!$Q:$Q,$H6)*$I6</f>
        <v>0</v>
      </c>
      <c r="AM6" s="552">
        <f>SUMIFS('Sales T&amp;E &amp; 科室会WP'!$T:$T,'Sales T&amp;E &amp; 科室会WP'!$Q:$Q,$H6)*$I6</f>
        <v>0</v>
      </c>
      <c r="AN6" s="552">
        <f>SUMIFS('Sales T&amp;E &amp; 科室会WP'!$T:$T,'Sales T&amp;E &amp; 科室会WP'!$Q:$Q,$H6)*$I6</f>
        <v>0</v>
      </c>
      <c r="AO6" s="552">
        <f>SUMIFS('Sales T&amp;E &amp; 科室会WP'!$T:$T,'Sales T&amp;E &amp; 科室会WP'!$Q:$Q,$H6)*$J6</f>
        <v>0</v>
      </c>
      <c r="AP6" s="552">
        <f>SUMIFS('Sales T&amp;E &amp; 科室会WP'!$T:$T,'Sales T&amp;E &amp; 科室会WP'!$Q:$Q,$H6)*$J6</f>
        <v>0</v>
      </c>
      <c r="AQ6" s="552">
        <f>SUMIFS('Sales T&amp;E &amp; 科室会WP'!$T:$T,'Sales T&amp;E &amp; 科室会WP'!$Q:$Q,$H6)*$J6</f>
        <v>0</v>
      </c>
      <c r="AR6" s="552">
        <f>SUMIFS('Sales T&amp;E &amp; 科室会WP'!$T:$T,'Sales T&amp;E &amp; 科室会WP'!$Q:$Q,$H6)*$K6</f>
        <v>0</v>
      </c>
      <c r="AS6" s="552">
        <f>SUMIFS('Sales T&amp;E &amp; 科室会WP'!$T:$T,'Sales T&amp;E &amp; 科室会WP'!$Q:$Q,$H6)*$K6</f>
        <v>0</v>
      </c>
      <c r="AT6" s="552">
        <f>SUMIFS('Sales T&amp;E &amp; 科室会WP'!$T:$T,'Sales T&amp;E &amp; 科室会WP'!$Q:$Q,$H6)*$K6</f>
        <v>0</v>
      </c>
      <c r="AU6" s="552">
        <f>SUMIFS('Sales T&amp;E &amp; 科室会WP'!$T:$T,'Sales T&amp;E &amp; 科室会WP'!$Q:$Q,$H6)*$L6</f>
        <v>0</v>
      </c>
      <c r="AV6" s="552">
        <f>SUMIFS('Sales T&amp;E &amp; 科室会WP'!$T:$T,'Sales T&amp;E &amp; 科室会WP'!$Q:$Q,$H6)*$L6</f>
        <v>0</v>
      </c>
      <c r="AW6" s="552">
        <f>SUMIFS('Sales T&amp;E &amp; 科室会WP'!$T:$T,'Sales T&amp;E &amp; 科室会WP'!$Q:$Q,$H6)*$L6</f>
        <v>0</v>
      </c>
      <c r="AX6" s="552">
        <f t="shared" si="6"/>
        <v>0</v>
      </c>
    </row>
    <row r="7" spans="1:52" hidden="1">
      <c r="A7" s="551" t="s">
        <v>203</v>
      </c>
      <c r="B7" s="551" t="s">
        <v>958</v>
      </c>
      <c r="C7" s="551" t="s">
        <v>959</v>
      </c>
      <c r="D7" s="551" t="s">
        <v>960</v>
      </c>
      <c r="E7" s="551" t="s">
        <v>961</v>
      </c>
      <c r="F7" s="508" t="s">
        <v>847</v>
      </c>
      <c r="G7" s="508" t="s">
        <v>42</v>
      </c>
      <c r="H7" s="551" t="s">
        <v>93</v>
      </c>
      <c r="I7" s="551">
        <v>4</v>
      </c>
      <c r="J7" s="551">
        <v>4</v>
      </c>
      <c r="K7" s="551">
        <v>4</v>
      </c>
      <c r="L7" s="551">
        <v>4</v>
      </c>
      <c r="N7" s="552">
        <f>SUMIFS('Sales T&amp;E &amp; 科室会WP'!$N:$N,'Sales T&amp;E &amp; 科室会WP'!$L:$L,$G7,'Sales T&amp;E &amp; 科室会WP'!$M:$M,$H7)*3*I7</f>
        <v>96000</v>
      </c>
      <c r="O7" s="552">
        <f>SUMIFS('Sales T&amp;E &amp; 科室会WP'!$N:$N,'Sales T&amp;E &amp; 科室会WP'!$L:$L,$G7,'Sales T&amp;E &amp; 科室会WP'!$M:$M,$H7)*3*J7</f>
        <v>96000</v>
      </c>
      <c r="P7" s="552">
        <f>SUMIFS('Sales T&amp;E &amp; 科室会WP'!$N:$N,'Sales T&amp;E &amp; 科室会WP'!$L:$L,$G7,'Sales T&amp;E &amp; 科室会WP'!$M:$M,$H7)*3*K7</f>
        <v>96000</v>
      </c>
      <c r="Q7" s="552">
        <f>SUMIFS('Sales T&amp;E &amp; 科室会WP'!$N:$N,'Sales T&amp;E &amp; 科室会WP'!$L:$L,$G7,'Sales T&amp;E &amp; 科室会WP'!$M:$M,$H7)*3*L7</f>
        <v>96000</v>
      </c>
      <c r="R7" s="553">
        <f>SUM(N7:Q7)</f>
        <v>384000</v>
      </c>
      <c r="V7" s="553">
        <f t="shared" si="0"/>
        <v>32000</v>
      </c>
      <c r="W7" s="553">
        <f t="shared" si="0"/>
        <v>32000</v>
      </c>
      <c r="X7" s="553">
        <f t="shared" si="0"/>
        <v>32000</v>
      </c>
      <c r="Y7" s="553">
        <f t="shared" si="1"/>
        <v>32000</v>
      </c>
      <c r="Z7" s="553">
        <f t="shared" si="1"/>
        <v>32000</v>
      </c>
      <c r="AA7" s="553">
        <f t="shared" si="1"/>
        <v>32000</v>
      </c>
      <c r="AB7" s="553">
        <f t="shared" si="2"/>
        <v>32000</v>
      </c>
      <c r="AC7" s="553">
        <f t="shared" si="2"/>
        <v>32000</v>
      </c>
      <c r="AD7" s="553">
        <f t="shared" si="2"/>
        <v>32000</v>
      </c>
      <c r="AE7" s="553">
        <f t="shared" si="3"/>
        <v>32000</v>
      </c>
      <c r="AF7" s="553">
        <f t="shared" si="3"/>
        <v>32000</v>
      </c>
      <c r="AG7" s="553">
        <f t="shared" si="3"/>
        <v>32000</v>
      </c>
      <c r="AH7" s="553">
        <f t="shared" si="4"/>
        <v>384000</v>
      </c>
      <c r="AI7" s="553">
        <f t="shared" si="5"/>
        <v>0</v>
      </c>
      <c r="AL7" s="552">
        <f>SUMIFS('Sales T&amp;E &amp; 科室会WP'!$T:$T,'Sales T&amp;E &amp; 科室会WP'!$Q:$Q,$H7)*$I7</f>
        <v>12000</v>
      </c>
      <c r="AM7" s="552">
        <f>SUMIFS('Sales T&amp;E &amp; 科室会WP'!$T:$T,'Sales T&amp;E &amp; 科室会WP'!$Q:$Q,$H7)*$I7</f>
        <v>12000</v>
      </c>
      <c r="AN7" s="552">
        <f>SUMIFS('Sales T&amp;E &amp; 科室会WP'!$T:$T,'Sales T&amp;E &amp; 科室会WP'!$Q:$Q,$H7)*$I7</f>
        <v>12000</v>
      </c>
      <c r="AO7" s="552">
        <f>SUMIFS('Sales T&amp;E &amp; 科室会WP'!$T:$T,'Sales T&amp;E &amp; 科室会WP'!$Q:$Q,$H7)*$J7</f>
        <v>12000</v>
      </c>
      <c r="AP7" s="552">
        <f>SUMIFS('Sales T&amp;E &amp; 科室会WP'!$T:$T,'Sales T&amp;E &amp; 科室会WP'!$Q:$Q,$H7)*$J7</f>
        <v>12000</v>
      </c>
      <c r="AQ7" s="552">
        <f>SUMIFS('Sales T&amp;E &amp; 科室会WP'!$T:$T,'Sales T&amp;E &amp; 科室会WP'!$Q:$Q,$H7)*$J7</f>
        <v>12000</v>
      </c>
      <c r="AR7" s="552">
        <f>SUMIFS('Sales T&amp;E &amp; 科室会WP'!$T:$T,'Sales T&amp;E &amp; 科室会WP'!$Q:$Q,$H7)*$K7</f>
        <v>12000</v>
      </c>
      <c r="AS7" s="552">
        <f>SUMIFS('Sales T&amp;E &amp; 科室会WP'!$T:$T,'Sales T&amp;E &amp; 科室会WP'!$Q:$Q,$H7)*$K7</f>
        <v>12000</v>
      </c>
      <c r="AT7" s="552">
        <f>SUMIFS('Sales T&amp;E &amp; 科室会WP'!$T:$T,'Sales T&amp;E &amp; 科室会WP'!$Q:$Q,$H7)*$K7</f>
        <v>12000</v>
      </c>
      <c r="AU7" s="552">
        <f>SUMIFS('Sales T&amp;E &amp; 科室会WP'!$T:$T,'Sales T&amp;E &amp; 科室会WP'!$Q:$Q,$H7)*$L7</f>
        <v>12000</v>
      </c>
      <c r="AV7" s="552">
        <f>SUMIFS('Sales T&amp;E &amp; 科室会WP'!$T:$T,'Sales T&amp;E &amp; 科室会WP'!$Q:$Q,$H7)*$L7</f>
        <v>12000</v>
      </c>
      <c r="AW7" s="552">
        <f>SUMIFS('Sales T&amp;E &amp; 科室会WP'!$T:$T,'Sales T&amp;E &amp; 科室会WP'!$Q:$Q,$H7)*$L7</f>
        <v>12000</v>
      </c>
      <c r="AX7" s="552">
        <f t="shared" si="6"/>
        <v>144000</v>
      </c>
    </row>
    <row r="8" spans="1:52" hidden="1">
      <c r="A8" s="551" t="s">
        <v>203</v>
      </c>
      <c r="B8" s="551" t="s">
        <v>958</v>
      </c>
      <c r="C8" s="551" t="s">
        <v>959</v>
      </c>
      <c r="D8" s="551" t="s">
        <v>960</v>
      </c>
      <c r="E8" s="551" t="s">
        <v>961</v>
      </c>
      <c r="F8" s="508" t="s">
        <v>847</v>
      </c>
      <c r="G8" s="508" t="s">
        <v>42</v>
      </c>
      <c r="H8" s="551" t="s">
        <v>94</v>
      </c>
      <c r="I8" s="551">
        <v>12</v>
      </c>
      <c r="J8" s="551">
        <v>12</v>
      </c>
      <c r="K8" s="551">
        <v>12</v>
      </c>
      <c r="L8" s="551">
        <v>12</v>
      </c>
      <c r="N8" s="552">
        <f>SUMIFS('Sales T&amp;E &amp; 科室会WP'!$N:$N,'Sales T&amp;E &amp; 科室会WP'!$L:$L,$G8,'Sales T&amp;E &amp; 科室会WP'!$M:$M,$H8)*3*I8</f>
        <v>180000</v>
      </c>
      <c r="O8" s="552">
        <f>SUMIFS('Sales T&amp;E &amp; 科室会WP'!$N:$N,'Sales T&amp;E &amp; 科室会WP'!$L:$L,$G8,'Sales T&amp;E &amp; 科室会WP'!$M:$M,$H8)*3*J8</f>
        <v>180000</v>
      </c>
      <c r="P8" s="552">
        <f>SUMIFS('Sales T&amp;E &amp; 科室会WP'!$N:$N,'Sales T&amp;E &amp; 科室会WP'!$L:$L,$G8,'Sales T&amp;E &amp; 科室会WP'!$M:$M,$H8)*3*K8</f>
        <v>180000</v>
      </c>
      <c r="Q8" s="552">
        <f>SUMIFS('Sales T&amp;E &amp; 科室会WP'!$N:$N,'Sales T&amp;E &amp; 科室会WP'!$L:$L,$G8,'Sales T&amp;E &amp; 科室会WP'!$M:$M,$H8)*3*L8</f>
        <v>180000</v>
      </c>
      <c r="R8" s="553">
        <f t="shared" ref="R8:R9" si="7">SUM(N8:Q8)</f>
        <v>720000</v>
      </c>
      <c r="V8" s="553">
        <f t="shared" si="0"/>
        <v>60000</v>
      </c>
      <c r="W8" s="553">
        <f t="shared" si="0"/>
        <v>60000</v>
      </c>
      <c r="X8" s="553">
        <f t="shared" si="0"/>
        <v>60000</v>
      </c>
      <c r="Y8" s="553">
        <f t="shared" si="1"/>
        <v>60000</v>
      </c>
      <c r="Z8" s="553">
        <f t="shared" si="1"/>
        <v>60000</v>
      </c>
      <c r="AA8" s="553">
        <f t="shared" si="1"/>
        <v>60000</v>
      </c>
      <c r="AB8" s="553">
        <f t="shared" si="2"/>
        <v>60000</v>
      </c>
      <c r="AC8" s="553">
        <f t="shared" si="2"/>
        <v>60000</v>
      </c>
      <c r="AD8" s="553">
        <f t="shared" si="2"/>
        <v>60000</v>
      </c>
      <c r="AE8" s="553">
        <f t="shared" si="3"/>
        <v>60000</v>
      </c>
      <c r="AF8" s="553">
        <f t="shared" si="3"/>
        <v>60000</v>
      </c>
      <c r="AG8" s="553">
        <f t="shared" si="3"/>
        <v>60000</v>
      </c>
      <c r="AH8" s="553">
        <f t="shared" si="4"/>
        <v>720000</v>
      </c>
      <c r="AI8" s="553">
        <f t="shared" si="5"/>
        <v>0</v>
      </c>
      <c r="AL8" s="552">
        <f>SUMIFS('Sales T&amp;E &amp; 科室会WP'!$T:$T,'Sales T&amp;E &amp; 科室会WP'!$Q:$Q,$H8)*$I8</f>
        <v>36000</v>
      </c>
      <c r="AM8" s="552">
        <f>SUMIFS('Sales T&amp;E &amp; 科室会WP'!$T:$T,'Sales T&amp;E &amp; 科室会WP'!$Q:$Q,$H8)*$I8</f>
        <v>36000</v>
      </c>
      <c r="AN8" s="552">
        <f>SUMIFS('Sales T&amp;E &amp; 科室会WP'!$T:$T,'Sales T&amp;E &amp; 科室会WP'!$Q:$Q,$H8)*$I8</f>
        <v>36000</v>
      </c>
      <c r="AO8" s="552">
        <f>SUMIFS('Sales T&amp;E &amp; 科室会WP'!$T:$T,'Sales T&amp;E &amp; 科室会WP'!$Q:$Q,$H8)*$J8</f>
        <v>36000</v>
      </c>
      <c r="AP8" s="552">
        <f>SUMIFS('Sales T&amp;E &amp; 科室会WP'!$T:$T,'Sales T&amp;E &amp; 科室会WP'!$Q:$Q,$H8)*$J8</f>
        <v>36000</v>
      </c>
      <c r="AQ8" s="552">
        <f>SUMIFS('Sales T&amp;E &amp; 科室会WP'!$T:$T,'Sales T&amp;E &amp; 科室会WP'!$Q:$Q,$H8)*$J8</f>
        <v>36000</v>
      </c>
      <c r="AR8" s="552">
        <f>SUMIFS('Sales T&amp;E &amp; 科室会WP'!$T:$T,'Sales T&amp;E &amp; 科室会WP'!$Q:$Q,$H8)*$K8</f>
        <v>36000</v>
      </c>
      <c r="AS8" s="552">
        <f>SUMIFS('Sales T&amp;E &amp; 科室会WP'!$T:$T,'Sales T&amp;E &amp; 科室会WP'!$Q:$Q,$H8)*$K8</f>
        <v>36000</v>
      </c>
      <c r="AT8" s="552">
        <f>SUMIFS('Sales T&amp;E &amp; 科室会WP'!$T:$T,'Sales T&amp;E &amp; 科室会WP'!$Q:$Q,$H8)*$K8</f>
        <v>36000</v>
      </c>
      <c r="AU8" s="552">
        <f>SUMIFS('Sales T&amp;E &amp; 科室会WP'!$T:$T,'Sales T&amp;E &amp; 科室会WP'!$Q:$Q,$H8)*$L8</f>
        <v>36000</v>
      </c>
      <c r="AV8" s="552">
        <f>SUMIFS('Sales T&amp;E &amp; 科室会WP'!$T:$T,'Sales T&amp;E &amp; 科室会WP'!$Q:$Q,$H8)*$L8</f>
        <v>36000</v>
      </c>
      <c r="AW8" s="552">
        <f>SUMIFS('Sales T&amp;E &amp; 科室会WP'!$T:$T,'Sales T&amp;E &amp; 科室会WP'!$Q:$Q,$H8)*$L8</f>
        <v>36000</v>
      </c>
      <c r="AX8" s="552">
        <f t="shared" si="6"/>
        <v>432000</v>
      </c>
    </row>
    <row r="9" spans="1:52" hidden="1">
      <c r="A9" s="551" t="s">
        <v>203</v>
      </c>
      <c r="B9" s="551" t="s">
        <v>958</v>
      </c>
      <c r="C9" s="551" t="s">
        <v>959</v>
      </c>
      <c r="D9" s="551" t="s">
        <v>960</v>
      </c>
      <c r="E9" s="551" t="s">
        <v>961</v>
      </c>
      <c r="F9" s="508" t="s">
        <v>847</v>
      </c>
      <c r="G9" s="508" t="s">
        <v>42</v>
      </c>
      <c r="H9" s="551" t="s">
        <v>131</v>
      </c>
      <c r="I9" s="551">
        <v>1</v>
      </c>
      <c r="J9" s="551">
        <v>1</v>
      </c>
      <c r="K9" s="551">
        <v>1</v>
      </c>
      <c r="L9" s="551">
        <v>1</v>
      </c>
      <c r="N9" s="552">
        <f>SUMIFS('Sales T&amp;E &amp; 科室会WP'!$N:$N,'Sales T&amp;E &amp; 科室会WP'!$L:$L,$G9,'Sales T&amp;E &amp; 科室会WP'!$M:$M,$H9)*3*I9</f>
        <v>24000</v>
      </c>
      <c r="O9" s="552">
        <f>SUMIFS('Sales T&amp;E &amp; 科室会WP'!$N:$N,'Sales T&amp;E &amp; 科室会WP'!$L:$L,$G9,'Sales T&amp;E &amp; 科室会WP'!$M:$M,$H9)*3*J9</f>
        <v>24000</v>
      </c>
      <c r="P9" s="552">
        <f>SUMIFS('Sales T&amp;E &amp; 科室会WP'!$N:$N,'Sales T&amp;E &amp; 科室会WP'!$L:$L,$G9,'Sales T&amp;E &amp; 科室会WP'!$M:$M,$H9)*3*K9</f>
        <v>24000</v>
      </c>
      <c r="Q9" s="552">
        <f>SUMIFS('Sales T&amp;E &amp; 科室会WP'!$N:$N,'Sales T&amp;E &amp; 科室会WP'!$L:$L,$G9,'Sales T&amp;E &amp; 科室会WP'!$M:$M,$H9)*3*L9</f>
        <v>24000</v>
      </c>
      <c r="R9" s="553">
        <f t="shared" si="7"/>
        <v>96000</v>
      </c>
      <c r="V9" s="553">
        <f t="shared" si="0"/>
        <v>8000</v>
      </c>
      <c r="W9" s="553">
        <f t="shared" si="0"/>
        <v>8000</v>
      </c>
      <c r="X9" s="553">
        <f t="shared" si="0"/>
        <v>8000</v>
      </c>
      <c r="Y9" s="553">
        <f t="shared" si="1"/>
        <v>8000</v>
      </c>
      <c r="Z9" s="553">
        <f t="shared" si="1"/>
        <v>8000</v>
      </c>
      <c r="AA9" s="553">
        <f t="shared" si="1"/>
        <v>8000</v>
      </c>
      <c r="AB9" s="553">
        <f t="shared" si="2"/>
        <v>8000</v>
      </c>
      <c r="AC9" s="553">
        <f t="shared" si="2"/>
        <v>8000</v>
      </c>
      <c r="AD9" s="553">
        <f t="shared" si="2"/>
        <v>8000</v>
      </c>
      <c r="AE9" s="553">
        <f t="shared" si="3"/>
        <v>8000</v>
      </c>
      <c r="AF9" s="553">
        <f t="shared" si="3"/>
        <v>8000</v>
      </c>
      <c r="AG9" s="553">
        <f t="shared" si="3"/>
        <v>8000</v>
      </c>
      <c r="AH9" s="553">
        <f t="shared" si="4"/>
        <v>96000</v>
      </c>
      <c r="AI9" s="553">
        <f t="shared" si="5"/>
        <v>0</v>
      </c>
      <c r="AL9" s="552">
        <f>SUMIFS('Sales T&amp;E &amp; 科室会WP'!$T:$T,'Sales T&amp;E &amp; 科室会WP'!$Q:$Q,$H9)*$I9</f>
        <v>3000</v>
      </c>
      <c r="AM9" s="552">
        <f>SUMIFS('Sales T&amp;E &amp; 科室会WP'!$T:$T,'Sales T&amp;E &amp; 科室会WP'!$Q:$Q,$H9)*$I9</f>
        <v>3000</v>
      </c>
      <c r="AN9" s="552">
        <f>SUMIFS('Sales T&amp;E &amp; 科室会WP'!$T:$T,'Sales T&amp;E &amp; 科室会WP'!$Q:$Q,$H9)*$I9</f>
        <v>3000</v>
      </c>
      <c r="AO9" s="552">
        <f>SUMIFS('Sales T&amp;E &amp; 科室会WP'!$T:$T,'Sales T&amp;E &amp; 科室会WP'!$Q:$Q,$H9)*$J9</f>
        <v>3000</v>
      </c>
      <c r="AP9" s="552">
        <f>SUMIFS('Sales T&amp;E &amp; 科室会WP'!$T:$T,'Sales T&amp;E &amp; 科室会WP'!$Q:$Q,$H9)*$J9</f>
        <v>3000</v>
      </c>
      <c r="AQ9" s="552">
        <f>SUMIFS('Sales T&amp;E &amp; 科室会WP'!$T:$T,'Sales T&amp;E &amp; 科室会WP'!$Q:$Q,$H9)*$J9</f>
        <v>3000</v>
      </c>
      <c r="AR9" s="552">
        <f>SUMIFS('Sales T&amp;E &amp; 科室会WP'!$T:$T,'Sales T&amp;E &amp; 科室会WP'!$Q:$Q,$H9)*$K9</f>
        <v>3000</v>
      </c>
      <c r="AS9" s="552">
        <f>SUMIFS('Sales T&amp;E &amp; 科室会WP'!$T:$T,'Sales T&amp;E &amp; 科室会WP'!$Q:$Q,$H9)*$K9</f>
        <v>3000</v>
      </c>
      <c r="AT9" s="552">
        <f>SUMIFS('Sales T&amp;E &amp; 科室会WP'!$T:$T,'Sales T&amp;E &amp; 科室会WP'!$Q:$Q,$H9)*$K9</f>
        <v>3000</v>
      </c>
      <c r="AU9" s="552">
        <f>SUMIFS('Sales T&amp;E &amp; 科室会WP'!$T:$T,'Sales T&amp;E &amp; 科室会WP'!$Q:$Q,$H9)*$L9</f>
        <v>3000</v>
      </c>
      <c r="AV9" s="552">
        <f>SUMIFS('Sales T&amp;E &amp; 科室会WP'!$T:$T,'Sales T&amp;E &amp; 科室会WP'!$Q:$Q,$H9)*$L9</f>
        <v>3000</v>
      </c>
      <c r="AW9" s="552">
        <f>SUMIFS('Sales T&amp;E &amp; 科室会WP'!$T:$T,'Sales T&amp;E &amp; 科室会WP'!$Q:$Q,$H9)*$L9</f>
        <v>3000</v>
      </c>
      <c r="AX9" s="552">
        <f t="shared" si="6"/>
        <v>36000</v>
      </c>
    </row>
    <row r="10" spans="1:52" hidden="1">
      <c r="A10" s="551" t="s">
        <v>203</v>
      </c>
      <c r="B10" s="551" t="s">
        <v>958</v>
      </c>
      <c r="C10" s="551" t="s">
        <v>959</v>
      </c>
      <c r="D10" s="551" t="s">
        <v>960</v>
      </c>
      <c r="E10" s="551" t="s">
        <v>962</v>
      </c>
      <c r="F10" s="508" t="s">
        <v>865</v>
      </c>
      <c r="G10" s="508" t="s">
        <v>42</v>
      </c>
      <c r="V10" s="553">
        <f t="shared" si="0"/>
        <v>0</v>
      </c>
      <c r="W10" s="553">
        <f t="shared" si="0"/>
        <v>0</v>
      </c>
      <c r="X10" s="553">
        <f t="shared" si="0"/>
        <v>0</v>
      </c>
      <c r="Y10" s="553">
        <f t="shared" si="1"/>
        <v>0</v>
      </c>
      <c r="Z10" s="553">
        <f t="shared" si="1"/>
        <v>0</v>
      </c>
      <c r="AA10" s="553">
        <f t="shared" si="1"/>
        <v>0</v>
      </c>
      <c r="AB10" s="553">
        <f t="shared" si="2"/>
        <v>0</v>
      </c>
      <c r="AC10" s="553">
        <f t="shared" si="2"/>
        <v>0</v>
      </c>
      <c r="AD10" s="553">
        <f t="shared" si="2"/>
        <v>0</v>
      </c>
      <c r="AE10" s="553">
        <f t="shared" si="3"/>
        <v>0</v>
      </c>
      <c r="AF10" s="553">
        <f t="shared" si="3"/>
        <v>0</v>
      </c>
      <c r="AG10" s="553">
        <f t="shared" si="3"/>
        <v>0</v>
      </c>
      <c r="AH10" s="553">
        <f t="shared" si="4"/>
        <v>0</v>
      </c>
      <c r="AI10" s="553">
        <f t="shared" si="5"/>
        <v>0</v>
      </c>
      <c r="AL10" s="552">
        <f>SUMIFS('Sales T&amp;E &amp; 科室会WP'!$T:$T,'Sales T&amp;E &amp; 科室会WP'!$Q:$Q,$H10)*$I10</f>
        <v>0</v>
      </c>
      <c r="AM10" s="552">
        <f>SUMIFS('Sales T&amp;E &amp; 科室会WP'!$T:$T,'Sales T&amp;E &amp; 科室会WP'!$Q:$Q,$H10)*$I10</f>
        <v>0</v>
      </c>
      <c r="AN10" s="552">
        <f>SUMIFS('Sales T&amp;E &amp; 科室会WP'!$T:$T,'Sales T&amp;E &amp; 科室会WP'!$Q:$Q,$H10)*$I10</f>
        <v>0</v>
      </c>
      <c r="AO10" s="552">
        <f>SUMIFS('Sales T&amp;E &amp; 科室会WP'!$T:$T,'Sales T&amp;E &amp; 科室会WP'!$Q:$Q,$H10)*$J10</f>
        <v>0</v>
      </c>
      <c r="AP10" s="552">
        <f>SUMIFS('Sales T&amp;E &amp; 科室会WP'!$T:$T,'Sales T&amp;E &amp; 科室会WP'!$Q:$Q,$H10)*$J10</f>
        <v>0</v>
      </c>
      <c r="AQ10" s="552">
        <f>SUMIFS('Sales T&amp;E &amp; 科室会WP'!$T:$T,'Sales T&amp;E &amp; 科室会WP'!$Q:$Q,$H10)*$J10</f>
        <v>0</v>
      </c>
      <c r="AR10" s="552">
        <f>SUMIFS('Sales T&amp;E &amp; 科室会WP'!$T:$T,'Sales T&amp;E &amp; 科室会WP'!$Q:$Q,$H10)*$K10</f>
        <v>0</v>
      </c>
      <c r="AS10" s="552">
        <f>SUMIFS('Sales T&amp;E &amp; 科室会WP'!$T:$T,'Sales T&amp;E &amp; 科室会WP'!$Q:$Q,$H10)*$K10</f>
        <v>0</v>
      </c>
      <c r="AT10" s="552">
        <f>SUMIFS('Sales T&amp;E &amp; 科室会WP'!$T:$T,'Sales T&amp;E &amp; 科室会WP'!$Q:$Q,$H10)*$K10</f>
        <v>0</v>
      </c>
      <c r="AU10" s="552">
        <f>SUMIFS('Sales T&amp;E &amp; 科室会WP'!$T:$T,'Sales T&amp;E &amp; 科室会WP'!$Q:$Q,$H10)*$L10</f>
        <v>0</v>
      </c>
      <c r="AV10" s="552">
        <f>SUMIFS('Sales T&amp;E &amp; 科室会WP'!$T:$T,'Sales T&amp;E &amp; 科室会WP'!$Q:$Q,$H10)*$L10</f>
        <v>0</v>
      </c>
      <c r="AW10" s="552">
        <f>SUMIFS('Sales T&amp;E &amp; 科室会WP'!$T:$T,'Sales T&amp;E &amp; 科室会WP'!$Q:$Q,$H10)*$L10</f>
        <v>0</v>
      </c>
      <c r="AX10" s="552">
        <f t="shared" si="6"/>
        <v>0</v>
      </c>
    </row>
    <row r="11" spans="1:52" hidden="1">
      <c r="A11" s="551" t="s">
        <v>203</v>
      </c>
      <c r="B11" s="551" t="s">
        <v>958</v>
      </c>
      <c r="C11" s="551" t="s">
        <v>959</v>
      </c>
      <c r="D11" s="551" t="s">
        <v>960</v>
      </c>
      <c r="E11" s="551" t="s">
        <v>962</v>
      </c>
      <c r="F11" s="508" t="s">
        <v>865</v>
      </c>
      <c r="G11" s="508" t="s">
        <v>42</v>
      </c>
      <c r="H11" s="551" t="s">
        <v>93</v>
      </c>
      <c r="I11" s="551">
        <v>3</v>
      </c>
      <c r="J11" s="551">
        <v>3</v>
      </c>
      <c r="K11" s="551">
        <v>3</v>
      </c>
      <c r="L11" s="551">
        <v>3</v>
      </c>
      <c r="N11" s="552">
        <f>SUMIFS('Sales T&amp;E &amp; 科室会WP'!$N:$N,'Sales T&amp;E &amp; 科室会WP'!$L:$L,$G11,'Sales T&amp;E &amp; 科室会WP'!$M:$M,$H11)*3*I11</f>
        <v>72000</v>
      </c>
      <c r="O11" s="552">
        <f>SUMIFS('Sales T&amp;E &amp; 科室会WP'!$N:$N,'Sales T&amp;E &amp; 科室会WP'!$L:$L,$G11,'Sales T&amp;E &amp; 科室会WP'!$M:$M,$H11)*3*J11</f>
        <v>72000</v>
      </c>
      <c r="P11" s="552">
        <f>SUMIFS('Sales T&amp;E &amp; 科室会WP'!$N:$N,'Sales T&amp;E &amp; 科室会WP'!$L:$L,$G11,'Sales T&amp;E &amp; 科室会WP'!$M:$M,$H11)*3*K11</f>
        <v>72000</v>
      </c>
      <c r="Q11" s="552">
        <f>SUMIFS('Sales T&amp;E &amp; 科室会WP'!$N:$N,'Sales T&amp;E &amp; 科室会WP'!$L:$L,$G11,'Sales T&amp;E &amp; 科室会WP'!$M:$M,$H11)*3*L11</f>
        <v>72000</v>
      </c>
      <c r="R11" s="553">
        <f t="shared" ref="R11:R41" si="8">SUM(N11:Q11)</f>
        <v>288000</v>
      </c>
      <c r="V11" s="553">
        <f t="shared" si="0"/>
        <v>24000</v>
      </c>
      <c r="W11" s="553">
        <f t="shared" si="0"/>
        <v>24000</v>
      </c>
      <c r="X11" s="553">
        <f t="shared" si="0"/>
        <v>24000</v>
      </c>
      <c r="Y11" s="553">
        <f t="shared" si="1"/>
        <v>24000</v>
      </c>
      <c r="Z11" s="553">
        <f t="shared" si="1"/>
        <v>24000</v>
      </c>
      <c r="AA11" s="553">
        <f t="shared" si="1"/>
        <v>24000</v>
      </c>
      <c r="AB11" s="553">
        <f t="shared" si="2"/>
        <v>24000</v>
      </c>
      <c r="AC11" s="553">
        <f t="shared" si="2"/>
        <v>24000</v>
      </c>
      <c r="AD11" s="553">
        <f t="shared" si="2"/>
        <v>24000</v>
      </c>
      <c r="AE11" s="553">
        <f t="shared" si="3"/>
        <v>24000</v>
      </c>
      <c r="AF11" s="553">
        <f t="shared" si="3"/>
        <v>24000</v>
      </c>
      <c r="AG11" s="553">
        <f t="shared" si="3"/>
        <v>24000</v>
      </c>
      <c r="AH11" s="553">
        <f t="shared" si="4"/>
        <v>288000</v>
      </c>
      <c r="AI11" s="553">
        <f t="shared" si="5"/>
        <v>0</v>
      </c>
      <c r="AL11" s="552">
        <f>SUMIFS('Sales T&amp;E &amp; 科室会WP'!$T:$T,'Sales T&amp;E &amp; 科室会WP'!$Q:$Q,$H11)*$I11</f>
        <v>9000</v>
      </c>
      <c r="AM11" s="552">
        <f>SUMIFS('Sales T&amp;E &amp; 科室会WP'!$T:$T,'Sales T&amp;E &amp; 科室会WP'!$Q:$Q,$H11)*$I11</f>
        <v>9000</v>
      </c>
      <c r="AN11" s="552">
        <f>SUMIFS('Sales T&amp;E &amp; 科室会WP'!$T:$T,'Sales T&amp;E &amp; 科室会WP'!$Q:$Q,$H11)*$I11</f>
        <v>9000</v>
      </c>
      <c r="AO11" s="552">
        <f>SUMIFS('Sales T&amp;E &amp; 科室会WP'!$T:$T,'Sales T&amp;E &amp; 科室会WP'!$Q:$Q,$H11)*$J11</f>
        <v>9000</v>
      </c>
      <c r="AP11" s="552">
        <f>SUMIFS('Sales T&amp;E &amp; 科室会WP'!$T:$T,'Sales T&amp;E &amp; 科室会WP'!$Q:$Q,$H11)*$J11</f>
        <v>9000</v>
      </c>
      <c r="AQ11" s="552">
        <f>SUMIFS('Sales T&amp;E &amp; 科室会WP'!$T:$T,'Sales T&amp;E &amp; 科室会WP'!$Q:$Q,$H11)*$J11</f>
        <v>9000</v>
      </c>
      <c r="AR11" s="552">
        <f>SUMIFS('Sales T&amp;E &amp; 科室会WP'!$T:$T,'Sales T&amp;E &amp; 科室会WP'!$Q:$Q,$H11)*$K11</f>
        <v>9000</v>
      </c>
      <c r="AS11" s="552">
        <f>SUMIFS('Sales T&amp;E &amp; 科室会WP'!$T:$T,'Sales T&amp;E &amp; 科室会WP'!$Q:$Q,$H11)*$K11</f>
        <v>9000</v>
      </c>
      <c r="AT11" s="552">
        <f>SUMIFS('Sales T&amp;E &amp; 科室会WP'!$T:$T,'Sales T&amp;E &amp; 科室会WP'!$Q:$Q,$H11)*$K11</f>
        <v>9000</v>
      </c>
      <c r="AU11" s="552">
        <f>SUMIFS('Sales T&amp;E &amp; 科室会WP'!$T:$T,'Sales T&amp;E &amp; 科室会WP'!$Q:$Q,$H11)*$L11</f>
        <v>9000</v>
      </c>
      <c r="AV11" s="552">
        <f>SUMIFS('Sales T&amp;E &amp; 科室会WP'!$T:$T,'Sales T&amp;E &amp; 科室会WP'!$Q:$Q,$H11)*$L11</f>
        <v>9000</v>
      </c>
      <c r="AW11" s="552">
        <f>SUMIFS('Sales T&amp;E &amp; 科室会WP'!$T:$T,'Sales T&amp;E &amp; 科室会WP'!$Q:$Q,$H11)*$L11</f>
        <v>9000</v>
      </c>
      <c r="AX11" s="552">
        <f t="shared" si="6"/>
        <v>108000</v>
      </c>
    </row>
    <row r="12" spans="1:52" hidden="1">
      <c r="A12" s="551" t="s">
        <v>203</v>
      </c>
      <c r="B12" s="551" t="s">
        <v>958</v>
      </c>
      <c r="C12" s="551" t="s">
        <v>959</v>
      </c>
      <c r="D12" s="551" t="s">
        <v>960</v>
      </c>
      <c r="E12" s="551" t="s">
        <v>962</v>
      </c>
      <c r="F12" s="508" t="s">
        <v>865</v>
      </c>
      <c r="G12" s="508" t="s">
        <v>42</v>
      </c>
      <c r="H12" s="551" t="s">
        <v>94</v>
      </c>
      <c r="I12" s="551">
        <v>14</v>
      </c>
      <c r="J12" s="551">
        <v>14</v>
      </c>
      <c r="K12" s="551">
        <v>14</v>
      </c>
      <c r="L12" s="551">
        <v>14</v>
      </c>
      <c r="N12" s="552">
        <f>SUMIFS('Sales T&amp;E &amp; 科室会WP'!$N:$N,'Sales T&amp;E &amp; 科室会WP'!$L:$L,$G12,'Sales T&amp;E &amp; 科室会WP'!$M:$M,$H12)*3*I12</f>
        <v>210000</v>
      </c>
      <c r="O12" s="552">
        <f>SUMIFS('Sales T&amp;E &amp; 科室会WP'!$N:$N,'Sales T&amp;E &amp; 科室会WP'!$L:$L,$G12,'Sales T&amp;E &amp; 科室会WP'!$M:$M,$H12)*3*J12</f>
        <v>210000</v>
      </c>
      <c r="P12" s="552">
        <f>SUMIFS('Sales T&amp;E &amp; 科室会WP'!$N:$N,'Sales T&amp;E &amp; 科室会WP'!$L:$L,$G12,'Sales T&amp;E &amp; 科室会WP'!$M:$M,$H12)*3*K12</f>
        <v>210000</v>
      </c>
      <c r="Q12" s="552">
        <f>SUMIFS('Sales T&amp;E &amp; 科室会WP'!$N:$N,'Sales T&amp;E &amp; 科室会WP'!$L:$L,$G12,'Sales T&amp;E &amp; 科室会WP'!$M:$M,$H12)*3*L12</f>
        <v>210000</v>
      </c>
      <c r="R12" s="553">
        <f t="shared" si="8"/>
        <v>840000</v>
      </c>
      <c r="V12" s="553">
        <f t="shared" si="0"/>
        <v>70000</v>
      </c>
      <c r="W12" s="553">
        <f t="shared" si="0"/>
        <v>70000</v>
      </c>
      <c r="X12" s="553">
        <f t="shared" si="0"/>
        <v>70000</v>
      </c>
      <c r="Y12" s="553">
        <f t="shared" si="1"/>
        <v>70000</v>
      </c>
      <c r="Z12" s="553">
        <f t="shared" si="1"/>
        <v>70000</v>
      </c>
      <c r="AA12" s="553">
        <f t="shared" si="1"/>
        <v>70000</v>
      </c>
      <c r="AB12" s="553">
        <f t="shared" si="2"/>
        <v>70000</v>
      </c>
      <c r="AC12" s="553">
        <f t="shared" si="2"/>
        <v>70000</v>
      </c>
      <c r="AD12" s="553">
        <f t="shared" si="2"/>
        <v>70000</v>
      </c>
      <c r="AE12" s="553">
        <f t="shared" si="3"/>
        <v>70000</v>
      </c>
      <c r="AF12" s="553">
        <f t="shared" si="3"/>
        <v>70000</v>
      </c>
      <c r="AG12" s="553">
        <f t="shared" si="3"/>
        <v>70000</v>
      </c>
      <c r="AH12" s="553">
        <f t="shared" si="4"/>
        <v>840000</v>
      </c>
      <c r="AI12" s="553">
        <f t="shared" si="5"/>
        <v>0</v>
      </c>
      <c r="AL12" s="552">
        <f>SUMIFS('Sales T&amp;E &amp; 科室会WP'!$T:$T,'Sales T&amp;E &amp; 科室会WP'!$Q:$Q,$H12)*$I12</f>
        <v>42000</v>
      </c>
      <c r="AM12" s="552">
        <f>SUMIFS('Sales T&amp;E &amp; 科室会WP'!$T:$T,'Sales T&amp;E &amp; 科室会WP'!$Q:$Q,$H12)*$I12</f>
        <v>42000</v>
      </c>
      <c r="AN12" s="552">
        <f>SUMIFS('Sales T&amp;E &amp; 科室会WP'!$T:$T,'Sales T&amp;E &amp; 科室会WP'!$Q:$Q,$H12)*$I12</f>
        <v>42000</v>
      </c>
      <c r="AO12" s="552">
        <f>SUMIFS('Sales T&amp;E &amp; 科室会WP'!$T:$T,'Sales T&amp;E &amp; 科室会WP'!$Q:$Q,$H12)*$J12</f>
        <v>42000</v>
      </c>
      <c r="AP12" s="552">
        <f>SUMIFS('Sales T&amp;E &amp; 科室会WP'!$T:$T,'Sales T&amp;E &amp; 科室会WP'!$Q:$Q,$H12)*$J12</f>
        <v>42000</v>
      </c>
      <c r="AQ12" s="552">
        <f>SUMIFS('Sales T&amp;E &amp; 科室会WP'!$T:$T,'Sales T&amp;E &amp; 科室会WP'!$Q:$Q,$H12)*$J12</f>
        <v>42000</v>
      </c>
      <c r="AR12" s="552">
        <f>SUMIFS('Sales T&amp;E &amp; 科室会WP'!$T:$T,'Sales T&amp;E &amp; 科室会WP'!$Q:$Q,$H12)*$K12</f>
        <v>42000</v>
      </c>
      <c r="AS12" s="552">
        <f>SUMIFS('Sales T&amp;E &amp; 科室会WP'!$T:$T,'Sales T&amp;E &amp; 科室会WP'!$Q:$Q,$H12)*$K12</f>
        <v>42000</v>
      </c>
      <c r="AT12" s="552">
        <f>SUMIFS('Sales T&amp;E &amp; 科室会WP'!$T:$T,'Sales T&amp;E &amp; 科室会WP'!$Q:$Q,$H12)*$K12</f>
        <v>42000</v>
      </c>
      <c r="AU12" s="552">
        <f>SUMIFS('Sales T&amp;E &amp; 科室会WP'!$T:$T,'Sales T&amp;E &amp; 科室会WP'!$Q:$Q,$H12)*$L12</f>
        <v>42000</v>
      </c>
      <c r="AV12" s="552">
        <f>SUMIFS('Sales T&amp;E &amp; 科室会WP'!$T:$T,'Sales T&amp;E &amp; 科室会WP'!$Q:$Q,$H12)*$L12</f>
        <v>42000</v>
      </c>
      <c r="AW12" s="552">
        <f>SUMIFS('Sales T&amp;E &amp; 科室会WP'!$T:$T,'Sales T&amp;E &amp; 科室会WP'!$Q:$Q,$H12)*$L12</f>
        <v>42000</v>
      </c>
      <c r="AX12" s="552">
        <f t="shared" si="6"/>
        <v>504000</v>
      </c>
    </row>
    <row r="13" spans="1:52" hidden="1">
      <c r="A13" s="551" t="s">
        <v>203</v>
      </c>
      <c r="B13" s="551" t="s">
        <v>958</v>
      </c>
      <c r="C13" s="551" t="s">
        <v>959</v>
      </c>
      <c r="D13" s="551" t="s">
        <v>960</v>
      </c>
      <c r="E13" s="551" t="s">
        <v>962</v>
      </c>
      <c r="F13" s="508" t="s">
        <v>865</v>
      </c>
      <c r="G13" s="508" t="s">
        <v>42</v>
      </c>
      <c r="H13" s="551" t="s">
        <v>131</v>
      </c>
      <c r="I13" s="551">
        <v>1</v>
      </c>
      <c r="J13" s="551">
        <v>1</v>
      </c>
      <c r="K13" s="551">
        <v>1</v>
      </c>
      <c r="L13" s="551">
        <v>1</v>
      </c>
      <c r="N13" s="552">
        <f>SUMIFS('Sales T&amp;E &amp; 科室会WP'!$N:$N,'Sales T&amp;E &amp; 科室会WP'!$L:$L,$G13,'Sales T&amp;E &amp; 科室会WP'!$M:$M,$H13)*3*I13</f>
        <v>24000</v>
      </c>
      <c r="O13" s="552">
        <f>SUMIFS('Sales T&amp;E &amp; 科室会WP'!$N:$N,'Sales T&amp;E &amp; 科室会WP'!$L:$L,$G13,'Sales T&amp;E &amp; 科室会WP'!$M:$M,$H13)*3*J13</f>
        <v>24000</v>
      </c>
      <c r="P13" s="552">
        <f>SUMIFS('Sales T&amp;E &amp; 科室会WP'!$N:$N,'Sales T&amp;E &amp; 科室会WP'!$L:$L,$G13,'Sales T&amp;E &amp; 科室会WP'!$M:$M,$H13)*3*K13</f>
        <v>24000</v>
      </c>
      <c r="Q13" s="552">
        <f>SUMIFS('Sales T&amp;E &amp; 科室会WP'!$N:$N,'Sales T&amp;E &amp; 科室会WP'!$L:$L,$G13,'Sales T&amp;E &amp; 科室会WP'!$M:$M,$H13)*3*L13</f>
        <v>24000</v>
      </c>
      <c r="R13" s="553">
        <f t="shared" si="8"/>
        <v>96000</v>
      </c>
      <c r="V13" s="553">
        <f t="shared" si="0"/>
        <v>8000</v>
      </c>
      <c r="W13" s="553">
        <f t="shared" si="0"/>
        <v>8000</v>
      </c>
      <c r="X13" s="553">
        <f t="shared" si="0"/>
        <v>8000</v>
      </c>
      <c r="Y13" s="553">
        <f t="shared" si="1"/>
        <v>8000</v>
      </c>
      <c r="Z13" s="553">
        <f t="shared" si="1"/>
        <v>8000</v>
      </c>
      <c r="AA13" s="553">
        <f t="shared" si="1"/>
        <v>8000</v>
      </c>
      <c r="AB13" s="553">
        <f t="shared" si="2"/>
        <v>8000</v>
      </c>
      <c r="AC13" s="553">
        <f t="shared" si="2"/>
        <v>8000</v>
      </c>
      <c r="AD13" s="553">
        <f t="shared" si="2"/>
        <v>8000</v>
      </c>
      <c r="AE13" s="553">
        <f t="shared" si="3"/>
        <v>8000</v>
      </c>
      <c r="AF13" s="553">
        <f t="shared" si="3"/>
        <v>8000</v>
      </c>
      <c r="AG13" s="553">
        <f t="shared" si="3"/>
        <v>8000</v>
      </c>
      <c r="AH13" s="553">
        <f t="shared" si="4"/>
        <v>96000</v>
      </c>
      <c r="AI13" s="553">
        <f t="shared" si="5"/>
        <v>0</v>
      </c>
      <c r="AL13" s="552">
        <f>SUMIFS('Sales T&amp;E &amp; 科室会WP'!$T:$T,'Sales T&amp;E &amp; 科室会WP'!$Q:$Q,$H13)*$I13</f>
        <v>3000</v>
      </c>
      <c r="AM13" s="552">
        <f>SUMIFS('Sales T&amp;E &amp; 科室会WP'!$T:$T,'Sales T&amp;E &amp; 科室会WP'!$Q:$Q,$H13)*$I13</f>
        <v>3000</v>
      </c>
      <c r="AN13" s="552">
        <f>SUMIFS('Sales T&amp;E &amp; 科室会WP'!$T:$T,'Sales T&amp;E &amp; 科室会WP'!$Q:$Q,$H13)*$I13</f>
        <v>3000</v>
      </c>
      <c r="AO13" s="552">
        <f>SUMIFS('Sales T&amp;E &amp; 科室会WP'!$T:$T,'Sales T&amp;E &amp; 科室会WP'!$Q:$Q,$H13)*$J13</f>
        <v>3000</v>
      </c>
      <c r="AP13" s="552">
        <f>SUMIFS('Sales T&amp;E &amp; 科室会WP'!$T:$T,'Sales T&amp;E &amp; 科室会WP'!$Q:$Q,$H13)*$J13</f>
        <v>3000</v>
      </c>
      <c r="AQ13" s="552">
        <f>SUMIFS('Sales T&amp;E &amp; 科室会WP'!$T:$T,'Sales T&amp;E &amp; 科室会WP'!$Q:$Q,$H13)*$J13</f>
        <v>3000</v>
      </c>
      <c r="AR13" s="552">
        <f>SUMIFS('Sales T&amp;E &amp; 科室会WP'!$T:$T,'Sales T&amp;E &amp; 科室会WP'!$Q:$Q,$H13)*$K13</f>
        <v>3000</v>
      </c>
      <c r="AS13" s="552">
        <f>SUMIFS('Sales T&amp;E &amp; 科室会WP'!$T:$T,'Sales T&amp;E &amp; 科室会WP'!$Q:$Q,$H13)*$K13</f>
        <v>3000</v>
      </c>
      <c r="AT13" s="552">
        <f>SUMIFS('Sales T&amp;E &amp; 科室会WP'!$T:$T,'Sales T&amp;E &amp; 科室会WP'!$Q:$Q,$H13)*$K13</f>
        <v>3000</v>
      </c>
      <c r="AU13" s="552">
        <f>SUMIFS('Sales T&amp;E &amp; 科室会WP'!$T:$T,'Sales T&amp;E &amp; 科室会WP'!$Q:$Q,$H13)*$L13</f>
        <v>3000</v>
      </c>
      <c r="AV13" s="552">
        <f>SUMIFS('Sales T&amp;E &amp; 科室会WP'!$T:$T,'Sales T&amp;E &amp; 科室会WP'!$Q:$Q,$H13)*$L13</f>
        <v>3000</v>
      </c>
      <c r="AW13" s="552">
        <f>SUMIFS('Sales T&amp;E &amp; 科室会WP'!$T:$T,'Sales T&amp;E &amp; 科室会WP'!$Q:$Q,$H13)*$L13</f>
        <v>3000</v>
      </c>
      <c r="AX13" s="552">
        <f t="shared" si="6"/>
        <v>36000</v>
      </c>
    </row>
    <row r="14" spans="1:52" hidden="1">
      <c r="A14" s="551" t="s">
        <v>203</v>
      </c>
      <c r="B14" s="551" t="s">
        <v>958</v>
      </c>
      <c r="C14" s="551" t="s">
        <v>959</v>
      </c>
      <c r="D14" s="551" t="s">
        <v>960</v>
      </c>
      <c r="E14" s="551" t="s">
        <v>963</v>
      </c>
      <c r="F14" s="508" t="s">
        <v>976</v>
      </c>
      <c r="G14" s="508" t="s">
        <v>42</v>
      </c>
      <c r="H14" s="551" t="s">
        <v>93</v>
      </c>
      <c r="I14" s="551">
        <v>3</v>
      </c>
      <c r="J14" s="551">
        <v>3</v>
      </c>
      <c r="K14" s="551">
        <v>3</v>
      </c>
      <c r="L14" s="551">
        <v>3</v>
      </c>
      <c r="N14" s="552">
        <f>SUMIFS('Sales T&amp;E &amp; 科室会WP'!$N:$N,'Sales T&amp;E &amp; 科室会WP'!$L:$L,$G14,'Sales T&amp;E &amp; 科室会WP'!$M:$M,$H14)*3*I14</f>
        <v>72000</v>
      </c>
      <c r="O14" s="552">
        <f>SUMIFS('Sales T&amp;E &amp; 科室会WP'!$N:$N,'Sales T&amp;E &amp; 科室会WP'!$L:$L,$G14,'Sales T&amp;E &amp; 科室会WP'!$M:$M,$H14)*3*J14</f>
        <v>72000</v>
      </c>
      <c r="P14" s="552">
        <f>SUMIFS('Sales T&amp;E &amp; 科室会WP'!$N:$N,'Sales T&amp;E &amp; 科室会WP'!$L:$L,$G14,'Sales T&amp;E &amp; 科室会WP'!$M:$M,$H14)*3*K14</f>
        <v>72000</v>
      </c>
      <c r="Q14" s="552">
        <f>SUMIFS('Sales T&amp;E &amp; 科室会WP'!$N:$N,'Sales T&amp;E &amp; 科室会WP'!$L:$L,$G14,'Sales T&amp;E &amp; 科室会WP'!$M:$M,$H14)*3*L14</f>
        <v>72000</v>
      </c>
      <c r="R14" s="553">
        <f t="shared" si="8"/>
        <v>288000</v>
      </c>
      <c r="V14" s="553">
        <f t="shared" si="0"/>
        <v>24000</v>
      </c>
      <c r="W14" s="553">
        <f t="shared" si="0"/>
        <v>24000</v>
      </c>
      <c r="X14" s="553">
        <f t="shared" si="0"/>
        <v>24000</v>
      </c>
      <c r="Y14" s="553">
        <f t="shared" si="1"/>
        <v>24000</v>
      </c>
      <c r="Z14" s="553">
        <f t="shared" si="1"/>
        <v>24000</v>
      </c>
      <c r="AA14" s="553">
        <f t="shared" si="1"/>
        <v>24000</v>
      </c>
      <c r="AB14" s="553">
        <f t="shared" si="2"/>
        <v>24000</v>
      </c>
      <c r="AC14" s="553">
        <f t="shared" si="2"/>
        <v>24000</v>
      </c>
      <c r="AD14" s="553">
        <f t="shared" si="2"/>
        <v>24000</v>
      </c>
      <c r="AE14" s="553">
        <f t="shared" si="3"/>
        <v>24000</v>
      </c>
      <c r="AF14" s="553">
        <f t="shared" si="3"/>
        <v>24000</v>
      </c>
      <c r="AG14" s="553">
        <f t="shared" si="3"/>
        <v>24000</v>
      </c>
      <c r="AH14" s="553">
        <f t="shared" si="4"/>
        <v>288000</v>
      </c>
      <c r="AI14" s="553">
        <f t="shared" si="5"/>
        <v>0</v>
      </c>
      <c r="AL14" s="552">
        <f>SUMIFS('Sales T&amp;E &amp; 科室会WP'!$T:$T,'Sales T&amp;E &amp; 科室会WP'!$Q:$Q,$H14)*$I14</f>
        <v>9000</v>
      </c>
      <c r="AM14" s="552">
        <f>SUMIFS('Sales T&amp;E &amp; 科室会WP'!$T:$T,'Sales T&amp;E &amp; 科室会WP'!$Q:$Q,$H14)*$I14</f>
        <v>9000</v>
      </c>
      <c r="AN14" s="552">
        <f>SUMIFS('Sales T&amp;E &amp; 科室会WP'!$T:$T,'Sales T&amp;E &amp; 科室会WP'!$Q:$Q,$H14)*$I14</f>
        <v>9000</v>
      </c>
      <c r="AO14" s="552">
        <f>SUMIFS('Sales T&amp;E &amp; 科室会WP'!$T:$T,'Sales T&amp;E &amp; 科室会WP'!$Q:$Q,$H14)*$J14</f>
        <v>9000</v>
      </c>
      <c r="AP14" s="552">
        <f>SUMIFS('Sales T&amp;E &amp; 科室会WP'!$T:$T,'Sales T&amp;E &amp; 科室会WP'!$Q:$Q,$H14)*$J14</f>
        <v>9000</v>
      </c>
      <c r="AQ14" s="552">
        <f>SUMIFS('Sales T&amp;E &amp; 科室会WP'!$T:$T,'Sales T&amp;E &amp; 科室会WP'!$Q:$Q,$H14)*$J14</f>
        <v>9000</v>
      </c>
      <c r="AR14" s="552">
        <f>SUMIFS('Sales T&amp;E &amp; 科室会WP'!$T:$T,'Sales T&amp;E &amp; 科室会WP'!$Q:$Q,$H14)*$K14</f>
        <v>9000</v>
      </c>
      <c r="AS14" s="552">
        <f>SUMIFS('Sales T&amp;E &amp; 科室会WP'!$T:$T,'Sales T&amp;E &amp; 科室会WP'!$Q:$Q,$H14)*$K14</f>
        <v>9000</v>
      </c>
      <c r="AT14" s="552">
        <f>SUMIFS('Sales T&amp;E &amp; 科室会WP'!$T:$T,'Sales T&amp;E &amp; 科室会WP'!$Q:$Q,$H14)*$K14</f>
        <v>9000</v>
      </c>
      <c r="AU14" s="552">
        <f>SUMIFS('Sales T&amp;E &amp; 科室会WP'!$T:$T,'Sales T&amp;E &amp; 科室会WP'!$Q:$Q,$H14)*$L14</f>
        <v>9000</v>
      </c>
      <c r="AV14" s="552">
        <f>SUMIFS('Sales T&amp;E &amp; 科室会WP'!$T:$T,'Sales T&amp;E &amp; 科室会WP'!$Q:$Q,$H14)*$L14</f>
        <v>9000</v>
      </c>
      <c r="AW14" s="552">
        <f>SUMIFS('Sales T&amp;E &amp; 科室会WP'!$T:$T,'Sales T&amp;E &amp; 科室会WP'!$Q:$Q,$H14)*$L14</f>
        <v>9000</v>
      </c>
      <c r="AX14" s="552">
        <f t="shared" si="6"/>
        <v>108000</v>
      </c>
    </row>
    <row r="15" spans="1:52" hidden="1">
      <c r="A15" s="551" t="s">
        <v>203</v>
      </c>
      <c r="B15" s="551" t="s">
        <v>958</v>
      </c>
      <c r="C15" s="551" t="s">
        <v>959</v>
      </c>
      <c r="D15" s="551" t="s">
        <v>960</v>
      </c>
      <c r="E15" s="551" t="s">
        <v>963</v>
      </c>
      <c r="F15" s="508" t="s">
        <v>976</v>
      </c>
      <c r="G15" s="508" t="s">
        <v>42</v>
      </c>
      <c r="H15" s="551" t="s">
        <v>94</v>
      </c>
      <c r="I15" s="551">
        <v>15</v>
      </c>
      <c r="J15" s="551">
        <v>15</v>
      </c>
      <c r="K15" s="551">
        <v>15</v>
      </c>
      <c r="L15" s="551">
        <v>15</v>
      </c>
      <c r="N15" s="552">
        <f>SUMIFS('Sales T&amp;E &amp; 科室会WP'!$N:$N,'Sales T&amp;E &amp; 科室会WP'!$L:$L,$G15,'Sales T&amp;E &amp; 科室会WP'!$M:$M,$H15)*3*I15</f>
        <v>225000</v>
      </c>
      <c r="O15" s="552">
        <f>SUMIFS('Sales T&amp;E &amp; 科室会WP'!$N:$N,'Sales T&amp;E &amp; 科室会WP'!$L:$L,$G15,'Sales T&amp;E &amp; 科室会WP'!$M:$M,$H15)*3*J15</f>
        <v>225000</v>
      </c>
      <c r="P15" s="552">
        <f>SUMIFS('Sales T&amp;E &amp; 科室会WP'!$N:$N,'Sales T&amp;E &amp; 科室会WP'!$L:$L,$G15,'Sales T&amp;E &amp; 科室会WP'!$M:$M,$H15)*3*K15</f>
        <v>225000</v>
      </c>
      <c r="Q15" s="552">
        <f>SUMIFS('Sales T&amp;E &amp; 科室会WP'!$N:$N,'Sales T&amp;E &amp; 科室会WP'!$L:$L,$G15,'Sales T&amp;E &amp; 科室会WP'!$M:$M,$H15)*3*L15</f>
        <v>225000</v>
      </c>
      <c r="R15" s="553">
        <f t="shared" si="8"/>
        <v>900000</v>
      </c>
      <c r="V15" s="553">
        <f t="shared" si="0"/>
        <v>75000</v>
      </c>
      <c r="W15" s="553">
        <f t="shared" si="0"/>
        <v>75000</v>
      </c>
      <c r="X15" s="553">
        <f t="shared" si="0"/>
        <v>75000</v>
      </c>
      <c r="Y15" s="553">
        <f t="shared" si="1"/>
        <v>75000</v>
      </c>
      <c r="Z15" s="553">
        <f t="shared" si="1"/>
        <v>75000</v>
      </c>
      <c r="AA15" s="553">
        <f t="shared" si="1"/>
        <v>75000</v>
      </c>
      <c r="AB15" s="553">
        <f t="shared" si="2"/>
        <v>75000</v>
      </c>
      <c r="AC15" s="553">
        <f t="shared" si="2"/>
        <v>75000</v>
      </c>
      <c r="AD15" s="553">
        <f t="shared" si="2"/>
        <v>75000</v>
      </c>
      <c r="AE15" s="553">
        <f t="shared" si="3"/>
        <v>75000</v>
      </c>
      <c r="AF15" s="553">
        <f t="shared" si="3"/>
        <v>75000</v>
      </c>
      <c r="AG15" s="553">
        <f t="shared" si="3"/>
        <v>75000</v>
      </c>
      <c r="AH15" s="553">
        <f t="shared" si="4"/>
        <v>900000</v>
      </c>
      <c r="AI15" s="553">
        <f t="shared" si="5"/>
        <v>0</v>
      </c>
      <c r="AL15" s="552">
        <f>SUMIFS('Sales T&amp;E &amp; 科室会WP'!$T:$T,'Sales T&amp;E &amp; 科室会WP'!$Q:$Q,$H15)*$I15</f>
        <v>45000</v>
      </c>
      <c r="AM15" s="552">
        <f>SUMIFS('Sales T&amp;E &amp; 科室会WP'!$T:$T,'Sales T&amp;E &amp; 科室会WP'!$Q:$Q,$H15)*$I15</f>
        <v>45000</v>
      </c>
      <c r="AN15" s="552">
        <f>SUMIFS('Sales T&amp;E &amp; 科室会WP'!$T:$T,'Sales T&amp;E &amp; 科室会WP'!$Q:$Q,$H15)*$I15</f>
        <v>45000</v>
      </c>
      <c r="AO15" s="552">
        <f>SUMIFS('Sales T&amp;E &amp; 科室会WP'!$T:$T,'Sales T&amp;E &amp; 科室会WP'!$Q:$Q,$H15)*$J15</f>
        <v>45000</v>
      </c>
      <c r="AP15" s="552">
        <f>SUMIFS('Sales T&amp;E &amp; 科室会WP'!$T:$T,'Sales T&amp;E &amp; 科室会WP'!$Q:$Q,$H15)*$J15</f>
        <v>45000</v>
      </c>
      <c r="AQ15" s="552">
        <f>SUMIFS('Sales T&amp;E &amp; 科室会WP'!$T:$T,'Sales T&amp;E &amp; 科室会WP'!$Q:$Q,$H15)*$J15</f>
        <v>45000</v>
      </c>
      <c r="AR15" s="552">
        <f>SUMIFS('Sales T&amp;E &amp; 科室会WP'!$T:$T,'Sales T&amp;E &amp; 科室会WP'!$Q:$Q,$H15)*$K15</f>
        <v>45000</v>
      </c>
      <c r="AS15" s="552">
        <f>SUMIFS('Sales T&amp;E &amp; 科室会WP'!$T:$T,'Sales T&amp;E &amp; 科室会WP'!$Q:$Q,$H15)*$K15</f>
        <v>45000</v>
      </c>
      <c r="AT15" s="552">
        <f>SUMIFS('Sales T&amp;E &amp; 科室会WP'!$T:$T,'Sales T&amp;E &amp; 科室会WP'!$Q:$Q,$H15)*$K15</f>
        <v>45000</v>
      </c>
      <c r="AU15" s="552">
        <f>SUMIFS('Sales T&amp;E &amp; 科室会WP'!$T:$T,'Sales T&amp;E &amp; 科室会WP'!$Q:$Q,$H15)*$L15</f>
        <v>45000</v>
      </c>
      <c r="AV15" s="552">
        <f>SUMIFS('Sales T&amp;E &amp; 科室会WP'!$T:$T,'Sales T&amp;E &amp; 科室会WP'!$Q:$Q,$H15)*$L15</f>
        <v>45000</v>
      </c>
      <c r="AW15" s="552">
        <f>SUMIFS('Sales T&amp;E &amp; 科室会WP'!$T:$T,'Sales T&amp;E &amp; 科室会WP'!$Q:$Q,$H15)*$L15</f>
        <v>45000</v>
      </c>
      <c r="AX15" s="552">
        <f t="shared" si="6"/>
        <v>540000</v>
      </c>
    </row>
    <row r="16" spans="1:52" hidden="1">
      <c r="A16" s="551" t="s">
        <v>203</v>
      </c>
      <c r="B16" s="551" t="s">
        <v>958</v>
      </c>
      <c r="C16" s="551" t="s">
        <v>959</v>
      </c>
      <c r="D16" s="551" t="s">
        <v>960</v>
      </c>
      <c r="E16" s="551" t="s">
        <v>963</v>
      </c>
      <c r="F16" s="508" t="s">
        <v>976</v>
      </c>
      <c r="G16" s="508" t="s">
        <v>42</v>
      </c>
      <c r="H16" s="551" t="s">
        <v>131</v>
      </c>
      <c r="I16" s="551">
        <v>1</v>
      </c>
      <c r="J16" s="551">
        <v>1</v>
      </c>
      <c r="K16" s="551">
        <v>1</v>
      </c>
      <c r="L16" s="551">
        <v>1</v>
      </c>
      <c r="N16" s="552">
        <f>SUMIFS('Sales T&amp;E &amp; 科室会WP'!$N:$N,'Sales T&amp;E &amp; 科室会WP'!$L:$L,$G16,'Sales T&amp;E &amp; 科室会WP'!$M:$M,$H16)*3*I16</f>
        <v>24000</v>
      </c>
      <c r="O16" s="552">
        <f>SUMIFS('Sales T&amp;E &amp; 科室会WP'!$N:$N,'Sales T&amp;E &amp; 科室会WP'!$L:$L,$G16,'Sales T&amp;E &amp; 科室会WP'!$M:$M,$H16)*3*J16</f>
        <v>24000</v>
      </c>
      <c r="P16" s="552">
        <f>SUMIFS('Sales T&amp;E &amp; 科室会WP'!$N:$N,'Sales T&amp;E &amp; 科室会WP'!$L:$L,$G16,'Sales T&amp;E &amp; 科室会WP'!$M:$M,$H16)*3*K16</f>
        <v>24000</v>
      </c>
      <c r="Q16" s="552">
        <f>SUMIFS('Sales T&amp;E &amp; 科室会WP'!$N:$N,'Sales T&amp;E &amp; 科室会WP'!$L:$L,$G16,'Sales T&amp;E &amp; 科室会WP'!$M:$M,$H16)*3*L16</f>
        <v>24000</v>
      </c>
      <c r="R16" s="553">
        <f t="shared" si="8"/>
        <v>96000</v>
      </c>
      <c r="V16" s="553">
        <f t="shared" si="0"/>
        <v>8000</v>
      </c>
      <c r="W16" s="553">
        <f t="shared" si="0"/>
        <v>8000</v>
      </c>
      <c r="X16" s="553">
        <f t="shared" si="0"/>
        <v>8000</v>
      </c>
      <c r="Y16" s="553">
        <f t="shared" si="1"/>
        <v>8000</v>
      </c>
      <c r="Z16" s="553">
        <f t="shared" si="1"/>
        <v>8000</v>
      </c>
      <c r="AA16" s="553">
        <f t="shared" si="1"/>
        <v>8000</v>
      </c>
      <c r="AB16" s="553">
        <f t="shared" si="2"/>
        <v>8000</v>
      </c>
      <c r="AC16" s="553">
        <f t="shared" si="2"/>
        <v>8000</v>
      </c>
      <c r="AD16" s="553">
        <f t="shared" si="2"/>
        <v>8000</v>
      </c>
      <c r="AE16" s="553">
        <f t="shared" si="3"/>
        <v>8000</v>
      </c>
      <c r="AF16" s="553">
        <f t="shared" si="3"/>
        <v>8000</v>
      </c>
      <c r="AG16" s="553">
        <f t="shared" si="3"/>
        <v>8000</v>
      </c>
      <c r="AH16" s="553">
        <f t="shared" si="4"/>
        <v>96000</v>
      </c>
      <c r="AI16" s="553">
        <f t="shared" si="5"/>
        <v>0</v>
      </c>
      <c r="AL16" s="552">
        <f>SUMIFS('Sales T&amp;E &amp; 科室会WP'!$T:$T,'Sales T&amp;E &amp; 科室会WP'!$Q:$Q,$H16)*$I16</f>
        <v>3000</v>
      </c>
      <c r="AM16" s="552">
        <f>SUMIFS('Sales T&amp;E &amp; 科室会WP'!$T:$T,'Sales T&amp;E &amp; 科室会WP'!$Q:$Q,$H16)*$I16</f>
        <v>3000</v>
      </c>
      <c r="AN16" s="552">
        <f>SUMIFS('Sales T&amp;E &amp; 科室会WP'!$T:$T,'Sales T&amp;E &amp; 科室会WP'!$Q:$Q,$H16)*$I16</f>
        <v>3000</v>
      </c>
      <c r="AO16" s="552">
        <f>SUMIFS('Sales T&amp;E &amp; 科室会WP'!$T:$T,'Sales T&amp;E &amp; 科室会WP'!$Q:$Q,$H16)*$J16</f>
        <v>3000</v>
      </c>
      <c r="AP16" s="552">
        <f>SUMIFS('Sales T&amp;E &amp; 科室会WP'!$T:$T,'Sales T&amp;E &amp; 科室会WP'!$Q:$Q,$H16)*$J16</f>
        <v>3000</v>
      </c>
      <c r="AQ16" s="552">
        <f>SUMIFS('Sales T&amp;E &amp; 科室会WP'!$T:$T,'Sales T&amp;E &amp; 科室会WP'!$Q:$Q,$H16)*$J16</f>
        <v>3000</v>
      </c>
      <c r="AR16" s="552">
        <f>SUMIFS('Sales T&amp;E &amp; 科室会WP'!$T:$T,'Sales T&amp;E &amp; 科室会WP'!$Q:$Q,$H16)*$K16</f>
        <v>3000</v>
      </c>
      <c r="AS16" s="552">
        <f>SUMIFS('Sales T&amp;E &amp; 科室会WP'!$T:$T,'Sales T&amp;E &amp; 科室会WP'!$Q:$Q,$H16)*$K16</f>
        <v>3000</v>
      </c>
      <c r="AT16" s="552">
        <f>SUMIFS('Sales T&amp;E &amp; 科室会WP'!$T:$T,'Sales T&amp;E &amp; 科室会WP'!$Q:$Q,$H16)*$K16</f>
        <v>3000</v>
      </c>
      <c r="AU16" s="552">
        <f>SUMIFS('Sales T&amp;E &amp; 科室会WP'!$T:$T,'Sales T&amp;E &amp; 科室会WP'!$Q:$Q,$H16)*$L16</f>
        <v>3000</v>
      </c>
      <c r="AV16" s="552">
        <f>SUMIFS('Sales T&amp;E &amp; 科室会WP'!$T:$T,'Sales T&amp;E &amp; 科室会WP'!$Q:$Q,$H16)*$L16</f>
        <v>3000</v>
      </c>
      <c r="AW16" s="552">
        <f>SUMIFS('Sales T&amp;E &amp; 科室会WP'!$T:$T,'Sales T&amp;E &amp; 科室会WP'!$Q:$Q,$H16)*$L16</f>
        <v>3000</v>
      </c>
      <c r="AX16" s="552">
        <f t="shared" si="6"/>
        <v>36000</v>
      </c>
    </row>
    <row r="17" spans="1:50" hidden="1">
      <c r="A17" s="551" t="s">
        <v>203</v>
      </c>
      <c r="B17" s="551" t="s">
        <v>958</v>
      </c>
      <c r="C17" s="551" t="s">
        <v>959</v>
      </c>
      <c r="D17" s="551" t="s">
        <v>960</v>
      </c>
      <c r="E17" s="551" t="s">
        <v>964</v>
      </c>
      <c r="F17" s="551" t="s">
        <v>977</v>
      </c>
      <c r="G17" s="508" t="s">
        <v>42</v>
      </c>
      <c r="N17" s="552">
        <f>SUMIFS('Sales T&amp;E &amp; 科室会WP'!$N:$N,'Sales T&amp;E &amp; 科室会WP'!$L:$L,$G17,'Sales T&amp;E &amp; 科室会WP'!$M:$M,$H17)*3*I17</f>
        <v>0</v>
      </c>
      <c r="O17" s="552">
        <f>SUMIFS('Sales T&amp;E &amp; 科室会WP'!$N:$N,'Sales T&amp;E &amp; 科室会WP'!$L:$L,$G17,'Sales T&amp;E &amp; 科室会WP'!$M:$M,$H17)*3*J17</f>
        <v>0</v>
      </c>
      <c r="P17" s="552">
        <f>SUMIFS('Sales T&amp;E &amp; 科室会WP'!$N:$N,'Sales T&amp;E &amp; 科室会WP'!$L:$L,$G17,'Sales T&amp;E &amp; 科室会WP'!$M:$M,$H17)*3*K17</f>
        <v>0</v>
      </c>
      <c r="Q17" s="552">
        <f>SUMIFS('Sales T&amp;E &amp; 科室会WP'!$N:$N,'Sales T&amp;E &amp; 科室会WP'!$L:$L,$G17,'Sales T&amp;E &amp; 科室会WP'!$M:$M,$H17)*3*L17</f>
        <v>0</v>
      </c>
      <c r="R17" s="553">
        <f t="shared" si="8"/>
        <v>0</v>
      </c>
      <c r="V17" s="553">
        <f t="shared" si="0"/>
        <v>0</v>
      </c>
      <c r="W17" s="553">
        <f t="shared" si="0"/>
        <v>0</v>
      </c>
      <c r="X17" s="553">
        <f t="shared" si="0"/>
        <v>0</v>
      </c>
      <c r="Y17" s="553">
        <f t="shared" si="1"/>
        <v>0</v>
      </c>
      <c r="Z17" s="553">
        <f t="shared" si="1"/>
        <v>0</v>
      </c>
      <c r="AA17" s="553">
        <f t="shared" si="1"/>
        <v>0</v>
      </c>
      <c r="AB17" s="553">
        <f t="shared" si="2"/>
        <v>0</v>
      </c>
      <c r="AC17" s="553">
        <f t="shared" si="2"/>
        <v>0</v>
      </c>
      <c r="AD17" s="553">
        <f t="shared" si="2"/>
        <v>0</v>
      </c>
      <c r="AE17" s="553">
        <f t="shared" si="3"/>
        <v>0</v>
      </c>
      <c r="AF17" s="553">
        <f t="shared" si="3"/>
        <v>0</v>
      </c>
      <c r="AG17" s="553">
        <f t="shared" si="3"/>
        <v>0</v>
      </c>
      <c r="AH17" s="553">
        <f t="shared" si="4"/>
        <v>0</v>
      </c>
      <c r="AI17" s="553">
        <f t="shared" si="5"/>
        <v>0</v>
      </c>
      <c r="AL17" s="552">
        <f>SUMIFS('Sales T&amp;E &amp; 科室会WP'!$T:$T,'Sales T&amp;E &amp; 科室会WP'!$Q:$Q,$H17)*$I17</f>
        <v>0</v>
      </c>
      <c r="AM17" s="552">
        <f>SUMIFS('Sales T&amp;E &amp; 科室会WP'!$T:$T,'Sales T&amp;E &amp; 科室会WP'!$Q:$Q,$H17)*$I17</f>
        <v>0</v>
      </c>
      <c r="AN17" s="552">
        <f>SUMIFS('Sales T&amp;E &amp; 科室会WP'!$T:$T,'Sales T&amp;E &amp; 科室会WP'!$Q:$Q,$H17)*$I17</f>
        <v>0</v>
      </c>
      <c r="AO17" s="552">
        <f>SUMIFS('Sales T&amp;E &amp; 科室会WP'!$T:$T,'Sales T&amp;E &amp; 科室会WP'!$Q:$Q,$H17)*$J17</f>
        <v>0</v>
      </c>
      <c r="AP17" s="552">
        <f>SUMIFS('Sales T&amp;E &amp; 科室会WP'!$T:$T,'Sales T&amp;E &amp; 科室会WP'!$Q:$Q,$H17)*$J17</f>
        <v>0</v>
      </c>
      <c r="AQ17" s="552">
        <f>SUMIFS('Sales T&amp;E &amp; 科室会WP'!$T:$T,'Sales T&amp;E &amp; 科室会WP'!$Q:$Q,$H17)*$J17</f>
        <v>0</v>
      </c>
      <c r="AR17" s="552">
        <f>SUMIFS('Sales T&amp;E &amp; 科室会WP'!$T:$T,'Sales T&amp;E &amp; 科室会WP'!$Q:$Q,$H17)*$K17</f>
        <v>0</v>
      </c>
      <c r="AS17" s="552">
        <f>SUMIFS('Sales T&amp;E &amp; 科室会WP'!$T:$T,'Sales T&amp;E &amp; 科室会WP'!$Q:$Q,$H17)*$K17</f>
        <v>0</v>
      </c>
      <c r="AT17" s="552">
        <f>SUMIFS('Sales T&amp;E &amp; 科室会WP'!$T:$T,'Sales T&amp;E &amp; 科室会WP'!$Q:$Q,$H17)*$K17</f>
        <v>0</v>
      </c>
      <c r="AU17" s="552">
        <f>SUMIFS('Sales T&amp;E &amp; 科室会WP'!$T:$T,'Sales T&amp;E &amp; 科室会WP'!$Q:$Q,$H17)*$L17</f>
        <v>0</v>
      </c>
      <c r="AV17" s="552">
        <f>SUMIFS('Sales T&amp;E &amp; 科室会WP'!$T:$T,'Sales T&amp;E &amp; 科室会WP'!$Q:$Q,$H17)*$L17</f>
        <v>0</v>
      </c>
      <c r="AW17" s="552">
        <f>SUMIFS('Sales T&amp;E &amp; 科室会WP'!$T:$T,'Sales T&amp;E &amp; 科室会WP'!$Q:$Q,$H17)*$L17</f>
        <v>0</v>
      </c>
      <c r="AX17" s="552">
        <f t="shared" si="6"/>
        <v>0</v>
      </c>
    </row>
    <row r="18" spans="1:50" hidden="1">
      <c r="A18" s="551" t="s">
        <v>203</v>
      </c>
      <c r="B18" s="551" t="s">
        <v>958</v>
      </c>
      <c r="C18" s="551" t="s">
        <v>959</v>
      </c>
      <c r="D18" s="551" t="s">
        <v>960</v>
      </c>
      <c r="E18" s="551" t="s">
        <v>964</v>
      </c>
      <c r="F18" s="551" t="s">
        <v>977</v>
      </c>
      <c r="G18" s="508" t="s">
        <v>42</v>
      </c>
      <c r="H18" s="551" t="s">
        <v>93</v>
      </c>
      <c r="I18" s="551">
        <v>2</v>
      </c>
      <c r="J18" s="551">
        <v>2</v>
      </c>
      <c r="K18" s="551">
        <v>2</v>
      </c>
      <c r="L18" s="551">
        <v>2</v>
      </c>
      <c r="N18" s="552">
        <f>SUMIFS('Sales T&amp;E &amp; 科室会WP'!$N:$N,'Sales T&amp;E &amp; 科室会WP'!$L:$L,$G18,'Sales T&amp;E &amp; 科室会WP'!$M:$M,$H18)*3*I18</f>
        <v>48000</v>
      </c>
      <c r="O18" s="552">
        <f>SUMIFS('Sales T&amp;E &amp; 科室会WP'!$N:$N,'Sales T&amp;E &amp; 科室会WP'!$L:$L,$G18,'Sales T&amp;E &amp; 科室会WP'!$M:$M,$H18)*3*J18</f>
        <v>48000</v>
      </c>
      <c r="P18" s="552">
        <f>SUMIFS('Sales T&amp;E &amp; 科室会WP'!$N:$N,'Sales T&amp;E &amp; 科室会WP'!$L:$L,$G18,'Sales T&amp;E &amp; 科室会WP'!$M:$M,$H18)*3*K18</f>
        <v>48000</v>
      </c>
      <c r="Q18" s="552">
        <f>SUMIFS('Sales T&amp;E &amp; 科室会WP'!$N:$N,'Sales T&amp;E &amp; 科室会WP'!$L:$L,$G18,'Sales T&amp;E &amp; 科室会WP'!$M:$M,$H18)*3*L18</f>
        <v>48000</v>
      </c>
      <c r="R18" s="553">
        <f t="shared" si="8"/>
        <v>192000</v>
      </c>
      <c r="V18" s="553">
        <f t="shared" si="0"/>
        <v>16000</v>
      </c>
      <c r="W18" s="553">
        <f t="shared" si="0"/>
        <v>16000</v>
      </c>
      <c r="X18" s="553">
        <f t="shared" si="0"/>
        <v>16000</v>
      </c>
      <c r="Y18" s="553">
        <f t="shared" si="1"/>
        <v>16000</v>
      </c>
      <c r="Z18" s="553">
        <f t="shared" si="1"/>
        <v>16000</v>
      </c>
      <c r="AA18" s="553">
        <f t="shared" si="1"/>
        <v>16000</v>
      </c>
      <c r="AB18" s="553">
        <f t="shared" si="2"/>
        <v>16000</v>
      </c>
      <c r="AC18" s="553">
        <f t="shared" si="2"/>
        <v>16000</v>
      </c>
      <c r="AD18" s="553">
        <f t="shared" si="2"/>
        <v>16000</v>
      </c>
      <c r="AE18" s="553">
        <f t="shared" si="3"/>
        <v>16000</v>
      </c>
      <c r="AF18" s="553">
        <f t="shared" si="3"/>
        <v>16000</v>
      </c>
      <c r="AG18" s="553">
        <f t="shared" si="3"/>
        <v>16000</v>
      </c>
      <c r="AH18" s="553">
        <f t="shared" si="4"/>
        <v>192000</v>
      </c>
      <c r="AI18" s="553">
        <f t="shared" si="5"/>
        <v>0</v>
      </c>
      <c r="AL18" s="552">
        <f>SUMIFS('Sales T&amp;E &amp; 科室会WP'!$T:$T,'Sales T&amp;E &amp; 科室会WP'!$Q:$Q,$H18)*$I18</f>
        <v>6000</v>
      </c>
      <c r="AM18" s="552">
        <f>SUMIFS('Sales T&amp;E &amp; 科室会WP'!$T:$T,'Sales T&amp;E &amp; 科室会WP'!$Q:$Q,$H18)*$I18</f>
        <v>6000</v>
      </c>
      <c r="AN18" s="552">
        <f>SUMIFS('Sales T&amp;E &amp; 科室会WP'!$T:$T,'Sales T&amp;E &amp; 科室会WP'!$Q:$Q,$H18)*$I18</f>
        <v>6000</v>
      </c>
      <c r="AO18" s="552">
        <f>SUMIFS('Sales T&amp;E &amp; 科室会WP'!$T:$T,'Sales T&amp;E &amp; 科室会WP'!$Q:$Q,$H18)*$J18</f>
        <v>6000</v>
      </c>
      <c r="AP18" s="552">
        <f>SUMIFS('Sales T&amp;E &amp; 科室会WP'!$T:$T,'Sales T&amp;E &amp; 科室会WP'!$Q:$Q,$H18)*$J18</f>
        <v>6000</v>
      </c>
      <c r="AQ18" s="552">
        <f>SUMIFS('Sales T&amp;E &amp; 科室会WP'!$T:$T,'Sales T&amp;E &amp; 科室会WP'!$Q:$Q,$H18)*$J18</f>
        <v>6000</v>
      </c>
      <c r="AR18" s="552">
        <f>SUMIFS('Sales T&amp;E &amp; 科室会WP'!$T:$T,'Sales T&amp;E &amp; 科室会WP'!$Q:$Q,$H18)*$K18</f>
        <v>6000</v>
      </c>
      <c r="AS18" s="552">
        <f>SUMIFS('Sales T&amp;E &amp; 科室会WP'!$T:$T,'Sales T&amp;E &amp; 科室会WP'!$Q:$Q,$H18)*$K18</f>
        <v>6000</v>
      </c>
      <c r="AT18" s="552">
        <f>SUMIFS('Sales T&amp;E &amp; 科室会WP'!$T:$T,'Sales T&amp;E &amp; 科室会WP'!$Q:$Q,$H18)*$K18</f>
        <v>6000</v>
      </c>
      <c r="AU18" s="552">
        <f>SUMIFS('Sales T&amp;E &amp; 科室会WP'!$T:$T,'Sales T&amp;E &amp; 科室会WP'!$Q:$Q,$H18)*$L18</f>
        <v>6000</v>
      </c>
      <c r="AV18" s="552">
        <f>SUMIFS('Sales T&amp;E &amp; 科室会WP'!$T:$T,'Sales T&amp;E &amp; 科室会WP'!$Q:$Q,$H18)*$L18</f>
        <v>6000</v>
      </c>
      <c r="AW18" s="552">
        <f>SUMIFS('Sales T&amp;E &amp; 科室会WP'!$T:$T,'Sales T&amp;E &amp; 科室会WP'!$Q:$Q,$H18)*$L18</f>
        <v>6000</v>
      </c>
      <c r="AX18" s="552">
        <f t="shared" si="6"/>
        <v>72000</v>
      </c>
    </row>
    <row r="19" spans="1:50" hidden="1">
      <c r="A19" s="551" t="s">
        <v>203</v>
      </c>
      <c r="B19" s="551" t="s">
        <v>958</v>
      </c>
      <c r="C19" s="551" t="s">
        <v>959</v>
      </c>
      <c r="D19" s="551" t="s">
        <v>960</v>
      </c>
      <c r="E19" s="551" t="s">
        <v>964</v>
      </c>
      <c r="F19" s="551" t="s">
        <v>977</v>
      </c>
      <c r="G19" s="508" t="s">
        <v>42</v>
      </c>
      <c r="H19" s="551" t="s">
        <v>94</v>
      </c>
      <c r="I19" s="551">
        <v>13</v>
      </c>
      <c r="J19" s="551">
        <v>13</v>
      </c>
      <c r="K19" s="551">
        <v>13</v>
      </c>
      <c r="L19" s="551">
        <v>13</v>
      </c>
      <c r="N19" s="552">
        <f>SUMIFS('Sales T&amp;E &amp; 科室会WP'!$N:$N,'Sales T&amp;E &amp; 科室会WP'!$L:$L,$G19,'Sales T&amp;E &amp; 科室会WP'!$M:$M,$H19)*3*I19</f>
        <v>195000</v>
      </c>
      <c r="O19" s="552">
        <f>SUMIFS('Sales T&amp;E &amp; 科室会WP'!$N:$N,'Sales T&amp;E &amp; 科室会WP'!$L:$L,$G19,'Sales T&amp;E &amp; 科室会WP'!$M:$M,$H19)*3*J19</f>
        <v>195000</v>
      </c>
      <c r="P19" s="552">
        <f>SUMIFS('Sales T&amp;E &amp; 科室会WP'!$N:$N,'Sales T&amp;E &amp; 科室会WP'!$L:$L,$G19,'Sales T&amp;E &amp; 科室会WP'!$M:$M,$H19)*3*K19</f>
        <v>195000</v>
      </c>
      <c r="Q19" s="552">
        <f>SUMIFS('Sales T&amp;E &amp; 科室会WP'!$N:$N,'Sales T&amp;E &amp; 科室会WP'!$L:$L,$G19,'Sales T&amp;E &amp; 科室会WP'!$M:$M,$H19)*3*L19</f>
        <v>195000</v>
      </c>
      <c r="R19" s="553">
        <f t="shared" si="8"/>
        <v>780000</v>
      </c>
      <c r="V19" s="553">
        <f t="shared" ref="V19:X50" si="9">$N19/3</f>
        <v>65000</v>
      </c>
      <c r="W19" s="553">
        <f t="shared" si="9"/>
        <v>65000</v>
      </c>
      <c r="X19" s="553">
        <f t="shared" si="9"/>
        <v>65000</v>
      </c>
      <c r="Y19" s="553">
        <f t="shared" ref="Y19:AA50" si="10">$O19/3</f>
        <v>65000</v>
      </c>
      <c r="Z19" s="553">
        <f t="shared" si="10"/>
        <v>65000</v>
      </c>
      <c r="AA19" s="553">
        <f t="shared" si="10"/>
        <v>65000</v>
      </c>
      <c r="AB19" s="553">
        <f t="shared" ref="AB19:AD50" si="11">$P19/3</f>
        <v>65000</v>
      </c>
      <c r="AC19" s="553">
        <f t="shared" si="11"/>
        <v>65000</v>
      </c>
      <c r="AD19" s="553">
        <f t="shared" si="11"/>
        <v>65000</v>
      </c>
      <c r="AE19" s="553">
        <f t="shared" ref="AE19:AG50" si="12">$Q19/3</f>
        <v>65000</v>
      </c>
      <c r="AF19" s="553">
        <f t="shared" si="12"/>
        <v>65000</v>
      </c>
      <c r="AG19" s="553">
        <f t="shared" si="12"/>
        <v>65000</v>
      </c>
      <c r="AH19" s="553">
        <f t="shared" si="4"/>
        <v>780000</v>
      </c>
      <c r="AI19" s="553">
        <f t="shared" si="5"/>
        <v>0</v>
      </c>
      <c r="AL19" s="552">
        <f>SUMIFS('Sales T&amp;E &amp; 科室会WP'!$T:$T,'Sales T&amp;E &amp; 科室会WP'!$Q:$Q,$H19)*$I19</f>
        <v>39000</v>
      </c>
      <c r="AM19" s="552">
        <f>SUMIFS('Sales T&amp;E &amp; 科室会WP'!$T:$T,'Sales T&amp;E &amp; 科室会WP'!$Q:$Q,$H19)*$I19</f>
        <v>39000</v>
      </c>
      <c r="AN19" s="552">
        <f>SUMIFS('Sales T&amp;E &amp; 科室会WP'!$T:$T,'Sales T&amp;E &amp; 科室会WP'!$Q:$Q,$H19)*$I19</f>
        <v>39000</v>
      </c>
      <c r="AO19" s="552">
        <f>SUMIFS('Sales T&amp;E &amp; 科室会WP'!$T:$T,'Sales T&amp;E &amp; 科室会WP'!$Q:$Q,$H19)*$J19</f>
        <v>39000</v>
      </c>
      <c r="AP19" s="552">
        <f>SUMIFS('Sales T&amp;E &amp; 科室会WP'!$T:$T,'Sales T&amp;E &amp; 科室会WP'!$Q:$Q,$H19)*$J19</f>
        <v>39000</v>
      </c>
      <c r="AQ19" s="552">
        <f>SUMIFS('Sales T&amp;E &amp; 科室会WP'!$T:$T,'Sales T&amp;E &amp; 科室会WP'!$Q:$Q,$H19)*$J19</f>
        <v>39000</v>
      </c>
      <c r="AR19" s="552">
        <f>SUMIFS('Sales T&amp;E &amp; 科室会WP'!$T:$T,'Sales T&amp;E &amp; 科室会WP'!$Q:$Q,$H19)*$K19</f>
        <v>39000</v>
      </c>
      <c r="AS19" s="552">
        <f>SUMIFS('Sales T&amp;E &amp; 科室会WP'!$T:$T,'Sales T&amp;E &amp; 科室会WP'!$Q:$Q,$H19)*$K19</f>
        <v>39000</v>
      </c>
      <c r="AT19" s="552">
        <f>SUMIFS('Sales T&amp;E &amp; 科室会WP'!$T:$T,'Sales T&amp;E &amp; 科室会WP'!$Q:$Q,$H19)*$K19</f>
        <v>39000</v>
      </c>
      <c r="AU19" s="552">
        <f>SUMIFS('Sales T&amp;E &amp; 科室会WP'!$T:$T,'Sales T&amp;E &amp; 科室会WP'!$Q:$Q,$H19)*$L19</f>
        <v>39000</v>
      </c>
      <c r="AV19" s="552">
        <f>SUMIFS('Sales T&amp;E &amp; 科室会WP'!$T:$T,'Sales T&amp;E &amp; 科室会WP'!$Q:$Q,$H19)*$L19</f>
        <v>39000</v>
      </c>
      <c r="AW19" s="552">
        <f>SUMIFS('Sales T&amp;E &amp; 科室会WP'!$T:$T,'Sales T&amp;E &amp; 科室会WP'!$Q:$Q,$H19)*$L19</f>
        <v>39000</v>
      </c>
      <c r="AX19" s="552">
        <f t="shared" si="6"/>
        <v>468000</v>
      </c>
    </row>
    <row r="20" spans="1:50" hidden="1">
      <c r="A20" s="551" t="s">
        <v>203</v>
      </c>
      <c r="B20" s="551" t="s">
        <v>958</v>
      </c>
      <c r="C20" s="551" t="s">
        <v>959</v>
      </c>
      <c r="D20" s="551" t="s">
        <v>960</v>
      </c>
      <c r="E20" s="551" t="s">
        <v>964</v>
      </c>
      <c r="F20" s="551" t="s">
        <v>977</v>
      </c>
      <c r="G20" s="508" t="s">
        <v>42</v>
      </c>
      <c r="H20" s="551" t="s">
        <v>131</v>
      </c>
      <c r="I20" s="551">
        <v>1</v>
      </c>
      <c r="J20" s="551">
        <v>1</v>
      </c>
      <c r="K20" s="551">
        <v>1</v>
      </c>
      <c r="L20" s="551">
        <v>1</v>
      </c>
      <c r="N20" s="552">
        <f>SUMIFS('Sales T&amp;E &amp; 科室会WP'!$N:$N,'Sales T&amp;E &amp; 科室会WP'!$L:$L,$G20,'Sales T&amp;E &amp; 科室会WP'!$M:$M,$H20)*3*I20</f>
        <v>24000</v>
      </c>
      <c r="O20" s="552">
        <f>SUMIFS('Sales T&amp;E &amp; 科室会WP'!$N:$N,'Sales T&amp;E &amp; 科室会WP'!$L:$L,$G20,'Sales T&amp;E &amp; 科室会WP'!$M:$M,$H20)*3*J20</f>
        <v>24000</v>
      </c>
      <c r="P20" s="552">
        <f>SUMIFS('Sales T&amp;E &amp; 科室会WP'!$N:$N,'Sales T&amp;E &amp; 科室会WP'!$L:$L,$G20,'Sales T&amp;E &amp; 科室会WP'!$M:$M,$H20)*3*K20</f>
        <v>24000</v>
      </c>
      <c r="Q20" s="552">
        <f>SUMIFS('Sales T&amp;E &amp; 科室会WP'!$N:$N,'Sales T&amp;E &amp; 科室会WP'!$L:$L,$G20,'Sales T&amp;E &amp; 科室会WP'!$M:$M,$H20)*3*L20</f>
        <v>24000</v>
      </c>
      <c r="R20" s="553">
        <f t="shared" si="8"/>
        <v>96000</v>
      </c>
      <c r="V20" s="553">
        <f t="shared" si="9"/>
        <v>8000</v>
      </c>
      <c r="W20" s="553">
        <f t="shared" si="9"/>
        <v>8000</v>
      </c>
      <c r="X20" s="553">
        <f t="shared" si="9"/>
        <v>8000</v>
      </c>
      <c r="Y20" s="553">
        <f t="shared" si="10"/>
        <v>8000</v>
      </c>
      <c r="Z20" s="553">
        <f t="shared" si="10"/>
        <v>8000</v>
      </c>
      <c r="AA20" s="553">
        <f t="shared" si="10"/>
        <v>8000</v>
      </c>
      <c r="AB20" s="553">
        <f t="shared" si="11"/>
        <v>8000</v>
      </c>
      <c r="AC20" s="553">
        <f t="shared" si="11"/>
        <v>8000</v>
      </c>
      <c r="AD20" s="553">
        <f t="shared" si="11"/>
        <v>8000</v>
      </c>
      <c r="AE20" s="553">
        <f t="shared" si="12"/>
        <v>8000</v>
      </c>
      <c r="AF20" s="553">
        <f t="shared" si="12"/>
        <v>8000</v>
      </c>
      <c r="AG20" s="553">
        <f t="shared" si="12"/>
        <v>8000</v>
      </c>
      <c r="AH20" s="553">
        <f t="shared" si="4"/>
        <v>96000</v>
      </c>
      <c r="AI20" s="553">
        <f t="shared" si="5"/>
        <v>0</v>
      </c>
      <c r="AL20" s="552">
        <f>SUMIFS('Sales T&amp;E &amp; 科室会WP'!$T:$T,'Sales T&amp;E &amp; 科室会WP'!$Q:$Q,$H20)*$I20</f>
        <v>3000</v>
      </c>
      <c r="AM20" s="552">
        <f>SUMIFS('Sales T&amp;E &amp; 科室会WP'!$T:$T,'Sales T&amp;E &amp; 科室会WP'!$Q:$Q,$H20)*$I20</f>
        <v>3000</v>
      </c>
      <c r="AN20" s="552">
        <f>SUMIFS('Sales T&amp;E &amp; 科室会WP'!$T:$T,'Sales T&amp;E &amp; 科室会WP'!$Q:$Q,$H20)*$I20</f>
        <v>3000</v>
      </c>
      <c r="AO20" s="552">
        <f>SUMIFS('Sales T&amp;E &amp; 科室会WP'!$T:$T,'Sales T&amp;E &amp; 科室会WP'!$Q:$Q,$H20)*$J20</f>
        <v>3000</v>
      </c>
      <c r="AP20" s="552">
        <f>SUMIFS('Sales T&amp;E &amp; 科室会WP'!$T:$T,'Sales T&amp;E &amp; 科室会WP'!$Q:$Q,$H20)*$J20</f>
        <v>3000</v>
      </c>
      <c r="AQ20" s="552">
        <f>SUMIFS('Sales T&amp;E &amp; 科室会WP'!$T:$T,'Sales T&amp;E &amp; 科室会WP'!$Q:$Q,$H20)*$J20</f>
        <v>3000</v>
      </c>
      <c r="AR20" s="552">
        <f>SUMIFS('Sales T&amp;E &amp; 科室会WP'!$T:$T,'Sales T&amp;E &amp; 科室会WP'!$Q:$Q,$H20)*$K20</f>
        <v>3000</v>
      </c>
      <c r="AS20" s="552">
        <f>SUMIFS('Sales T&amp;E &amp; 科室会WP'!$T:$T,'Sales T&amp;E &amp; 科室会WP'!$Q:$Q,$H20)*$K20</f>
        <v>3000</v>
      </c>
      <c r="AT20" s="552">
        <f>SUMIFS('Sales T&amp;E &amp; 科室会WP'!$T:$T,'Sales T&amp;E &amp; 科室会WP'!$Q:$Q,$H20)*$K20</f>
        <v>3000</v>
      </c>
      <c r="AU20" s="552">
        <f>SUMIFS('Sales T&amp;E &amp; 科室会WP'!$T:$T,'Sales T&amp;E &amp; 科室会WP'!$Q:$Q,$H20)*$L20</f>
        <v>3000</v>
      </c>
      <c r="AV20" s="552">
        <f>SUMIFS('Sales T&amp;E &amp; 科室会WP'!$T:$T,'Sales T&amp;E &amp; 科室会WP'!$Q:$Q,$H20)*$L20</f>
        <v>3000</v>
      </c>
      <c r="AW20" s="552">
        <f>SUMIFS('Sales T&amp;E &amp; 科室会WP'!$T:$T,'Sales T&amp;E &amp; 科室会WP'!$Q:$Q,$H20)*$L20</f>
        <v>3000</v>
      </c>
      <c r="AX20" s="552">
        <f t="shared" si="6"/>
        <v>36000</v>
      </c>
    </row>
    <row r="21" spans="1:50" hidden="1">
      <c r="A21" s="551" t="s">
        <v>203</v>
      </c>
      <c r="B21" s="551" t="s">
        <v>958</v>
      </c>
      <c r="C21" s="551" t="s">
        <v>959</v>
      </c>
      <c r="D21" s="551" t="s">
        <v>960</v>
      </c>
      <c r="E21" s="551" t="s">
        <v>965</v>
      </c>
      <c r="F21" s="551" t="s">
        <v>978</v>
      </c>
      <c r="G21" s="508" t="s">
        <v>42</v>
      </c>
      <c r="N21" s="552">
        <f>SUMIFS('Sales T&amp;E &amp; 科室会WP'!$N:$N,'Sales T&amp;E &amp; 科室会WP'!$L:$L,$G21,'Sales T&amp;E &amp; 科室会WP'!$M:$M,$H21)*3*I21</f>
        <v>0</v>
      </c>
      <c r="O21" s="552">
        <f>SUMIFS('Sales T&amp;E &amp; 科室会WP'!$N:$N,'Sales T&amp;E &amp; 科室会WP'!$L:$L,$G21,'Sales T&amp;E &amp; 科室会WP'!$M:$M,$H21)*3*J21</f>
        <v>0</v>
      </c>
      <c r="P21" s="552">
        <f>SUMIFS('Sales T&amp;E &amp; 科室会WP'!$N:$N,'Sales T&amp;E &amp; 科室会WP'!$L:$L,$G21,'Sales T&amp;E &amp; 科室会WP'!$M:$M,$H21)*3*K21</f>
        <v>0</v>
      </c>
      <c r="Q21" s="552">
        <f>SUMIFS('Sales T&amp;E &amp; 科室会WP'!$N:$N,'Sales T&amp;E &amp; 科室会WP'!$L:$L,$G21,'Sales T&amp;E &amp; 科室会WP'!$M:$M,$H21)*3*L21</f>
        <v>0</v>
      </c>
      <c r="R21" s="553">
        <f t="shared" si="8"/>
        <v>0</v>
      </c>
      <c r="V21" s="553">
        <f t="shared" si="9"/>
        <v>0</v>
      </c>
      <c r="W21" s="553">
        <f t="shared" si="9"/>
        <v>0</v>
      </c>
      <c r="X21" s="553">
        <f t="shared" si="9"/>
        <v>0</v>
      </c>
      <c r="Y21" s="553">
        <f t="shared" si="10"/>
        <v>0</v>
      </c>
      <c r="Z21" s="553">
        <f t="shared" si="10"/>
        <v>0</v>
      </c>
      <c r="AA21" s="553">
        <f t="shared" si="10"/>
        <v>0</v>
      </c>
      <c r="AB21" s="553">
        <f t="shared" si="11"/>
        <v>0</v>
      </c>
      <c r="AC21" s="553">
        <f t="shared" si="11"/>
        <v>0</v>
      </c>
      <c r="AD21" s="553">
        <f t="shared" si="11"/>
        <v>0</v>
      </c>
      <c r="AE21" s="553">
        <f t="shared" si="12"/>
        <v>0</v>
      </c>
      <c r="AF21" s="553">
        <f t="shared" si="12"/>
        <v>0</v>
      </c>
      <c r="AG21" s="553">
        <f t="shared" si="12"/>
        <v>0</v>
      </c>
      <c r="AH21" s="553">
        <f t="shared" si="4"/>
        <v>0</v>
      </c>
      <c r="AI21" s="553">
        <f t="shared" si="5"/>
        <v>0</v>
      </c>
      <c r="AL21" s="552">
        <f>SUMIFS('Sales T&amp;E &amp; 科室会WP'!$T:$T,'Sales T&amp;E &amp; 科室会WP'!$Q:$Q,$H21)*$I21</f>
        <v>0</v>
      </c>
      <c r="AM21" s="552">
        <f>SUMIFS('Sales T&amp;E &amp; 科室会WP'!$T:$T,'Sales T&amp;E &amp; 科室会WP'!$Q:$Q,$H21)*$I21</f>
        <v>0</v>
      </c>
      <c r="AN21" s="552">
        <f>SUMIFS('Sales T&amp;E &amp; 科室会WP'!$T:$T,'Sales T&amp;E &amp; 科室会WP'!$Q:$Q,$H21)*$I21</f>
        <v>0</v>
      </c>
      <c r="AO21" s="552">
        <f>SUMIFS('Sales T&amp;E &amp; 科室会WP'!$T:$T,'Sales T&amp;E &amp; 科室会WP'!$Q:$Q,$H21)*$J21</f>
        <v>0</v>
      </c>
      <c r="AP21" s="552">
        <f>SUMIFS('Sales T&amp;E &amp; 科室会WP'!$T:$T,'Sales T&amp;E &amp; 科室会WP'!$Q:$Q,$H21)*$J21</f>
        <v>0</v>
      </c>
      <c r="AQ21" s="552">
        <f>SUMIFS('Sales T&amp;E &amp; 科室会WP'!$T:$T,'Sales T&amp;E &amp; 科室会WP'!$Q:$Q,$H21)*$J21</f>
        <v>0</v>
      </c>
      <c r="AR21" s="552">
        <f>SUMIFS('Sales T&amp;E &amp; 科室会WP'!$T:$T,'Sales T&amp;E &amp; 科室会WP'!$Q:$Q,$H21)*$K21</f>
        <v>0</v>
      </c>
      <c r="AS21" s="552">
        <f>SUMIFS('Sales T&amp;E &amp; 科室会WP'!$T:$T,'Sales T&amp;E &amp; 科室会WP'!$Q:$Q,$H21)*$K21</f>
        <v>0</v>
      </c>
      <c r="AT21" s="552">
        <f>SUMIFS('Sales T&amp;E &amp; 科室会WP'!$T:$T,'Sales T&amp;E &amp; 科室会WP'!$Q:$Q,$H21)*$K21</f>
        <v>0</v>
      </c>
      <c r="AU21" s="552">
        <f>SUMIFS('Sales T&amp;E &amp; 科室会WP'!$T:$T,'Sales T&amp;E &amp; 科室会WP'!$Q:$Q,$H21)*$L21</f>
        <v>0</v>
      </c>
      <c r="AV21" s="552">
        <f>SUMIFS('Sales T&amp;E &amp; 科室会WP'!$T:$T,'Sales T&amp;E &amp; 科室会WP'!$Q:$Q,$H21)*$L21</f>
        <v>0</v>
      </c>
      <c r="AW21" s="552">
        <f>SUMIFS('Sales T&amp;E &amp; 科室会WP'!$T:$T,'Sales T&amp;E &amp; 科室会WP'!$Q:$Q,$H21)*$L21</f>
        <v>0</v>
      </c>
      <c r="AX21" s="552">
        <f t="shared" si="6"/>
        <v>0</v>
      </c>
    </row>
    <row r="22" spans="1:50" hidden="1">
      <c r="A22" s="551" t="s">
        <v>203</v>
      </c>
      <c r="B22" s="551" t="s">
        <v>958</v>
      </c>
      <c r="C22" s="551" t="s">
        <v>959</v>
      </c>
      <c r="D22" s="551" t="s">
        <v>960</v>
      </c>
      <c r="E22" s="551" t="s">
        <v>965</v>
      </c>
      <c r="F22" s="551" t="s">
        <v>978</v>
      </c>
      <c r="G22" s="508" t="s">
        <v>42</v>
      </c>
      <c r="H22" s="551" t="s">
        <v>93</v>
      </c>
      <c r="I22" s="551">
        <v>4</v>
      </c>
      <c r="J22" s="551">
        <v>4</v>
      </c>
      <c r="K22" s="551">
        <v>4</v>
      </c>
      <c r="L22" s="551">
        <v>4</v>
      </c>
      <c r="N22" s="552">
        <f>SUMIFS('Sales T&amp;E &amp; 科室会WP'!$N:$N,'Sales T&amp;E &amp; 科室会WP'!$L:$L,$G22,'Sales T&amp;E &amp; 科室会WP'!$M:$M,$H22)*3*I22</f>
        <v>96000</v>
      </c>
      <c r="O22" s="552">
        <f>SUMIFS('Sales T&amp;E &amp; 科室会WP'!$N:$N,'Sales T&amp;E &amp; 科室会WP'!$L:$L,$G22,'Sales T&amp;E &amp; 科室会WP'!$M:$M,$H22)*3*J22</f>
        <v>96000</v>
      </c>
      <c r="P22" s="552">
        <f>SUMIFS('Sales T&amp;E &amp; 科室会WP'!$N:$N,'Sales T&amp;E &amp; 科室会WP'!$L:$L,$G22,'Sales T&amp;E &amp; 科室会WP'!$M:$M,$H22)*3*K22</f>
        <v>96000</v>
      </c>
      <c r="Q22" s="552">
        <f>SUMIFS('Sales T&amp;E &amp; 科室会WP'!$N:$N,'Sales T&amp;E &amp; 科室会WP'!$L:$L,$G22,'Sales T&amp;E &amp; 科室会WP'!$M:$M,$H22)*3*L22</f>
        <v>96000</v>
      </c>
      <c r="R22" s="553">
        <f t="shared" si="8"/>
        <v>384000</v>
      </c>
      <c r="V22" s="553">
        <f t="shared" si="9"/>
        <v>32000</v>
      </c>
      <c r="W22" s="553">
        <f t="shared" si="9"/>
        <v>32000</v>
      </c>
      <c r="X22" s="553">
        <f t="shared" si="9"/>
        <v>32000</v>
      </c>
      <c r="Y22" s="553">
        <f t="shared" si="10"/>
        <v>32000</v>
      </c>
      <c r="Z22" s="553">
        <f t="shared" si="10"/>
        <v>32000</v>
      </c>
      <c r="AA22" s="553">
        <f t="shared" si="10"/>
        <v>32000</v>
      </c>
      <c r="AB22" s="553">
        <f t="shared" si="11"/>
        <v>32000</v>
      </c>
      <c r="AC22" s="553">
        <f t="shared" si="11"/>
        <v>32000</v>
      </c>
      <c r="AD22" s="553">
        <f t="shared" si="11"/>
        <v>32000</v>
      </c>
      <c r="AE22" s="553">
        <f t="shared" si="12"/>
        <v>32000</v>
      </c>
      <c r="AF22" s="553">
        <f t="shared" si="12"/>
        <v>32000</v>
      </c>
      <c r="AG22" s="553">
        <f t="shared" si="12"/>
        <v>32000</v>
      </c>
      <c r="AH22" s="553">
        <f t="shared" si="4"/>
        <v>384000</v>
      </c>
      <c r="AI22" s="553">
        <f t="shared" si="5"/>
        <v>0</v>
      </c>
      <c r="AL22" s="552">
        <f>SUMIFS('Sales T&amp;E &amp; 科室会WP'!$T:$T,'Sales T&amp;E &amp; 科室会WP'!$Q:$Q,$H22)*$I22</f>
        <v>12000</v>
      </c>
      <c r="AM22" s="552">
        <f>SUMIFS('Sales T&amp;E &amp; 科室会WP'!$T:$T,'Sales T&amp;E &amp; 科室会WP'!$Q:$Q,$H22)*$I22</f>
        <v>12000</v>
      </c>
      <c r="AN22" s="552">
        <f>SUMIFS('Sales T&amp;E &amp; 科室会WP'!$T:$T,'Sales T&amp;E &amp; 科室会WP'!$Q:$Q,$H22)*$I22</f>
        <v>12000</v>
      </c>
      <c r="AO22" s="552">
        <f>SUMIFS('Sales T&amp;E &amp; 科室会WP'!$T:$T,'Sales T&amp;E &amp; 科室会WP'!$Q:$Q,$H22)*$J22</f>
        <v>12000</v>
      </c>
      <c r="AP22" s="552">
        <f>SUMIFS('Sales T&amp;E &amp; 科室会WP'!$T:$T,'Sales T&amp;E &amp; 科室会WP'!$Q:$Q,$H22)*$J22</f>
        <v>12000</v>
      </c>
      <c r="AQ22" s="552">
        <f>SUMIFS('Sales T&amp;E &amp; 科室会WP'!$T:$T,'Sales T&amp;E &amp; 科室会WP'!$Q:$Q,$H22)*$J22</f>
        <v>12000</v>
      </c>
      <c r="AR22" s="552">
        <f>SUMIFS('Sales T&amp;E &amp; 科室会WP'!$T:$T,'Sales T&amp;E &amp; 科室会WP'!$Q:$Q,$H22)*$K22</f>
        <v>12000</v>
      </c>
      <c r="AS22" s="552">
        <f>SUMIFS('Sales T&amp;E &amp; 科室会WP'!$T:$T,'Sales T&amp;E &amp; 科室会WP'!$Q:$Q,$H22)*$K22</f>
        <v>12000</v>
      </c>
      <c r="AT22" s="552">
        <f>SUMIFS('Sales T&amp;E &amp; 科室会WP'!$T:$T,'Sales T&amp;E &amp; 科室会WP'!$Q:$Q,$H22)*$K22</f>
        <v>12000</v>
      </c>
      <c r="AU22" s="552">
        <f>SUMIFS('Sales T&amp;E &amp; 科室会WP'!$T:$T,'Sales T&amp;E &amp; 科室会WP'!$Q:$Q,$H22)*$L22</f>
        <v>12000</v>
      </c>
      <c r="AV22" s="552">
        <f>SUMIFS('Sales T&amp;E &amp; 科室会WP'!$T:$T,'Sales T&amp;E &amp; 科室会WP'!$Q:$Q,$H22)*$L22</f>
        <v>12000</v>
      </c>
      <c r="AW22" s="552">
        <f>SUMIFS('Sales T&amp;E &amp; 科室会WP'!$T:$T,'Sales T&amp;E &amp; 科室会WP'!$Q:$Q,$H22)*$L22</f>
        <v>12000</v>
      </c>
      <c r="AX22" s="552">
        <f t="shared" si="6"/>
        <v>144000</v>
      </c>
    </row>
    <row r="23" spans="1:50" hidden="1">
      <c r="A23" s="551" t="s">
        <v>203</v>
      </c>
      <c r="B23" s="551" t="s">
        <v>958</v>
      </c>
      <c r="C23" s="551" t="s">
        <v>959</v>
      </c>
      <c r="D23" s="551" t="s">
        <v>960</v>
      </c>
      <c r="E23" s="551" t="s">
        <v>965</v>
      </c>
      <c r="F23" s="551" t="s">
        <v>978</v>
      </c>
      <c r="G23" s="508" t="s">
        <v>42</v>
      </c>
      <c r="H23" s="551" t="s">
        <v>94</v>
      </c>
      <c r="I23" s="551">
        <v>20</v>
      </c>
      <c r="J23" s="551">
        <v>20</v>
      </c>
      <c r="K23" s="551">
        <v>20</v>
      </c>
      <c r="L23" s="551">
        <v>20</v>
      </c>
      <c r="N23" s="552">
        <f>SUMIFS('Sales T&amp;E &amp; 科室会WP'!$N:$N,'Sales T&amp;E &amp; 科室会WP'!$L:$L,$G23,'Sales T&amp;E &amp; 科室会WP'!$M:$M,$H23)*3*I23</f>
        <v>300000</v>
      </c>
      <c r="O23" s="552">
        <f>SUMIFS('Sales T&amp;E &amp; 科室会WP'!$N:$N,'Sales T&amp;E &amp; 科室会WP'!$L:$L,$G23,'Sales T&amp;E &amp; 科室会WP'!$M:$M,$H23)*3*J23</f>
        <v>300000</v>
      </c>
      <c r="P23" s="552">
        <f>SUMIFS('Sales T&amp;E &amp; 科室会WP'!$N:$N,'Sales T&amp;E &amp; 科室会WP'!$L:$L,$G23,'Sales T&amp;E &amp; 科室会WP'!$M:$M,$H23)*3*K23</f>
        <v>300000</v>
      </c>
      <c r="Q23" s="552">
        <f>SUMIFS('Sales T&amp;E &amp; 科室会WP'!$N:$N,'Sales T&amp;E &amp; 科室会WP'!$L:$L,$G23,'Sales T&amp;E &amp; 科室会WP'!$M:$M,$H23)*3*L23</f>
        <v>300000</v>
      </c>
      <c r="R23" s="553">
        <f t="shared" si="8"/>
        <v>1200000</v>
      </c>
      <c r="V23" s="553">
        <f t="shared" si="9"/>
        <v>100000</v>
      </c>
      <c r="W23" s="553">
        <f t="shared" si="9"/>
        <v>100000</v>
      </c>
      <c r="X23" s="553">
        <f t="shared" si="9"/>
        <v>100000</v>
      </c>
      <c r="Y23" s="553">
        <f t="shared" si="10"/>
        <v>100000</v>
      </c>
      <c r="Z23" s="553">
        <f t="shared" si="10"/>
        <v>100000</v>
      </c>
      <c r="AA23" s="553">
        <f t="shared" si="10"/>
        <v>100000</v>
      </c>
      <c r="AB23" s="553">
        <f t="shared" si="11"/>
        <v>100000</v>
      </c>
      <c r="AC23" s="553">
        <f t="shared" si="11"/>
        <v>100000</v>
      </c>
      <c r="AD23" s="553">
        <f t="shared" si="11"/>
        <v>100000</v>
      </c>
      <c r="AE23" s="553">
        <f t="shared" si="12"/>
        <v>100000</v>
      </c>
      <c r="AF23" s="553">
        <f t="shared" si="12"/>
        <v>100000</v>
      </c>
      <c r="AG23" s="553">
        <f t="shared" si="12"/>
        <v>100000</v>
      </c>
      <c r="AH23" s="553">
        <f t="shared" si="4"/>
        <v>1200000</v>
      </c>
      <c r="AI23" s="553">
        <f t="shared" si="5"/>
        <v>0</v>
      </c>
      <c r="AL23" s="552">
        <f>SUMIFS('Sales T&amp;E &amp; 科室会WP'!$T:$T,'Sales T&amp;E &amp; 科室会WP'!$Q:$Q,$H23)*$I23</f>
        <v>60000</v>
      </c>
      <c r="AM23" s="552">
        <f>SUMIFS('Sales T&amp;E &amp; 科室会WP'!$T:$T,'Sales T&amp;E &amp; 科室会WP'!$Q:$Q,$H23)*$I23</f>
        <v>60000</v>
      </c>
      <c r="AN23" s="552">
        <f>SUMIFS('Sales T&amp;E &amp; 科室会WP'!$T:$T,'Sales T&amp;E &amp; 科室会WP'!$Q:$Q,$H23)*$I23</f>
        <v>60000</v>
      </c>
      <c r="AO23" s="552">
        <f>SUMIFS('Sales T&amp;E &amp; 科室会WP'!$T:$T,'Sales T&amp;E &amp; 科室会WP'!$Q:$Q,$H23)*$J23</f>
        <v>60000</v>
      </c>
      <c r="AP23" s="552">
        <f>SUMIFS('Sales T&amp;E &amp; 科室会WP'!$T:$T,'Sales T&amp;E &amp; 科室会WP'!$Q:$Q,$H23)*$J23</f>
        <v>60000</v>
      </c>
      <c r="AQ23" s="552">
        <f>SUMIFS('Sales T&amp;E &amp; 科室会WP'!$T:$T,'Sales T&amp;E &amp; 科室会WP'!$Q:$Q,$H23)*$J23</f>
        <v>60000</v>
      </c>
      <c r="AR23" s="552">
        <f>SUMIFS('Sales T&amp;E &amp; 科室会WP'!$T:$T,'Sales T&amp;E &amp; 科室会WP'!$Q:$Q,$H23)*$K23</f>
        <v>60000</v>
      </c>
      <c r="AS23" s="552">
        <f>SUMIFS('Sales T&amp;E &amp; 科室会WP'!$T:$T,'Sales T&amp;E &amp; 科室会WP'!$Q:$Q,$H23)*$K23</f>
        <v>60000</v>
      </c>
      <c r="AT23" s="552">
        <f>SUMIFS('Sales T&amp;E &amp; 科室会WP'!$T:$T,'Sales T&amp;E &amp; 科室会WP'!$Q:$Q,$H23)*$K23</f>
        <v>60000</v>
      </c>
      <c r="AU23" s="552">
        <f>SUMIFS('Sales T&amp;E &amp; 科室会WP'!$T:$T,'Sales T&amp;E &amp; 科室会WP'!$Q:$Q,$H23)*$L23</f>
        <v>60000</v>
      </c>
      <c r="AV23" s="552">
        <f>SUMIFS('Sales T&amp;E &amp; 科室会WP'!$T:$T,'Sales T&amp;E &amp; 科室会WP'!$Q:$Q,$H23)*$L23</f>
        <v>60000</v>
      </c>
      <c r="AW23" s="552">
        <f>SUMIFS('Sales T&amp;E &amp; 科室会WP'!$T:$T,'Sales T&amp;E &amp; 科室会WP'!$Q:$Q,$H23)*$L23</f>
        <v>60000</v>
      </c>
      <c r="AX23" s="552">
        <f t="shared" si="6"/>
        <v>720000</v>
      </c>
    </row>
    <row r="24" spans="1:50" hidden="1">
      <c r="A24" s="551" t="s">
        <v>203</v>
      </c>
      <c r="B24" s="551" t="s">
        <v>958</v>
      </c>
      <c r="C24" s="551" t="s">
        <v>959</v>
      </c>
      <c r="D24" s="551" t="s">
        <v>960</v>
      </c>
      <c r="E24" s="551" t="s">
        <v>965</v>
      </c>
      <c r="F24" s="551" t="s">
        <v>978</v>
      </c>
      <c r="G24" s="508" t="s">
        <v>42</v>
      </c>
      <c r="H24" s="551" t="s">
        <v>131</v>
      </c>
      <c r="I24" s="551">
        <v>1</v>
      </c>
      <c r="J24" s="551">
        <v>1</v>
      </c>
      <c r="K24" s="551">
        <v>1</v>
      </c>
      <c r="L24" s="551">
        <v>1</v>
      </c>
      <c r="N24" s="552">
        <f>SUMIFS('Sales T&amp;E &amp; 科室会WP'!$N:$N,'Sales T&amp;E &amp; 科室会WP'!$L:$L,$G24,'Sales T&amp;E &amp; 科室会WP'!$M:$M,$H24)*3*I24</f>
        <v>24000</v>
      </c>
      <c r="O24" s="552">
        <f>SUMIFS('Sales T&amp;E &amp; 科室会WP'!$N:$N,'Sales T&amp;E &amp; 科室会WP'!$L:$L,$G24,'Sales T&amp;E &amp; 科室会WP'!$M:$M,$H24)*3*J24</f>
        <v>24000</v>
      </c>
      <c r="P24" s="552">
        <f>SUMIFS('Sales T&amp;E &amp; 科室会WP'!$N:$N,'Sales T&amp;E &amp; 科室会WP'!$L:$L,$G24,'Sales T&amp;E &amp; 科室会WP'!$M:$M,$H24)*3*K24</f>
        <v>24000</v>
      </c>
      <c r="Q24" s="552">
        <f>SUMIFS('Sales T&amp;E &amp; 科室会WP'!$N:$N,'Sales T&amp;E &amp; 科室会WP'!$L:$L,$G24,'Sales T&amp;E &amp; 科室会WP'!$M:$M,$H24)*3*L24</f>
        <v>24000</v>
      </c>
      <c r="R24" s="553">
        <f t="shared" si="8"/>
        <v>96000</v>
      </c>
      <c r="V24" s="553">
        <f t="shared" si="9"/>
        <v>8000</v>
      </c>
      <c r="W24" s="553">
        <f t="shared" si="9"/>
        <v>8000</v>
      </c>
      <c r="X24" s="553">
        <f t="shared" si="9"/>
        <v>8000</v>
      </c>
      <c r="Y24" s="553">
        <f t="shared" si="10"/>
        <v>8000</v>
      </c>
      <c r="Z24" s="553">
        <f t="shared" si="10"/>
        <v>8000</v>
      </c>
      <c r="AA24" s="553">
        <f t="shared" si="10"/>
        <v>8000</v>
      </c>
      <c r="AB24" s="553">
        <f t="shared" si="11"/>
        <v>8000</v>
      </c>
      <c r="AC24" s="553">
        <f t="shared" si="11"/>
        <v>8000</v>
      </c>
      <c r="AD24" s="553">
        <f t="shared" si="11"/>
        <v>8000</v>
      </c>
      <c r="AE24" s="553">
        <f t="shared" si="12"/>
        <v>8000</v>
      </c>
      <c r="AF24" s="553">
        <f t="shared" si="12"/>
        <v>8000</v>
      </c>
      <c r="AG24" s="553">
        <f t="shared" si="12"/>
        <v>8000</v>
      </c>
      <c r="AH24" s="553">
        <f t="shared" si="4"/>
        <v>96000</v>
      </c>
      <c r="AI24" s="553">
        <f t="shared" si="5"/>
        <v>0</v>
      </c>
      <c r="AL24" s="552">
        <f>SUMIFS('Sales T&amp;E &amp; 科室会WP'!$T:$T,'Sales T&amp;E &amp; 科室会WP'!$Q:$Q,$H24)*$I24</f>
        <v>3000</v>
      </c>
      <c r="AM24" s="552">
        <f>SUMIFS('Sales T&amp;E &amp; 科室会WP'!$T:$T,'Sales T&amp;E &amp; 科室会WP'!$Q:$Q,$H24)*$I24</f>
        <v>3000</v>
      </c>
      <c r="AN24" s="552">
        <f>SUMIFS('Sales T&amp;E &amp; 科室会WP'!$T:$T,'Sales T&amp;E &amp; 科室会WP'!$Q:$Q,$H24)*$I24</f>
        <v>3000</v>
      </c>
      <c r="AO24" s="552">
        <f>SUMIFS('Sales T&amp;E &amp; 科室会WP'!$T:$T,'Sales T&amp;E &amp; 科室会WP'!$Q:$Q,$H24)*$J24</f>
        <v>3000</v>
      </c>
      <c r="AP24" s="552">
        <f>SUMIFS('Sales T&amp;E &amp; 科室会WP'!$T:$T,'Sales T&amp;E &amp; 科室会WP'!$Q:$Q,$H24)*$J24</f>
        <v>3000</v>
      </c>
      <c r="AQ24" s="552">
        <f>SUMIFS('Sales T&amp;E &amp; 科室会WP'!$T:$T,'Sales T&amp;E &amp; 科室会WP'!$Q:$Q,$H24)*$J24</f>
        <v>3000</v>
      </c>
      <c r="AR24" s="552">
        <f>SUMIFS('Sales T&amp;E &amp; 科室会WP'!$T:$T,'Sales T&amp;E &amp; 科室会WP'!$Q:$Q,$H24)*$K24</f>
        <v>3000</v>
      </c>
      <c r="AS24" s="552">
        <f>SUMIFS('Sales T&amp;E &amp; 科室会WP'!$T:$T,'Sales T&amp;E &amp; 科室会WP'!$Q:$Q,$H24)*$K24</f>
        <v>3000</v>
      </c>
      <c r="AT24" s="552">
        <f>SUMIFS('Sales T&amp;E &amp; 科室会WP'!$T:$T,'Sales T&amp;E &amp; 科室会WP'!$Q:$Q,$H24)*$K24</f>
        <v>3000</v>
      </c>
      <c r="AU24" s="552">
        <f>SUMIFS('Sales T&amp;E &amp; 科室会WP'!$T:$T,'Sales T&amp;E &amp; 科室会WP'!$Q:$Q,$H24)*$L24</f>
        <v>3000</v>
      </c>
      <c r="AV24" s="552">
        <f>SUMIFS('Sales T&amp;E &amp; 科室会WP'!$T:$T,'Sales T&amp;E &amp; 科室会WP'!$Q:$Q,$H24)*$L24</f>
        <v>3000</v>
      </c>
      <c r="AW24" s="552">
        <f>SUMIFS('Sales T&amp;E &amp; 科室会WP'!$T:$T,'Sales T&amp;E &amp; 科室会WP'!$Q:$Q,$H24)*$L24</f>
        <v>3000</v>
      </c>
      <c r="AX24" s="552">
        <f t="shared" si="6"/>
        <v>36000</v>
      </c>
    </row>
    <row r="25" spans="1:50" hidden="1">
      <c r="A25" s="551" t="s">
        <v>203</v>
      </c>
      <c r="B25" s="551" t="s">
        <v>958</v>
      </c>
      <c r="C25" s="551" t="s">
        <v>959</v>
      </c>
      <c r="D25" s="551" t="s">
        <v>960</v>
      </c>
      <c r="E25" s="551" t="s">
        <v>966</v>
      </c>
      <c r="F25" s="551" t="s">
        <v>979</v>
      </c>
      <c r="G25" s="508" t="s">
        <v>42</v>
      </c>
      <c r="H25" s="551" t="s">
        <v>93</v>
      </c>
      <c r="I25" s="551">
        <v>1</v>
      </c>
      <c r="J25" s="551">
        <v>1</v>
      </c>
      <c r="K25" s="551">
        <v>1</v>
      </c>
      <c r="L25" s="551">
        <v>1</v>
      </c>
      <c r="N25" s="552">
        <f>SUMIFS('Sales T&amp;E &amp; 科室会WP'!$N:$N,'Sales T&amp;E &amp; 科室会WP'!$L:$L,$G25,'Sales T&amp;E &amp; 科室会WP'!$M:$M,$H25)*3*I25</f>
        <v>24000</v>
      </c>
      <c r="O25" s="552">
        <f>SUMIFS('Sales T&amp;E &amp; 科室会WP'!$N:$N,'Sales T&amp;E &amp; 科室会WP'!$L:$L,$G25,'Sales T&amp;E &amp; 科室会WP'!$M:$M,$H25)*3*J25</f>
        <v>24000</v>
      </c>
      <c r="P25" s="552">
        <f>SUMIFS('Sales T&amp;E &amp; 科室会WP'!$N:$N,'Sales T&amp;E &amp; 科室会WP'!$L:$L,$G25,'Sales T&amp;E &amp; 科室会WP'!$M:$M,$H25)*3*K25</f>
        <v>24000</v>
      </c>
      <c r="Q25" s="552">
        <f>SUMIFS('Sales T&amp;E &amp; 科室会WP'!$N:$N,'Sales T&amp;E &amp; 科室会WP'!$L:$L,$G25,'Sales T&amp;E &amp; 科室会WP'!$M:$M,$H25)*3*L25</f>
        <v>24000</v>
      </c>
      <c r="R25" s="553">
        <f t="shared" si="8"/>
        <v>96000</v>
      </c>
      <c r="V25" s="553">
        <f t="shared" si="9"/>
        <v>8000</v>
      </c>
      <c r="W25" s="553">
        <f t="shared" si="9"/>
        <v>8000</v>
      </c>
      <c r="X25" s="553">
        <f t="shared" si="9"/>
        <v>8000</v>
      </c>
      <c r="Y25" s="553">
        <f t="shared" si="10"/>
        <v>8000</v>
      </c>
      <c r="Z25" s="553">
        <f t="shared" si="10"/>
        <v>8000</v>
      </c>
      <c r="AA25" s="553">
        <f t="shared" si="10"/>
        <v>8000</v>
      </c>
      <c r="AB25" s="553">
        <f t="shared" si="11"/>
        <v>8000</v>
      </c>
      <c r="AC25" s="553">
        <f t="shared" si="11"/>
        <v>8000</v>
      </c>
      <c r="AD25" s="553">
        <f t="shared" si="11"/>
        <v>8000</v>
      </c>
      <c r="AE25" s="553">
        <f t="shared" si="12"/>
        <v>8000</v>
      </c>
      <c r="AF25" s="553">
        <f t="shared" si="12"/>
        <v>8000</v>
      </c>
      <c r="AG25" s="553">
        <f t="shared" si="12"/>
        <v>8000</v>
      </c>
      <c r="AH25" s="553">
        <f t="shared" si="4"/>
        <v>96000</v>
      </c>
      <c r="AI25" s="553">
        <f t="shared" si="5"/>
        <v>0</v>
      </c>
      <c r="AL25" s="552">
        <f>SUMIFS('Sales T&amp;E &amp; 科室会WP'!$T:$T,'Sales T&amp;E &amp; 科室会WP'!$Q:$Q,$H25)*$I25</f>
        <v>3000</v>
      </c>
      <c r="AM25" s="552">
        <f>SUMIFS('Sales T&amp;E &amp; 科室会WP'!$T:$T,'Sales T&amp;E &amp; 科室会WP'!$Q:$Q,$H25)*$I25</f>
        <v>3000</v>
      </c>
      <c r="AN25" s="552">
        <f>SUMIFS('Sales T&amp;E &amp; 科室会WP'!$T:$T,'Sales T&amp;E &amp; 科室会WP'!$Q:$Q,$H25)*$I25</f>
        <v>3000</v>
      </c>
      <c r="AO25" s="552">
        <f>SUMIFS('Sales T&amp;E &amp; 科室会WP'!$T:$T,'Sales T&amp;E &amp; 科室会WP'!$Q:$Q,$H25)*$J25</f>
        <v>3000</v>
      </c>
      <c r="AP25" s="552">
        <f>SUMIFS('Sales T&amp;E &amp; 科室会WP'!$T:$T,'Sales T&amp;E &amp; 科室会WP'!$Q:$Q,$H25)*$J25</f>
        <v>3000</v>
      </c>
      <c r="AQ25" s="552">
        <f>SUMIFS('Sales T&amp;E &amp; 科室会WP'!$T:$T,'Sales T&amp;E &amp; 科室会WP'!$Q:$Q,$H25)*$J25</f>
        <v>3000</v>
      </c>
      <c r="AR25" s="552">
        <f>SUMIFS('Sales T&amp;E &amp; 科室会WP'!$T:$T,'Sales T&amp;E &amp; 科室会WP'!$Q:$Q,$H25)*$K25</f>
        <v>3000</v>
      </c>
      <c r="AS25" s="552">
        <f>SUMIFS('Sales T&amp;E &amp; 科室会WP'!$T:$T,'Sales T&amp;E &amp; 科室会WP'!$Q:$Q,$H25)*$K25</f>
        <v>3000</v>
      </c>
      <c r="AT25" s="552">
        <f>SUMIFS('Sales T&amp;E &amp; 科室会WP'!$T:$T,'Sales T&amp;E &amp; 科室会WP'!$Q:$Q,$H25)*$K25</f>
        <v>3000</v>
      </c>
      <c r="AU25" s="552">
        <f>SUMIFS('Sales T&amp;E &amp; 科室会WP'!$T:$T,'Sales T&amp;E &amp; 科室会WP'!$Q:$Q,$H25)*$L25</f>
        <v>3000</v>
      </c>
      <c r="AV25" s="552">
        <f>SUMIFS('Sales T&amp;E &amp; 科室会WP'!$T:$T,'Sales T&amp;E &amp; 科室会WP'!$Q:$Q,$H25)*$L25</f>
        <v>3000</v>
      </c>
      <c r="AW25" s="552">
        <f>SUMIFS('Sales T&amp;E &amp; 科室会WP'!$T:$T,'Sales T&amp;E &amp; 科室会WP'!$Q:$Q,$H25)*$L25</f>
        <v>3000</v>
      </c>
      <c r="AX25" s="552">
        <f t="shared" si="6"/>
        <v>36000</v>
      </c>
    </row>
    <row r="26" spans="1:50" hidden="1">
      <c r="A26" s="551" t="s">
        <v>203</v>
      </c>
      <c r="B26" s="551" t="s">
        <v>958</v>
      </c>
      <c r="C26" s="551" t="s">
        <v>959</v>
      </c>
      <c r="D26" s="551" t="s">
        <v>960</v>
      </c>
      <c r="E26" s="551" t="s">
        <v>966</v>
      </c>
      <c r="F26" s="551" t="s">
        <v>979</v>
      </c>
      <c r="G26" s="508" t="s">
        <v>42</v>
      </c>
      <c r="H26" s="551" t="s">
        <v>94</v>
      </c>
      <c r="I26" s="551">
        <v>8</v>
      </c>
      <c r="J26" s="551">
        <v>8</v>
      </c>
      <c r="K26" s="551">
        <v>8</v>
      </c>
      <c r="L26" s="551">
        <v>8</v>
      </c>
      <c r="N26" s="552">
        <f>SUMIFS('Sales T&amp;E &amp; 科室会WP'!$N:$N,'Sales T&amp;E &amp; 科室会WP'!$L:$L,$G26,'Sales T&amp;E &amp; 科室会WP'!$M:$M,$H26)*3*I26</f>
        <v>120000</v>
      </c>
      <c r="O26" s="552">
        <f>SUMIFS('Sales T&amp;E &amp; 科室会WP'!$N:$N,'Sales T&amp;E &amp; 科室会WP'!$L:$L,$G26,'Sales T&amp;E &amp; 科室会WP'!$M:$M,$H26)*3*J26</f>
        <v>120000</v>
      </c>
      <c r="P26" s="552">
        <f>SUMIFS('Sales T&amp;E &amp; 科室会WP'!$N:$N,'Sales T&amp;E &amp; 科室会WP'!$L:$L,$G26,'Sales T&amp;E &amp; 科室会WP'!$M:$M,$H26)*3*K26</f>
        <v>120000</v>
      </c>
      <c r="Q26" s="552">
        <f>SUMIFS('Sales T&amp;E &amp; 科室会WP'!$N:$N,'Sales T&amp;E &amp; 科室会WP'!$L:$L,$G26,'Sales T&amp;E &amp; 科室会WP'!$M:$M,$H26)*3*L26</f>
        <v>120000</v>
      </c>
      <c r="R26" s="553">
        <f t="shared" si="8"/>
        <v>480000</v>
      </c>
      <c r="V26" s="553">
        <f t="shared" si="9"/>
        <v>40000</v>
      </c>
      <c r="W26" s="553">
        <f t="shared" si="9"/>
        <v>40000</v>
      </c>
      <c r="X26" s="553">
        <f t="shared" si="9"/>
        <v>40000</v>
      </c>
      <c r="Y26" s="553">
        <f t="shared" si="10"/>
        <v>40000</v>
      </c>
      <c r="Z26" s="553">
        <f t="shared" si="10"/>
        <v>40000</v>
      </c>
      <c r="AA26" s="553">
        <f t="shared" si="10"/>
        <v>40000</v>
      </c>
      <c r="AB26" s="553">
        <f t="shared" si="11"/>
        <v>40000</v>
      </c>
      <c r="AC26" s="553">
        <f t="shared" si="11"/>
        <v>40000</v>
      </c>
      <c r="AD26" s="553">
        <f t="shared" si="11"/>
        <v>40000</v>
      </c>
      <c r="AE26" s="553">
        <f t="shared" si="12"/>
        <v>40000</v>
      </c>
      <c r="AF26" s="553">
        <f t="shared" si="12"/>
        <v>40000</v>
      </c>
      <c r="AG26" s="553">
        <f t="shared" si="12"/>
        <v>40000</v>
      </c>
      <c r="AH26" s="553">
        <f t="shared" si="4"/>
        <v>480000</v>
      </c>
      <c r="AI26" s="553">
        <f t="shared" si="5"/>
        <v>0</v>
      </c>
      <c r="AL26" s="552">
        <f>SUMIFS('Sales T&amp;E &amp; 科室会WP'!$T:$T,'Sales T&amp;E &amp; 科室会WP'!$Q:$Q,$H26)*$I26</f>
        <v>24000</v>
      </c>
      <c r="AM26" s="552">
        <f>SUMIFS('Sales T&amp;E &amp; 科室会WP'!$T:$T,'Sales T&amp;E &amp; 科室会WP'!$Q:$Q,$H26)*$I26</f>
        <v>24000</v>
      </c>
      <c r="AN26" s="552">
        <f>SUMIFS('Sales T&amp;E &amp; 科室会WP'!$T:$T,'Sales T&amp;E &amp; 科室会WP'!$Q:$Q,$H26)*$I26</f>
        <v>24000</v>
      </c>
      <c r="AO26" s="552">
        <f>SUMIFS('Sales T&amp;E &amp; 科室会WP'!$T:$T,'Sales T&amp;E &amp; 科室会WP'!$Q:$Q,$H26)*$J26</f>
        <v>24000</v>
      </c>
      <c r="AP26" s="552">
        <f>SUMIFS('Sales T&amp;E &amp; 科室会WP'!$T:$T,'Sales T&amp;E &amp; 科室会WP'!$Q:$Q,$H26)*$J26</f>
        <v>24000</v>
      </c>
      <c r="AQ26" s="552">
        <f>SUMIFS('Sales T&amp;E &amp; 科室会WP'!$T:$T,'Sales T&amp;E &amp; 科室会WP'!$Q:$Q,$H26)*$J26</f>
        <v>24000</v>
      </c>
      <c r="AR26" s="552">
        <f>SUMIFS('Sales T&amp;E &amp; 科室会WP'!$T:$T,'Sales T&amp;E &amp; 科室会WP'!$Q:$Q,$H26)*$K26</f>
        <v>24000</v>
      </c>
      <c r="AS26" s="552">
        <f>SUMIFS('Sales T&amp;E &amp; 科室会WP'!$T:$T,'Sales T&amp;E &amp; 科室会WP'!$Q:$Q,$H26)*$K26</f>
        <v>24000</v>
      </c>
      <c r="AT26" s="552">
        <f>SUMIFS('Sales T&amp;E &amp; 科室会WP'!$T:$T,'Sales T&amp;E &amp; 科室会WP'!$Q:$Q,$H26)*$K26</f>
        <v>24000</v>
      </c>
      <c r="AU26" s="552">
        <f>SUMIFS('Sales T&amp;E &amp; 科室会WP'!$T:$T,'Sales T&amp;E &amp; 科室会WP'!$Q:$Q,$H26)*$L26</f>
        <v>24000</v>
      </c>
      <c r="AV26" s="552">
        <f>SUMIFS('Sales T&amp;E &amp; 科室会WP'!$T:$T,'Sales T&amp;E &amp; 科室会WP'!$Q:$Q,$H26)*$L26</f>
        <v>24000</v>
      </c>
      <c r="AW26" s="552">
        <f>SUMIFS('Sales T&amp;E &amp; 科室会WP'!$T:$T,'Sales T&amp;E &amp; 科室会WP'!$Q:$Q,$H26)*$L26</f>
        <v>24000</v>
      </c>
      <c r="AX26" s="552">
        <f t="shared" si="6"/>
        <v>288000</v>
      </c>
    </row>
    <row r="27" spans="1:50" hidden="1">
      <c r="A27" s="551" t="s">
        <v>203</v>
      </c>
      <c r="B27" s="551" t="s">
        <v>958</v>
      </c>
      <c r="C27" s="551" t="s">
        <v>959</v>
      </c>
      <c r="D27" s="551" t="s">
        <v>960</v>
      </c>
      <c r="E27" s="551" t="s">
        <v>966</v>
      </c>
      <c r="F27" s="551" t="s">
        <v>979</v>
      </c>
      <c r="G27" s="508" t="s">
        <v>42</v>
      </c>
      <c r="H27" s="551" t="s">
        <v>131</v>
      </c>
      <c r="I27" s="551">
        <v>1</v>
      </c>
      <c r="J27" s="551">
        <v>1</v>
      </c>
      <c r="K27" s="551">
        <v>1</v>
      </c>
      <c r="L27" s="551">
        <v>1</v>
      </c>
      <c r="N27" s="552">
        <f>SUMIFS('Sales T&amp;E &amp; 科室会WP'!$N:$N,'Sales T&amp;E &amp; 科室会WP'!$L:$L,$G27,'Sales T&amp;E &amp; 科室会WP'!$M:$M,$H27)*3*I27</f>
        <v>24000</v>
      </c>
      <c r="O27" s="552">
        <f>SUMIFS('Sales T&amp;E &amp; 科室会WP'!$N:$N,'Sales T&amp;E &amp; 科室会WP'!$L:$L,$G27,'Sales T&amp;E &amp; 科室会WP'!$M:$M,$H27)*3*J27</f>
        <v>24000</v>
      </c>
      <c r="P27" s="552">
        <f>SUMIFS('Sales T&amp;E &amp; 科室会WP'!$N:$N,'Sales T&amp;E &amp; 科室会WP'!$L:$L,$G27,'Sales T&amp;E &amp; 科室会WP'!$M:$M,$H27)*3*K27</f>
        <v>24000</v>
      </c>
      <c r="Q27" s="552">
        <f>SUMIFS('Sales T&amp;E &amp; 科室会WP'!$N:$N,'Sales T&amp;E &amp; 科室会WP'!$L:$L,$G27,'Sales T&amp;E &amp; 科室会WP'!$M:$M,$H27)*3*L27</f>
        <v>24000</v>
      </c>
      <c r="R27" s="553">
        <f t="shared" si="8"/>
        <v>96000</v>
      </c>
      <c r="V27" s="553">
        <f t="shared" si="9"/>
        <v>8000</v>
      </c>
      <c r="W27" s="553">
        <f t="shared" si="9"/>
        <v>8000</v>
      </c>
      <c r="X27" s="553">
        <f t="shared" si="9"/>
        <v>8000</v>
      </c>
      <c r="Y27" s="553">
        <f t="shared" si="10"/>
        <v>8000</v>
      </c>
      <c r="Z27" s="553">
        <f t="shared" si="10"/>
        <v>8000</v>
      </c>
      <c r="AA27" s="553">
        <f t="shared" si="10"/>
        <v>8000</v>
      </c>
      <c r="AB27" s="553">
        <f t="shared" si="11"/>
        <v>8000</v>
      </c>
      <c r="AC27" s="553">
        <f t="shared" si="11"/>
        <v>8000</v>
      </c>
      <c r="AD27" s="553">
        <f t="shared" si="11"/>
        <v>8000</v>
      </c>
      <c r="AE27" s="553">
        <f t="shared" si="12"/>
        <v>8000</v>
      </c>
      <c r="AF27" s="553">
        <f t="shared" si="12"/>
        <v>8000</v>
      </c>
      <c r="AG27" s="553">
        <f t="shared" si="12"/>
        <v>8000</v>
      </c>
      <c r="AH27" s="553">
        <f t="shared" si="4"/>
        <v>96000</v>
      </c>
      <c r="AI27" s="553">
        <f t="shared" si="5"/>
        <v>0</v>
      </c>
      <c r="AL27" s="552">
        <f>SUMIFS('Sales T&amp;E &amp; 科室会WP'!$T:$T,'Sales T&amp;E &amp; 科室会WP'!$Q:$Q,$H27)*$I27</f>
        <v>3000</v>
      </c>
      <c r="AM27" s="552">
        <f>SUMIFS('Sales T&amp;E &amp; 科室会WP'!$T:$T,'Sales T&amp;E &amp; 科室会WP'!$Q:$Q,$H27)*$I27</f>
        <v>3000</v>
      </c>
      <c r="AN27" s="552">
        <f>SUMIFS('Sales T&amp;E &amp; 科室会WP'!$T:$T,'Sales T&amp;E &amp; 科室会WP'!$Q:$Q,$H27)*$I27</f>
        <v>3000</v>
      </c>
      <c r="AO27" s="552">
        <f>SUMIFS('Sales T&amp;E &amp; 科室会WP'!$T:$T,'Sales T&amp;E &amp; 科室会WP'!$Q:$Q,$H27)*$J27</f>
        <v>3000</v>
      </c>
      <c r="AP27" s="552">
        <f>SUMIFS('Sales T&amp;E &amp; 科室会WP'!$T:$T,'Sales T&amp;E &amp; 科室会WP'!$Q:$Q,$H27)*$J27</f>
        <v>3000</v>
      </c>
      <c r="AQ27" s="552">
        <f>SUMIFS('Sales T&amp;E &amp; 科室会WP'!$T:$T,'Sales T&amp;E &amp; 科室会WP'!$Q:$Q,$H27)*$J27</f>
        <v>3000</v>
      </c>
      <c r="AR27" s="552">
        <f>SUMIFS('Sales T&amp;E &amp; 科室会WP'!$T:$T,'Sales T&amp;E &amp; 科室会WP'!$Q:$Q,$H27)*$K27</f>
        <v>3000</v>
      </c>
      <c r="AS27" s="552">
        <f>SUMIFS('Sales T&amp;E &amp; 科室会WP'!$T:$T,'Sales T&amp;E &amp; 科室会WP'!$Q:$Q,$H27)*$K27</f>
        <v>3000</v>
      </c>
      <c r="AT27" s="552">
        <f>SUMIFS('Sales T&amp;E &amp; 科室会WP'!$T:$T,'Sales T&amp;E &amp; 科室会WP'!$Q:$Q,$H27)*$K27</f>
        <v>3000</v>
      </c>
      <c r="AU27" s="552">
        <f>SUMIFS('Sales T&amp;E &amp; 科室会WP'!$T:$T,'Sales T&amp;E &amp; 科室会WP'!$Q:$Q,$H27)*$L27</f>
        <v>3000</v>
      </c>
      <c r="AV27" s="552">
        <f>SUMIFS('Sales T&amp;E &amp; 科室会WP'!$T:$T,'Sales T&amp;E &amp; 科室会WP'!$Q:$Q,$H27)*$L27</f>
        <v>3000</v>
      </c>
      <c r="AW27" s="552">
        <f>SUMIFS('Sales T&amp;E &amp; 科室会WP'!$T:$T,'Sales T&amp;E &amp; 科室会WP'!$Q:$Q,$H27)*$L27</f>
        <v>3000</v>
      </c>
      <c r="AX27" s="552">
        <f t="shared" si="6"/>
        <v>36000</v>
      </c>
    </row>
    <row r="28" spans="1:50" hidden="1">
      <c r="A28" s="551" t="s">
        <v>203</v>
      </c>
      <c r="B28" s="551" t="s">
        <v>958</v>
      </c>
      <c r="C28" s="551" t="s">
        <v>959</v>
      </c>
      <c r="D28" s="551" t="s">
        <v>960</v>
      </c>
      <c r="E28" s="551" t="s">
        <v>967</v>
      </c>
      <c r="F28" s="551" t="s">
        <v>980</v>
      </c>
      <c r="G28" s="508" t="s">
        <v>42</v>
      </c>
      <c r="N28" s="552">
        <f>SUMIFS('Sales T&amp;E &amp; 科室会WP'!$N:$N,'Sales T&amp;E &amp; 科室会WP'!$L:$L,$G28,'Sales T&amp;E &amp; 科室会WP'!$M:$M,$H28)*3*I28</f>
        <v>0</v>
      </c>
      <c r="O28" s="552">
        <f>SUMIFS('Sales T&amp;E &amp; 科室会WP'!$N:$N,'Sales T&amp;E &amp; 科室会WP'!$L:$L,$G28,'Sales T&amp;E &amp; 科室会WP'!$M:$M,$H28)*3*J28</f>
        <v>0</v>
      </c>
      <c r="P28" s="552">
        <f>SUMIFS('Sales T&amp;E &amp; 科室会WP'!$N:$N,'Sales T&amp;E &amp; 科室会WP'!$L:$L,$G28,'Sales T&amp;E &amp; 科室会WP'!$M:$M,$H28)*3*K28</f>
        <v>0</v>
      </c>
      <c r="Q28" s="552">
        <f>SUMIFS('Sales T&amp;E &amp; 科室会WP'!$N:$N,'Sales T&amp;E &amp; 科室会WP'!$L:$L,$G28,'Sales T&amp;E &amp; 科室会WP'!$M:$M,$H28)*3*L28</f>
        <v>0</v>
      </c>
      <c r="R28" s="553">
        <f t="shared" si="8"/>
        <v>0</v>
      </c>
      <c r="V28" s="553">
        <f t="shared" si="9"/>
        <v>0</v>
      </c>
      <c r="W28" s="553">
        <f t="shared" si="9"/>
        <v>0</v>
      </c>
      <c r="X28" s="553">
        <f t="shared" si="9"/>
        <v>0</v>
      </c>
      <c r="Y28" s="553">
        <f t="shared" si="10"/>
        <v>0</v>
      </c>
      <c r="Z28" s="553">
        <f t="shared" si="10"/>
        <v>0</v>
      </c>
      <c r="AA28" s="553">
        <f t="shared" si="10"/>
        <v>0</v>
      </c>
      <c r="AB28" s="553">
        <f t="shared" si="11"/>
        <v>0</v>
      </c>
      <c r="AC28" s="553">
        <f t="shared" si="11"/>
        <v>0</v>
      </c>
      <c r="AD28" s="553">
        <f t="shared" si="11"/>
        <v>0</v>
      </c>
      <c r="AE28" s="553">
        <f t="shared" si="12"/>
        <v>0</v>
      </c>
      <c r="AF28" s="553">
        <f t="shared" si="12"/>
        <v>0</v>
      </c>
      <c r="AG28" s="553">
        <f t="shared" si="12"/>
        <v>0</v>
      </c>
      <c r="AH28" s="553">
        <f t="shared" si="4"/>
        <v>0</v>
      </c>
      <c r="AI28" s="553">
        <f t="shared" si="5"/>
        <v>0</v>
      </c>
      <c r="AL28" s="552">
        <f>SUMIFS('Sales T&amp;E &amp; 科室会WP'!$T:$T,'Sales T&amp;E &amp; 科室会WP'!$Q:$Q,$H28)*$I28</f>
        <v>0</v>
      </c>
      <c r="AM28" s="552">
        <f>SUMIFS('Sales T&amp;E &amp; 科室会WP'!$T:$T,'Sales T&amp;E &amp; 科室会WP'!$Q:$Q,$H28)*$I28</f>
        <v>0</v>
      </c>
      <c r="AN28" s="552">
        <f>SUMIFS('Sales T&amp;E &amp; 科室会WP'!$T:$T,'Sales T&amp;E &amp; 科室会WP'!$Q:$Q,$H28)*$I28</f>
        <v>0</v>
      </c>
      <c r="AO28" s="552">
        <f>SUMIFS('Sales T&amp;E &amp; 科室会WP'!$T:$T,'Sales T&amp;E &amp; 科室会WP'!$Q:$Q,$H28)*$J28</f>
        <v>0</v>
      </c>
      <c r="AP28" s="552">
        <f>SUMIFS('Sales T&amp;E &amp; 科室会WP'!$T:$T,'Sales T&amp;E &amp; 科室会WP'!$Q:$Q,$H28)*$J28</f>
        <v>0</v>
      </c>
      <c r="AQ28" s="552">
        <f>SUMIFS('Sales T&amp;E &amp; 科室会WP'!$T:$T,'Sales T&amp;E &amp; 科室会WP'!$Q:$Q,$H28)*$J28</f>
        <v>0</v>
      </c>
      <c r="AR28" s="552">
        <f>SUMIFS('Sales T&amp;E &amp; 科室会WP'!$T:$T,'Sales T&amp;E &amp; 科室会WP'!$Q:$Q,$H28)*$K28</f>
        <v>0</v>
      </c>
      <c r="AS28" s="552">
        <f>SUMIFS('Sales T&amp;E &amp; 科室会WP'!$T:$T,'Sales T&amp;E &amp; 科室会WP'!$Q:$Q,$H28)*$K28</f>
        <v>0</v>
      </c>
      <c r="AT28" s="552">
        <f>SUMIFS('Sales T&amp;E &amp; 科室会WP'!$T:$T,'Sales T&amp;E &amp; 科室会WP'!$Q:$Q,$H28)*$K28</f>
        <v>0</v>
      </c>
      <c r="AU28" s="552">
        <f>SUMIFS('Sales T&amp;E &amp; 科室会WP'!$T:$T,'Sales T&amp;E &amp; 科室会WP'!$Q:$Q,$H28)*$L28</f>
        <v>0</v>
      </c>
      <c r="AV28" s="552">
        <f>SUMIFS('Sales T&amp;E &amp; 科室会WP'!$T:$T,'Sales T&amp;E &amp; 科室会WP'!$Q:$Q,$H28)*$L28</f>
        <v>0</v>
      </c>
      <c r="AW28" s="552">
        <f>SUMIFS('Sales T&amp;E &amp; 科室会WP'!$T:$T,'Sales T&amp;E &amp; 科室会WP'!$Q:$Q,$H28)*$L28</f>
        <v>0</v>
      </c>
      <c r="AX28" s="552">
        <f t="shared" si="6"/>
        <v>0</v>
      </c>
    </row>
    <row r="29" spans="1:50" hidden="1">
      <c r="A29" s="551" t="s">
        <v>203</v>
      </c>
      <c r="B29" s="551" t="s">
        <v>958</v>
      </c>
      <c r="C29" s="551" t="s">
        <v>959</v>
      </c>
      <c r="D29" s="551" t="s">
        <v>960</v>
      </c>
      <c r="E29" s="551" t="s">
        <v>967</v>
      </c>
      <c r="F29" s="551" t="s">
        <v>980</v>
      </c>
      <c r="G29" s="508" t="s">
        <v>42</v>
      </c>
      <c r="H29" s="551" t="s">
        <v>93</v>
      </c>
      <c r="I29" s="551">
        <v>3</v>
      </c>
      <c r="J29" s="551">
        <v>3</v>
      </c>
      <c r="K29" s="551">
        <v>3</v>
      </c>
      <c r="L29" s="551">
        <v>3</v>
      </c>
      <c r="N29" s="552">
        <f>SUMIFS('Sales T&amp;E &amp; 科室会WP'!$N:$N,'Sales T&amp;E &amp; 科室会WP'!$L:$L,$G29,'Sales T&amp;E &amp; 科室会WP'!$M:$M,$H29)*3*I29</f>
        <v>72000</v>
      </c>
      <c r="O29" s="552">
        <f>SUMIFS('Sales T&amp;E &amp; 科室会WP'!$N:$N,'Sales T&amp;E &amp; 科室会WP'!$L:$L,$G29,'Sales T&amp;E &amp; 科室会WP'!$M:$M,$H29)*3*J29</f>
        <v>72000</v>
      </c>
      <c r="P29" s="552">
        <f>SUMIFS('Sales T&amp;E &amp; 科室会WP'!$N:$N,'Sales T&amp;E &amp; 科室会WP'!$L:$L,$G29,'Sales T&amp;E &amp; 科室会WP'!$M:$M,$H29)*3*K29</f>
        <v>72000</v>
      </c>
      <c r="Q29" s="552">
        <f>SUMIFS('Sales T&amp;E &amp; 科室会WP'!$N:$N,'Sales T&amp;E &amp; 科室会WP'!$L:$L,$G29,'Sales T&amp;E &amp; 科室会WP'!$M:$M,$H29)*3*L29</f>
        <v>72000</v>
      </c>
      <c r="R29" s="553">
        <f t="shared" si="8"/>
        <v>288000</v>
      </c>
      <c r="V29" s="553">
        <f t="shared" si="9"/>
        <v>24000</v>
      </c>
      <c r="W29" s="553">
        <f t="shared" si="9"/>
        <v>24000</v>
      </c>
      <c r="X29" s="553">
        <f t="shared" si="9"/>
        <v>24000</v>
      </c>
      <c r="Y29" s="553">
        <f t="shared" si="10"/>
        <v>24000</v>
      </c>
      <c r="Z29" s="553">
        <f t="shared" si="10"/>
        <v>24000</v>
      </c>
      <c r="AA29" s="553">
        <f t="shared" si="10"/>
        <v>24000</v>
      </c>
      <c r="AB29" s="553">
        <f t="shared" si="11"/>
        <v>24000</v>
      </c>
      <c r="AC29" s="553">
        <f t="shared" si="11"/>
        <v>24000</v>
      </c>
      <c r="AD29" s="553">
        <f t="shared" si="11"/>
        <v>24000</v>
      </c>
      <c r="AE29" s="553">
        <f t="shared" si="12"/>
        <v>24000</v>
      </c>
      <c r="AF29" s="553">
        <f t="shared" si="12"/>
        <v>24000</v>
      </c>
      <c r="AG29" s="553">
        <f t="shared" si="12"/>
        <v>24000</v>
      </c>
      <c r="AH29" s="553">
        <f t="shared" si="4"/>
        <v>288000</v>
      </c>
      <c r="AI29" s="553">
        <f t="shared" si="5"/>
        <v>0</v>
      </c>
      <c r="AL29" s="552">
        <f>SUMIFS('Sales T&amp;E &amp; 科室会WP'!$T:$T,'Sales T&amp;E &amp; 科室会WP'!$Q:$Q,$H29)*$I29</f>
        <v>9000</v>
      </c>
      <c r="AM29" s="552">
        <f>SUMIFS('Sales T&amp;E &amp; 科室会WP'!$T:$T,'Sales T&amp;E &amp; 科室会WP'!$Q:$Q,$H29)*$I29</f>
        <v>9000</v>
      </c>
      <c r="AN29" s="552">
        <f>SUMIFS('Sales T&amp;E &amp; 科室会WP'!$T:$T,'Sales T&amp;E &amp; 科室会WP'!$Q:$Q,$H29)*$I29</f>
        <v>9000</v>
      </c>
      <c r="AO29" s="552">
        <f>SUMIFS('Sales T&amp;E &amp; 科室会WP'!$T:$T,'Sales T&amp;E &amp; 科室会WP'!$Q:$Q,$H29)*$J29</f>
        <v>9000</v>
      </c>
      <c r="AP29" s="552">
        <f>SUMIFS('Sales T&amp;E &amp; 科室会WP'!$T:$T,'Sales T&amp;E &amp; 科室会WP'!$Q:$Q,$H29)*$J29</f>
        <v>9000</v>
      </c>
      <c r="AQ29" s="552">
        <f>SUMIFS('Sales T&amp;E &amp; 科室会WP'!$T:$T,'Sales T&amp;E &amp; 科室会WP'!$Q:$Q,$H29)*$J29</f>
        <v>9000</v>
      </c>
      <c r="AR29" s="552">
        <f>SUMIFS('Sales T&amp;E &amp; 科室会WP'!$T:$T,'Sales T&amp;E &amp; 科室会WP'!$Q:$Q,$H29)*$K29</f>
        <v>9000</v>
      </c>
      <c r="AS29" s="552">
        <f>SUMIFS('Sales T&amp;E &amp; 科室会WP'!$T:$T,'Sales T&amp;E &amp; 科室会WP'!$Q:$Q,$H29)*$K29</f>
        <v>9000</v>
      </c>
      <c r="AT29" s="552">
        <f>SUMIFS('Sales T&amp;E &amp; 科室会WP'!$T:$T,'Sales T&amp;E &amp; 科室会WP'!$Q:$Q,$H29)*$K29</f>
        <v>9000</v>
      </c>
      <c r="AU29" s="552">
        <f>SUMIFS('Sales T&amp;E &amp; 科室会WP'!$T:$T,'Sales T&amp;E &amp; 科室会WP'!$Q:$Q,$H29)*$L29</f>
        <v>9000</v>
      </c>
      <c r="AV29" s="552">
        <f>SUMIFS('Sales T&amp;E &amp; 科室会WP'!$T:$T,'Sales T&amp;E &amp; 科室会WP'!$Q:$Q,$H29)*$L29</f>
        <v>9000</v>
      </c>
      <c r="AW29" s="552">
        <f>SUMIFS('Sales T&amp;E &amp; 科室会WP'!$T:$T,'Sales T&amp;E &amp; 科室会WP'!$Q:$Q,$H29)*$L29</f>
        <v>9000</v>
      </c>
      <c r="AX29" s="552">
        <f t="shared" si="6"/>
        <v>108000</v>
      </c>
    </row>
    <row r="30" spans="1:50" hidden="1">
      <c r="A30" s="551" t="s">
        <v>203</v>
      </c>
      <c r="B30" s="551" t="s">
        <v>958</v>
      </c>
      <c r="C30" s="551" t="s">
        <v>959</v>
      </c>
      <c r="D30" s="551" t="s">
        <v>960</v>
      </c>
      <c r="E30" s="551" t="s">
        <v>967</v>
      </c>
      <c r="F30" s="551" t="s">
        <v>980</v>
      </c>
      <c r="G30" s="508" t="s">
        <v>42</v>
      </c>
      <c r="H30" s="551" t="s">
        <v>94</v>
      </c>
      <c r="I30" s="551">
        <v>12</v>
      </c>
      <c r="J30" s="551">
        <v>12</v>
      </c>
      <c r="K30" s="551">
        <v>12</v>
      </c>
      <c r="L30" s="551">
        <v>12</v>
      </c>
      <c r="N30" s="552">
        <f>SUMIFS('Sales T&amp;E &amp; 科室会WP'!$N:$N,'Sales T&amp;E &amp; 科室会WP'!$L:$L,$G30,'Sales T&amp;E &amp; 科室会WP'!$M:$M,$H30)*3*I30</f>
        <v>180000</v>
      </c>
      <c r="O30" s="552">
        <f>SUMIFS('Sales T&amp;E &amp; 科室会WP'!$N:$N,'Sales T&amp;E &amp; 科室会WP'!$L:$L,$G30,'Sales T&amp;E &amp; 科室会WP'!$M:$M,$H30)*3*J30</f>
        <v>180000</v>
      </c>
      <c r="P30" s="552">
        <f>SUMIFS('Sales T&amp;E &amp; 科室会WP'!$N:$N,'Sales T&amp;E &amp; 科室会WP'!$L:$L,$G30,'Sales T&amp;E &amp; 科室会WP'!$M:$M,$H30)*3*K30</f>
        <v>180000</v>
      </c>
      <c r="Q30" s="552">
        <f>SUMIFS('Sales T&amp;E &amp; 科室会WP'!$N:$N,'Sales T&amp;E &amp; 科室会WP'!$L:$L,$G30,'Sales T&amp;E &amp; 科室会WP'!$M:$M,$H30)*3*L30</f>
        <v>180000</v>
      </c>
      <c r="R30" s="553">
        <f t="shared" si="8"/>
        <v>720000</v>
      </c>
      <c r="V30" s="553">
        <f t="shared" si="9"/>
        <v>60000</v>
      </c>
      <c r="W30" s="553">
        <f t="shared" si="9"/>
        <v>60000</v>
      </c>
      <c r="X30" s="553">
        <f t="shared" si="9"/>
        <v>60000</v>
      </c>
      <c r="Y30" s="553">
        <f t="shared" si="10"/>
        <v>60000</v>
      </c>
      <c r="Z30" s="553">
        <f t="shared" si="10"/>
        <v>60000</v>
      </c>
      <c r="AA30" s="553">
        <f t="shared" si="10"/>
        <v>60000</v>
      </c>
      <c r="AB30" s="553">
        <f t="shared" si="11"/>
        <v>60000</v>
      </c>
      <c r="AC30" s="553">
        <f t="shared" si="11"/>
        <v>60000</v>
      </c>
      <c r="AD30" s="553">
        <f t="shared" si="11"/>
        <v>60000</v>
      </c>
      <c r="AE30" s="553">
        <f t="shared" si="12"/>
        <v>60000</v>
      </c>
      <c r="AF30" s="553">
        <f t="shared" si="12"/>
        <v>60000</v>
      </c>
      <c r="AG30" s="553">
        <f t="shared" si="12"/>
        <v>60000</v>
      </c>
      <c r="AH30" s="553">
        <f t="shared" si="4"/>
        <v>720000</v>
      </c>
      <c r="AI30" s="553">
        <f t="shared" si="5"/>
        <v>0</v>
      </c>
      <c r="AL30" s="552">
        <f>SUMIFS('Sales T&amp;E &amp; 科室会WP'!$T:$T,'Sales T&amp;E &amp; 科室会WP'!$Q:$Q,$H30)*$I30</f>
        <v>36000</v>
      </c>
      <c r="AM30" s="552">
        <f>SUMIFS('Sales T&amp;E &amp; 科室会WP'!$T:$T,'Sales T&amp;E &amp; 科室会WP'!$Q:$Q,$H30)*$I30</f>
        <v>36000</v>
      </c>
      <c r="AN30" s="552">
        <f>SUMIFS('Sales T&amp;E &amp; 科室会WP'!$T:$T,'Sales T&amp;E &amp; 科室会WP'!$Q:$Q,$H30)*$I30</f>
        <v>36000</v>
      </c>
      <c r="AO30" s="552">
        <f>SUMIFS('Sales T&amp;E &amp; 科室会WP'!$T:$T,'Sales T&amp;E &amp; 科室会WP'!$Q:$Q,$H30)*$J30</f>
        <v>36000</v>
      </c>
      <c r="AP30" s="552">
        <f>SUMIFS('Sales T&amp;E &amp; 科室会WP'!$T:$T,'Sales T&amp;E &amp; 科室会WP'!$Q:$Q,$H30)*$J30</f>
        <v>36000</v>
      </c>
      <c r="AQ30" s="552">
        <f>SUMIFS('Sales T&amp;E &amp; 科室会WP'!$T:$T,'Sales T&amp;E &amp; 科室会WP'!$Q:$Q,$H30)*$J30</f>
        <v>36000</v>
      </c>
      <c r="AR30" s="552">
        <f>SUMIFS('Sales T&amp;E &amp; 科室会WP'!$T:$T,'Sales T&amp;E &amp; 科室会WP'!$Q:$Q,$H30)*$K30</f>
        <v>36000</v>
      </c>
      <c r="AS30" s="552">
        <f>SUMIFS('Sales T&amp;E &amp; 科室会WP'!$T:$T,'Sales T&amp;E &amp; 科室会WP'!$Q:$Q,$H30)*$K30</f>
        <v>36000</v>
      </c>
      <c r="AT30" s="552">
        <f>SUMIFS('Sales T&amp;E &amp; 科室会WP'!$T:$T,'Sales T&amp;E &amp; 科室会WP'!$Q:$Q,$H30)*$K30</f>
        <v>36000</v>
      </c>
      <c r="AU30" s="552">
        <f>SUMIFS('Sales T&amp;E &amp; 科室会WP'!$T:$T,'Sales T&amp;E &amp; 科室会WP'!$Q:$Q,$H30)*$L30</f>
        <v>36000</v>
      </c>
      <c r="AV30" s="552">
        <f>SUMIFS('Sales T&amp;E &amp; 科室会WP'!$T:$T,'Sales T&amp;E &amp; 科室会WP'!$Q:$Q,$H30)*$L30</f>
        <v>36000</v>
      </c>
      <c r="AW30" s="552">
        <f>SUMIFS('Sales T&amp;E &amp; 科室会WP'!$T:$T,'Sales T&amp;E &amp; 科室会WP'!$Q:$Q,$H30)*$L30</f>
        <v>36000</v>
      </c>
      <c r="AX30" s="552">
        <f t="shared" si="6"/>
        <v>432000</v>
      </c>
    </row>
    <row r="31" spans="1:50" hidden="1">
      <c r="A31" s="551" t="s">
        <v>203</v>
      </c>
      <c r="B31" s="551" t="s">
        <v>958</v>
      </c>
      <c r="C31" s="551" t="s">
        <v>959</v>
      </c>
      <c r="D31" s="551" t="s">
        <v>960</v>
      </c>
      <c r="E31" s="551" t="s">
        <v>967</v>
      </c>
      <c r="F31" s="551" t="s">
        <v>980</v>
      </c>
      <c r="G31" s="508" t="s">
        <v>42</v>
      </c>
      <c r="H31" s="551" t="s">
        <v>131</v>
      </c>
      <c r="I31" s="551">
        <v>1</v>
      </c>
      <c r="J31" s="551">
        <v>1</v>
      </c>
      <c r="K31" s="551">
        <v>1</v>
      </c>
      <c r="L31" s="551">
        <v>1</v>
      </c>
      <c r="N31" s="552">
        <f>SUMIFS('Sales T&amp;E &amp; 科室会WP'!$N:$N,'Sales T&amp;E &amp; 科室会WP'!$L:$L,$G31,'Sales T&amp;E &amp; 科室会WP'!$M:$M,$H31)*3*I31</f>
        <v>24000</v>
      </c>
      <c r="O31" s="552">
        <f>SUMIFS('Sales T&amp;E &amp; 科室会WP'!$N:$N,'Sales T&amp;E &amp; 科室会WP'!$L:$L,$G31,'Sales T&amp;E &amp; 科室会WP'!$M:$M,$H31)*3*J31</f>
        <v>24000</v>
      </c>
      <c r="P31" s="552">
        <f>SUMIFS('Sales T&amp;E &amp; 科室会WP'!$N:$N,'Sales T&amp;E &amp; 科室会WP'!$L:$L,$G31,'Sales T&amp;E &amp; 科室会WP'!$M:$M,$H31)*3*K31</f>
        <v>24000</v>
      </c>
      <c r="Q31" s="552">
        <f>SUMIFS('Sales T&amp;E &amp; 科室会WP'!$N:$N,'Sales T&amp;E &amp; 科室会WP'!$L:$L,$G31,'Sales T&amp;E &amp; 科室会WP'!$M:$M,$H31)*3*L31</f>
        <v>24000</v>
      </c>
      <c r="R31" s="553">
        <f t="shared" si="8"/>
        <v>96000</v>
      </c>
      <c r="V31" s="553">
        <f t="shared" si="9"/>
        <v>8000</v>
      </c>
      <c r="W31" s="553">
        <f t="shared" si="9"/>
        <v>8000</v>
      </c>
      <c r="X31" s="553">
        <f t="shared" si="9"/>
        <v>8000</v>
      </c>
      <c r="Y31" s="553">
        <f t="shared" si="10"/>
        <v>8000</v>
      </c>
      <c r="Z31" s="553">
        <f t="shared" si="10"/>
        <v>8000</v>
      </c>
      <c r="AA31" s="553">
        <f t="shared" si="10"/>
        <v>8000</v>
      </c>
      <c r="AB31" s="553">
        <f t="shared" si="11"/>
        <v>8000</v>
      </c>
      <c r="AC31" s="553">
        <f t="shared" si="11"/>
        <v>8000</v>
      </c>
      <c r="AD31" s="553">
        <f t="shared" si="11"/>
        <v>8000</v>
      </c>
      <c r="AE31" s="553">
        <f t="shared" si="12"/>
        <v>8000</v>
      </c>
      <c r="AF31" s="553">
        <f t="shared" si="12"/>
        <v>8000</v>
      </c>
      <c r="AG31" s="553">
        <f t="shared" si="12"/>
        <v>8000</v>
      </c>
      <c r="AH31" s="553">
        <f t="shared" si="4"/>
        <v>96000</v>
      </c>
      <c r="AI31" s="553">
        <f t="shared" si="5"/>
        <v>0</v>
      </c>
      <c r="AL31" s="552">
        <f>SUMIFS('Sales T&amp;E &amp; 科室会WP'!$T:$T,'Sales T&amp;E &amp; 科室会WP'!$Q:$Q,$H31)*$I31</f>
        <v>3000</v>
      </c>
      <c r="AM31" s="552">
        <f>SUMIFS('Sales T&amp;E &amp; 科室会WP'!$T:$T,'Sales T&amp;E &amp; 科室会WP'!$Q:$Q,$H31)*$I31</f>
        <v>3000</v>
      </c>
      <c r="AN31" s="552">
        <f>SUMIFS('Sales T&amp;E &amp; 科室会WP'!$T:$T,'Sales T&amp;E &amp; 科室会WP'!$Q:$Q,$H31)*$I31</f>
        <v>3000</v>
      </c>
      <c r="AO31" s="552">
        <f>SUMIFS('Sales T&amp;E &amp; 科室会WP'!$T:$T,'Sales T&amp;E &amp; 科室会WP'!$Q:$Q,$H31)*$J31</f>
        <v>3000</v>
      </c>
      <c r="AP31" s="552">
        <f>SUMIFS('Sales T&amp;E &amp; 科室会WP'!$T:$T,'Sales T&amp;E &amp; 科室会WP'!$Q:$Q,$H31)*$J31</f>
        <v>3000</v>
      </c>
      <c r="AQ31" s="552">
        <f>SUMIFS('Sales T&amp;E &amp; 科室会WP'!$T:$T,'Sales T&amp;E &amp; 科室会WP'!$Q:$Q,$H31)*$J31</f>
        <v>3000</v>
      </c>
      <c r="AR31" s="552">
        <f>SUMIFS('Sales T&amp;E &amp; 科室会WP'!$T:$T,'Sales T&amp;E &amp; 科室会WP'!$Q:$Q,$H31)*$K31</f>
        <v>3000</v>
      </c>
      <c r="AS31" s="552">
        <f>SUMIFS('Sales T&amp;E &amp; 科室会WP'!$T:$T,'Sales T&amp;E &amp; 科室会WP'!$Q:$Q,$H31)*$K31</f>
        <v>3000</v>
      </c>
      <c r="AT31" s="552">
        <f>SUMIFS('Sales T&amp;E &amp; 科室会WP'!$T:$T,'Sales T&amp;E &amp; 科室会WP'!$Q:$Q,$H31)*$K31</f>
        <v>3000</v>
      </c>
      <c r="AU31" s="552">
        <f>SUMIFS('Sales T&amp;E &amp; 科室会WP'!$T:$T,'Sales T&amp;E &amp; 科室会WP'!$Q:$Q,$H31)*$L31</f>
        <v>3000</v>
      </c>
      <c r="AV31" s="552">
        <f>SUMIFS('Sales T&amp;E &amp; 科室会WP'!$T:$T,'Sales T&amp;E &amp; 科室会WP'!$Q:$Q,$H31)*$L31</f>
        <v>3000</v>
      </c>
      <c r="AW31" s="552">
        <f>SUMIFS('Sales T&amp;E &amp; 科室会WP'!$T:$T,'Sales T&amp;E &amp; 科室会WP'!$Q:$Q,$H31)*$L31</f>
        <v>3000</v>
      </c>
      <c r="AX31" s="552">
        <f t="shared" si="6"/>
        <v>36000</v>
      </c>
    </row>
    <row r="32" spans="1:50" hidden="1">
      <c r="A32" s="551" t="s">
        <v>203</v>
      </c>
      <c r="B32" s="551" t="s">
        <v>958</v>
      </c>
      <c r="C32" s="551" t="s">
        <v>959</v>
      </c>
      <c r="D32" s="551" t="s">
        <v>960</v>
      </c>
      <c r="E32" s="551" t="s">
        <v>968</v>
      </c>
      <c r="F32" s="551" t="s">
        <v>981</v>
      </c>
      <c r="G32" s="508" t="s">
        <v>42</v>
      </c>
      <c r="H32" s="551" t="s">
        <v>93</v>
      </c>
      <c r="I32" s="551">
        <v>1</v>
      </c>
      <c r="J32" s="551">
        <v>1</v>
      </c>
      <c r="K32" s="551">
        <v>1</v>
      </c>
      <c r="L32" s="551">
        <v>1</v>
      </c>
      <c r="N32" s="552">
        <f>SUMIFS('Sales T&amp;E &amp; 科室会WP'!$N:$N,'Sales T&amp;E &amp; 科室会WP'!$L:$L,$G32,'Sales T&amp;E &amp; 科室会WP'!$M:$M,$H32)*3*I32</f>
        <v>24000</v>
      </c>
      <c r="O32" s="552">
        <f>SUMIFS('Sales T&amp;E &amp; 科室会WP'!$N:$N,'Sales T&amp;E &amp; 科室会WP'!$L:$L,$G32,'Sales T&amp;E &amp; 科室会WP'!$M:$M,$H32)*3*J32</f>
        <v>24000</v>
      </c>
      <c r="P32" s="552">
        <f>SUMIFS('Sales T&amp;E &amp; 科室会WP'!$N:$N,'Sales T&amp;E &amp; 科室会WP'!$L:$L,$G32,'Sales T&amp;E &amp; 科室会WP'!$M:$M,$H32)*3*K32</f>
        <v>24000</v>
      </c>
      <c r="Q32" s="552">
        <f>SUMIFS('Sales T&amp;E &amp; 科室会WP'!$N:$N,'Sales T&amp;E &amp; 科室会WP'!$L:$L,$G32,'Sales T&amp;E &amp; 科室会WP'!$M:$M,$H32)*3*L32</f>
        <v>24000</v>
      </c>
      <c r="R32" s="553">
        <f t="shared" si="8"/>
        <v>96000</v>
      </c>
      <c r="V32" s="553">
        <f t="shared" si="9"/>
        <v>8000</v>
      </c>
      <c r="W32" s="553">
        <f t="shared" si="9"/>
        <v>8000</v>
      </c>
      <c r="X32" s="553">
        <f t="shared" si="9"/>
        <v>8000</v>
      </c>
      <c r="Y32" s="553">
        <f t="shared" si="10"/>
        <v>8000</v>
      </c>
      <c r="Z32" s="553">
        <f t="shared" si="10"/>
        <v>8000</v>
      </c>
      <c r="AA32" s="553">
        <f t="shared" si="10"/>
        <v>8000</v>
      </c>
      <c r="AB32" s="553">
        <f t="shared" si="11"/>
        <v>8000</v>
      </c>
      <c r="AC32" s="553">
        <f t="shared" si="11"/>
        <v>8000</v>
      </c>
      <c r="AD32" s="553">
        <f t="shared" si="11"/>
        <v>8000</v>
      </c>
      <c r="AE32" s="553">
        <f t="shared" si="12"/>
        <v>8000</v>
      </c>
      <c r="AF32" s="553">
        <f t="shared" si="12"/>
        <v>8000</v>
      </c>
      <c r="AG32" s="553">
        <f t="shared" si="12"/>
        <v>8000</v>
      </c>
      <c r="AH32" s="553">
        <f t="shared" si="4"/>
        <v>96000</v>
      </c>
      <c r="AI32" s="553">
        <f t="shared" si="5"/>
        <v>0</v>
      </c>
      <c r="AL32" s="552">
        <f>SUMIFS('Sales T&amp;E &amp; 科室会WP'!$T:$T,'Sales T&amp;E &amp; 科室会WP'!$Q:$Q,$H32)*$I32</f>
        <v>3000</v>
      </c>
      <c r="AM32" s="552">
        <f>SUMIFS('Sales T&amp;E &amp; 科室会WP'!$T:$T,'Sales T&amp;E &amp; 科室会WP'!$Q:$Q,$H32)*$I32</f>
        <v>3000</v>
      </c>
      <c r="AN32" s="552">
        <f>SUMIFS('Sales T&amp;E &amp; 科室会WP'!$T:$T,'Sales T&amp;E &amp; 科室会WP'!$Q:$Q,$H32)*$I32</f>
        <v>3000</v>
      </c>
      <c r="AO32" s="552">
        <f>SUMIFS('Sales T&amp;E &amp; 科室会WP'!$T:$T,'Sales T&amp;E &amp; 科室会WP'!$Q:$Q,$H32)*$J32</f>
        <v>3000</v>
      </c>
      <c r="AP32" s="552">
        <f>SUMIFS('Sales T&amp;E &amp; 科室会WP'!$T:$T,'Sales T&amp;E &amp; 科室会WP'!$Q:$Q,$H32)*$J32</f>
        <v>3000</v>
      </c>
      <c r="AQ32" s="552">
        <f>SUMIFS('Sales T&amp;E &amp; 科室会WP'!$T:$T,'Sales T&amp;E &amp; 科室会WP'!$Q:$Q,$H32)*$J32</f>
        <v>3000</v>
      </c>
      <c r="AR32" s="552">
        <f>SUMIFS('Sales T&amp;E &amp; 科室会WP'!$T:$T,'Sales T&amp;E &amp; 科室会WP'!$Q:$Q,$H32)*$K32</f>
        <v>3000</v>
      </c>
      <c r="AS32" s="552">
        <f>SUMIFS('Sales T&amp;E &amp; 科室会WP'!$T:$T,'Sales T&amp;E &amp; 科室会WP'!$Q:$Q,$H32)*$K32</f>
        <v>3000</v>
      </c>
      <c r="AT32" s="552">
        <f>SUMIFS('Sales T&amp;E &amp; 科室会WP'!$T:$T,'Sales T&amp;E &amp; 科室会WP'!$Q:$Q,$H32)*$K32</f>
        <v>3000</v>
      </c>
      <c r="AU32" s="552">
        <f>SUMIFS('Sales T&amp;E &amp; 科室会WP'!$T:$T,'Sales T&amp;E &amp; 科室会WP'!$Q:$Q,$H32)*$L32</f>
        <v>3000</v>
      </c>
      <c r="AV32" s="552">
        <f>SUMIFS('Sales T&amp;E &amp; 科室会WP'!$T:$T,'Sales T&amp;E &amp; 科室会WP'!$Q:$Q,$H32)*$L32</f>
        <v>3000</v>
      </c>
      <c r="AW32" s="552">
        <f>SUMIFS('Sales T&amp;E &amp; 科室会WP'!$T:$T,'Sales T&amp;E &amp; 科室会WP'!$Q:$Q,$H32)*$L32</f>
        <v>3000</v>
      </c>
      <c r="AX32" s="552">
        <f t="shared" si="6"/>
        <v>36000</v>
      </c>
    </row>
    <row r="33" spans="1:50" hidden="1">
      <c r="A33" s="551" t="s">
        <v>203</v>
      </c>
      <c r="B33" s="551" t="s">
        <v>958</v>
      </c>
      <c r="C33" s="551" t="s">
        <v>959</v>
      </c>
      <c r="D33" s="551" t="s">
        <v>960</v>
      </c>
      <c r="E33" s="551" t="s">
        <v>968</v>
      </c>
      <c r="F33" s="551" t="s">
        <v>981</v>
      </c>
      <c r="G33" s="508" t="s">
        <v>42</v>
      </c>
      <c r="H33" s="551" t="s">
        <v>94</v>
      </c>
      <c r="I33" s="551">
        <v>7</v>
      </c>
      <c r="J33" s="551">
        <v>7</v>
      </c>
      <c r="K33" s="551">
        <v>7</v>
      </c>
      <c r="L33" s="551">
        <v>7</v>
      </c>
      <c r="N33" s="552">
        <f>SUMIFS('Sales T&amp;E &amp; 科室会WP'!$N:$N,'Sales T&amp;E &amp; 科室会WP'!$L:$L,$G33,'Sales T&amp;E &amp; 科室会WP'!$M:$M,$H33)*3*I33</f>
        <v>105000</v>
      </c>
      <c r="O33" s="552">
        <f>SUMIFS('Sales T&amp;E &amp; 科室会WP'!$N:$N,'Sales T&amp;E &amp; 科室会WP'!$L:$L,$G33,'Sales T&amp;E &amp; 科室会WP'!$M:$M,$H33)*3*J33</f>
        <v>105000</v>
      </c>
      <c r="P33" s="552">
        <f>SUMIFS('Sales T&amp;E &amp; 科室会WP'!$N:$N,'Sales T&amp;E &amp; 科室会WP'!$L:$L,$G33,'Sales T&amp;E &amp; 科室会WP'!$M:$M,$H33)*3*K33</f>
        <v>105000</v>
      </c>
      <c r="Q33" s="552">
        <f>SUMIFS('Sales T&amp;E &amp; 科室会WP'!$N:$N,'Sales T&amp;E &amp; 科室会WP'!$L:$L,$G33,'Sales T&amp;E &amp; 科室会WP'!$M:$M,$H33)*3*L33</f>
        <v>105000</v>
      </c>
      <c r="R33" s="553">
        <f t="shared" si="8"/>
        <v>420000</v>
      </c>
      <c r="V33" s="553">
        <f t="shared" si="9"/>
        <v>35000</v>
      </c>
      <c r="W33" s="553">
        <f t="shared" si="9"/>
        <v>35000</v>
      </c>
      <c r="X33" s="553">
        <f t="shared" si="9"/>
        <v>35000</v>
      </c>
      <c r="Y33" s="553">
        <f t="shared" si="10"/>
        <v>35000</v>
      </c>
      <c r="Z33" s="553">
        <f t="shared" si="10"/>
        <v>35000</v>
      </c>
      <c r="AA33" s="553">
        <f t="shared" si="10"/>
        <v>35000</v>
      </c>
      <c r="AB33" s="553">
        <f t="shared" si="11"/>
        <v>35000</v>
      </c>
      <c r="AC33" s="553">
        <f t="shared" si="11"/>
        <v>35000</v>
      </c>
      <c r="AD33" s="553">
        <f t="shared" si="11"/>
        <v>35000</v>
      </c>
      <c r="AE33" s="553">
        <f t="shared" si="12"/>
        <v>35000</v>
      </c>
      <c r="AF33" s="553">
        <f t="shared" si="12"/>
        <v>35000</v>
      </c>
      <c r="AG33" s="553">
        <f t="shared" si="12"/>
        <v>35000</v>
      </c>
      <c r="AH33" s="553">
        <f t="shared" si="4"/>
        <v>420000</v>
      </c>
      <c r="AI33" s="553">
        <f t="shared" si="5"/>
        <v>0</v>
      </c>
      <c r="AL33" s="552">
        <f>SUMIFS('Sales T&amp;E &amp; 科室会WP'!$T:$T,'Sales T&amp;E &amp; 科室会WP'!$Q:$Q,$H33)*$I33</f>
        <v>21000</v>
      </c>
      <c r="AM33" s="552">
        <f>SUMIFS('Sales T&amp;E &amp; 科室会WP'!$T:$T,'Sales T&amp;E &amp; 科室会WP'!$Q:$Q,$H33)*$I33</f>
        <v>21000</v>
      </c>
      <c r="AN33" s="552">
        <f>SUMIFS('Sales T&amp;E &amp; 科室会WP'!$T:$T,'Sales T&amp;E &amp; 科室会WP'!$Q:$Q,$H33)*$I33</f>
        <v>21000</v>
      </c>
      <c r="AO33" s="552">
        <f>SUMIFS('Sales T&amp;E &amp; 科室会WP'!$T:$T,'Sales T&amp;E &amp; 科室会WP'!$Q:$Q,$H33)*$J33</f>
        <v>21000</v>
      </c>
      <c r="AP33" s="552">
        <f>SUMIFS('Sales T&amp;E &amp; 科室会WP'!$T:$T,'Sales T&amp;E &amp; 科室会WP'!$Q:$Q,$H33)*$J33</f>
        <v>21000</v>
      </c>
      <c r="AQ33" s="552">
        <f>SUMIFS('Sales T&amp;E &amp; 科室会WP'!$T:$T,'Sales T&amp;E &amp; 科室会WP'!$Q:$Q,$H33)*$J33</f>
        <v>21000</v>
      </c>
      <c r="AR33" s="552">
        <f>SUMIFS('Sales T&amp;E &amp; 科室会WP'!$T:$T,'Sales T&amp;E &amp; 科室会WP'!$Q:$Q,$H33)*$K33</f>
        <v>21000</v>
      </c>
      <c r="AS33" s="552">
        <f>SUMIFS('Sales T&amp;E &amp; 科室会WP'!$T:$T,'Sales T&amp;E &amp; 科室会WP'!$Q:$Q,$H33)*$K33</f>
        <v>21000</v>
      </c>
      <c r="AT33" s="552">
        <f>SUMIFS('Sales T&amp;E &amp; 科室会WP'!$T:$T,'Sales T&amp;E &amp; 科室会WP'!$Q:$Q,$H33)*$K33</f>
        <v>21000</v>
      </c>
      <c r="AU33" s="552">
        <f>SUMIFS('Sales T&amp;E &amp; 科室会WP'!$T:$T,'Sales T&amp;E &amp; 科室会WP'!$Q:$Q,$H33)*$L33</f>
        <v>21000</v>
      </c>
      <c r="AV33" s="552">
        <f>SUMIFS('Sales T&amp;E &amp; 科室会WP'!$T:$T,'Sales T&amp;E &amp; 科室会WP'!$Q:$Q,$H33)*$L33</f>
        <v>21000</v>
      </c>
      <c r="AW33" s="552">
        <f>SUMIFS('Sales T&amp;E &amp; 科室会WP'!$T:$T,'Sales T&amp;E &amp; 科室会WP'!$Q:$Q,$H33)*$L33</f>
        <v>21000</v>
      </c>
      <c r="AX33" s="552">
        <f t="shared" si="6"/>
        <v>252000</v>
      </c>
    </row>
    <row r="34" spans="1:50" hidden="1">
      <c r="A34" s="551" t="s">
        <v>203</v>
      </c>
      <c r="B34" s="551" t="s">
        <v>958</v>
      </c>
      <c r="C34" s="551" t="s">
        <v>959</v>
      </c>
      <c r="D34" s="551" t="s">
        <v>960</v>
      </c>
      <c r="E34" s="551" t="s">
        <v>968</v>
      </c>
      <c r="F34" s="551" t="s">
        <v>981</v>
      </c>
      <c r="G34" s="508" t="s">
        <v>42</v>
      </c>
      <c r="H34" s="551" t="s">
        <v>131</v>
      </c>
      <c r="I34" s="551">
        <v>1</v>
      </c>
      <c r="J34" s="551">
        <v>1</v>
      </c>
      <c r="K34" s="551">
        <v>1</v>
      </c>
      <c r="L34" s="551">
        <v>1</v>
      </c>
      <c r="N34" s="552">
        <f>SUMIFS('Sales T&amp;E &amp; 科室会WP'!$N:$N,'Sales T&amp;E &amp; 科室会WP'!$L:$L,$G34,'Sales T&amp;E &amp; 科室会WP'!$M:$M,$H34)*3*I34</f>
        <v>24000</v>
      </c>
      <c r="O34" s="552">
        <f>SUMIFS('Sales T&amp;E &amp; 科室会WP'!$N:$N,'Sales T&amp;E &amp; 科室会WP'!$L:$L,$G34,'Sales T&amp;E &amp; 科室会WP'!$M:$M,$H34)*3*J34</f>
        <v>24000</v>
      </c>
      <c r="P34" s="552">
        <f>SUMIFS('Sales T&amp;E &amp; 科室会WP'!$N:$N,'Sales T&amp;E &amp; 科室会WP'!$L:$L,$G34,'Sales T&amp;E &amp; 科室会WP'!$M:$M,$H34)*3*K34</f>
        <v>24000</v>
      </c>
      <c r="Q34" s="552">
        <f>SUMIFS('Sales T&amp;E &amp; 科室会WP'!$N:$N,'Sales T&amp;E &amp; 科室会WP'!$L:$L,$G34,'Sales T&amp;E &amp; 科室会WP'!$M:$M,$H34)*3*L34</f>
        <v>24000</v>
      </c>
      <c r="R34" s="553">
        <f t="shared" si="8"/>
        <v>96000</v>
      </c>
      <c r="V34" s="553">
        <f t="shared" si="9"/>
        <v>8000</v>
      </c>
      <c r="W34" s="553">
        <f t="shared" si="9"/>
        <v>8000</v>
      </c>
      <c r="X34" s="553">
        <f t="shared" si="9"/>
        <v>8000</v>
      </c>
      <c r="Y34" s="553">
        <f t="shared" si="10"/>
        <v>8000</v>
      </c>
      <c r="Z34" s="553">
        <f t="shared" si="10"/>
        <v>8000</v>
      </c>
      <c r="AA34" s="553">
        <f t="shared" si="10"/>
        <v>8000</v>
      </c>
      <c r="AB34" s="553">
        <f t="shared" si="11"/>
        <v>8000</v>
      </c>
      <c r="AC34" s="553">
        <f t="shared" si="11"/>
        <v>8000</v>
      </c>
      <c r="AD34" s="553">
        <f t="shared" si="11"/>
        <v>8000</v>
      </c>
      <c r="AE34" s="553">
        <f t="shared" si="12"/>
        <v>8000</v>
      </c>
      <c r="AF34" s="553">
        <f t="shared" si="12"/>
        <v>8000</v>
      </c>
      <c r="AG34" s="553">
        <f t="shared" si="12"/>
        <v>8000</v>
      </c>
      <c r="AH34" s="553">
        <f t="shared" si="4"/>
        <v>96000</v>
      </c>
      <c r="AI34" s="553">
        <f t="shared" si="5"/>
        <v>0</v>
      </c>
      <c r="AL34" s="552">
        <f>SUMIFS('Sales T&amp;E &amp; 科室会WP'!$T:$T,'Sales T&amp;E &amp; 科室会WP'!$Q:$Q,$H34)*$I34</f>
        <v>3000</v>
      </c>
      <c r="AM34" s="552">
        <f>SUMIFS('Sales T&amp;E &amp; 科室会WP'!$T:$T,'Sales T&amp;E &amp; 科室会WP'!$Q:$Q,$H34)*$I34</f>
        <v>3000</v>
      </c>
      <c r="AN34" s="552">
        <f>SUMIFS('Sales T&amp;E &amp; 科室会WP'!$T:$T,'Sales T&amp;E &amp; 科室会WP'!$Q:$Q,$H34)*$I34</f>
        <v>3000</v>
      </c>
      <c r="AO34" s="552">
        <f>SUMIFS('Sales T&amp;E &amp; 科室会WP'!$T:$T,'Sales T&amp;E &amp; 科室会WP'!$Q:$Q,$H34)*$J34</f>
        <v>3000</v>
      </c>
      <c r="AP34" s="552">
        <f>SUMIFS('Sales T&amp;E &amp; 科室会WP'!$T:$T,'Sales T&amp;E &amp; 科室会WP'!$Q:$Q,$H34)*$J34</f>
        <v>3000</v>
      </c>
      <c r="AQ34" s="552">
        <f>SUMIFS('Sales T&amp;E &amp; 科室会WP'!$T:$T,'Sales T&amp;E &amp; 科室会WP'!$Q:$Q,$H34)*$J34</f>
        <v>3000</v>
      </c>
      <c r="AR34" s="552">
        <f>SUMIFS('Sales T&amp;E &amp; 科室会WP'!$T:$T,'Sales T&amp;E &amp; 科室会WP'!$Q:$Q,$H34)*$K34</f>
        <v>3000</v>
      </c>
      <c r="AS34" s="552">
        <f>SUMIFS('Sales T&amp;E &amp; 科室会WP'!$T:$T,'Sales T&amp;E &amp; 科室会WP'!$Q:$Q,$H34)*$K34</f>
        <v>3000</v>
      </c>
      <c r="AT34" s="552">
        <f>SUMIFS('Sales T&amp;E &amp; 科室会WP'!$T:$T,'Sales T&amp;E &amp; 科室会WP'!$Q:$Q,$H34)*$K34</f>
        <v>3000</v>
      </c>
      <c r="AU34" s="552">
        <f>SUMIFS('Sales T&amp;E &amp; 科室会WP'!$T:$T,'Sales T&amp;E &amp; 科室会WP'!$Q:$Q,$H34)*$L34</f>
        <v>3000</v>
      </c>
      <c r="AV34" s="552">
        <f>SUMIFS('Sales T&amp;E &amp; 科室会WP'!$T:$T,'Sales T&amp;E &amp; 科室会WP'!$Q:$Q,$H34)*$L34</f>
        <v>3000</v>
      </c>
      <c r="AW34" s="552">
        <f>SUMIFS('Sales T&amp;E &amp; 科室会WP'!$T:$T,'Sales T&amp;E &amp; 科室会WP'!$Q:$Q,$H34)*$L34</f>
        <v>3000</v>
      </c>
      <c r="AX34" s="552">
        <f t="shared" si="6"/>
        <v>36000</v>
      </c>
    </row>
    <row r="35" spans="1:50" hidden="1">
      <c r="A35" s="551" t="s">
        <v>203</v>
      </c>
      <c r="B35" s="551" t="s">
        <v>958</v>
      </c>
      <c r="C35" s="551" t="s">
        <v>959</v>
      </c>
      <c r="D35" s="551" t="s">
        <v>960</v>
      </c>
      <c r="E35" s="551" t="s">
        <v>969</v>
      </c>
      <c r="F35" s="551" t="s">
        <v>982</v>
      </c>
      <c r="G35" s="508" t="s">
        <v>42</v>
      </c>
      <c r="H35" s="551" t="s">
        <v>93</v>
      </c>
      <c r="I35" s="551">
        <v>4</v>
      </c>
      <c r="J35" s="551">
        <v>4</v>
      </c>
      <c r="K35" s="551">
        <v>4</v>
      </c>
      <c r="L35" s="551">
        <v>4</v>
      </c>
      <c r="N35" s="552">
        <f>SUMIFS('Sales T&amp;E &amp; 科室会WP'!$N:$N,'Sales T&amp;E &amp; 科室会WP'!$L:$L,$G35,'Sales T&amp;E &amp; 科室会WP'!$M:$M,$H35)*3*I35</f>
        <v>96000</v>
      </c>
      <c r="O35" s="552">
        <f>SUMIFS('Sales T&amp;E &amp; 科室会WP'!$N:$N,'Sales T&amp;E &amp; 科室会WP'!$L:$L,$G35,'Sales T&amp;E &amp; 科室会WP'!$M:$M,$H35)*3*J35</f>
        <v>96000</v>
      </c>
      <c r="P35" s="552">
        <f>SUMIFS('Sales T&amp;E &amp; 科室会WP'!$N:$N,'Sales T&amp;E &amp; 科室会WP'!$L:$L,$G35,'Sales T&amp;E &amp; 科室会WP'!$M:$M,$H35)*3*K35</f>
        <v>96000</v>
      </c>
      <c r="Q35" s="552">
        <f>SUMIFS('Sales T&amp;E &amp; 科室会WP'!$N:$N,'Sales T&amp;E &amp; 科室会WP'!$L:$L,$G35,'Sales T&amp;E &amp; 科室会WP'!$M:$M,$H35)*3*L35</f>
        <v>96000</v>
      </c>
      <c r="R35" s="553">
        <f t="shared" si="8"/>
        <v>384000</v>
      </c>
      <c r="V35" s="553">
        <f t="shared" si="9"/>
        <v>32000</v>
      </c>
      <c r="W35" s="553">
        <f t="shared" si="9"/>
        <v>32000</v>
      </c>
      <c r="X35" s="553">
        <f t="shared" si="9"/>
        <v>32000</v>
      </c>
      <c r="Y35" s="553">
        <f t="shared" si="10"/>
        <v>32000</v>
      </c>
      <c r="Z35" s="553">
        <f t="shared" si="10"/>
        <v>32000</v>
      </c>
      <c r="AA35" s="553">
        <f t="shared" si="10"/>
        <v>32000</v>
      </c>
      <c r="AB35" s="553">
        <f t="shared" si="11"/>
        <v>32000</v>
      </c>
      <c r="AC35" s="553">
        <f t="shared" si="11"/>
        <v>32000</v>
      </c>
      <c r="AD35" s="553">
        <f t="shared" si="11"/>
        <v>32000</v>
      </c>
      <c r="AE35" s="553">
        <f t="shared" si="12"/>
        <v>32000</v>
      </c>
      <c r="AF35" s="553">
        <f t="shared" si="12"/>
        <v>32000</v>
      </c>
      <c r="AG35" s="553">
        <f t="shared" si="12"/>
        <v>32000</v>
      </c>
      <c r="AH35" s="553">
        <f t="shared" si="4"/>
        <v>384000</v>
      </c>
      <c r="AI35" s="553">
        <f t="shared" si="5"/>
        <v>0</v>
      </c>
      <c r="AL35" s="552">
        <f>SUMIFS('Sales T&amp;E &amp; 科室会WP'!$T:$T,'Sales T&amp;E &amp; 科室会WP'!$Q:$Q,$H35)*$I35</f>
        <v>12000</v>
      </c>
      <c r="AM35" s="552">
        <f>SUMIFS('Sales T&amp;E &amp; 科室会WP'!$T:$T,'Sales T&amp;E &amp; 科室会WP'!$Q:$Q,$H35)*$I35</f>
        <v>12000</v>
      </c>
      <c r="AN35" s="552">
        <f>SUMIFS('Sales T&amp;E &amp; 科室会WP'!$T:$T,'Sales T&amp;E &amp; 科室会WP'!$Q:$Q,$H35)*$I35</f>
        <v>12000</v>
      </c>
      <c r="AO35" s="552">
        <f>SUMIFS('Sales T&amp;E &amp; 科室会WP'!$T:$T,'Sales T&amp;E &amp; 科室会WP'!$Q:$Q,$H35)*$J35</f>
        <v>12000</v>
      </c>
      <c r="AP35" s="552">
        <f>SUMIFS('Sales T&amp;E &amp; 科室会WP'!$T:$T,'Sales T&amp;E &amp; 科室会WP'!$Q:$Q,$H35)*$J35</f>
        <v>12000</v>
      </c>
      <c r="AQ35" s="552">
        <f>SUMIFS('Sales T&amp;E &amp; 科室会WP'!$T:$T,'Sales T&amp;E &amp; 科室会WP'!$Q:$Q,$H35)*$J35</f>
        <v>12000</v>
      </c>
      <c r="AR35" s="552">
        <f>SUMIFS('Sales T&amp;E &amp; 科室会WP'!$T:$T,'Sales T&amp;E &amp; 科室会WP'!$Q:$Q,$H35)*$K35</f>
        <v>12000</v>
      </c>
      <c r="AS35" s="552">
        <f>SUMIFS('Sales T&amp;E &amp; 科室会WP'!$T:$T,'Sales T&amp;E &amp; 科室会WP'!$Q:$Q,$H35)*$K35</f>
        <v>12000</v>
      </c>
      <c r="AT35" s="552">
        <f>SUMIFS('Sales T&amp;E &amp; 科室会WP'!$T:$T,'Sales T&amp;E &amp; 科室会WP'!$Q:$Q,$H35)*$K35</f>
        <v>12000</v>
      </c>
      <c r="AU35" s="552">
        <f>SUMIFS('Sales T&amp;E &amp; 科室会WP'!$T:$T,'Sales T&amp;E &amp; 科室会WP'!$Q:$Q,$H35)*$L35</f>
        <v>12000</v>
      </c>
      <c r="AV35" s="552">
        <f>SUMIFS('Sales T&amp;E &amp; 科室会WP'!$T:$T,'Sales T&amp;E &amp; 科室会WP'!$Q:$Q,$H35)*$L35</f>
        <v>12000</v>
      </c>
      <c r="AW35" s="552">
        <f>SUMIFS('Sales T&amp;E &amp; 科室会WP'!$T:$T,'Sales T&amp;E &amp; 科室会WP'!$Q:$Q,$H35)*$L35</f>
        <v>12000</v>
      </c>
      <c r="AX35" s="552">
        <f t="shared" si="6"/>
        <v>144000</v>
      </c>
    </row>
    <row r="36" spans="1:50" hidden="1">
      <c r="A36" s="551" t="s">
        <v>203</v>
      </c>
      <c r="B36" s="551" t="s">
        <v>958</v>
      </c>
      <c r="C36" s="551" t="s">
        <v>959</v>
      </c>
      <c r="D36" s="551" t="s">
        <v>960</v>
      </c>
      <c r="E36" s="551" t="s">
        <v>969</v>
      </c>
      <c r="F36" s="551" t="s">
        <v>982</v>
      </c>
      <c r="G36" s="508" t="s">
        <v>42</v>
      </c>
      <c r="H36" s="551" t="s">
        <v>94</v>
      </c>
      <c r="I36" s="551">
        <v>16</v>
      </c>
      <c r="J36" s="551">
        <v>16</v>
      </c>
      <c r="K36" s="551">
        <v>16</v>
      </c>
      <c r="L36" s="551">
        <v>16</v>
      </c>
      <c r="N36" s="552">
        <f>SUMIFS('Sales T&amp;E &amp; 科室会WP'!$N:$N,'Sales T&amp;E &amp; 科室会WP'!$L:$L,$G36,'Sales T&amp;E &amp; 科室会WP'!$M:$M,$H36)*3*I36</f>
        <v>240000</v>
      </c>
      <c r="O36" s="552">
        <f>SUMIFS('Sales T&amp;E &amp; 科室会WP'!$N:$N,'Sales T&amp;E &amp; 科室会WP'!$L:$L,$G36,'Sales T&amp;E &amp; 科室会WP'!$M:$M,$H36)*3*J36</f>
        <v>240000</v>
      </c>
      <c r="P36" s="552">
        <f>SUMIFS('Sales T&amp;E &amp; 科室会WP'!$N:$N,'Sales T&amp;E &amp; 科室会WP'!$L:$L,$G36,'Sales T&amp;E &amp; 科室会WP'!$M:$M,$H36)*3*K36</f>
        <v>240000</v>
      </c>
      <c r="Q36" s="552">
        <f>SUMIFS('Sales T&amp;E &amp; 科室会WP'!$N:$N,'Sales T&amp;E &amp; 科室会WP'!$L:$L,$G36,'Sales T&amp;E &amp; 科室会WP'!$M:$M,$H36)*3*L36</f>
        <v>240000</v>
      </c>
      <c r="R36" s="553">
        <f t="shared" si="8"/>
        <v>960000</v>
      </c>
      <c r="V36" s="553">
        <f t="shared" si="9"/>
        <v>80000</v>
      </c>
      <c r="W36" s="553">
        <f t="shared" si="9"/>
        <v>80000</v>
      </c>
      <c r="X36" s="553">
        <f t="shared" si="9"/>
        <v>80000</v>
      </c>
      <c r="Y36" s="553">
        <f t="shared" si="10"/>
        <v>80000</v>
      </c>
      <c r="Z36" s="553">
        <f t="shared" si="10"/>
        <v>80000</v>
      </c>
      <c r="AA36" s="553">
        <f t="shared" si="10"/>
        <v>80000</v>
      </c>
      <c r="AB36" s="553">
        <f t="shared" si="11"/>
        <v>80000</v>
      </c>
      <c r="AC36" s="553">
        <f t="shared" si="11"/>
        <v>80000</v>
      </c>
      <c r="AD36" s="553">
        <f t="shared" si="11"/>
        <v>80000</v>
      </c>
      <c r="AE36" s="553">
        <f t="shared" si="12"/>
        <v>80000</v>
      </c>
      <c r="AF36" s="553">
        <f t="shared" si="12"/>
        <v>80000</v>
      </c>
      <c r="AG36" s="553">
        <f t="shared" si="12"/>
        <v>80000</v>
      </c>
      <c r="AH36" s="553">
        <f t="shared" si="4"/>
        <v>960000</v>
      </c>
      <c r="AI36" s="553">
        <f t="shared" si="5"/>
        <v>0</v>
      </c>
      <c r="AL36" s="552">
        <f>SUMIFS('Sales T&amp;E &amp; 科室会WP'!$T:$T,'Sales T&amp;E &amp; 科室会WP'!$Q:$Q,$H36)*$I36</f>
        <v>48000</v>
      </c>
      <c r="AM36" s="552">
        <f>SUMIFS('Sales T&amp;E &amp; 科室会WP'!$T:$T,'Sales T&amp;E &amp; 科室会WP'!$Q:$Q,$H36)*$I36</f>
        <v>48000</v>
      </c>
      <c r="AN36" s="552">
        <f>SUMIFS('Sales T&amp;E &amp; 科室会WP'!$T:$T,'Sales T&amp;E &amp; 科室会WP'!$Q:$Q,$H36)*$I36</f>
        <v>48000</v>
      </c>
      <c r="AO36" s="552">
        <f>SUMIFS('Sales T&amp;E &amp; 科室会WP'!$T:$T,'Sales T&amp;E &amp; 科室会WP'!$Q:$Q,$H36)*$J36</f>
        <v>48000</v>
      </c>
      <c r="AP36" s="552">
        <f>SUMIFS('Sales T&amp;E &amp; 科室会WP'!$T:$T,'Sales T&amp;E &amp; 科室会WP'!$Q:$Q,$H36)*$J36</f>
        <v>48000</v>
      </c>
      <c r="AQ36" s="552">
        <f>SUMIFS('Sales T&amp;E &amp; 科室会WP'!$T:$T,'Sales T&amp;E &amp; 科室会WP'!$Q:$Q,$H36)*$J36</f>
        <v>48000</v>
      </c>
      <c r="AR36" s="552">
        <f>SUMIFS('Sales T&amp;E &amp; 科室会WP'!$T:$T,'Sales T&amp;E &amp; 科室会WP'!$Q:$Q,$H36)*$K36</f>
        <v>48000</v>
      </c>
      <c r="AS36" s="552">
        <f>SUMIFS('Sales T&amp;E &amp; 科室会WP'!$T:$T,'Sales T&amp;E &amp; 科室会WP'!$Q:$Q,$H36)*$K36</f>
        <v>48000</v>
      </c>
      <c r="AT36" s="552">
        <f>SUMIFS('Sales T&amp;E &amp; 科室会WP'!$T:$T,'Sales T&amp;E &amp; 科室会WP'!$Q:$Q,$H36)*$K36</f>
        <v>48000</v>
      </c>
      <c r="AU36" s="552">
        <f>SUMIFS('Sales T&amp;E &amp; 科室会WP'!$T:$T,'Sales T&amp;E &amp; 科室会WP'!$Q:$Q,$H36)*$L36</f>
        <v>48000</v>
      </c>
      <c r="AV36" s="552">
        <f>SUMIFS('Sales T&amp;E &amp; 科室会WP'!$T:$T,'Sales T&amp;E &amp; 科室会WP'!$Q:$Q,$H36)*$L36</f>
        <v>48000</v>
      </c>
      <c r="AW36" s="552">
        <f>SUMIFS('Sales T&amp;E &amp; 科室会WP'!$T:$T,'Sales T&amp;E &amp; 科室会WP'!$Q:$Q,$H36)*$L36</f>
        <v>48000</v>
      </c>
      <c r="AX36" s="552">
        <f t="shared" si="6"/>
        <v>576000</v>
      </c>
    </row>
    <row r="37" spans="1:50" hidden="1">
      <c r="A37" s="551" t="s">
        <v>203</v>
      </c>
      <c r="B37" s="551" t="s">
        <v>958</v>
      </c>
      <c r="C37" s="551" t="s">
        <v>959</v>
      </c>
      <c r="D37" s="551" t="s">
        <v>960</v>
      </c>
      <c r="E37" s="551" t="s">
        <v>969</v>
      </c>
      <c r="F37" s="551" t="s">
        <v>982</v>
      </c>
      <c r="G37" s="508" t="s">
        <v>42</v>
      </c>
      <c r="H37" s="551" t="s">
        <v>131</v>
      </c>
      <c r="I37" s="551">
        <v>1</v>
      </c>
      <c r="J37" s="551">
        <v>1</v>
      </c>
      <c r="K37" s="551">
        <v>1</v>
      </c>
      <c r="L37" s="551">
        <v>1</v>
      </c>
      <c r="N37" s="552">
        <f>SUMIFS('Sales T&amp;E &amp; 科室会WP'!$N:$N,'Sales T&amp;E &amp; 科室会WP'!$L:$L,$G37,'Sales T&amp;E &amp; 科室会WP'!$M:$M,$H37)*3*I37</f>
        <v>24000</v>
      </c>
      <c r="O37" s="552">
        <f>SUMIFS('Sales T&amp;E &amp; 科室会WP'!$N:$N,'Sales T&amp;E &amp; 科室会WP'!$L:$L,$G37,'Sales T&amp;E &amp; 科室会WP'!$M:$M,$H37)*3*J37</f>
        <v>24000</v>
      </c>
      <c r="P37" s="552">
        <f>SUMIFS('Sales T&amp;E &amp; 科室会WP'!$N:$N,'Sales T&amp;E &amp; 科室会WP'!$L:$L,$G37,'Sales T&amp;E &amp; 科室会WP'!$M:$M,$H37)*3*K37</f>
        <v>24000</v>
      </c>
      <c r="Q37" s="552">
        <f>SUMIFS('Sales T&amp;E &amp; 科室会WP'!$N:$N,'Sales T&amp;E &amp; 科室会WP'!$L:$L,$G37,'Sales T&amp;E &amp; 科室会WP'!$M:$M,$H37)*3*L37</f>
        <v>24000</v>
      </c>
      <c r="R37" s="553">
        <f t="shared" si="8"/>
        <v>96000</v>
      </c>
      <c r="V37" s="553">
        <f t="shared" si="9"/>
        <v>8000</v>
      </c>
      <c r="W37" s="553">
        <f t="shared" si="9"/>
        <v>8000</v>
      </c>
      <c r="X37" s="553">
        <f t="shared" si="9"/>
        <v>8000</v>
      </c>
      <c r="Y37" s="553">
        <f t="shared" si="10"/>
        <v>8000</v>
      </c>
      <c r="Z37" s="553">
        <f t="shared" si="10"/>
        <v>8000</v>
      </c>
      <c r="AA37" s="553">
        <f t="shared" si="10"/>
        <v>8000</v>
      </c>
      <c r="AB37" s="553">
        <f t="shared" si="11"/>
        <v>8000</v>
      </c>
      <c r="AC37" s="553">
        <f t="shared" si="11"/>
        <v>8000</v>
      </c>
      <c r="AD37" s="553">
        <f t="shared" si="11"/>
        <v>8000</v>
      </c>
      <c r="AE37" s="553">
        <f t="shared" si="12"/>
        <v>8000</v>
      </c>
      <c r="AF37" s="553">
        <f t="shared" si="12"/>
        <v>8000</v>
      </c>
      <c r="AG37" s="553">
        <f t="shared" si="12"/>
        <v>8000</v>
      </c>
      <c r="AH37" s="553">
        <f t="shared" si="4"/>
        <v>96000</v>
      </c>
      <c r="AI37" s="553">
        <f t="shared" si="5"/>
        <v>0</v>
      </c>
      <c r="AL37" s="552">
        <f>SUMIFS('Sales T&amp;E &amp; 科室会WP'!$T:$T,'Sales T&amp;E &amp; 科室会WP'!$Q:$Q,$H37)*$I37</f>
        <v>3000</v>
      </c>
      <c r="AM37" s="552">
        <f>SUMIFS('Sales T&amp;E &amp; 科室会WP'!$T:$T,'Sales T&amp;E &amp; 科室会WP'!$Q:$Q,$H37)*$I37</f>
        <v>3000</v>
      </c>
      <c r="AN37" s="552">
        <f>SUMIFS('Sales T&amp;E &amp; 科室会WP'!$T:$T,'Sales T&amp;E &amp; 科室会WP'!$Q:$Q,$H37)*$I37</f>
        <v>3000</v>
      </c>
      <c r="AO37" s="552">
        <f>SUMIFS('Sales T&amp;E &amp; 科室会WP'!$T:$T,'Sales T&amp;E &amp; 科室会WP'!$Q:$Q,$H37)*$J37</f>
        <v>3000</v>
      </c>
      <c r="AP37" s="552">
        <f>SUMIFS('Sales T&amp;E &amp; 科室会WP'!$T:$T,'Sales T&amp;E &amp; 科室会WP'!$Q:$Q,$H37)*$J37</f>
        <v>3000</v>
      </c>
      <c r="AQ37" s="552">
        <f>SUMIFS('Sales T&amp;E &amp; 科室会WP'!$T:$T,'Sales T&amp;E &amp; 科室会WP'!$Q:$Q,$H37)*$J37</f>
        <v>3000</v>
      </c>
      <c r="AR37" s="552">
        <f>SUMIFS('Sales T&amp;E &amp; 科室会WP'!$T:$T,'Sales T&amp;E &amp; 科室会WP'!$Q:$Q,$H37)*$K37</f>
        <v>3000</v>
      </c>
      <c r="AS37" s="552">
        <f>SUMIFS('Sales T&amp;E &amp; 科室会WP'!$T:$T,'Sales T&amp;E &amp; 科室会WP'!$Q:$Q,$H37)*$K37</f>
        <v>3000</v>
      </c>
      <c r="AT37" s="552">
        <f>SUMIFS('Sales T&amp;E &amp; 科室会WP'!$T:$T,'Sales T&amp;E &amp; 科室会WP'!$Q:$Q,$H37)*$K37</f>
        <v>3000</v>
      </c>
      <c r="AU37" s="552">
        <f>SUMIFS('Sales T&amp;E &amp; 科室会WP'!$T:$T,'Sales T&amp;E &amp; 科室会WP'!$Q:$Q,$H37)*$L37</f>
        <v>3000</v>
      </c>
      <c r="AV37" s="552">
        <f>SUMIFS('Sales T&amp;E &amp; 科室会WP'!$T:$T,'Sales T&amp;E &amp; 科室会WP'!$Q:$Q,$H37)*$L37</f>
        <v>3000</v>
      </c>
      <c r="AW37" s="552">
        <f>SUMIFS('Sales T&amp;E &amp; 科室会WP'!$T:$T,'Sales T&amp;E &amp; 科室会WP'!$Q:$Q,$H37)*$L37</f>
        <v>3000</v>
      </c>
      <c r="AX37" s="552">
        <f t="shared" si="6"/>
        <v>36000</v>
      </c>
    </row>
    <row r="38" spans="1:50" hidden="1">
      <c r="A38" s="551" t="s">
        <v>203</v>
      </c>
      <c r="B38" s="551" t="s">
        <v>958</v>
      </c>
      <c r="C38" s="551" t="s">
        <v>959</v>
      </c>
      <c r="D38" s="551" t="s">
        <v>960</v>
      </c>
      <c r="E38" s="551" t="s">
        <v>970</v>
      </c>
      <c r="F38" s="551" t="s">
        <v>983</v>
      </c>
      <c r="G38" s="508" t="s">
        <v>42</v>
      </c>
      <c r="N38" s="552">
        <f>SUMIFS('Sales T&amp;E &amp; 科室会WP'!$N:$N,'Sales T&amp;E &amp; 科室会WP'!$L:$L,$G38,'Sales T&amp;E &amp; 科室会WP'!$M:$M,$H38)*3*I38</f>
        <v>0</v>
      </c>
      <c r="O38" s="552">
        <f>SUMIFS('Sales T&amp;E &amp; 科室会WP'!$N:$N,'Sales T&amp;E &amp; 科室会WP'!$L:$L,$G38,'Sales T&amp;E &amp; 科室会WP'!$M:$M,$H38)*3*J38</f>
        <v>0</v>
      </c>
      <c r="P38" s="552">
        <f>SUMIFS('Sales T&amp;E &amp; 科室会WP'!$N:$N,'Sales T&amp;E &amp; 科室会WP'!$L:$L,$G38,'Sales T&amp;E &amp; 科室会WP'!$M:$M,$H38)*3*K38</f>
        <v>0</v>
      </c>
      <c r="Q38" s="552">
        <f>SUMIFS('Sales T&amp;E &amp; 科室会WP'!$N:$N,'Sales T&amp;E &amp; 科室会WP'!$L:$L,$G38,'Sales T&amp;E &amp; 科室会WP'!$M:$M,$H38)*3*L38</f>
        <v>0</v>
      </c>
      <c r="R38" s="553">
        <f t="shared" si="8"/>
        <v>0</v>
      </c>
      <c r="V38" s="553">
        <f t="shared" si="9"/>
        <v>0</v>
      </c>
      <c r="W38" s="553">
        <f t="shared" si="9"/>
        <v>0</v>
      </c>
      <c r="X38" s="553">
        <f t="shared" si="9"/>
        <v>0</v>
      </c>
      <c r="Y38" s="553">
        <f t="shared" si="10"/>
        <v>0</v>
      </c>
      <c r="Z38" s="553">
        <f t="shared" si="10"/>
        <v>0</v>
      </c>
      <c r="AA38" s="553">
        <f t="shared" si="10"/>
        <v>0</v>
      </c>
      <c r="AB38" s="553">
        <f t="shared" si="11"/>
        <v>0</v>
      </c>
      <c r="AC38" s="553">
        <f t="shared" si="11"/>
        <v>0</v>
      </c>
      <c r="AD38" s="553">
        <f t="shared" si="11"/>
        <v>0</v>
      </c>
      <c r="AE38" s="553">
        <f t="shared" si="12"/>
        <v>0</v>
      </c>
      <c r="AF38" s="553">
        <f t="shared" si="12"/>
        <v>0</v>
      </c>
      <c r="AG38" s="553">
        <f t="shared" si="12"/>
        <v>0</v>
      </c>
      <c r="AH38" s="553">
        <f t="shared" si="4"/>
        <v>0</v>
      </c>
      <c r="AI38" s="553">
        <f t="shared" si="5"/>
        <v>0</v>
      </c>
      <c r="AL38" s="552">
        <f>SUMIFS('Sales T&amp;E &amp; 科室会WP'!$T:$T,'Sales T&amp;E &amp; 科室会WP'!$Q:$Q,$H38)*$I38</f>
        <v>0</v>
      </c>
      <c r="AM38" s="552">
        <f>SUMIFS('Sales T&amp;E &amp; 科室会WP'!$T:$T,'Sales T&amp;E &amp; 科室会WP'!$Q:$Q,$H38)*$I38</f>
        <v>0</v>
      </c>
      <c r="AN38" s="552">
        <f>SUMIFS('Sales T&amp;E &amp; 科室会WP'!$T:$T,'Sales T&amp;E &amp; 科室会WP'!$Q:$Q,$H38)*$I38</f>
        <v>0</v>
      </c>
      <c r="AO38" s="552">
        <f>SUMIFS('Sales T&amp;E &amp; 科室会WP'!$T:$T,'Sales T&amp;E &amp; 科室会WP'!$Q:$Q,$H38)*$J38</f>
        <v>0</v>
      </c>
      <c r="AP38" s="552">
        <f>SUMIFS('Sales T&amp;E &amp; 科室会WP'!$T:$T,'Sales T&amp;E &amp; 科室会WP'!$Q:$Q,$H38)*$J38</f>
        <v>0</v>
      </c>
      <c r="AQ38" s="552">
        <f>SUMIFS('Sales T&amp;E &amp; 科室会WP'!$T:$T,'Sales T&amp;E &amp; 科室会WP'!$Q:$Q,$H38)*$J38</f>
        <v>0</v>
      </c>
      <c r="AR38" s="552">
        <f>SUMIFS('Sales T&amp;E &amp; 科室会WP'!$T:$T,'Sales T&amp;E &amp; 科室会WP'!$Q:$Q,$H38)*$K38</f>
        <v>0</v>
      </c>
      <c r="AS38" s="552">
        <f>SUMIFS('Sales T&amp;E &amp; 科室会WP'!$T:$T,'Sales T&amp;E &amp; 科室会WP'!$Q:$Q,$H38)*$K38</f>
        <v>0</v>
      </c>
      <c r="AT38" s="552">
        <f>SUMIFS('Sales T&amp;E &amp; 科室会WP'!$T:$T,'Sales T&amp;E &amp; 科室会WP'!$Q:$Q,$H38)*$K38</f>
        <v>0</v>
      </c>
      <c r="AU38" s="552">
        <f>SUMIFS('Sales T&amp;E &amp; 科室会WP'!$T:$T,'Sales T&amp;E &amp; 科室会WP'!$Q:$Q,$H38)*$L38</f>
        <v>0</v>
      </c>
      <c r="AV38" s="552">
        <f>SUMIFS('Sales T&amp;E &amp; 科室会WP'!$T:$T,'Sales T&amp;E &amp; 科室会WP'!$Q:$Q,$H38)*$L38</f>
        <v>0</v>
      </c>
      <c r="AW38" s="552">
        <f>SUMIFS('Sales T&amp;E &amp; 科室会WP'!$T:$T,'Sales T&amp;E &amp; 科室会WP'!$Q:$Q,$H38)*$L38</f>
        <v>0</v>
      </c>
      <c r="AX38" s="552">
        <f t="shared" si="6"/>
        <v>0</v>
      </c>
    </row>
    <row r="39" spans="1:50" hidden="1">
      <c r="A39" s="551" t="s">
        <v>203</v>
      </c>
      <c r="B39" s="551" t="s">
        <v>958</v>
      </c>
      <c r="C39" s="551" t="s">
        <v>959</v>
      </c>
      <c r="D39" s="551" t="s">
        <v>960</v>
      </c>
      <c r="E39" s="551" t="s">
        <v>970</v>
      </c>
      <c r="F39" s="551" t="s">
        <v>983</v>
      </c>
      <c r="G39" s="508" t="s">
        <v>42</v>
      </c>
      <c r="H39" s="551" t="s">
        <v>93</v>
      </c>
      <c r="I39" s="551">
        <v>2</v>
      </c>
      <c r="J39" s="551">
        <v>2</v>
      </c>
      <c r="K39" s="551">
        <v>2</v>
      </c>
      <c r="L39" s="551">
        <v>2</v>
      </c>
      <c r="N39" s="552">
        <f>SUMIFS('Sales T&amp;E &amp; 科室会WP'!$N:$N,'Sales T&amp;E &amp; 科室会WP'!$L:$L,$G39,'Sales T&amp;E &amp; 科室会WP'!$M:$M,$H39)*3*I39</f>
        <v>48000</v>
      </c>
      <c r="O39" s="552">
        <f>SUMIFS('Sales T&amp;E &amp; 科室会WP'!$N:$N,'Sales T&amp;E &amp; 科室会WP'!$L:$L,$G39,'Sales T&amp;E &amp; 科室会WP'!$M:$M,$H39)*3*J39</f>
        <v>48000</v>
      </c>
      <c r="P39" s="552">
        <f>SUMIFS('Sales T&amp;E &amp; 科室会WP'!$N:$N,'Sales T&amp;E &amp; 科室会WP'!$L:$L,$G39,'Sales T&amp;E &amp; 科室会WP'!$M:$M,$H39)*3*K39</f>
        <v>48000</v>
      </c>
      <c r="Q39" s="552">
        <f>SUMIFS('Sales T&amp;E &amp; 科室会WP'!$N:$N,'Sales T&amp;E &amp; 科室会WP'!$L:$L,$G39,'Sales T&amp;E &amp; 科室会WP'!$M:$M,$H39)*3*L39</f>
        <v>48000</v>
      </c>
      <c r="R39" s="553">
        <f t="shared" si="8"/>
        <v>192000</v>
      </c>
      <c r="V39" s="553">
        <f t="shared" si="9"/>
        <v>16000</v>
      </c>
      <c r="W39" s="553">
        <f t="shared" si="9"/>
        <v>16000</v>
      </c>
      <c r="X39" s="553">
        <f t="shared" si="9"/>
        <v>16000</v>
      </c>
      <c r="Y39" s="553">
        <f t="shared" si="10"/>
        <v>16000</v>
      </c>
      <c r="Z39" s="553">
        <f t="shared" si="10"/>
        <v>16000</v>
      </c>
      <c r="AA39" s="553">
        <f t="shared" si="10"/>
        <v>16000</v>
      </c>
      <c r="AB39" s="553">
        <f t="shared" si="11"/>
        <v>16000</v>
      </c>
      <c r="AC39" s="553">
        <f t="shared" si="11"/>
        <v>16000</v>
      </c>
      <c r="AD39" s="553">
        <f t="shared" si="11"/>
        <v>16000</v>
      </c>
      <c r="AE39" s="553">
        <f t="shared" si="12"/>
        <v>16000</v>
      </c>
      <c r="AF39" s="553">
        <f t="shared" si="12"/>
        <v>16000</v>
      </c>
      <c r="AG39" s="553">
        <f t="shared" si="12"/>
        <v>16000</v>
      </c>
      <c r="AH39" s="553">
        <f t="shared" si="4"/>
        <v>192000</v>
      </c>
      <c r="AI39" s="553">
        <f t="shared" si="5"/>
        <v>0</v>
      </c>
      <c r="AL39" s="552">
        <f>SUMIFS('Sales T&amp;E &amp; 科室会WP'!$T:$T,'Sales T&amp;E &amp; 科室会WP'!$Q:$Q,$H39)*$I39</f>
        <v>6000</v>
      </c>
      <c r="AM39" s="552">
        <f>SUMIFS('Sales T&amp;E &amp; 科室会WP'!$T:$T,'Sales T&amp;E &amp; 科室会WP'!$Q:$Q,$H39)*$I39</f>
        <v>6000</v>
      </c>
      <c r="AN39" s="552">
        <f>SUMIFS('Sales T&amp;E &amp; 科室会WP'!$T:$T,'Sales T&amp;E &amp; 科室会WP'!$Q:$Q,$H39)*$I39</f>
        <v>6000</v>
      </c>
      <c r="AO39" s="552">
        <f>SUMIFS('Sales T&amp;E &amp; 科室会WP'!$T:$T,'Sales T&amp;E &amp; 科室会WP'!$Q:$Q,$H39)*$J39</f>
        <v>6000</v>
      </c>
      <c r="AP39" s="552">
        <f>SUMIFS('Sales T&amp;E &amp; 科室会WP'!$T:$T,'Sales T&amp;E &amp; 科室会WP'!$Q:$Q,$H39)*$J39</f>
        <v>6000</v>
      </c>
      <c r="AQ39" s="552">
        <f>SUMIFS('Sales T&amp;E &amp; 科室会WP'!$T:$T,'Sales T&amp;E &amp; 科室会WP'!$Q:$Q,$H39)*$J39</f>
        <v>6000</v>
      </c>
      <c r="AR39" s="552">
        <f>SUMIFS('Sales T&amp;E &amp; 科室会WP'!$T:$T,'Sales T&amp;E &amp; 科室会WP'!$Q:$Q,$H39)*$K39</f>
        <v>6000</v>
      </c>
      <c r="AS39" s="552">
        <f>SUMIFS('Sales T&amp;E &amp; 科室会WP'!$T:$T,'Sales T&amp;E &amp; 科室会WP'!$Q:$Q,$H39)*$K39</f>
        <v>6000</v>
      </c>
      <c r="AT39" s="552">
        <f>SUMIFS('Sales T&amp;E &amp; 科室会WP'!$T:$T,'Sales T&amp;E &amp; 科室会WP'!$Q:$Q,$H39)*$K39</f>
        <v>6000</v>
      </c>
      <c r="AU39" s="552">
        <f>SUMIFS('Sales T&amp;E &amp; 科室会WP'!$T:$T,'Sales T&amp;E &amp; 科室会WP'!$Q:$Q,$H39)*$L39</f>
        <v>6000</v>
      </c>
      <c r="AV39" s="552">
        <f>SUMIFS('Sales T&amp;E &amp; 科室会WP'!$T:$T,'Sales T&amp;E &amp; 科室会WP'!$Q:$Q,$H39)*$L39</f>
        <v>6000</v>
      </c>
      <c r="AW39" s="552">
        <f>SUMIFS('Sales T&amp;E &amp; 科室会WP'!$T:$T,'Sales T&amp;E &amp; 科室会WP'!$Q:$Q,$H39)*$L39</f>
        <v>6000</v>
      </c>
      <c r="AX39" s="552">
        <f t="shared" si="6"/>
        <v>72000</v>
      </c>
    </row>
    <row r="40" spans="1:50" hidden="1">
      <c r="A40" s="551" t="s">
        <v>203</v>
      </c>
      <c r="B40" s="551" t="s">
        <v>958</v>
      </c>
      <c r="C40" s="551" t="s">
        <v>959</v>
      </c>
      <c r="D40" s="551" t="s">
        <v>960</v>
      </c>
      <c r="E40" s="551" t="s">
        <v>970</v>
      </c>
      <c r="F40" s="551" t="s">
        <v>983</v>
      </c>
      <c r="G40" s="508" t="s">
        <v>42</v>
      </c>
      <c r="H40" s="551" t="s">
        <v>94</v>
      </c>
      <c r="I40" s="551">
        <v>10</v>
      </c>
      <c r="J40" s="551">
        <v>10</v>
      </c>
      <c r="K40" s="551">
        <v>10</v>
      </c>
      <c r="L40" s="551">
        <v>10</v>
      </c>
      <c r="N40" s="552">
        <f>SUMIFS('Sales T&amp;E &amp; 科室会WP'!$N:$N,'Sales T&amp;E &amp; 科室会WP'!$L:$L,$G40,'Sales T&amp;E &amp; 科室会WP'!$M:$M,$H40)*3*I40</f>
        <v>150000</v>
      </c>
      <c r="O40" s="552">
        <f>SUMIFS('Sales T&amp;E &amp; 科室会WP'!$N:$N,'Sales T&amp;E &amp; 科室会WP'!$L:$L,$G40,'Sales T&amp;E &amp; 科室会WP'!$M:$M,$H40)*3*J40</f>
        <v>150000</v>
      </c>
      <c r="P40" s="552">
        <f>SUMIFS('Sales T&amp;E &amp; 科室会WP'!$N:$N,'Sales T&amp;E &amp; 科室会WP'!$L:$L,$G40,'Sales T&amp;E &amp; 科室会WP'!$M:$M,$H40)*3*K40</f>
        <v>150000</v>
      </c>
      <c r="Q40" s="552">
        <f>SUMIFS('Sales T&amp;E &amp; 科室会WP'!$N:$N,'Sales T&amp;E &amp; 科室会WP'!$L:$L,$G40,'Sales T&amp;E &amp; 科室会WP'!$M:$M,$H40)*3*L40</f>
        <v>150000</v>
      </c>
      <c r="R40" s="553">
        <f t="shared" si="8"/>
        <v>600000</v>
      </c>
      <c r="V40" s="553">
        <f t="shared" si="9"/>
        <v>50000</v>
      </c>
      <c r="W40" s="553">
        <f t="shared" si="9"/>
        <v>50000</v>
      </c>
      <c r="X40" s="553">
        <f t="shared" si="9"/>
        <v>50000</v>
      </c>
      <c r="Y40" s="553">
        <f t="shared" si="10"/>
        <v>50000</v>
      </c>
      <c r="Z40" s="553">
        <f t="shared" si="10"/>
        <v>50000</v>
      </c>
      <c r="AA40" s="553">
        <f t="shared" si="10"/>
        <v>50000</v>
      </c>
      <c r="AB40" s="553">
        <f t="shared" si="11"/>
        <v>50000</v>
      </c>
      <c r="AC40" s="553">
        <f t="shared" si="11"/>
        <v>50000</v>
      </c>
      <c r="AD40" s="553">
        <f t="shared" si="11"/>
        <v>50000</v>
      </c>
      <c r="AE40" s="553">
        <f t="shared" si="12"/>
        <v>50000</v>
      </c>
      <c r="AF40" s="553">
        <f t="shared" si="12"/>
        <v>50000</v>
      </c>
      <c r="AG40" s="553">
        <f t="shared" si="12"/>
        <v>50000</v>
      </c>
      <c r="AH40" s="553">
        <f t="shared" si="4"/>
        <v>600000</v>
      </c>
      <c r="AI40" s="553">
        <f t="shared" si="5"/>
        <v>0</v>
      </c>
      <c r="AL40" s="552">
        <f>SUMIFS('Sales T&amp;E &amp; 科室会WP'!$T:$T,'Sales T&amp;E &amp; 科室会WP'!$Q:$Q,$H40)*$I40</f>
        <v>30000</v>
      </c>
      <c r="AM40" s="552">
        <f>SUMIFS('Sales T&amp;E &amp; 科室会WP'!$T:$T,'Sales T&amp;E &amp; 科室会WP'!$Q:$Q,$H40)*$I40</f>
        <v>30000</v>
      </c>
      <c r="AN40" s="552">
        <f>SUMIFS('Sales T&amp;E &amp; 科室会WP'!$T:$T,'Sales T&amp;E &amp; 科室会WP'!$Q:$Q,$H40)*$I40</f>
        <v>30000</v>
      </c>
      <c r="AO40" s="552">
        <f>SUMIFS('Sales T&amp;E &amp; 科室会WP'!$T:$T,'Sales T&amp;E &amp; 科室会WP'!$Q:$Q,$H40)*$J40</f>
        <v>30000</v>
      </c>
      <c r="AP40" s="552">
        <f>SUMIFS('Sales T&amp;E &amp; 科室会WP'!$T:$T,'Sales T&amp;E &amp; 科室会WP'!$Q:$Q,$H40)*$J40</f>
        <v>30000</v>
      </c>
      <c r="AQ40" s="552">
        <f>SUMIFS('Sales T&amp;E &amp; 科室会WP'!$T:$T,'Sales T&amp;E &amp; 科室会WP'!$Q:$Q,$H40)*$J40</f>
        <v>30000</v>
      </c>
      <c r="AR40" s="552">
        <f>SUMIFS('Sales T&amp;E &amp; 科室会WP'!$T:$T,'Sales T&amp;E &amp; 科室会WP'!$Q:$Q,$H40)*$K40</f>
        <v>30000</v>
      </c>
      <c r="AS40" s="552">
        <f>SUMIFS('Sales T&amp;E &amp; 科室会WP'!$T:$T,'Sales T&amp;E &amp; 科室会WP'!$Q:$Q,$H40)*$K40</f>
        <v>30000</v>
      </c>
      <c r="AT40" s="552">
        <f>SUMIFS('Sales T&amp;E &amp; 科室会WP'!$T:$T,'Sales T&amp;E &amp; 科室会WP'!$Q:$Q,$H40)*$K40</f>
        <v>30000</v>
      </c>
      <c r="AU40" s="552">
        <f>SUMIFS('Sales T&amp;E &amp; 科室会WP'!$T:$T,'Sales T&amp;E &amp; 科室会WP'!$Q:$Q,$H40)*$L40</f>
        <v>30000</v>
      </c>
      <c r="AV40" s="552">
        <f>SUMIFS('Sales T&amp;E &amp; 科室会WP'!$T:$T,'Sales T&amp;E &amp; 科室会WP'!$Q:$Q,$H40)*$L40</f>
        <v>30000</v>
      </c>
      <c r="AW40" s="552">
        <f>SUMIFS('Sales T&amp;E &amp; 科室会WP'!$T:$T,'Sales T&amp;E &amp; 科室会WP'!$Q:$Q,$H40)*$L40</f>
        <v>30000</v>
      </c>
      <c r="AX40" s="552">
        <f t="shared" si="6"/>
        <v>360000</v>
      </c>
    </row>
    <row r="41" spans="1:50" hidden="1">
      <c r="A41" s="551" t="s">
        <v>203</v>
      </c>
      <c r="B41" s="551" t="s">
        <v>958</v>
      </c>
      <c r="C41" s="551" t="s">
        <v>959</v>
      </c>
      <c r="D41" s="551" t="s">
        <v>960</v>
      </c>
      <c r="E41" s="551" t="s">
        <v>970</v>
      </c>
      <c r="F41" s="551" t="s">
        <v>983</v>
      </c>
      <c r="G41" s="508" t="s">
        <v>42</v>
      </c>
      <c r="H41" s="551" t="s">
        <v>131</v>
      </c>
      <c r="I41" s="551">
        <v>1</v>
      </c>
      <c r="J41" s="551">
        <v>1</v>
      </c>
      <c r="K41" s="551">
        <v>1</v>
      </c>
      <c r="L41" s="551">
        <v>1</v>
      </c>
      <c r="N41" s="552">
        <f>SUMIFS('Sales T&amp;E &amp; 科室会WP'!$N:$N,'Sales T&amp;E &amp; 科室会WP'!$L:$L,$G41,'Sales T&amp;E &amp; 科室会WP'!$M:$M,$H41)*3*I41</f>
        <v>24000</v>
      </c>
      <c r="O41" s="552">
        <f>SUMIFS('Sales T&amp;E &amp; 科室会WP'!$N:$N,'Sales T&amp;E &amp; 科室会WP'!$L:$L,$G41,'Sales T&amp;E &amp; 科室会WP'!$M:$M,$H41)*3*J41</f>
        <v>24000</v>
      </c>
      <c r="P41" s="552">
        <f>SUMIFS('Sales T&amp;E &amp; 科室会WP'!$N:$N,'Sales T&amp;E &amp; 科室会WP'!$L:$L,$G41,'Sales T&amp;E &amp; 科室会WP'!$M:$M,$H41)*3*K41</f>
        <v>24000</v>
      </c>
      <c r="Q41" s="552">
        <f>SUMIFS('Sales T&amp;E &amp; 科室会WP'!$N:$N,'Sales T&amp;E &amp; 科室会WP'!$L:$L,$G41,'Sales T&amp;E &amp; 科室会WP'!$M:$M,$H41)*3*L41</f>
        <v>24000</v>
      </c>
      <c r="R41" s="553">
        <f t="shared" si="8"/>
        <v>96000</v>
      </c>
      <c r="S41" s="552">
        <f>SUM(R6:R41)</f>
        <v>11172000</v>
      </c>
      <c r="T41" s="553">
        <f>S41-'Sales T&amp;E &amp; 科室会WP'!P49</f>
        <v>-888000</v>
      </c>
      <c r="V41" s="553">
        <f t="shared" si="9"/>
        <v>8000</v>
      </c>
      <c r="W41" s="553">
        <f t="shared" si="9"/>
        <v>8000</v>
      </c>
      <c r="X41" s="553">
        <f t="shared" si="9"/>
        <v>8000</v>
      </c>
      <c r="Y41" s="553">
        <f t="shared" si="10"/>
        <v>8000</v>
      </c>
      <c r="Z41" s="553">
        <f t="shared" si="10"/>
        <v>8000</v>
      </c>
      <c r="AA41" s="553">
        <f t="shared" si="10"/>
        <v>8000</v>
      </c>
      <c r="AB41" s="553">
        <f t="shared" si="11"/>
        <v>8000</v>
      </c>
      <c r="AC41" s="553">
        <f t="shared" si="11"/>
        <v>8000</v>
      </c>
      <c r="AD41" s="553">
        <f t="shared" si="11"/>
        <v>8000</v>
      </c>
      <c r="AE41" s="553">
        <f t="shared" si="12"/>
        <v>8000</v>
      </c>
      <c r="AF41" s="553">
        <f t="shared" si="12"/>
        <v>8000</v>
      </c>
      <c r="AG41" s="553">
        <f t="shared" si="12"/>
        <v>8000</v>
      </c>
      <c r="AH41" s="553">
        <f t="shared" si="4"/>
        <v>96000</v>
      </c>
      <c r="AI41" s="553">
        <f t="shared" si="5"/>
        <v>0</v>
      </c>
      <c r="AL41" s="552">
        <f>SUMIFS('Sales T&amp;E &amp; 科室会WP'!$T:$T,'Sales T&amp;E &amp; 科室会WP'!$Q:$Q,$H41)*$I41</f>
        <v>3000</v>
      </c>
      <c r="AM41" s="552">
        <f>SUMIFS('Sales T&amp;E &amp; 科室会WP'!$T:$T,'Sales T&amp;E &amp; 科室会WP'!$Q:$Q,$H41)*$I41</f>
        <v>3000</v>
      </c>
      <c r="AN41" s="552">
        <f>SUMIFS('Sales T&amp;E &amp; 科室会WP'!$T:$T,'Sales T&amp;E &amp; 科室会WP'!$Q:$Q,$H41)*$I41</f>
        <v>3000</v>
      </c>
      <c r="AO41" s="552">
        <f>SUMIFS('Sales T&amp;E &amp; 科室会WP'!$T:$T,'Sales T&amp;E &amp; 科室会WP'!$Q:$Q,$H41)*$J41</f>
        <v>3000</v>
      </c>
      <c r="AP41" s="552">
        <f>SUMIFS('Sales T&amp;E &amp; 科室会WP'!$T:$T,'Sales T&amp;E &amp; 科室会WP'!$Q:$Q,$H41)*$J41</f>
        <v>3000</v>
      </c>
      <c r="AQ41" s="552">
        <f>SUMIFS('Sales T&amp;E &amp; 科室会WP'!$T:$T,'Sales T&amp;E &amp; 科室会WP'!$Q:$Q,$H41)*$J41</f>
        <v>3000</v>
      </c>
      <c r="AR41" s="552">
        <f>SUMIFS('Sales T&amp;E &amp; 科室会WP'!$T:$T,'Sales T&amp;E &amp; 科室会WP'!$Q:$Q,$H41)*$K41</f>
        <v>3000</v>
      </c>
      <c r="AS41" s="552">
        <f>SUMIFS('Sales T&amp;E &amp; 科室会WP'!$T:$T,'Sales T&amp;E &amp; 科室会WP'!$Q:$Q,$H41)*$K41</f>
        <v>3000</v>
      </c>
      <c r="AT41" s="552">
        <f>SUMIFS('Sales T&amp;E &amp; 科室会WP'!$T:$T,'Sales T&amp;E &amp; 科室会WP'!$Q:$Q,$H41)*$K41</f>
        <v>3000</v>
      </c>
      <c r="AU41" s="552">
        <f>SUMIFS('Sales T&amp;E &amp; 科室会WP'!$T:$T,'Sales T&amp;E &amp; 科室会WP'!$Q:$Q,$H41)*$L41</f>
        <v>3000</v>
      </c>
      <c r="AV41" s="552">
        <f>SUMIFS('Sales T&amp;E &amp; 科室会WP'!$T:$T,'Sales T&amp;E &amp; 科室会WP'!$Q:$Q,$H41)*$L41</f>
        <v>3000</v>
      </c>
      <c r="AW41" s="552">
        <f>SUMIFS('Sales T&amp;E &amp; 科室会WP'!$T:$T,'Sales T&amp;E &amp; 科室会WP'!$Q:$Q,$H41)*$L41</f>
        <v>3000</v>
      </c>
      <c r="AX41" s="552">
        <f t="shared" si="6"/>
        <v>36000</v>
      </c>
    </row>
    <row r="42" spans="1:50" hidden="1">
      <c r="A42" s="551" t="s">
        <v>203</v>
      </c>
      <c r="B42" s="551" t="s">
        <v>958</v>
      </c>
      <c r="C42" s="551" t="s">
        <v>971</v>
      </c>
      <c r="D42" s="551" t="s">
        <v>961</v>
      </c>
      <c r="E42" s="551" t="s">
        <v>961</v>
      </c>
      <c r="F42" s="508" t="s">
        <v>847</v>
      </c>
      <c r="G42" s="508" t="s">
        <v>8</v>
      </c>
      <c r="H42" s="551" t="s">
        <v>97</v>
      </c>
      <c r="I42" s="551">
        <v>1</v>
      </c>
      <c r="J42" s="551">
        <v>1</v>
      </c>
      <c r="K42" s="551">
        <v>1</v>
      </c>
      <c r="L42" s="551">
        <v>1</v>
      </c>
      <c r="N42" s="552">
        <f>SUMIFS('Sales T&amp;E &amp; 科室会WP'!$N:$N,'Sales T&amp;E &amp; 科室会WP'!$L:$L,$G42,'Sales T&amp;E &amp; 科室会WP'!$M:$M,$H42)*3*I42</f>
        <v>66000</v>
      </c>
      <c r="O42" s="552">
        <f>SUMIFS('Sales T&amp;E &amp; 科室会WP'!$N:$N,'Sales T&amp;E &amp; 科室会WP'!$L:$L,$G42,'Sales T&amp;E &amp; 科室会WP'!$M:$M,$H42)*3*J42</f>
        <v>66000</v>
      </c>
      <c r="P42" s="552">
        <f>SUMIFS('Sales T&amp;E &amp; 科室会WP'!$N:$N,'Sales T&amp;E &amp; 科室会WP'!$L:$L,$G42,'Sales T&amp;E &amp; 科室会WP'!$M:$M,$H42)*3*K42</f>
        <v>66000</v>
      </c>
      <c r="Q42" s="552">
        <f>SUMIFS('Sales T&amp;E &amp; 科室会WP'!$N:$N,'Sales T&amp;E &amp; 科室会WP'!$L:$L,$G42,'Sales T&amp;E &amp; 科室会WP'!$M:$M,$H42)*3*L42</f>
        <v>66000</v>
      </c>
      <c r="R42" s="553">
        <f t="shared" ref="R42:R99" si="13">SUM(N42:Q42)</f>
        <v>264000</v>
      </c>
      <c r="V42" s="553">
        <f t="shared" si="9"/>
        <v>22000</v>
      </c>
      <c r="W42" s="553">
        <f t="shared" si="9"/>
        <v>22000</v>
      </c>
      <c r="X42" s="553">
        <f t="shared" si="9"/>
        <v>22000</v>
      </c>
      <c r="Y42" s="553">
        <f t="shared" si="10"/>
        <v>22000</v>
      </c>
      <c r="Z42" s="553">
        <f t="shared" si="10"/>
        <v>22000</v>
      </c>
      <c r="AA42" s="553">
        <f t="shared" si="10"/>
        <v>22000</v>
      </c>
      <c r="AB42" s="553">
        <f t="shared" si="11"/>
        <v>22000</v>
      </c>
      <c r="AC42" s="553">
        <f t="shared" si="11"/>
        <v>22000</v>
      </c>
      <c r="AD42" s="553">
        <f t="shared" si="11"/>
        <v>22000</v>
      </c>
      <c r="AE42" s="553">
        <f t="shared" si="12"/>
        <v>22000</v>
      </c>
      <c r="AF42" s="553">
        <f t="shared" si="12"/>
        <v>22000</v>
      </c>
      <c r="AG42" s="553">
        <f t="shared" si="12"/>
        <v>22000</v>
      </c>
      <c r="AH42" s="553">
        <f t="shared" si="4"/>
        <v>264000</v>
      </c>
      <c r="AI42" s="553">
        <f t="shared" si="5"/>
        <v>0</v>
      </c>
      <c r="AL42" s="552">
        <f>SUMIFS('Sales T&amp;E &amp; 科室会WP'!$T:$T,'Sales T&amp;E &amp; 科室会WP'!$Q:$Q,$H42)*$I42</f>
        <v>1500</v>
      </c>
      <c r="AM42" s="552">
        <f>SUMIFS('Sales T&amp;E &amp; 科室会WP'!$T:$T,'Sales T&amp;E &amp; 科室会WP'!$Q:$Q,$H42)*$I42</f>
        <v>1500</v>
      </c>
      <c r="AN42" s="552">
        <f>SUMIFS('Sales T&amp;E &amp; 科室会WP'!$T:$T,'Sales T&amp;E &amp; 科室会WP'!$Q:$Q,$H42)*$I42</f>
        <v>1500</v>
      </c>
      <c r="AO42" s="552">
        <f>SUMIFS('Sales T&amp;E &amp; 科室会WP'!$T:$T,'Sales T&amp;E &amp; 科室会WP'!$Q:$Q,$H42)*$J42</f>
        <v>1500</v>
      </c>
      <c r="AP42" s="552">
        <f>SUMIFS('Sales T&amp;E &amp; 科室会WP'!$T:$T,'Sales T&amp;E &amp; 科室会WP'!$Q:$Q,$H42)*$J42</f>
        <v>1500</v>
      </c>
      <c r="AQ42" s="552">
        <f>SUMIFS('Sales T&amp;E &amp; 科室会WP'!$T:$T,'Sales T&amp;E &amp; 科室会WP'!$Q:$Q,$H42)*$J42</f>
        <v>1500</v>
      </c>
      <c r="AR42" s="552">
        <f>SUMIFS('Sales T&amp;E &amp; 科室会WP'!$T:$T,'Sales T&amp;E &amp; 科室会WP'!$Q:$Q,$H42)*$K42</f>
        <v>1500</v>
      </c>
      <c r="AS42" s="552">
        <f>SUMIFS('Sales T&amp;E &amp; 科室会WP'!$T:$T,'Sales T&amp;E &amp; 科室会WP'!$Q:$Q,$H42)*$K42</f>
        <v>1500</v>
      </c>
      <c r="AT42" s="552">
        <f>SUMIFS('Sales T&amp;E &amp; 科室会WP'!$T:$T,'Sales T&amp;E &amp; 科室会WP'!$Q:$Q,$H42)*$K42</f>
        <v>1500</v>
      </c>
      <c r="AU42" s="552">
        <f>SUMIFS('Sales T&amp;E &amp; 科室会WP'!$T:$T,'Sales T&amp;E &amp; 科室会WP'!$Q:$Q,$H42)*$L42</f>
        <v>1500</v>
      </c>
      <c r="AV42" s="552">
        <f>SUMIFS('Sales T&amp;E &amp; 科室会WP'!$T:$T,'Sales T&amp;E &amp; 科室会WP'!$Q:$Q,$H42)*$L42</f>
        <v>1500</v>
      </c>
      <c r="AW42" s="552">
        <f>SUMIFS('Sales T&amp;E &amp; 科室会WP'!$T:$T,'Sales T&amp;E &amp; 科室会WP'!$Q:$Q,$H42)*$L42</f>
        <v>1500</v>
      </c>
      <c r="AX42" s="552">
        <f t="shared" si="6"/>
        <v>18000</v>
      </c>
    </row>
    <row r="43" spans="1:50" hidden="1">
      <c r="A43" s="551" t="s">
        <v>203</v>
      </c>
      <c r="B43" s="551" t="s">
        <v>958</v>
      </c>
      <c r="C43" s="551" t="s">
        <v>971</v>
      </c>
      <c r="D43" s="551" t="s">
        <v>961</v>
      </c>
      <c r="E43" s="551" t="s">
        <v>961</v>
      </c>
      <c r="F43" s="508" t="s">
        <v>847</v>
      </c>
      <c r="G43" s="508" t="s">
        <v>8</v>
      </c>
      <c r="H43" s="551" t="s">
        <v>972</v>
      </c>
      <c r="I43" s="551">
        <v>1</v>
      </c>
      <c r="J43" s="551">
        <v>1</v>
      </c>
      <c r="K43" s="551">
        <v>1</v>
      </c>
      <c r="L43" s="551">
        <v>1</v>
      </c>
      <c r="N43" s="552">
        <f>SUMIFS('Sales T&amp;E &amp; 科室会WP'!$N:$N,'Sales T&amp;E &amp; 科室会WP'!$L:$L,$G43,'Sales T&amp;E &amp; 科室会WP'!$M:$M,$H43)*3*I43</f>
        <v>0</v>
      </c>
      <c r="O43" s="552">
        <f>SUMIFS('Sales T&amp;E &amp; 科室会WP'!$N:$N,'Sales T&amp;E &amp; 科室会WP'!$L:$L,$G43,'Sales T&amp;E &amp; 科室会WP'!$M:$M,$H43)*3*J43</f>
        <v>0</v>
      </c>
      <c r="P43" s="552">
        <f>SUMIFS('Sales T&amp;E &amp; 科室会WP'!$N:$N,'Sales T&amp;E &amp; 科室会WP'!$L:$L,$G43,'Sales T&amp;E &amp; 科室会WP'!$M:$M,$H43)*3*K43</f>
        <v>0</v>
      </c>
      <c r="Q43" s="552">
        <f>SUMIFS('Sales T&amp;E &amp; 科室会WP'!$N:$N,'Sales T&amp;E &amp; 科室会WP'!$L:$L,$G43,'Sales T&amp;E &amp; 科室会WP'!$M:$M,$H43)*3*L43</f>
        <v>0</v>
      </c>
      <c r="R43" s="553">
        <f t="shared" si="13"/>
        <v>0</v>
      </c>
      <c r="V43" s="553">
        <f t="shared" si="9"/>
        <v>0</v>
      </c>
      <c r="W43" s="553">
        <f t="shared" si="9"/>
        <v>0</v>
      </c>
      <c r="X43" s="553">
        <f t="shared" si="9"/>
        <v>0</v>
      </c>
      <c r="Y43" s="553">
        <f t="shared" si="10"/>
        <v>0</v>
      </c>
      <c r="Z43" s="553">
        <f t="shared" si="10"/>
        <v>0</v>
      </c>
      <c r="AA43" s="553">
        <f t="shared" si="10"/>
        <v>0</v>
      </c>
      <c r="AB43" s="553">
        <f t="shared" si="11"/>
        <v>0</v>
      </c>
      <c r="AC43" s="553">
        <f t="shared" si="11"/>
        <v>0</v>
      </c>
      <c r="AD43" s="553">
        <f t="shared" si="11"/>
        <v>0</v>
      </c>
      <c r="AE43" s="553">
        <f t="shared" si="12"/>
        <v>0</v>
      </c>
      <c r="AF43" s="553">
        <f t="shared" si="12"/>
        <v>0</v>
      </c>
      <c r="AG43" s="553">
        <f t="shared" si="12"/>
        <v>0</v>
      </c>
      <c r="AH43" s="553">
        <f t="shared" si="4"/>
        <v>0</v>
      </c>
      <c r="AI43" s="553">
        <f t="shared" si="5"/>
        <v>0</v>
      </c>
      <c r="AL43" s="552">
        <f>SUMIFS('Sales T&amp;E &amp; 科室会WP'!$T:$T,'Sales T&amp;E &amp; 科室会WP'!$Q:$Q,$H43)*$I43</f>
        <v>0</v>
      </c>
      <c r="AM43" s="552">
        <f>SUMIFS('Sales T&amp;E &amp; 科室会WP'!$T:$T,'Sales T&amp;E &amp; 科室会WP'!$Q:$Q,$H43)*$I43</f>
        <v>0</v>
      </c>
      <c r="AN43" s="552">
        <f>SUMIFS('Sales T&amp;E &amp; 科室会WP'!$T:$T,'Sales T&amp;E &amp; 科室会WP'!$Q:$Q,$H43)*$I43</f>
        <v>0</v>
      </c>
      <c r="AO43" s="552">
        <f>SUMIFS('Sales T&amp;E &amp; 科室会WP'!$T:$T,'Sales T&amp;E &amp; 科室会WP'!$Q:$Q,$H43)*$J43</f>
        <v>0</v>
      </c>
      <c r="AP43" s="552">
        <f>SUMIFS('Sales T&amp;E &amp; 科室会WP'!$T:$T,'Sales T&amp;E &amp; 科室会WP'!$Q:$Q,$H43)*$J43</f>
        <v>0</v>
      </c>
      <c r="AQ43" s="552">
        <f>SUMIFS('Sales T&amp;E &amp; 科室会WP'!$T:$T,'Sales T&amp;E &amp; 科室会WP'!$Q:$Q,$H43)*$J43</f>
        <v>0</v>
      </c>
      <c r="AR43" s="552">
        <f>SUMIFS('Sales T&amp;E &amp; 科室会WP'!$T:$T,'Sales T&amp;E &amp; 科室会WP'!$Q:$Q,$H43)*$K43</f>
        <v>0</v>
      </c>
      <c r="AS43" s="552">
        <f>SUMIFS('Sales T&amp;E &amp; 科室会WP'!$T:$T,'Sales T&amp;E &amp; 科室会WP'!$Q:$Q,$H43)*$K43</f>
        <v>0</v>
      </c>
      <c r="AT43" s="552">
        <f>SUMIFS('Sales T&amp;E &amp; 科室会WP'!$T:$T,'Sales T&amp;E &amp; 科室会WP'!$Q:$Q,$H43)*$K43</f>
        <v>0</v>
      </c>
      <c r="AU43" s="552">
        <f>SUMIFS('Sales T&amp;E &amp; 科室会WP'!$T:$T,'Sales T&amp;E &amp; 科室会WP'!$Q:$Q,$H43)*$L43</f>
        <v>0</v>
      </c>
      <c r="AV43" s="552">
        <f>SUMIFS('Sales T&amp;E &amp; 科室会WP'!$T:$T,'Sales T&amp;E &amp; 科室会WP'!$Q:$Q,$H43)*$L43</f>
        <v>0</v>
      </c>
      <c r="AW43" s="552">
        <f>SUMIFS('Sales T&amp;E &amp; 科室会WP'!$T:$T,'Sales T&amp;E &amp; 科室会WP'!$Q:$Q,$H43)*$L43</f>
        <v>0</v>
      </c>
      <c r="AX43" s="552">
        <f t="shared" si="6"/>
        <v>0</v>
      </c>
    </row>
    <row r="44" spans="1:50" hidden="1">
      <c r="A44" s="551" t="s">
        <v>203</v>
      </c>
      <c r="B44" s="551" t="s">
        <v>958</v>
      </c>
      <c r="C44" s="551" t="s">
        <v>971</v>
      </c>
      <c r="D44" s="551" t="s">
        <v>962</v>
      </c>
      <c r="E44" s="551" t="s">
        <v>883</v>
      </c>
      <c r="F44" s="508" t="s">
        <v>865</v>
      </c>
      <c r="G44" s="508" t="s">
        <v>8</v>
      </c>
      <c r="H44" s="551" t="s">
        <v>97</v>
      </c>
      <c r="I44" s="551">
        <v>1</v>
      </c>
      <c r="J44" s="551">
        <v>1</v>
      </c>
      <c r="K44" s="551">
        <v>1</v>
      </c>
      <c r="L44" s="551">
        <v>1</v>
      </c>
      <c r="N44" s="552">
        <f>SUMIFS('Sales T&amp;E &amp; 科室会WP'!$N:$N,'Sales T&amp;E &amp; 科室会WP'!$L:$L,$G44,'Sales T&amp;E &amp; 科室会WP'!$M:$M,$H44)*3*I44</f>
        <v>66000</v>
      </c>
      <c r="O44" s="552">
        <f>SUMIFS('Sales T&amp;E &amp; 科室会WP'!$N:$N,'Sales T&amp;E &amp; 科室会WP'!$L:$L,$G44,'Sales T&amp;E &amp; 科室会WP'!$M:$M,$H44)*3*J44</f>
        <v>66000</v>
      </c>
      <c r="P44" s="552">
        <f>SUMIFS('Sales T&amp;E &amp; 科室会WP'!$N:$N,'Sales T&amp;E &amp; 科室会WP'!$L:$L,$G44,'Sales T&amp;E &amp; 科室会WP'!$M:$M,$H44)*3*K44</f>
        <v>66000</v>
      </c>
      <c r="Q44" s="552">
        <f>SUMIFS('Sales T&amp;E &amp; 科室会WP'!$N:$N,'Sales T&amp;E &amp; 科室会WP'!$L:$L,$G44,'Sales T&amp;E &amp; 科室会WP'!$M:$M,$H44)*3*L44</f>
        <v>66000</v>
      </c>
      <c r="R44" s="553">
        <f t="shared" si="13"/>
        <v>264000</v>
      </c>
      <c r="V44" s="553">
        <f t="shared" si="9"/>
        <v>22000</v>
      </c>
      <c r="W44" s="553">
        <f t="shared" si="9"/>
        <v>22000</v>
      </c>
      <c r="X44" s="553">
        <f t="shared" si="9"/>
        <v>22000</v>
      </c>
      <c r="Y44" s="553">
        <f t="shared" si="10"/>
        <v>22000</v>
      </c>
      <c r="Z44" s="553">
        <f t="shared" si="10"/>
        <v>22000</v>
      </c>
      <c r="AA44" s="553">
        <f t="shared" si="10"/>
        <v>22000</v>
      </c>
      <c r="AB44" s="553">
        <f t="shared" si="11"/>
        <v>22000</v>
      </c>
      <c r="AC44" s="553">
        <f t="shared" si="11"/>
        <v>22000</v>
      </c>
      <c r="AD44" s="553">
        <f t="shared" si="11"/>
        <v>22000</v>
      </c>
      <c r="AE44" s="553">
        <f t="shared" si="12"/>
        <v>22000</v>
      </c>
      <c r="AF44" s="553">
        <f t="shared" si="12"/>
        <v>22000</v>
      </c>
      <c r="AG44" s="553">
        <f t="shared" si="12"/>
        <v>22000</v>
      </c>
      <c r="AH44" s="553">
        <f t="shared" si="4"/>
        <v>264000</v>
      </c>
      <c r="AI44" s="553">
        <f t="shared" si="5"/>
        <v>0</v>
      </c>
      <c r="AL44" s="552">
        <f>SUMIFS('Sales T&amp;E &amp; 科室会WP'!$T:$T,'Sales T&amp;E &amp; 科室会WP'!$Q:$Q,$H44)*$I44</f>
        <v>1500</v>
      </c>
      <c r="AM44" s="552">
        <f>SUMIFS('Sales T&amp;E &amp; 科室会WP'!$T:$T,'Sales T&amp;E &amp; 科室会WP'!$Q:$Q,$H44)*$I44</f>
        <v>1500</v>
      </c>
      <c r="AN44" s="552">
        <f>SUMIFS('Sales T&amp;E &amp; 科室会WP'!$T:$T,'Sales T&amp;E &amp; 科室会WP'!$Q:$Q,$H44)*$I44</f>
        <v>1500</v>
      </c>
      <c r="AO44" s="552">
        <f>SUMIFS('Sales T&amp;E &amp; 科室会WP'!$T:$T,'Sales T&amp;E &amp; 科室会WP'!$Q:$Q,$H44)*$J44</f>
        <v>1500</v>
      </c>
      <c r="AP44" s="552">
        <f>SUMIFS('Sales T&amp;E &amp; 科室会WP'!$T:$T,'Sales T&amp;E &amp; 科室会WP'!$Q:$Q,$H44)*$J44</f>
        <v>1500</v>
      </c>
      <c r="AQ44" s="552">
        <f>SUMIFS('Sales T&amp;E &amp; 科室会WP'!$T:$T,'Sales T&amp;E &amp; 科室会WP'!$Q:$Q,$H44)*$J44</f>
        <v>1500</v>
      </c>
      <c r="AR44" s="552">
        <f>SUMIFS('Sales T&amp;E &amp; 科室会WP'!$T:$T,'Sales T&amp;E &amp; 科室会WP'!$Q:$Q,$H44)*$K44</f>
        <v>1500</v>
      </c>
      <c r="AS44" s="552">
        <f>SUMIFS('Sales T&amp;E &amp; 科室会WP'!$T:$T,'Sales T&amp;E &amp; 科室会WP'!$Q:$Q,$H44)*$K44</f>
        <v>1500</v>
      </c>
      <c r="AT44" s="552">
        <f>SUMIFS('Sales T&amp;E &amp; 科室会WP'!$T:$T,'Sales T&amp;E &amp; 科室会WP'!$Q:$Q,$H44)*$K44</f>
        <v>1500</v>
      </c>
      <c r="AU44" s="552">
        <f>SUMIFS('Sales T&amp;E &amp; 科室会WP'!$T:$T,'Sales T&amp;E &amp; 科室会WP'!$Q:$Q,$H44)*$L44</f>
        <v>1500</v>
      </c>
      <c r="AV44" s="552">
        <f>SUMIFS('Sales T&amp;E &amp; 科室会WP'!$T:$T,'Sales T&amp;E &amp; 科室会WP'!$Q:$Q,$H44)*$L44</f>
        <v>1500</v>
      </c>
      <c r="AW44" s="552">
        <f>SUMIFS('Sales T&amp;E &amp; 科室会WP'!$T:$T,'Sales T&amp;E &amp; 科室会WP'!$Q:$Q,$H44)*$L44</f>
        <v>1500</v>
      </c>
      <c r="AX44" s="552">
        <f t="shared" si="6"/>
        <v>18000</v>
      </c>
    </row>
    <row r="45" spans="1:50" hidden="1">
      <c r="A45" s="551" t="s">
        <v>203</v>
      </c>
      <c r="B45" s="551" t="s">
        <v>958</v>
      </c>
      <c r="C45" s="551" t="s">
        <v>971</v>
      </c>
      <c r="D45" s="551" t="s">
        <v>962</v>
      </c>
      <c r="F45" s="508" t="s">
        <v>865</v>
      </c>
      <c r="G45" s="508" t="s">
        <v>8</v>
      </c>
      <c r="H45" s="551" t="s">
        <v>972</v>
      </c>
      <c r="I45" s="551">
        <v>1</v>
      </c>
      <c r="J45" s="551">
        <v>1</v>
      </c>
      <c r="K45" s="551">
        <v>1</v>
      </c>
      <c r="L45" s="551">
        <v>1</v>
      </c>
      <c r="N45" s="552">
        <f>SUMIFS('Sales T&amp;E &amp; 科室会WP'!$N:$N,'Sales T&amp;E &amp; 科室会WP'!$L:$L,$G45,'Sales T&amp;E &amp; 科室会WP'!$M:$M,$H45)*3*I45</f>
        <v>0</v>
      </c>
      <c r="O45" s="552">
        <f>SUMIFS('Sales T&amp;E &amp; 科室会WP'!$N:$N,'Sales T&amp;E &amp; 科室会WP'!$L:$L,$G45,'Sales T&amp;E &amp; 科室会WP'!$M:$M,$H45)*3*J45</f>
        <v>0</v>
      </c>
      <c r="P45" s="552">
        <f>SUMIFS('Sales T&amp;E &amp; 科室会WP'!$N:$N,'Sales T&amp;E &amp; 科室会WP'!$L:$L,$G45,'Sales T&amp;E &amp; 科室会WP'!$M:$M,$H45)*3*K45</f>
        <v>0</v>
      </c>
      <c r="Q45" s="552">
        <f>SUMIFS('Sales T&amp;E &amp; 科室会WP'!$N:$N,'Sales T&amp;E &amp; 科室会WP'!$L:$L,$G45,'Sales T&amp;E &amp; 科室会WP'!$M:$M,$H45)*3*L45</f>
        <v>0</v>
      </c>
      <c r="R45" s="553">
        <f t="shared" si="13"/>
        <v>0</v>
      </c>
      <c r="V45" s="553">
        <f t="shared" si="9"/>
        <v>0</v>
      </c>
      <c r="W45" s="553">
        <f t="shared" si="9"/>
        <v>0</v>
      </c>
      <c r="X45" s="553">
        <f t="shared" si="9"/>
        <v>0</v>
      </c>
      <c r="Y45" s="553">
        <f t="shared" si="10"/>
        <v>0</v>
      </c>
      <c r="Z45" s="553">
        <f t="shared" si="10"/>
        <v>0</v>
      </c>
      <c r="AA45" s="553">
        <f t="shared" si="10"/>
        <v>0</v>
      </c>
      <c r="AB45" s="553">
        <f t="shared" si="11"/>
        <v>0</v>
      </c>
      <c r="AC45" s="553">
        <f t="shared" si="11"/>
        <v>0</v>
      </c>
      <c r="AD45" s="553">
        <f t="shared" si="11"/>
        <v>0</v>
      </c>
      <c r="AE45" s="553">
        <f t="shared" si="12"/>
        <v>0</v>
      </c>
      <c r="AF45" s="553">
        <f t="shared" si="12"/>
        <v>0</v>
      </c>
      <c r="AG45" s="553">
        <f t="shared" si="12"/>
        <v>0</v>
      </c>
      <c r="AH45" s="553">
        <f t="shared" si="4"/>
        <v>0</v>
      </c>
      <c r="AI45" s="553">
        <f t="shared" si="5"/>
        <v>0</v>
      </c>
      <c r="AL45" s="552">
        <f>SUMIFS('Sales T&amp;E &amp; 科室会WP'!$T:$T,'Sales T&amp;E &amp; 科室会WP'!$Q:$Q,$H45)*$I45</f>
        <v>0</v>
      </c>
      <c r="AM45" s="552">
        <f>SUMIFS('Sales T&amp;E &amp; 科室会WP'!$T:$T,'Sales T&amp;E &amp; 科室会WP'!$Q:$Q,$H45)*$I45</f>
        <v>0</v>
      </c>
      <c r="AN45" s="552">
        <f>SUMIFS('Sales T&amp;E &amp; 科室会WP'!$T:$T,'Sales T&amp;E &amp; 科室会WP'!$Q:$Q,$H45)*$I45</f>
        <v>0</v>
      </c>
      <c r="AO45" s="552">
        <f>SUMIFS('Sales T&amp;E &amp; 科室会WP'!$T:$T,'Sales T&amp;E &amp; 科室会WP'!$Q:$Q,$H45)*$J45</f>
        <v>0</v>
      </c>
      <c r="AP45" s="552">
        <f>SUMIFS('Sales T&amp;E &amp; 科室会WP'!$T:$T,'Sales T&amp;E &amp; 科室会WP'!$Q:$Q,$H45)*$J45</f>
        <v>0</v>
      </c>
      <c r="AQ45" s="552">
        <f>SUMIFS('Sales T&amp;E &amp; 科室会WP'!$T:$T,'Sales T&amp;E &amp; 科室会WP'!$Q:$Q,$H45)*$J45</f>
        <v>0</v>
      </c>
      <c r="AR45" s="552">
        <f>SUMIFS('Sales T&amp;E &amp; 科室会WP'!$T:$T,'Sales T&amp;E &amp; 科室会WP'!$Q:$Q,$H45)*$K45</f>
        <v>0</v>
      </c>
      <c r="AS45" s="552">
        <f>SUMIFS('Sales T&amp;E &amp; 科室会WP'!$T:$T,'Sales T&amp;E &amp; 科室会WP'!$Q:$Q,$H45)*$K45</f>
        <v>0</v>
      </c>
      <c r="AT45" s="552">
        <f>SUMIFS('Sales T&amp;E &amp; 科室会WP'!$T:$T,'Sales T&amp;E &amp; 科室会WP'!$Q:$Q,$H45)*$K45</f>
        <v>0</v>
      </c>
      <c r="AU45" s="552">
        <f>SUMIFS('Sales T&amp;E &amp; 科室会WP'!$T:$T,'Sales T&amp;E &amp; 科室会WP'!$Q:$Q,$H45)*$L45</f>
        <v>0</v>
      </c>
      <c r="AV45" s="552">
        <f>SUMIFS('Sales T&amp;E &amp; 科室会WP'!$T:$T,'Sales T&amp;E &amp; 科室会WP'!$Q:$Q,$H45)*$L45</f>
        <v>0</v>
      </c>
      <c r="AW45" s="552">
        <f>SUMIFS('Sales T&amp;E &amp; 科室会WP'!$T:$T,'Sales T&amp;E &amp; 科室会WP'!$Q:$Q,$H45)*$L45</f>
        <v>0</v>
      </c>
      <c r="AX45" s="552">
        <f t="shared" si="6"/>
        <v>0</v>
      </c>
    </row>
    <row r="46" spans="1:50" hidden="1">
      <c r="A46" s="551" t="s">
        <v>203</v>
      </c>
      <c r="B46" s="551" t="s">
        <v>958</v>
      </c>
      <c r="C46" s="551" t="s">
        <v>971</v>
      </c>
      <c r="D46" s="551" t="s">
        <v>963</v>
      </c>
      <c r="E46" s="551" t="s">
        <v>883</v>
      </c>
      <c r="F46" s="508" t="s">
        <v>976</v>
      </c>
      <c r="G46" s="508" t="s">
        <v>8</v>
      </c>
      <c r="H46" s="551" t="s">
        <v>97</v>
      </c>
      <c r="I46" s="551">
        <v>1</v>
      </c>
      <c r="J46" s="551">
        <v>1</v>
      </c>
      <c r="K46" s="551">
        <v>1</v>
      </c>
      <c r="L46" s="551">
        <v>1</v>
      </c>
      <c r="N46" s="552">
        <f>SUMIFS('Sales T&amp;E &amp; 科室会WP'!$N:$N,'Sales T&amp;E &amp; 科室会WP'!$L:$L,$G46,'Sales T&amp;E &amp; 科室会WP'!$M:$M,$H46)*3*I46</f>
        <v>66000</v>
      </c>
      <c r="O46" s="552">
        <f>SUMIFS('Sales T&amp;E &amp; 科室会WP'!$N:$N,'Sales T&amp;E &amp; 科室会WP'!$L:$L,$G46,'Sales T&amp;E &amp; 科室会WP'!$M:$M,$H46)*3*J46</f>
        <v>66000</v>
      </c>
      <c r="P46" s="552">
        <f>SUMIFS('Sales T&amp;E &amp; 科室会WP'!$N:$N,'Sales T&amp;E &amp; 科室会WP'!$L:$L,$G46,'Sales T&amp;E &amp; 科室会WP'!$M:$M,$H46)*3*K46</f>
        <v>66000</v>
      </c>
      <c r="Q46" s="552">
        <f>SUMIFS('Sales T&amp;E &amp; 科室会WP'!$N:$N,'Sales T&amp;E &amp; 科室会WP'!$L:$L,$G46,'Sales T&amp;E &amp; 科室会WP'!$M:$M,$H46)*3*L46</f>
        <v>66000</v>
      </c>
      <c r="R46" s="553">
        <f t="shared" si="13"/>
        <v>264000</v>
      </c>
      <c r="V46" s="553">
        <f t="shared" si="9"/>
        <v>22000</v>
      </c>
      <c r="W46" s="553">
        <f t="shared" si="9"/>
        <v>22000</v>
      </c>
      <c r="X46" s="553">
        <f t="shared" si="9"/>
        <v>22000</v>
      </c>
      <c r="Y46" s="553">
        <f t="shared" si="10"/>
        <v>22000</v>
      </c>
      <c r="Z46" s="553">
        <f t="shared" si="10"/>
        <v>22000</v>
      </c>
      <c r="AA46" s="553">
        <f t="shared" si="10"/>
        <v>22000</v>
      </c>
      <c r="AB46" s="553">
        <f t="shared" si="11"/>
        <v>22000</v>
      </c>
      <c r="AC46" s="553">
        <f t="shared" si="11"/>
        <v>22000</v>
      </c>
      <c r="AD46" s="553">
        <f t="shared" si="11"/>
        <v>22000</v>
      </c>
      <c r="AE46" s="553">
        <f t="shared" si="12"/>
        <v>22000</v>
      </c>
      <c r="AF46" s="553">
        <f t="shared" si="12"/>
        <v>22000</v>
      </c>
      <c r="AG46" s="553">
        <f t="shared" si="12"/>
        <v>22000</v>
      </c>
      <c r="AH46" s="553">
        <f t="shared" si="4"/>
        <v>264000</v>
      </c>
      <c r="AI46" s="553">
        <f t="shared" si="5"/>
        <v>0</v>
      </c>
      <c r="AL46" s="552">
        <f>SUMIFS('Sales T&amp;E &amp; 科室会WP'!$T:$T,'Sales T&amp;E &amp; 科室会WP'!$Q:$Q,$H46)*$I46</f>
        <v>1500</v>
      </c>
      <c r="AM46" s="552">
        <f>SUMIFS('Sales T&amp;E &amp; 科室会WP'!$T:$T,'Sales T&amp;E &amp; 科室会WP'!$Q:$Q,$H46)*$I46</f>
        <v>1500</v>
      </c>
      <c r="AN46" s="552">
        <f>SUMIFS('Sales T&amp;E &amp; 科室会WP'!$T:$T,'Sales T&amp;E &amp; 科室会WP'!$Q:$Q,$H46)*$I46</f>
        <v>1500</v>
      </c>
      <c r="AO46" s="552">
        <f>SUMIFS('Sales T&amp;E &amp; 科室会WP'!$T:$T,'Sales T&amp;E &amp; 科室会WP'!$Q:$Q,$H46)*$J46</f>
        <v>1500</v>
      </c>
      <c r="AP46" s="552">
        <f>SUMIFS('Sales T&amp;E &amp; 科室会WP'!$T:$T,'Sales T&amp;E &amp; 科室会WP'!$Q:$Q,$H46)*$J46</f>
        <v>1500</v>
      </c>
      <c r="AQ46" s="552">
        <f>SUMIFS('Sales T&amp;E &amp; 科室会WP'!$T:$T,'Sales T&amp;E &amp; 科室会WP'!$Q:$Q,$H46)*$J46</f>
        <v>1500</v>
      </c>
      <c r="AR46" s="552">
        <f>SUMIFS('Sales T&amp;E &amp; 科室会WP'!$T:$T,'Sales T&amp;E &amp; 科室会WP'!$Q:$Q,$H46)*$K46</f>
        <v>1500</v>
      </c>
      <c r="AS46" s="552">
        <f>SUMIFS('Sales T&amp;E &amp; 科室会WP'!$T:$T,'Sales T&amp;E &amp; 科室会WP'!$Q:$Q,$H46)*$K46</f>
        <v>1500</v>
      </c>
      <c r="AT46" s="552">
        <f>SUMIFS('Sales T&amp;E &amp; 科室会WP'!$T:$T,'Sales T&amp;E &amp; 科室会WP'!$Q:$Q,$H46)*$K46</f>
        <v>1500</v>
      </c>
      <c r="AU46" s="552">
        <f>SUMIFS('Sales T&amp;E &amp; 科室会WP'!$T:$T,'Sales T&amp;E &amp; 科室会WP'!$Q:$Q,$H46)*$L46</f>
        <v>1500</v>
      </c>
      <c r="AV46" s="552">
        <f>SUMIFS('Sales T&amp;E &amp; 科室会WP'!$T:$T,'Sales T&amp;E &amp; 科室会WP'!$Q:$Q,$H46)*$L46</f>
        <v>1500</v>
      </c>
      <c r="AW46" s="552">
        <f>SUMIFS('Sales T&amp;E &amp; 科室会WP'!$T:$T,'Sales T&amp;E &amp; 科室会WP'!$Q:$Q,$H46)*$L46</f>
        <v>1500</v>
      </c>
      <c r="AX46" s="552">
        <f t="shared" si="6"/>
        <v>18000</v>
      </c>
    </row>
    <row r="47" spans="1:50" hidden="1">
      <c r="A47" s="551" t="s">
        <v>203</v>
      </c>
      <c r="B47" s="551" t="s">
        <v>958</v>
      </c>
      <c r="C47" s="551" t="s">
        <v>971</v>
      </c>
      <c r="D47" s="551" t="s">
        <v>963</v>
      </c>
      <c r="F47" s="508" t="s">
        <v>976</v>
      </c>
      <c r="G47" s="508" t="s">
        <v>8</v>
      </c>
      <c r="H47" s="551" t="s">
        <v>972</v>
      </c>
      <c r="I47" s="551">
        <v>1</v>
      </c>
      <c r="J47" s="551">
        <v>1</v>
      </c>
      <c r="K47" s="551">
        <v>1</v>
      </c>
      <c r="L47" s="551">
        <v>1</v>
      </c>
      <c r="N47" s="552">
        <f>SUMIFS('Sales T&amp;E &amp; 科室会WP'!$N:$N,'Sales T&amp;E &amp; 科室会WP'!$L:$L,$G47,'Sales T&amp;E &amp; 科室会WP'!$M:$M,$H47)*3*I47</f>
        <v>0</v>
      </c>
      <c r="O47" s="552">
        <f>SUMIFS('Sales T&amp;E &amp; 科室会WP'!$N:$N,'Sales T&amp;E &amp; 科室会WP'!$L:$L,$G47,'Sales T&amp;E &amp; 科室会WP'!$M:$M,$H47)*3*J47</f>
        <v>0</v>
      </c>
      <c r="P47" s="552">
        <f>SUMIFS('Sales T&amp;E &amp; 科室会WP'!$N:$N,'Sales T&amp;E &amp; 科室会WP'!$L:$L,$G47,'Sales T&amp;E &amp; 科室会WP'!$M:$M,$H47)*3*K47</f>
        <v>0</v>
      </c>
      <c r="Q47" s="552">
        <f>SUMIFS('Sales T&amp;E &amp; 科室会WP'!$N:$N,'Sales T&amp;E &amp; 科室会WP'!$L:$L,$G47,'Sales T&amp;E &amp; 科室会WP'!$M:$M,$H47)*3*L47</f>
        <v>0</v>
      </c>
      <c r="R47" s="553">
        <f t="shared" si="13"/>
        <v>0</v>
      </c>
      <c r="V47" s="553">
        <f t="shared" si="9"/>
        <v>0</v>
      </c>
      <c r="W47" s="553">
        <f t="shared" si="9"/>
        <v>0</v>
      </c>
      <c r="X47" s="553">
        <f t="shared" si="9"/>
        <v>0</v>
      </c>
      <c r="Y47" s="553">
        <f t="shared" si="10"/>
        <v>0</v>
      </c>
      <c r="Z47" s="553">
        <f t="shared" si="10"/>
        <v>0</v>
      </c>
      <c r="AA47" s="553">
        <f t="shared" si="10"/>
        <v>0</v>
      </c>
      <c r="AB47" s="553">
        <f t="shared" si="11"/>
        <v>0</v>
      </c>
      <c r="AC47" s="553">
        <f t="shared" si="11"/>
        <v>0</v>
      </c>
      <c r="AD47" s="553">
        <f t="shared" si="11"/>
        <v>0</v>
      </c>
      <c r="AE47" s="553">
        <f t="shared" si="12"/>
        <v>0</v>
      </c>
      <c r="AF47" s="553">
        <f t="shared" si="12"/>
        <v>0</v>
      </c>
      <c r="AG47" s="553">
        <f t="shared" si="12"/>
        <v>0</v>
      </c>
      <c r="AH47" s="553">
        <f t="shared" si="4"/>
        <v>0</v>
      </c>
      <c r="AI47" s="553">
        <f t="shared" si="5"/>
        <v>0</v>
      </c>
      <c r="AL47" s="552">
        <f>SUMIFS('Sales T&amp;E &amp; 科室会WP'!$T:$T,'Sales T&amp;E &amp; 科室会WP'!$Q:$Q,$H47)*$I47</f>
        <v>0</v>
      </c>
      <c r="AM47" s="552">
        <f>SUMIFS('Sales T&amp;E &amp; 科室会WP'!$T:$T,'Sales T&amp;E &amp; 科室会WP'!$Q:$Q,$H47)*$I47</f>
        <v>0</v>
      </c>
      <c r="AN47" s="552">
        <f>SUMIFS('Sales T&amp;E &amp; 科室会WP'!$T:$T,'Sales T&amp;E &amp; 科室会WP'!$Q:$Q,$H47)*$I47</f>
        <v>0</v>
      </c>
      <c r="AO47" s="552">
        <f>SUMIFS('Sales T&amp;E &amp; 科室会WP'!$T:$T,'Sales T&amp;E &amp; 科室会WP'!$Q:$Q,$H47)*$J47</f>
        <v>0</v>
      </c>
      <c r="AP47" s="552">
        <f>SUMIFS('Sales T&amp;E &amp; 科室会WP'!$T:$T,'Sales T&amp;E &amp; 科室会WP'!$Q:$Q,$H47)*$J47</f>
        <v>0</v>
      </c>
      <c r="AQ47" s="552">
        <f>SUMIFS('Sales T&amp;E &amp; 科室会WP'!$T:$T,'Sales T&amp;E &amp; 科室会WP'!$Q:$Q,$H47)*$J47</f>
        <v>0</v>
      </c>
      <c r="AR47" s="552">
        <f>SUMIFS('Sales T&amp;E &amp; 科室会WP'!$T:$T,'Sales T&amp;E &amp; 科室会WP'!$Q:$Q,$H47)*$K47</f>
        <v>0</v>
      </c>
      <c r="AS47" s="552">
        <f>SUMIFS('Sales T&amp;E &amp; 科室会WP'!$T:$T,'Sales T&amp;E &amp; 科室会WP'!$Q:$Q,$H47)*$K47</f>
        <v>0</v>
      </c>
      <c r="AT47" s="552">
        <f>SUMIFS('Sales T&amp;E &amp; 科室会WP'!$T:$T,'Sales T&amp;E &amp; 科室会WP'!$Q:$Q,$H47)*$K47</f>
        <v>0</v>
      </c>
      <c r="AU47" s="552">
        <f>SUMIFS('Sales T&amp;E &amp; 科室会WP'!$T:$T,'Sales T&amp;E &amp; 科室会WP'!$Q:$Q,$H47)*$L47</f>
        <v>0</v>
      </c>
      <c r="AV47" s="552">
        <f>SUMIFS('Sales T&amp;E &amp; 科室会WP'!$T:$T,'Sales T&amp;E &amp; 科室会WP'!$Q:$Q,$H47)*$L47</f>
        <v>0</v>
      </c>
      <c r="AW47" s="552">
        <f>SUMIFS('Sales T&amp;E &amp; 科室会WP'!$T:$T,'Sales T&amp;E &amp; 科室会WP'!$Q:$Q,$H47)*$L47</f>
        <v>0</v>
      </c>
      <c r="AX47" s="552">
        <f t="shared" si="6"/>
        <v>0</v>
      </c>
    </row>
    <row r="48" spans="1:50" hidden="1">
      <c r="A48" s="551" t="s">
        <v>203</v>
      </c>
      <c r="B48" s="551" t="s">
        <v>958</v>
      </c>
      <c r="C48" s="551" t="s">
        <v>971</v>
      </c>
      <c r="D48" s="551" t="s">
        <v>964</v>
      </c>
      <c r="E48" s="551" t="s">
        <v>883</v>
      </c>
      <c r="F48" s="551" t="s">
        <v>977</v>
      </c>
      <c r="G48" s="508" t="s">
        <v>8</v>
      </c>
      <c r="H48" s="551" t="s">
        <v>97</v>
      </c>
      <c r="I48" s="551">
        <v>1</v>
      </c>
      <c r="J48" s="551">
        <v>1</v>
      </c>
      <c r="K48" s="551">
        <v>1</v>
      </c>
      <c r="L48" s="551">
        <v>1</v>
      </c>
      <c r="N48" s="552">
        <f>SUMIFS('Sales T&amp;E &amp; 科室会WP'!$N:$N,'Sales T&amp;E &amp; 科室会WP'!$L:$L,$G48,'Sales T&amp;E &amp; 科室会WP'!$M:$M,$H48)*3*I48</f>
        <v>66000</v>
      </c>
      <c r="O48" s="552">
        <f>SUMIFS('Sales T&amp;E &amp; 科室会WP'!$N:$N,'Sales T&amp;E &amp; 科室会WP'!$L:$L,$G48,'Sales T&amp;E &amp; 科室会WP'!$M:$M,$H48)*3*J48</f>
        <v>66000</v>
      </c>
      <c r="P48" s="552">
        <f>SUMIFS('Sales T&amp;E &amp; 科室会WP'!$N:$N,'Sales T&amp;E &amp; 科室会WP'!$L:$L,$G48,'Sales T&amp;E &amp; 科室会WP'!$M:$M,$H48)*3*K48</f>
        <v>66000</v>
      </c>
      <c r="Q48" s="552">
        <f>SUMIFS('Sales T&amp;E &amp; 科室会WP'!$N:$N,'Sales T&amp;E &amp; 科室会WP'!$L:$L,$G48,'Sales T&amp;E &amp; 科室会WP'!$M:$M,$H48)*3*L48</f>
        <v>66000</v>
      </c>
      <c r="R48" s="553">
        <f t="shared" si="13"/>
        <v>264000</v>
      </c>
      <c r="V48" s="553">
        <f t="shared" si="9"/>
        <v>22000</v>
      </c>
      <c r="W48" s="553">
        <f t="shared" si="9"/>
        <v>22000</v>
      </c>
      <c r="X48" s="553">
        <f t="shared" si="9"/>
        <v>22000</v>
      </c>
      <c r="Y48" s="553">
        <f t="shared" si="10"/>
        <v>22000</v>
      </c>
      <c r="Z48" s="553">
        <f t="shared" si="10"/>
        <v>22000</v>
      </c>
      <c r="AA48" s="553">
        <f t="shared" si="10"/>
        <v>22000</v>
      </c>
      <c r="AB48" s="553">
        <f t="shared" si="11"/>
        <v>22000</v>
      </c>
      <c r="AC48" s="553">
        <f t="shared" si="11"/>
        <v>22000</v>
      </c>
      <c r="AD48" s="553">
        <f t="shared" si="11"/>
        <v>22000</v>
      </c>
      <c r="AE48" s="553">
        <f t="shared" si="12"/>
        <v>22000</v>
      </c>
      <c r="AF48" s="553">
        <f t="shared" si="12"/>
        <v>22000</v>
      </c>
      <c r="AG48" s="553">
        <f t="shared" si="12"/>
        <v>22000</v>
      </c>
      <c r="AH48" s="553">
        <f t="shared" si="4"/>
        <v>264000</v>
      </c>
      <c r="AI48" s="553">
        <f t="shared" si="5"/>
        <v>0</v>
      </c>
      <c r="AL48" s="552">
        <f>SUMIFS('Sales T&amp;E &amp; 科室会WP'!$T:$T,'Sales T&amp;E &amp; 科室会WP'!$Q:$Q,$H48)*$I48</f>
        <v>1500</v>
      </c>
      <c r="AM48" s="552">
        <f>SUMIFS('Sales T&amp;E &amp; 科室会WP'!$T:$T,'Sales T&amp;E &amp; 科室会WP'!$Q:$Q,$H48)*$I48</f>
        <v>1500</v>
      </c>
      <c r="AN48" s="552">
        <f>SUMIFS('Sales T&amp;E &amp; 科室会WP'!$T:$T,'Sales T&amp;E &amp; 科室会WP'!$Q:$Q,$H48)*$I48</f>
        <v>1500</v>
      </c>
      <c r="AO48" s="552">
        <f>SUMIFS('Sales T&amp;E &amp; 科室会WP'!$T:$T,'Sales T&amp;E &amp; 科室会WP'!$Q:$Q,$H48)*$J48</f>
        <v>1500</v>
      </c>
      <c r="AP48" s="552">
        <f>SUMIFS('Sales T&amp;E &amp; 科室会WP'!$T:$T,'Sales T&amp;E &amp; 科室会WP'!$Q:$Q,$H48)*$J48</f>
        <v>1500</v>
      </c>
      <c r="AQ48" s="552">
        <f>SUMIFS('Sales T&amp;E &amp; 科室会WP'!$T:$T,'Sales T&amp;E &amp; 科室会WP'!$Q:$Q,$H48)*$J48</f>
        <v>1500</v>
      </c>
      <c r="AR48" s="552">
        <f>SUMIFS('Sales T&amp;E &amp; 科室会WP'!$T:$T,'Sales T&amp;E &amp; 科室会WP'!$Q:$Q,$H48)*$K48</f>
        <v>1500</v>
      </c>
      <c r="AS48" s="552">
        <f>SUMIFS('Sales T&amp;E &amp; 科室会WP'!$T:$T,'Sales T&amp;E &amp; 科室会WP'!$Q:$Q,$H48)*$K48</f>
        <v>1500</v>
      </c>
      <c r="AT48" s="552">
        <f>SUMIFS('Sales T&amp;E &amp; 科室会WP'!$T:$T,'Sales T&amp;E &amp; 科室会WP'!$Q:$Q,$H48)*$K48</f>
        <v>1500</v>
      </c>
      <c r="AU48" s="552">
        <f>SUMIFS('Sales T&amp;E &amp; 科室会WP'!$T:$T,'Sales T&amp;E &amp; 科室会WP'!$Q:$Q,$H48)*$L48</f>
        <v>1500</v>
      </c>
      <c r="AV48" s="552">
        <f>SUMIFS('Sales T&amp;E &amp; 科室会WP'!$T:$T,'Sales T&amp;E &amp; 科室会WP'!$Q:$Q,$H48)*$L48</f>
        <v>1500</v>
      </c>
      <c r="AW48" s="552">
        <f>SUMIFS('Sales T&amp;E &amp; 科室会WP'!$T:$T,'Sales T&amp;E &amp; 科室会WP'!$Q:$Q,$H48)*$L48</f>
        <v>1500</v>
      </c>
      <c r="AX48" s="552">
        <f t="shared" si="6"/>
        <v>18000</v>
      </c>
    </row>
    <row r="49" spans="1:50" hidden="1">
      <c r="A49" s="551" t="s">
        <v>203</v>
      </c>
      <c r="B49" s="551" t="s">
        <v>958</v>
      </c>
      <c r="C49" s="551" t="s">
        <v>971</v>
      </c>
      <c r="D49" s="551" t="s">
        <v>964</v>
      </c>
      <c r="F49" s="551" t="s">
        <v>977</v>
      </c>
      <c r="G49" s="508" t="s">
        <v>8</v>
      </c>
      <c r="H49" s="551" t="s">
        <v>972</v>
      </c>
      <c r="I49" s="551">
        <v>1</v>
      </c>
      <c r="J49" s="551">
        <v>1</v>
      </c>
      <c r="K49" s="551">
        <v>1</v>
      </c>
      <c r="L49" s="551">
        <v>1</v>
      </c>
      <c r="N49" s="552">
        <f>SUMIFS('Sales T&amp;E &amp; 科室会WP'!$N:$N,'Sales T&amp;E &amp; 科室会WP'!$L:$L,$G49,'Sales T&amp;E &amp; 科室会WP'!$M:$M,$H49)*3*I49</f>
        <v>0</v>
      </c>
      <c r="O49" s="552">
        <f>SUMIFS('Sales T&amp;E &amp; 科室会WP'!$N:$N,'Sales T&amp;E &amp; 科室会WP'!$L:$L,$G49,'Sales T&amp;E &amp; 科室会WP'!$M:$M,$H49)*3*J49</f>
        <v>0</v>
      </c>
      <c r="P49" s="552">
        <f>SUMIFS('Sales T&amp;E &amp; 科室会WP'!$N:$N,'Sales T&amp;E &amp; 科室会WP'!$L:$L,$G49,'Sales T&amp;E &amp; 科室会WP'!$M:$M,$H49)*3*K49</f>
        <v>0</v>
      </c>
      <c r="Q49" s="552">
        <f>SUMIFS('Sales T&amp;E &amp; 科室会WP'!$N:$N,'Sales T&amp;E &amp; 科室会WP'!$L:$L,$G49,'Sales T&amp;E &amp; 科室会WP'!$M:$M,$H49)*3*L49</f>
        <v>0</v>
      </c>
      <c r="R49" s="553">
        <f t="shared" si="13"/>
        <v>0</v>
      </c>
      <c r="V49" s="553">
        <f t="shared" si="9"/>
        <v>0</v>
      </c>
      <c r="W49" s="553">
        <f t="shared" si="9"/>
        <v>0</v>
      </c>
      <c r="X49" s="553">
        <f t="shared" si="9"/>
        <v>0</v>
      </c>
      <c r="Y49" s="553">
        <f t="shared" si="10"/>
        <v>0</v>
      </c>
      <c r="Z49" s="553">
        <f t="shared" si="10"/>
        <v>0</v>
      </c>
      <c r="AA49" s="553">
        <f t="shared" si="10"/>
        <v>0</v>
      </c>
      <c r="AB49" s="553">
        <f t="shared" si="11"/>
        <v>0</v>
      </c>
      <c r="AC49" s="553">
        <f t="shared" si="11"/>
        <v>0</v>
      </c>
      <c r="AD49" s="553">
        <f t="shared" si="11"/>
        <v>0</v>
      </c>
      <c r="AE49" s="553">
        <f t="shared" si="12"/>
        <v>0</v>
      </c>
      <c r="AF49" s="553">
        <f t="shared" si="12"/>
        <v>0</v>
      </c>
      <c r="AG49" s="553">
        <f t="shared" si="12"/>
        <v>0</v>
      </c>
      <c r="AH49" s="553">
        <f t="shared" si="4"/>
        <v>0</v>
      </c>
      <c r="AI49" s="553">
        <f t="shared" si="5"/>
        <v>0</v>
      </c>
      <c r="AL49" s="552">
        <f>SUMIFS('Sales T&amp;E &amp; 科室会WP'!$T:$T,'Sales T&amp;E &amp; 科室会WP'!$Q:$Q,$H49)*$I49</f>
        <v>0</v>
      </c>
      <c r="AM49" s="552">
        <f>SUMIFS('Sales T&amp;E &amp; 科室会WP'!$T:$T,'Sales T&amp;E &amp; 科室会WP'!$Q:$Q,$H49)*$I49</f>
        <v>0</v>
      </c>
      <c r="AN49" s="552">
        <f>SUMIFS('Sales T&amp;E &amp; 科室会WP'!$T:$T,'Sales T&amp;E &amp; 科室会WP'!$Q:$Q,$H49)*$I49</f>
        <v>0</v>
      </c>
      <c r="AO49" s="552">
        <f>SUMIFS('Sales T&amp;E &amp; 科室会WP'!$T:$T,'Sales T&amp;E &amp; 科室会WP'!$Q:$Q,$H49)*$J49</f>
        <v>0</v>
      </c>
      <c r="AP49" s="552">
        <f>SUMIFS('Sales T&amp;E &amp; 科室会WP'!$T:$T,'Sales T&amp;E &amp; 科室会WP'!$Q:$Q,$H49)*$J49</f>
        <v>0</v>
      </c>
      <c r="AQ49" s="552">
        <f>SUMIFS('Sales T&amp;E &amp; 科室会WP'!$T:$T,'Sales T&amp;E &amp; 科室会WP'!$Q:$Q,$H49)*$J49</f>
        <v>0</v>
      </c>
      <c r="AR49" s="552">
        <f>SUMIFS('Sales T&amp;E &amp; 科室会WP'!$T:$T,'Sales T&amp;E &amp; 科室会WP'!$Q:$Q,$H49)*$K49</f>
        <v>0</v>
      </c>
      <c r="AS49" s="552">
        <f>SUMIFS('Sales T&amp;E &amp; 科室会WP'!$T:$T,'Sales T&amp;E &amp; 科室会WP'!$Q:$Q,$H49)*$K49</f>
        <v>0</v>
      </c>
      <c r="AT49" s="552">
        <f>SUMIFS('Sales T&amp;E &amp; 科室会WP'!$T:$T,'Sales T&amp;E &amp; 科室会WP'!$Q:$Q,$H49)*$K49</f>
        <v>0</v>
      </c>
      <c r="AU49" s="552">
        <f>SUMIFS('Sales T&amp;E &amp; 科室会WP'!$T:$T,'Sales T&amp;E &amp; 科室会WP'!$Q:$Q,$H49)*$L49</f>
        <v>0</v>
      </c>
      <c r="AV49" s="552">
        <f>SUMIFS('Sales T&amp;E &amp; 科室会WP'!$T:$T,'Sales T&amp;E &amp; 科室会WP'!$Q:$Q,$H49)*$L49</f>
        <v>0</v>
      </c>
      <c r="AW49" s="552">
        <f>SUMIFS('Sales T&amp;E &amp; 科室会WP'!$T:$T,'Sales T&amp;E &amp; 科室会WP'!$Q:$Q,$H49)*$L49</f>
        <v>0</v>
      </c>
      <c r="AX49" s="552">
        <f t="shared" si="6"/>
        <v>0</v>
      </c>
    </row>
    <row r="50" spans="1:50" hidden="1">
      <c r="A50" s="551" t="s">
        <v>203</v>
      </c>
      <c r="B50" s="551" t="s">
        <v>958</v>
      </c>
      <c r="C50" s="551" t="s">
        <v>971</v>
      </c>
      <c r="D50" s="551" t="s">
        <v>965</v>
      </c>
      <c r="E50" s="551" t="s">
        <v>883</v>
      </c>
      <c r="F50" s="551" t="s">
        <v>978</v>
      </c>
      <c r="G50" s="508" t="s">
        <v>8</v>
      </c>
      <c r="H50" s="551" t="s">
        <v>97</v>
      </c>
      <c r="I50" s="551">
        <v>1</v>
      </c>
      <c r="J50" s="551">
        <v>1</v>
      </c>
      <c r="K50" s="551">
        <v>1</v>
      </c>
      <c r="L50" s="551">
        <v>1</v>
      </c>
      <c r="N50" s="552">
        <f>SUMIFS('Sales T&amp;E &amp; 科室会WP'!$N:$N,'Sales T&amp;E &amp; 科室会WP'!$L:$L,$G50,'Sales T&amp;E &amp; 科室会WP'!$M:$M,$H50)*3*I50</f>
        <v>66000</v>
      </c>
      <c r="O50" s="552">
        <f>SUMIFS('Sales T&amp;E &amp; 科室会WP'!$N:$N,'Sales T&amp;E &amp; 科室会WP'!$L:$L,$G50,'Sales T&amp;E &amp; 科室会WP'!$M:$M,$H50)*3*J50</f>
        <v>66000</v>
      </c>
      <c r="P50" s="552">
        <f>SUMIFS('Sales T&amp;E &amp; 科室会WP'!$N:$N,'Sales T&amp;E &amp; 科室会WP'!$L:$L,$G50,'Sales T&amp;E &amp; 科室会WP'!$M:$M,$H50)*3*K50</f>
        <v>66000</v>
      </c>
      <c r="Q50" s="552">
        <f>SUMIFS('Sales T&amp;E &amp; 科室会WP'!$N:$N,'Sales T&amp;E &amp; 科室会WP'!$L:$L,$G50,'Sales T&amp;E &amp; 科室会WP'!$M:$M,$H50)*3*L50</f>
        <v>66000</v>
      </c>
      <c r="R50" s="553">
        <f t="shared" si="13"/>
        <v>264000</v>
      </c>
      <c r="V50" s="553">
        <f t="shared" si="9"/>
        <v>22000</v>
      </c>
      <c r="W50" s="553">
        <f t="shared" si="9"/>
        <v>22000</v>
      </c>
      <c r="X50" s="553">
        <f t="shared" si="9"/>
        <v>22000</v>
      </c>
      <c r="Y50" s="553">
        <f t="shared" si="10"/>
        <v>22000</v>
      </c>
      <c r="Z50" s="553">
        <f t="shared" si="10"/>
        <v>22000</v>
      </c>
      <c r="AA50" s="553">
        <f t="shared" si="10"/>
        <v>22000</v>
      </c>
      <c r="AB50" s="553">
        <f t="shared" si="11"/>
        <v>22000</v>
      </c>
      <c r="AC50" s="553">
        <f t="shared" si="11"/>
        <v>22000</v>
      </c>
      <c r="AD50" s="553">
        <f t="shared" si="11"/>
        <v>22000</v>
      </c>
      <c r="AE50" s="553">
        <f t="shared" si="12"/>
        <v>22000</v>
      </c>
      <c r="AF50" s="553">
        <f t="shared" si="12"/>
        <v>22000</v>
      </c>
      <c r="AG50" s="553">
        <f t="shared" si="12"/>
        <v>22000</v>
      </c>
      <c r="AH50" s="553">
        <f t="shared" si="4"/>
        <v>264000</v>
      </c>
      <c r="AI50" s="553">
        <f t="shared" si="5"/>
        <v>0</v>
      </c>
      <c r="AL50" s="552">
        <f>SUMIFS('Sales T&amp;E &amp; 科室会WP'!$T:$T,'Sales T&amp;E &amp; 科室会WP'!$Q:$Q,$H50)*$I50</f>
        <v>1500</v>
      </c>
      <c r="AM50" s="552">
        <f>SUMIFS('Sales T&amp;E &amp; 科室会WP'!$T:$T,'Sales T&amp;E &amp; 科室会WP'!$Q:$Q,$H50)*$I50</f>
        <v>1500</v>
      </c>
      <c r="AN50" s="552">
        <f>SUMIFS('Sales T&amp;E &amp; 科室会WP'!$T:$T,'Sales T&amp;E &amp; 科室会WP'!$Q:$Q,$H50)*$I50</f>
        <v>1500</v>
      </c>
      <c r="AO50" s="552">
        <f>SUMIFS('Sales T&amp;E &amp; 科室会WP'!$T:$T,'Sales T&amp;E &amp; 科室会WP'!$Q:$Q,$H50)*$J50</f>
        <v>1500</v>
      </c>
      <c r="AP50" s="552">
        <f>SUMIFS('Sales T&amp;E &amp; 科室会WP'!$T:$T,'Sales T&amp;E &amp; 科室会WP'!$Q:$Q,$H50)*$J50</f>
        <v>1500</v>
      </c>
      <c r="AQ50" s="552">
        <f>SUMIFS('Sales T&amp;E &amp; 科室会WP'!$T:$T,'Sales T&amp;E &amp; 科室会WP'!$Q:$Q,$H50)*$J50</f>
        <v>1500</v>
      </c>
      <c r="AR50" s="552">
        <f>SUMIFS('Sales T&amp;E &amp; 科室会WP'!$T:$T,'Sales T&amp;E &amp; 科室会WP'!$Q:$Q,$H50)*$K50</f>
        <v>1500</v>
      </c>
      <c r="AS50" s="552">
        <f>SUMIFS('Sales T&amp;E &amp; 科室会WP'!$T:$T,'Sales T&amp;E &amp; 科室会WP'!$Q:$Q,$H50)*$K50</f>
        <v>1500</v>
      </c>
      <c r="AT50" s="552">
        <f>SUMIFS('Sales T&amp;E &amp; 科室会WP'!$T:$T,'Sales T&amp;E &amp; 科室会WP'!$Q:$Q,$H50)*$K50</f>
        <v>1500</v>
      </c>
      <c r="AU50" s="552">
        <f>SUMIFS('Sales T&amp;E &amp; 科室会WP'!$T:$T,'Sales T&amp;E &amp; 科室会WP'!$Q:$Q,$H50)*$L50</f>
        <v>1500</v>
      </c>
      <c r="AV50" s="552">
        <f>SUMIFS('Sales T&amp;E &amp; 科室会WP'!$T:$T,'Sales T&amp;E &amp; 科室会WP'!$Q:$Q,$H50)*$L50</f>
        <v>1500</v>
      </c>
      <c r="AW50" s="552">
        <f>SUMIFS('Sales T&amp;E &amp; 科室会WP'!$T:$T,'Sales T&amp;E &amp; 科室会WP'!$Q:$Q,$H50)*$L50</f>
        <v>1500</v>
      </c>
      <c r="AX50" s="552">
        <f t="shared" si="6"/>
        <v>18000</v>
      </c>
    </row>
    <row r="51" spans="1:50" hidden="1">
      <c r="A51" s="551" t="s">
        <v>203</v>
      </c>
      <c r="B51" s="551" t="s">
        <v>958</v>
      </c>
      <c r="C51" s="551" t="s">
        <v>971</v>
      </c>
      <c r="D51" s="551" t="s">
        <v>965</v>
      </c>
      <c r="F51" s="551" t="s">
        <v>978</v>
      </c>
      <c r="G51" s="508" t="s">
        <v>8</v>
      </c>
      <c r="H51" s="551" t="s">
        <v>972</v>
      </c>
      <c r="I51" s="551">
        <v>1</v>
      </c>
      <c r="J51" s="551">
        <v>1</v>
      </c>
      <c r="K51" s="551">
        <v>1</v>
      </c>
      <c r="L51" s="551">
        <v>1</v>
      </c>
      <c r="N51" s="552">
        <f>SUMIFS('Sales T&amp;E &amp; 科室会WP'!$N:$N,'Sales T&amp;E &amp; 科室会WP'!$L:$L,$G51,'Sales T&amp;E &amp; 科室会WP'!$M:$M,$H51)*3*I51</f>
        <v>0</v>
      </c>
      <c r="O51" s="552">
        <f>SUMIFS('Sales T&amp;E &amp; 科室会WP'!$N:$N,'Sales T&amp;E &amp; 科室会WP'!$L:$L,$G51,'Sales T&amp;E &amp; 科室会WP'!$M:$M,$H51)*3*J51</f>
        <v>0</v>
      </c>
      <c r="P51" s="552">
        <f>SUMIFS('Sales T&amp;E &amp; 科室会WP'!$N:$N,'Sales T&amp;E &amp; 科室会WP'!$L:$L,$G51,'Sales T&amp;E &amp; 科室会WP'!$M:$M,$H51)*3*K51</f>
        <v>0</v>
      </c>
      <c r="Q51" s="552">
        <f>SUMIFS('Sales T&amp;E &amp; 科室会WP'!$N:$N,'Sales T&amp;E &amp; 科室会WP'!$L:$L,$G51,'Sales T&amp;E &amp; 科室会WP'!$M:$M,$H51)*3*L51</f>
        <v>0</v>
      </c>
      <c r="R51" s="553">
        <f t="shared" si="13"/>
        <v>0</v>
      </c>
      <c r="V51" s="553">
        <f t="shared" ref="V51:X82" si="14">$N51/3</f>
        <v>0</v>
      </c>
      <c r="W51" s="553">
        <f t="shared" si="14"/>
        <v>0</v>
      </c>
      <c r="X51" s="553">
        <f t="shared" si="14"/>
        <v>0</v>
      </c>
      <c r="Y51" s="553">
        <f t="shared" ref="Y51:AA82" si="15">$O51/3</f>
        <v>0</v>
      </c>
      <c r="Z51" s="553">
        <f t="shared" si="15"/>
        <v>0</v>
      </c>
      <c r="AA51" s="553">
        <f t="shared" si="15"/>
        <v>0</v>
      </c>
      <c r="AB51" s="553">
        <f t="shared" ref="AB51:AD82" si="16">$P51/3</f>
        <v>0</v>
      </c>
      <c r="AC51" s="553">
        <f t="shared" si="16"/>
        <v>0</v>
      </c>
      <c r="AD51" s="553">
        <f t="shared" si="16"/>
        <v>0</v>
      </c>
      <c r="AE51" s="553">
        <f t="shared" ref="AE51:AG82" si="17">$Q51/3</f>
        <v>0</v>
      </c>
      <c r="AF51" s="553">
        <f t="shared" si="17"/>
        <v>0</v>
      </c>
      <c r="AG51" s="553">
        <f t="shared" si="17"/>
        <v>0</v>
      </c>
      <c r="AH51" s="553">
        <f t="shared" si="4"/>
        <v>0</v>
      </c>
      <c r="AI51" s="553">
        <f t="shared" si="5"/>
        <v>0</v>
      </c>
      <c r="AL51" s="552">
        <f>SUMIFS('Sales T&amp;E &amp; 科室会WP'!$T:$T,'Sales T&amp;E &amp; 科室会WP'!$Q:$Q,$H51)*$I51</f>
        <v>0</v>
      </c>
      <c r="AM51" s="552">
        <f>SUMIFS('Sales T&amp;E &amp; 科室会WP'!$T:$T,'Sales T&amp;E &amp; 科室会WP'!$Q:$Q,$H51)*$I51</f>
        <v>0</v>
      </c>
      <c r="AN51" s="552">
        <f>SUMIFS('Sales T&amp;E &amp; 科室会WP'!$T:$T,'Sales T&amp;E &amp; 科室会WP'!$Q:$Q,$H51)*$I51</f>
        <v>0</v>
      </c>
      <c r="AO51" s="552">
        <f>SUMIFS('Sales T&amp;E &amp; 科室会WP'!$T:$T,'Sales T&amp;E &amp; 科室会WP'!$Q:$Q,$H51)*$J51</f>
        <v>0</v>
      </c>
      <c r="AP51" s="552">
        <f>SUMIFS('Sales T&amp;E &amp; 科室会WP'!$T:$T,'Sales T&amp;E &amp; 科室会WP'!$Q:$Q,$H51)*$J51</f>
        <v>0</v>
      </c>
      <c r="AQ51" s="552">
        <f>SUMIFS('Sales T&amp;E &amp; 科室会WP'!$T:$T,'Sales T&amp;E &amp; 科室会WP'!$Q:$Q,$H51)*$J51</f>
        <v>0</v>
      </c>
      <c r="AR51" s="552">
        <f>SUMIFS('Sales T&amp;E &amp; 科室会WP'!$T:$T,'Sales T&amp;E &amp; 科室会WP'!$Q:$Q,$H51)*$K51</f>
        <v>0</v>
      </c>
      <c r="AS51" s="552">
        <f>SUMIFS('Sales T&amp;E &amp; 科室会WP'!$T:$T,'Sales T&amp;E &amp; 科室会WP'!$Q:$Q,$H51)*$K51</f>
        <v>0</v>
      </c>
      <c r="AT51" s="552">
        <f>SUMIFS('Sales T&amp;E &amp; 科室会WP'!$T:$T,'Sales T&amp;E &amp; 科室会WP'!$Q:$Q,$H51)*$K51</f>
        <v>0</v>
      </c>
      <c r="AU51" s="552">
        <f>SUMIFS('Sales T&amp;E &amp; 科室会WP'!$T:$T,'Sales T&amp;E &amp; 科室会WP'!$Q:$Q,$H51)*$L51</f>
        <v>0</v>
      </c>
      <c r="AV51" s="552">
        <f>SUMIFS('Sales T&amp;E &amp; 科室会WP'!$T:$T,'Sales T&amp;E &amp; 科室会WP'!$Q:$Q,$H51)*$L51</f>
        <v>0</v>
      </c>
      <c r="AW51" s="552">
        <f>SUMIFS('Sales T&amp;E &amp; 科室会WP'!$T:$T,'Sales T&amp;E &amp; 科室会WP'!$Q:$Q,$H51)*$L51</f>
        <v>0</v>
      </c>
      <c r="AX51" s="552">
        <f t="shared" si="6"/>
        <v>0</v>
      </c>
    </row>
    <row r="52" spans="1:50" hidden="1">
      <c r="A52" s="551" t="s">
        <v>203</v>
      </c>
      <c r="B52" s="551" t="s">
        <v>958</v>
      </c>
      <c r="C52" s="551" t="s">
        <v>971</v>
      </c>
      <c r="D52" s="551" t="s">
        <v>966</v>
      </c>
      <c r="E52" s="551" t="s">
        <v>883</v>
      </c>
      <c r="F52" s="551" t="s">
        <v>979</v>
      </c>
      <c r="G52" s="508" t="s">
        <v>8</v>
      </c>
      <c r="H52" s="551" t="s">
        <v>97</v>
      </c>
      <c r="I52" s="551">
        <v>1</v>
      </c>
      <c r="J52" s="551">
        <v>1</v>
      </c>
      <c r="K52" s="551">
        <v>1</v>
      </c>
      <c r="L52" s="551">
        <v>1</v>
      </c>
      <c r="N52" s="552">
        <f>SUMIFS('Sales T&amp;E &amp; 科室会WP'!$N:$N,'Sales T&amp;E &amp; 科室会WP'!$L:$L,$G52,'Sales T&amp;E &amp; 科室会WP'!$M:$M,$H52)*3*I52</f>
        <v>66000</v>
      </c>
      <c r="O52" s="552">
        <f>SUMIFS('Sales T&amp;E &amp; 科室会WP'!$N:$N,'Sales T&amp;E &amp; 科室会WP'!$L:$L,$G52,'Sales T&amp;E &amp; 科室会WP'!$M:$M,$H52)*3*J52</f>
        <v>66000</v>
      </c>
      <c r="P52" s="552">
        <f>SUMIFS('Sales T&amp;E &amp; 科室会WP'!$N:$N,'Sales T&amp;E &amp; 科室会WP'!$L:$L,$G52,'Sales T&amp;E &amp; 科室会WP'!$M:$M,$H52)*3*K52</f>
        <v>66000</v>
      </c>
      <c r="Q52" s="552">
        <f>SUMIFS('Sales T&amp;E &amp; 科室会WP'!$N:$N,'Sales T&amp;E &amp; 科室会WP'!$L:$L,$G52,'Sales T&amp;E &amp; 科室会WP'!$M:$M,$H52)*3*L52</f>
        <v>66000</v>
      </c>
      <c r="R52" s="553">
        <f t="shared" si="13"/>
        <v>264000</v>
      </c>
      <c r="V52" s="553">
        <f t="shared" si="14"/>
        <v>22000</v>
      </c>
      <c r="W52" s="553">
        <f t="shared" si="14"/>
        <v>22000</v>
      </c>
      <c r="X52" s="553">
        <f t="shared" si="14"/>
        <v>22000</v>
      </c>
      <c r="Y52" s="553">
        <f t="shared" si="15"/>
        <v>22000</v>
      </c>
      <c r="Z52" s="553">
        <f t="shared" si="15"/>
        <v>22000</v>
      </c>
      <c r="AA52" s="553">
        <f t="shared" si="15"/>
        <v>22000</v>
      </c>
      <c r="AB52" s="553">
        <f t="shared" si="16"/>
        <v>22000</v>
      </c>
      <c r="AC52" s="553">
        <f t="shared" si="16"/>
        <v>22000</v>
      </c>
      <c r="AD52" s="553">
        <f t="shared" si="16"/>
        <v>22000</v>
      </c>
      <c r="AE52" s="553">
        <f t="shared" si="17"/>
        <v>22000</v>
      </c>
      <c r="AF52" s="553">
        <f t="shared" si="17"/>
        <v>22000</v>
      </c>
      <c r="AG52" s="553">
        <f t="shared" si="17"/>
        <v>22000</v>
      </c>
      <c r="AH52" s="553">
        <f t="shared" si="4"/>
        <v>264000</v>
      </c>
      <c r="AI52" s="553">
        <f t="shared" si="5"/>
        <v>0</v>
      </c>
      <c r="AL52" s="552">
        <f>SUMIFS('Sales T&amp;E &amp; 科室会WP'!$T:$T,'Sales T&amp;E &amp; 科室会WP'!$Q:$Q,$H52)*$I52</f>
        <v>1500</v>
      </c>
      <c r="AM52" s="552">
        <f>SUMIFS('Sales T&amp;E &amp; 科室会WP'!$T:$T,'Sales T&amp;E &amp; 科室会WP'!$Q:$Q,$H52)*$I52</f>
        <v>1500</v>
      </c>
      <c r="AN52" s="552">
        <f>SUMIFS('Sales T&amp;E &amp; 科室会WP'!$T:$T,'Sales T&amp;E &amp; 科室会WP'!$Q:$Q,$H52)*$I52</f>
        <v>1500</v>
      </c>
      <c r="AO52" s="552">
        <f>SUMIFS('Sales T&amp;E &amp; 科室会WP'!$T:$T,'Sales T&amp;E &amp; 科室会WP'!$Q:$Q,$H52)*$J52</f>
        <v>1500</v>
      </c>
      <c r="AP52" s="552">
        <f>SUMIFS('Sales T&amp;E &amp; 科室会WP'!$T:$T,'Sales T&amp;E &amp; 科室会WP'!$Q:$Q,$H52)*$J52</f>
        <v>1500</v>
      </c>
      <c r="AQ52" s="552">
        <f>SUMIFS('Sales T&amp;E &amp; 科室会WP'!$T:$T,'Sales T&amp;E &amp; 科室会WP'!$Q:$Q,$H52)*$J52</f>
        <v>1500</v>
      </c>
      <c r="AR52" s="552">
        <f>SUMIFS('Sales T&amp;E &amp; 科室会WP'!$T:$T,'Sales T&amp;E &amp; 科室会WP'!$Q:$Q,$H52)*$K52</f>
        <v>1500</v>
      </c>
      <c r="AS52" s="552">
        <f>SUMIFS('Sales T&amp;E &amp; 科室会WP'!$T:$T,'Sales T&amp;E &amp; 科室会WP'!$Q:$Q,$H52)*$K52</f>
        <v>1500</v>
      </c>
      <c r="AT52" s="552">
        <f>SUMIFS('Sales T&amp;E &amp; 科室会WP'!$T:$T,'Sales T&amp;E &amp; 科室会WP'!$Q:$Q,$H52)*$K52</f>
        <v>1500</v>
      </c>
      <c r="AU52" s="552">
        <f>SUMIFS('Sales T&amp;E &amp; 科室会WP'!$T:$T,'Sales T&amp;E &amp; 科室会WP'!$Q:$Q,$H52)*$L52</f>
        <v>1500</v>
      </c>
      <c r="AV52" s="552">
        <f>SUMIFS('Sales T&amp;E &amp; 科室会WP'!$T:$T,'Sales T&amp;E &amp; 科室会WP'!$Q:$Q,$H52)*$L52</f>
        <v>1500</v>
      </c>
      <c r="AW52" s="552">
        <f>SUMIFS('Sales T&amp;E &amp; 科室会WP'!$T:$T,'Sales T&amp;E &amp; 科室会WP'!$Q:$Q,$H52)*$L52</f>
        <v>1500</v>
      </c>
      <c r="AX52" s="552">
        <f t="shared" si="6"/>
        <v>18000</v>
      </c>
    </row>
    <row r="53" spans="1:50" hidden="1">
      <c r="A53" s="551" t="s">
        <v>203</v>
      </c>
      <c r="B53" s="551" t="s">
        <v>958</v>
      </c>
      <c r="C53" s="551" t="s">
        <v>971</v>
      </c>
      <c r="D53" s="551" t="s">
        <v>966</v>
      </c>
      <c r="F53" s="551" t="s">
        <v>979</v>
      </c>
      <c r="G53" s="508" t="s">
        <v>8</v>
      </c>
      <c r="H53" s="551" t="s">
        <v>972</v>
      </c>
      <c r="I53" s="551">
        <v>1</v>
      </c>
      <c r="J53" s="551">
        <v>1</v>
      </c>
      <c r="K53" s="551">
        <v>1</v>
      </c>
      <c r="L53" s="551">
        <v>1</v>
      </c>
      <c r="N53" s="552">
        <f>SUMIFS('Sales T&amp;E &amp; 科室会WP'!$N:$N,'Sales T&amp;E &amp; 科室会WP'!$L:$L,$G53,'Sales T&amp;E &amp; 科室会WP'!$M:$M,$H53)*3*I53</f>
        <v>0</v>
      </c>
      <c r="O53" s="552">
        <f>SUMIFS('Sales T&amp;E &amp; 科室会WP'!$N:$N,'Sales T&amp;E &amp; 科室会WP'!$L:$L,$G53,'Sales T&amp;E &amp; 科室会WP'!$M:$M,$H53)*3*J53</f>
        <v>0</v>
      </c>
      <c r="P53" s="552">
        <f>SUMIFS('Sales T&amp;E &amp; 科室会WP'!$N:$N,'Sales T&amp;E &amp; 科室会WP'!$L:$L,$G53,'Sales T&amp;E &amp; 科室会WP'!$M:$M,$H53)*3*K53</f>
        <v>0</v>
      </c>
      <c r="Q53" s="552">
        <f>SUMIFS('Sales T&amp;E &amp; 科室会WP'!$N:$N,'Sales T&amp;E &amp; 科室会WP'!$L:$L,$G53,'Sales T&amp;E &amp; 科室会WP'!$M:$M,$H53)*3*L53</f>
        <v>0</v>
      </c>
      <c r="R53" s="553">
        <f t="shared" si="13"/>
        <v>0</v>
      </c>
      <c r="V53" s="553">
        <f t="shared" si="14"/>
        <v>0</v>
      </c>
      <c r="W53" s="553">
        <f t="shared" si="14"/>
        <v>0</v>
      </c>
      <c r="X53" s="553">
        <f t="shared" si="14"/>
        <v>0</v>
      </c>
      <c r="Y53" s="553">
        <f t="shared" si="15"/>
        <v>0</v>
      </c>
      <c r="Z53" s="553">
        <f t="shared" si="15"/>
        <v>0</v>
      </c>
      <c r="AA53" s="553">
        <f t="shared" si="15"/>
        <v>0</v>
      </c>
      <c r="AB53" s="553">
        <f t="shared" si="16"/>
        <v>0</v>
      </c>
      <c r="AC53" s="553">
        <f t="shared" si="16"/>
        <v>0</v>
      </c>
      <c r="AD53" s="553">
        <f t="shared" si="16"/>
        <v>0</v>
      </c>
      <c r="AE53" s="553">
        <f t="shared" si="17"/>
        <v>0</v>
      </c>
      <c r="AF53" s="553">
        <f t="shared" si="17"/>
        <v>0</v>
      </c>
      <c r="AG53" s="553">
        <f t="shared" si="17"/>
        <v>0</v>
      </c>
      <c r="AH53" s="553">
        <f t="shared" si="4"/>
        <v>0</v>
      </c>
      <c r="AI53" s="553">
        <f t="shared" si="5"/>
        <v>0</v>
      </c>
      <c r="AL53" s="552">
        <f>SUMIFS('Sales T&amp;E &amp; 科室会WP'!$T:$T,'Sales T&amp;E &amp; 科室会WP'!$Q:$Q,$H53)*$I53</f>
        <v>0</v>
      </c>
      <c r="AM53" s="552">
        <f>SUMIFS('Sales T&amp;E &amp; 科室会WP'!$T:$T,'Sales T&amp;E &amp; 科室会WP'!$Q:$Q,$H53)*$I53</f>
        <v>0</v>
      </c>
      <c r="AN53" s="552">
        <f>SUMIFS('Sales T&amp;E &amp; 科室会WP'!$T:$T,'Sales T&amp;E &amp; 科室会WP'!$Q:$Q,$H53)*$I53</f>
        <v>0</v>
      </c>
      <c r="AO53" s="552">
        <f>SUMIFS('Sales T&amp;E &amp; 科室会WP'!$T:$T,'Sales T&amp;E &amp; 科室会WP'!$Q:$Q,$H53)*$J53</f>
        <v>0</v>
      </c>
      <c r="AP53" s="552">
        <f>SUMIFS('Sales T&amp;E &amp; 科室会WP'!$T:$T,'Sales T&amp;E &amp; 科室会WP'!$Q:$Q,$H53)*$J53</f>
        <v>0</v>
      </c>
      <c r="AQ53" s="552">
        <f>SUMIFS('Sales T&amp;E &amp; 科室会WP'!$T:$T,'Sales T&amp;E &amp; 科室会WP'!$Q:$Q,$H53)*$J53</f>
        <v>0</v>
      </c>
      <c r="AR53" s="552">
        <f>SUMIFS('Sales T&amp;E &amp; 科室会WP'!$T:$T,'Sales T&amp;E &amp; 科室会WP'!$Q:$Q,$H53)*$K53</f>
        <v>0</v>
      </c>
      <c r="AS53" s="552">
        <f>SUMIFS('Sales T&amp;E &amp; 科室会WP'!$T:$T,'Sales T&amp;E &amp; 科室会WP'!$Q:$Q,$H53)*$K53</f>
        <v>0</v>
      </c>
      <c r="AT53" s="552">
        <f>SUMIFS('Sales T&amp;E &amp; 科室会WP'!$T:$T,'Sales T&amp;E &amp; 科室会WP'!$Q:$Q,$H53)*$K53</f>
        <v>0</v>
      </c>
      <c r="AU53" s="552">
        <f>SUMIFS('Sales T&amp;E &amp; 科室会WP'!$T:$T,'Sales T&amp;E &amp; 科室会WP'!$Q:$Q,$H53)*$L53</f>
        <v>0</v>
      </c>
      <c r="AV53" s="552">
        <f>SUMIFS('Sales T&amp;E &amp; 科室会WP'!$T:$T,'Sales T&amp;E &amp; 科室会WP'!$Q:$Q,$H53)*$L53</f>
        <v>0</v>
      </c>
      <c r="AW53" s="552">
        <f>SUMIFS('Sales T&amp;E &amp; 科室会WP'!$T:$T,'Sales T&amp;E &amp; 科室会WP'!$Q:$Q,$H53)*$L53</f>
        <v>0</v>
      </c>
      <c r="AX53" s="552">
        <f t="shared" si="6"/>
        <v>0</v>
      </c>
    </row>
    <row r="54" spans="1:50" hidden="1">
      <c r="A54" s="551" t="s">
        <v>203</v>
      </c>
      <c r="B54" s="551" t="s">
        <v>958</v>
      </c>
      <c r="C54" s="551" t="s">
        <v>971</v>
      </c>
      <c r="D54" s="551" t="s">
        <v>967</v>
      </c>
      <c r="E54" s="551" t="s">
        <v>883</v>
      </c>
      <c r="F54" s="551" t="s">
        <v>980</v>
      </c>
      <c r="G54" s="508" t="s">
        <v>8</v>
      </c>
      <c r="H54" s="551" t="s">
        <v>97</v>
      </c>
      <c r="I54" s="551">
        <v>1</v>
      </c>
      <c r="J54" s="551">
        <v>1</v>
      </c>
      <c r="K54" s="551">
        <v>1</v>
      </c>
      <c r="L54" s="551">
        <v>1</v>
      </c>
      <c r="N54" s="552">
        <f>SUMIFS('Sales T&amp;E &amp; 科室会WP'!$N:$N,'Sales T&amp;E &amp; 科室会WP'!$L:$L,$G54,'Sales T&amp;E &amp; 科室会WP'!$M:$M,$H54)*3*I54</f>
        <v>66000</v>
      </c>
      <c r="O54" s="552">
        <f>SUMIFS('Sales T&amp;E &amp; 科室会WP'!$N:$N,'Sales T&amp;E &amp; 科室会WP'!$L:$L,$G54,'Sales T&amp;E &amp; 科室会WP'!$M:$M,$H54)*3*J54</f>
        <v>66000</v>
      </c>
      <c r="P54" s="552">
        <f>SUMIFS('Sales T&amp;E &amp; 科室会WP'!$N:$N,'Sales T&amp;E &amp; 科室会WP'!$L:$L,$G54,'Sales T&amp;E &amp; 科室会WP'!$M:$M,$H54)*3*K54</f>
        <v>66000</v>
      </c>
      <c r="Q54" s="552">
        <f>SUMIFS('Sales T&amp;E &amp; 科室会WP'!$N:$N,'Sales T&amp;E &amp; 科室会WP'!$L:$L,$G54,'Sales T&amp;E &amp; 科室会WP'!$M:$M,$H54)*3*L54</f>
        <v>66000</v>
      </c>
      <c r="R54" s="553">
        <f t="shared" si="13"/>
        <v>264000</v>
      </c>
      <c r="V54" s="553">
        <f t="shared" si="14"/>
        <v>22000</v>
      </c>
      <c r="W54" s="553">
        <f t="shared" si="14"/>
        <v>22000</v>
      </c>
      <c r="X54" s="553">
        <f t="shared" si="14"/>
        <v>22000</v>
      </c>
      <c r="Y54" s="553">
        <f t="shared" si="15"/>
        <v>22000</v>
      </c>
      <c r="Z54" s="553">
        <f t="shared" si="15"/>
        <v>22000</v>
      </c>
      <c r="AA54" s="553">
        <f t="shared" si="15"/>
        <v>22000</v>
      </c>
      <c r="AB54" s="553">
        <f t="shared" si="16"/>
        <v>22000</v>
      </c>
      <c r="AC54" s="553">
        <f t="shared" si="16"/>
        <v>22000</v>
      </c>
      <c r="AD54" s="553">
        <f t="shared" si="16"/>
        <v>22000</v>
      </c>
      <c r="AE54" s="553">
        <f t="shared" si="17"/>
        <v>22000</v>
      </c>
      <c r="AF54" s="553">
        <f t="shared" si="17"/>
        <v>22000</v>
      </c>
      <c r="AG54" s="553">
        <f t="shared" si="17"/>
        <v>22000</v>
      </c>
      <c r="AH54" s="553">
        <f t="shared" si="4"/>
        <v>264000</v>
      </c>
      <c r="AI54" s="553">
        <f t="shared" si="5"/>
        <v>0</v>
      </c>
      <c r="AL54" s="552">
        <f>SUMIFS('Sales T&amp;E &amp; 科室会WP'!$T:$T,'Sales T&amp;E &amp; 科室会WP'!$Q:$Q,$H54)*$I54</f>
        <v>1500</v>
      </c>
      <c r="AM54" s="552">
        <f>SUMIFS('Sales T&amp;E &amp; 科室会WP'!$T:$T,'Sales T&amp;E &amp; 科室会WP'!$Q:$Q,$H54)*$I54</f>
        <v>1500</v>
      </c>
      <c r="AN54" s="552">
        <f>SUMIFS('Sales T&amp;E &amp; 科室会WP'!$T:$T,'Sales T&amp;E &amp; 科室会WP'!$Q:$Q,$H54)*$I54</f>
        <v>1500</v>
      </c>
      <c r="AO54" s="552">
        <f>SUMIFS('Sales T&amp;E &amp; 科室会WP'!$T:$T,'Sales T&amp;E &amp; 科室会WP'!$Q:$Q,$H54)*$J54</f>
        <v>1500</v>
      </c>
      <c r="AP54" s="552">
        <f>SUMIFS('Sales T&amp;E &amp; 科室会WP'!$T:$T,'Sales T&amp;E &amp; 科室会WP'!$Q:$Q,$H54)*$J54</f>
        <v>1500</v>
      </c>
      <c r="AQ54" s="552">
        <f>SUMIFS('Sales T&amp;E &amp; 科室会WP'!$T:$T,'Sales T&amp;E &amp; 科室会WP'!$Q:$Q,$H54)*$J54</f>
        <v>1500</v>
      </c>
      <c r="AR54" s="552">
        <f>SUMIFS('Sales T&amp;E &amp; 科室会WP'!$T:$T,'Sales T&amp;E &amp; 科室会WP'!$Q:$Q,$H54)*$K54</f>
        <v>1500</v>
      </c>
      <c r="AS54" s="552">
        <f>SUMIFS('Sales T&amp;E &amp; 科室会WP'!$T:$T,'Sales T&amp;E &amp; 科室会WP'!$Q:$Q,$H54)*$K54</f>
        <v>1500</v>
      </c>
      <c r="AT54" s="552">
        <f>SUMIFS('Sales T&amp;E &amp; 科室会WP'!$T:$T,'Sales T&amp;E &amp; 科室会WP'!$Q:$Q,$H54)*$K54</f>
        <v>1500</v>
      </c>
      <c r="AU54" s="552">
        <f>SUMIFS('Sales T&amp;E &amp; 科室会WP'!$T:$T,'Sales T&amp;E &amp; 科室会WP'!$Q:$Q,$H54)*$L54</f>
        <v>1500</v>
      </c>
      <c r="AV54" s="552">
        <f>SUMIFS('Sales T&amp;E &amp; 科室会WP'!$T:$T,'Sales T&amp;E &amp; 科室会WP'!$Q:$Q,$H54)*$L54</f>
        <v>1500</v>
      </c>
      <c r="AW54" s="552">
        <f>SUMIFS('Sales T&amp;E &amp; 科室会WP'!$T:$T,'Sales T&amp;E &amp; 科室会WP'!$Q:$Q,$H54)*$L54</f>
        <v>1500</v>
      </c>
      <c r="AX54" s="552">
        <f t="shared" si="6"/>
        <v>18000</v>
      </c>
    </row>
    <row r="55" spans="1:50" hidden="1">
      <c r="A55" s="551" t="s">
        <v>203</v>
      </c>
      <c r="B55" s="551" t="s">
        <v>958</v>
      </c>
      <c r="C55" s="551" t="s">
        <v>971</v>
      </c>
      <c r="D55" s="551" t="s">
        <v>967</v>
      </c>
      <c r="F55" s="551" t="s">
        <v>980</v>
      </c>
      <c r="G55" s="508" t="s">
        <v>8</v>
      </c>
      <c r="H55" s="551" t="s">
        <v>972</v>
      </c>
      <c r="I55" s="551">
        <v>1</v>
      </c>
      <c r="J55" s="551">
        <v>1</v>
      </c>
      <c r="K55" s="551">
        <v>1</v>
      </c>
      <c r="L55" s="551">
        <v>1</v>
      </c>
      <c r="N55" s="552">
        <f>SUMIFS('Sales T&amp;E &amp; 科室会WP'!$N:$N,'Sales T&amp;E &amp; 科室会WP'!$L:$L,$G55,'Sales T&amp;E &amp; 科室会WP'!$M:$M,$H55)*3*I55</f>
        <v>0</v>
      </c>
      <c r="O55" s="552">
        <f>SUMIFS('Sales T&amp;E &amp; 科室会WP'!$N:$N,'Sales T&amp;E &amp; 科室会WP'!$L:$L,$G55,'Sales T&amp;E &amp; 科室会WP'!$M:$M,$H55)*3*J55</f>
        <v>0</v>
      </c>
      <c r="P55" s="552">
        <f>SUMIFS('Sales T&amp;E &amp; 科室会WP'!$N:$N,'Sales T&amp;E &amp; 科室会WP'!$L:$L,$G55,'Sales T&amp;E &amp; 科室会WP'!$M:$M,$H55)*3*K55</f>
        <v>0</v>
      </c>
      <c r="Q55" s="552">
        <f>SUMIFS('Sales T&amp;E &amp; 科室会WP'!$N:$N,'Sales T&amp;E &amp; 科室会WP'!$L:$L,$G55,'Sales T&amp;E &amp; 科室会WP'!$M:$M,$H55)*3*L55</f>
        <v>0</v>
      </c>
      <c r="R55" s="553">
        <f t="shared" si="13"/>
        <v>0</v>
      </c>
      <c r="V55" s="553">
        <f t="shared" si="14"/>
        <v>0</v>
      </c>
      <c r="W55" s="553">
        <f t="shared" si="14"/>
        <v>0</v>
      </c>
      <c r="X55" s="553">
        <f t="shared" si="14"/>
        <v>0</v>
      </c>
      <c r="Y55" s="553">
        <f t="shared" si="15"/>
        <v>0</v>
      </c>
      <c r="Z55" s="553">
        <f t="shared" si="15"/>
        <v>0</v>
      </c>
      <c r="AA55" s="553">
        <f t="shared" si="15"/>
        <v>0</v>
      </c>
      <c r="AB55" s="553">
        <f t="shared" si="16"/>
        <v>0</v>
      </c>
      <c r="AC55" s="553">
        <f t="shared" si="16"/>
        <v>0</v>
      </c>
      <c r="AD55" s="553">
        <f t="shared" si="16"/>
        <v>0</v>
      </c>
      <c r="AE55" s="553">
        <f t="shared" si="17"/>
        <v>0</v>
      </c>
      <c r="AF55" s="553">
        <f t="shared" si="17"/>
        <v>0</v>
      </c>
      <c r="AG55" s="553">
        <f t="shared" si="17"/>
        <v>0</v>
      </c>
      <c r="AH55" s="553">
        <f t="shared" si="4"/>
        <v>0</v>
      </c>
      <c r="AI55" s="553">
        <f t="shared" si="5"/>
        <v>0</v>
      </c>
      <c r="AL55" s="552">
        <f>SUMIFS('Sales T&amp;E &amp; 科室会WP'!$T:$T,'Sales T&amp;E &amp; 科室会WP'!$Q:$Q,$H55)*$I55</f>
        <v>0</v>
      </c>
      <c r="AM55" s="552">
        <f>SUMIFS('Sales T&amp;E &amp; 科室会WP'!$T:$T,'Sales T&amp;E &amp; 科室会WP'!$Q:$Q,$H55)*$I55</f>
        <v>0</v>
      </c>
      <c r="AN55" s="552">
        <f>SUMIFS('Sales T&amp;E &amp; 科室会WP'!$T:$T,'Sales T&amp;E &amp; 科室会WP'!$Q:$Q,$H55)*$I55</f>
        <v>0</v>
      </c>
      <c r="AO55" s="552">
        <f>SUMIFS('Sales T&amp;E &amp; 科室会WP'!$T:$T,'Sales T&amp;E &amp; 科室会WP'!$Q:$Q,$H55)*$J55</f>
        <v>0</v>
      </c>
      <c r="AP55" s="552">
        <f>SUMIFS('Sales T&amp;E &amp; 科室会WP'!$T:$T,'Sales T&amp;E &amp; 科室会WP'!$Q:$Q,$H55)*$J55</f>
        <v>0</v>
      </c>
      <c r="AQ55" s="552">
        <f>SUMIFS('Sales T&amp;E &amp; 科室会WP'!$T:$T,'Sales T&amp;E &amp; 科室会WP'!$Q:$Q,$H55)*$J55</f>
        <v>0</v>
      </c>
      <c r="AR55" s="552">
        <f>SUMIFS('Sales T&amp;E &amp; 科室会WP'!$T:$T,'Sales T&amp;E &amp; 科室会WP'!$Q:$Q,$H55)*$K55</f>
        <v>0</v>
      </c>
      <c r="AS55" s="552">
        <f>SUMIFS('Sales T&amp;E &amp; 科室会WP'!$T:$T,'Sales T&amp;E &amp; 科室会WP'!$Q:$Q,$H55)*$K55</f>
        <v>0</v>
      </c>
      <c r="AT55" s="552">
        <f>SUMIFS('Sales T&amp;E &amp; 科室会WP'!$T:$T,'Sales T&amp;E &amp; 科室会WP'!$Q:$Q,$H55)*$K55</f>
        <v>0</v>
      </c>
      <c r="AU55" s="552">
        <f>SUMIFS('Sales T&amp;E &amp; 科室会WP'!$T:$T,'Sales T&amp;E &amp; 科室会WP'!$Q:$Q,$H55)*$L55</f>
        <v>0</v>
      </c>
      <c r="AV55" s="552">
        <f>SUMIFS('Sales T&amp;E &amp; 科室会WP'!$T:$T,'Sales T&amp;E &amp; 科室会WP'!$Q:$Q,$H55)*$L55</f>
        <v>0</v>
      </c>
      <c r="AW55" s="552">
        <f>SUMIFS('Sales T&amp;E &amp; 科室会WP'!$T:$T,'Sales T&amp;E &amp; 科室会WP'!$Q:$Q,$H55)*$L55</f>
        <v>0</v>
      </c>
      <c r="AX55" s="552">
        <f t="shared" si="6"/>
        <v>0</v>
      </c>
    </row>
    <row r="56" spans="1:50" hidden="1">
      <c r="A56" s="551" t="s">
        <v>203</v>
      </c>
      <c r="B56" s="551" t="s">
        <v>958</v>
      </c>
      <c r="C56" s="551" t="s">
        <v>971</v>
      </c>
      <c r="D56" s="551" t="s">
        <v>968</v>
      </c>
      <c r="E56" s="551" t="s">
        <v>883</v>
      </c>
      <c r="F56" s="551" t="s">
        <v>981</v>
      </c>
      <c r="G56" s="508" t="s">
        <v>8</v>
      </c>
      <c r="H56" s="551" t="s">
        <v>97</v>
      </c>
      <c r="I56" s="551">
        <v>1</v>
      </c>
      <c r="J56" s="551">
        <v>1</v>
      </c>
      <c r="K56" s="551">
        <v>1</v>
      </c>
      <c r="L56" s="551">
        <v>1</v>
      </c>
      <c r="N56" s="552">
        <f>SUMIFS('Sales T&amp;E &amp; 科室会WP'!$N:$N,'Sales T&amp;E &amp; 科室会WP'!$L:$L,$G56,'Sales T&amp;E &amp; 科室会WP'!$M:$M,$H56)*3*I56</f>
        <v>66000</v>
      </c>
      <c r="O56" s="552">
        <f>SUMIFS('Sales T&amp;E &amp; 科室会WP'!$N:$N,'Sales T&amp;E &amp; 科室会WP'!$L:$L,$G56,'Sales T&amp;E &amp; 科室会WP'!$M:$M,$H56)*3*J56</f>
        <v>66000</v>
      </c>
      <c r="P56" s="552">
        <f>SUMIFS('Sales T&amp;E &amp; 科室会WP'!$N:$N,'Sales T&amp;E &amp; 科室会WP'!$L:$L,$G56,'Sales T&amp;E &amp; 科室会WP'!$M:$M,$H56)*3*K56</f>
        <v>66000</v>
      </c>
      <c r="Q56" s="552">
        <f>SUMIFS('Sales T&amp;E &amp; 科室会WP'!$N:$N,'Sales T&amp;E &amp; 科室会WP'!$L:$L,$G56,'Sales T&amp;E &amp; 科室会WP'!$M:$M,$H56)*3*L56</f>
        <v>66000</v>
      </c>
      <c r="R56" s="553">
        <f t="shared" si="13"/>
        <v>264000</v>
      </c>
      <c r="V56" s="553">
        <f t="shared" si="14"/>
        <v>22000</v>
      </c>
      <c r="W56" s="553">
        <f t="shared" si="14"/>
        <v>22000</v>
      </c>
      <c r="X56" s="553">
        <f t="shared" si="14"/>
        <v>22000</v>
      </c>
      <c r="Y56" s="553">
        <f t="shared" si="15"/>
        <v>22000</v>
      </c>
      <c r="Z56" s="553">
        <f t="shared" si="15"/>
        <v>22000</v>
      </c>
      <c r="AA56" s="553">
        <f t="shared" si="15"/>
        <v>22000</v>
      </c>
      <c r="AB56" s="553">
        <f t="shared" si="16"/>
        <v>22000</v>
      </c>
      <c r="AC56" s="553">
        <f t="shared" si="16"/>
        <v>22000</v>
      </c>
      <c r="AD56" s="553">
        <f t="shared" si="16"/>
        <v>22000</v>
      </c>
      <c r="AE56" s="553">
        <f t="shared" si="17"/>
        <v>22000</v>
      </c>
      <c r="AF56" s="553">
        <f t="shared" si="17"/>
        <v>22000</v>
      </c>
      <c r="AG56" s="553">
        <f t="shared" si="17"/>
        <v>22000</v>
      </c>
      <c r="AH56" s="553">
        <f t="shared" si="4"/>
        <v>264000</v>
      </c>
      <c r="AI56" s="553">
        <f t="shared" si="5"/>
        <v>0</v>
      </c>
      <c r="AL56" s="552">
        <f>SUMIFS('Sales T&amp;E &amp; 科室会WP'!$T:$T,'Sales T&amp;E &amp; 科室会WP'!$Q:$Q,$H56)*$I56</f>
        <v>1500</v>
      </c>
      <c r="AM56" s="552">
        <f>SUMIFS('Sales T&amp;E &amp; 科室会WP'!$T:$T,'Sales T&amp;E &amp; 科室会WP'!$Q:$Q,$H56)*$I56</f>
        <v>1500</v>
      </c>
      <c r="AN56" s="552">
        <f>SUMIFS('Sales T&amp;E &amp; 科室会WP'!$T:$T,'Sales T&amp;E &amp; 科室会WP'!$Q:$Q,$H56)*$I56</f>
        <v>1500</v>
      </c>
      <c r="AO56" s="552">
        <f>SUMIFS('Sales T&amp;E &amp; 科室会WP'!$T:$T,'Sales T&amp;E &amp; 科室会WP'!$Q:$Q,$H56)*$J56</f>
        <v>1500</v>
      </c>
      <c r="AP56" s="552">
        <f>SUMIFS('Sales T&amp;E &amp; 科室会WP'!$T:$T,'Sales T&amp;E &amp; 科室会WP'!$Q:$Q,$H56)*$J56</f>
        <v>1500</v>
      </c>
      <c r="AQ56" s="552">
        <f>SUMIFS('Sales T&amp;E &amp; 科室会WP'!$T:$T,'Sales T&amp;E &amp; 科室会WP'!$Q:$Q,$H56)*$J56</f>
        <v>1500</v>
      </c>
      <c r="AR56" s="552">
        <f>SUMIFS('Sales T&amp;E &amp; 科室会WP'!$T:$T,'Sales T&amp;E &amp; 科室会WP'!$Q:$Q,$H56)*$K56</f>
        <v>1500</v>
      </c>
      <c r="AS56" s="552">
        <f>SUMIFS('Sales T&amp;E &amp; 科室会WP'!$T:$T,'Sales T&amp;E &amp; 科室会WP'!$Q:$Q,$H56)*$K56</f>
        <v>1500</v>
      </c>
      <c r="AT56" s="552">
        <f>SUMIFS('Sales T&amp;E &amp; 科室会WP'!$T:$T,'Sales T&amp;E &amp; 科室会WP'!$Q:$Q,$H56)*$K56</f>
        <v>1500</v>
      </c>
      <c r="AU56" s="552">
        <f>SUMIFS('Sales T&amp;E &amp; 科室会WP'!$T:$T,'Sales T&amp;E &amp; 科室会WP'!$Q:$Q,$H56)*$L56</f>
        <v>1500</v>
      </c>
      <c r="AV56" s="552">
        <f>SUMIFS('Sales T&amp;E &amp; 科室会WP'!$T:$T,'Sales T&amp;E &amp; 科室会WP'!$Q:$Q,$H56)*$L56</f>
        <v>1500</v>
      </c>
      <c r="AW56" s="552">
        <f>SUMIFS('Sales T&amp;E &amp; 科室会WP'!$T:$T,'Sales T&amp;E &amp; 科室会WP'!$Q:$Q,$H56)*$L56</f>
        <v>1500</v>
      </c>
      <c r="AX56" s="552">
        <f t="shared" si="6"/>
        <v>18000</v>
      </c>
    </row>
    <row r="57" spans="1:50" hidden="1">
      <c r="A57" s="551" t="s">
        <v>203</v>
      </c>
      <c r="B57" s="551" t="s">
        <v>958</v>
      </c>
      <c r="C57" s="551" t="s">
        <v>971</v>
      </c>
      <c r="D57" s="551" t="s">
        <v>968</v>
      </c>
      <c r="F57" s="551" t="s">
        <v>981</v>
      </c>
      <c r="G57" s="508" t="s">
        <v>8</v>
      </c>
      <c r="H57" s="551" t="s">
        <v>972</v>
      </c>
      <c r="I57" s="551">
        <v>1</v>
      </c>
      <c r="J57" s="551">
        <v>1</v>
      </c>
      <c r="K57" s="551">
        <v>1</v>
      </c>
      <c r="L57" s="551">
        <v>1</v>
      </c>
      <c r="N57" s="552">
        <f>SUMIFS('Sales T&amp;E &amp; 科室会WP'!$N:$N,'Sales T&amp;E &amp; 科室会WP'!$L:$L,$G57,'Sales T&amp;E &amp; 科室会WP'!$M:$M,$H57)*3*I57</f>
        <v>0</v>
      </c>
      <c r="O57" s="552">
        <f>SUMIFS('Sales T&amp;E &amp; 科室会WP'!$N:$N,'Sales T&amp;E &amp; 科室会WP'!$L:$L,$G57,'Sales T&amp;E &amp; 科室会WP'!$M:$M,$H57)*3*J57</f>
        <v>0</v>
      </c>
      <c r="P57" s="552">
        <f>SUMIFS('Sales T&amp;E &amp; 科室会WP'!$N:$N,'Sales T&amp;E &amp; 科室会WP'!$L:$L,$G57,'Sales T&amp;E &amp; 科室会WP'!$M:$M,$H57)*3*K57</f>
        <v>0</v>
      </c>
      <c r="Q57" s="552">
        <f>SUMIFS('Sales T&amp;E &amp; 科室会WP'!$N:$N,'Sales T&amp;E &amp; 科室会WP'!$L:$L,$G57,'Sales T&amp;E &amp; 科室会WP'!$M:$M,$H57)*3*L57</f>
        <v>0</v>
      </c>
      <c r="R57" s="553">
        <f t="shared" si="13"/>
        <v>0</v>
      </c>
      <c r="V57" s="553">
        <f t="shared" si="14"/>
        <v>0</v>
      </c>
      <c r="W57" s="553">
        <f t="shared" si="14"/>
        <v>0</v>
      </c>
      <c r="X57" s="553">
        <f t="shared" si="14"/>
        <v>0</v>
      </c>
      <c r="Y57" s="553">
        <f t="shared" si="15"/>
        <v>0</v>
      </c>
      <c r="Z57" s="553">
        <f t="shared" si="15"/>
        <v>0</v>
      </c>
      <c r="AA57" s="553">
        <f t="shared" si="15"/>
        <v>0</v>
      </c>
      <c r="AB57" s="553">
        <f t="shared" si="16"/>
        <v>0</v>
      </c>
      <c r="AC57" s="553">
        <f t="shared" si="16"/>
        <v>0</v>
      </c>
      <c r="AD57" s="553">
        <f t="shared" si="16"/>
        <v>0</v>
      </c>
      <c r="AE57" s="553">
        <f t="shared" si="17"/>
        <v>0</v>
      </c>
      <c r="AF57" s="553">
        <f t="shared" si="17"/>
        <v>0</v>
      </c>
      <c r="AG57" s="553">
        <f t="shared" si="17"/>
        <v>0</v>
      </c>
      <c r="AH57" s="553">
        <f t="shared" si="4"/>
        <v>0</v>
      </c>
      <c r="AI57" s="553">
        <f t="shared" si="5"/>
        <v>0</v>
      </c>
      <c r="AL57" s="552">
        <f>SUMIFS('Sales T&amp;E &amp; 科室会WP'!$T:$T,'Sales T&amp;E &amp; 科室会WP'!$Q:$Q,$H57)*$I57</f>
        <v>0</v>
      </c>
      <c r="AM57" s="552">
        <f>SUMIFS('Sales T&amp;E &amp; 科室会WP'!$T:$T,'Sales T&amp;E &amp; 科室会WP'!$Q:$Q,$H57)*$I57</f>
        <v>0</v>
      </c>
      <c r="AN57" s="552">
        <f>SUMIFS('Sales T&amp;E &amp; 科室会WP'!$T:$T,'Sales T&amp;E &amp; 科室会WP'!$Q:$Q,$H57)*$I57</f>
        <v>0</v>
      </c>
      <c r="AO57" s="552">
        <f>SUMIFS('Sales T&amp;E &amp; 科室会WP'!$T:$T,'Sales T&amp;E &amp; 科室会WP'!$Q:$Q,$H57)*$J57</f>
        <v>0</v>
      </c>
      <c r="AP57" s="552">
        <f>SUMIFS('Sales T&amp;E &amp; 科室会WP'!$T:$T,'Sales T&amp;E &amp; 科室会WP'!$Q:$Q,$H57)*$J57</f>
        <v>0</v>
      </c>
      <c r="AQ57" s="552">
        <f>SUMIFS('Sales T&amp;E &amp; 科室会WP'!$T:$T,'Sales T&amp;E &amp; 科室会WP'!$Q:$Q,$H57)*$J57</f>
        <v>0</v>
      </c>
      <c r="AR57" s="552">
        <f>SUMIFS('Sales T&amp;E &amp; 科室会WP'!$T:$T,'Sales T&amp;E &amp; 科室会WP'!$Q:$Q,$H57)*$K57</f>
        <v>0</v>
      </c>
      <c r="AS57" s="552">
        <f>SUMIFS('Sales T&amp;E &amp; 科室会WP'!$T:$T,'Sales T&amp;E &amp; 科室会WP'!$Q:$Q,$H57)*$K57</f>
        <v>0</v>
      </c>
      <c r="AT57" s="552">
        <f>SUMIFS('Sales T&amp;E &amp; 科室会WP'!$T:$T,'Sales T&amp;E &amp; 科室会WP'!$Q:$Q,$H57)*$K57</f>
        <v>0</v>
      </c>
      <c r="AU57" s="552">
        <f>SUMIFS('Sales T&amp;E &amp; 科室会WP'!$T:$T,'Sales T&amp;E &amp; 科室会WP'!$Q:$Q,$H57)*$L57</f>
        <v>0</v>
      </c>
      <c r="AV57" s="552">
        <f>SUMIFS('Sales T&amp;E &amp; 科室会WP'!$T:$T,'Sales T&amp;E &amp; 科室会WP'!$Q:$Q,$H57)*$L57</f>
        <v>0</v>
      </c>
      <c r="AW57" s="552">
        <f>SUMIFS('Sales T&amp;E &amp; 科室会WP'!$T:$T,'Sales T&amp;E &amp; 科室会WP'!$Q:$Q,$H57)*$L57</f>
        <v>0</v>
      </c>
      <c r="AX57" s="552">
        <f t="shared" si="6"/>
        <v>0</v>
      </c>
    </row>
    <row r="58" spans="1:50" hidden="1">
      <c r="A58" s="551" t="s">
        <v>203</v>
      </c>
      <c r="B58" s="551" t="s">
        <v>958</v>
      </c>
      <c r="C58" s="551" t="s">
        <v>971</v>
      </c>
      <c r="D58" s="551" t="s">
        <v>969</v>
      </c>
      <c r="E58" s="551" t="s">
        <v>883</v>
      </c>
      <c r="F58" s="551" t="s">
        <v>982</v>
      </c>
      <c r="G58" s="508" t="s">
        <v>8</v>
      </c>
      <c r="H58" s="551" t="s">
        <v>97</v>
      </c>
      <c r="I58" s="551">
        <v>1</v>
      </c>
      <c r="J58" s="551">
        <v>1</v>
      </c>
      <c r="K58" s="551">
        <v>1</v>
      </c>
      <c r="L58" s="551">
        <v>1</v>
      </c>
      <c r="N58" s="552">
        <f>SUMIFS('Sales T&amp;E &amp; 科室会WP'!$N:$N,'Sales T&amp;E &amp; 科室会WP'!$L:$L,$G58,'Sales T&amp;E &amp; 科室会WP'!$M:$M,$H58)*3*I58</f>
        <v>66000</v>
      </c>
      <c r="O58" s="552">
        <f>SUMIFS('Sales T&amp;E &amp; 科室会WP'!$N:$N,'Sales T&amp;E &amp; 科室会WP'!$L:$L,$G58,'Sales T&amp;E &amp; 科室会WP'!$M:$M,$H58)*3*J58</f>
        <v>66000</v>
      </c>
      <c r="P58" s="552">
        <f>SUMIFS('Sales T&amp;E &amp; 科室会WP'!$N:$N,'Sales T&amp;E &amp; 科室会WP'!$L:$L,$G58,'Sales T&amp;E &amp; 科室会WP'!$M:$M,$H58)*3*K58</f>
        <v>66000</v>
      </c>
      <c r="Q58" s="552">
        <f>SUMIFS('Sales T&amp;E &amp; 科室会WP'!$N:$N,'Sales T&amp;E &amp; 科室会WP'!$L:$L,$G58,'Sales T&amp;E &amp; 科室会WP'!$M:$M,$H58)*3*L58</f>
        <v>66000</v>
      </c>
      <c r="R58" s="553">
        <f t="shared" si="13"/>
        <v>264000</v>
      </c>
      <c r="V58" s="553">
        <f t="shared" si="14"/>
        <v>22000</v>
      </c>
      <c r="W58" s="553">
        <f t="shared" si="14"/>
        <v>22000</v>
      </c>
      <c r="X58" s="553">
        <f t="shared" si="14"/>
        <v>22000</v>
      </c>
      <c r="Y58" s="553">
        <f t="shared" si="15"/>
        <v>22000</v>
      </c>
      <c r="Z58" s="553">
        <f t="shared" si="15"/>
        <v>22000</v>
      </c>
      <c r="AA58" s="553">
        <f t="shared" si="15"/>
        <v>22000</v>
      </c>
      <c r="AB58" s="553">
        <f t="shared" si="16"/>
        <v>22000</v>
      </c>
      <c r="AC58" s="553">
        <f t="shared" si="16"/>
        <v>22000</v>
      </c>
      <c r="AD58" s="553">
        <f t="shared" si="16"/>
        <v>22000</v>
      </c>
      <c r="AE58" s="553">
        <f t="shared" si="17"/>
        <v>22000</v>
      </c>
      <c r="AF58" s="553">
        <f t="shared" si="17"/>
        <v>22000</v>
      </c>
      <c r="AG58" s="553">
        <f t="shared" si="17"/>
        <v>22000</v>
      </c>
      <c r="AH58" s="553">
        <f t="shared" si="4"/>
        <v>264000</v>
      </c>
      <c r="AI58" s="553">
        <f t="shared" si="5"/>
        <v>0</v>
      </c>
      <c r="AL58" s="552">
        <f>SUMIFS('Sales T&amp;E &amp; 科室会WP'!$T:$T,'Sales T&amp;E &amp; 科室会WP'!$Q:$Q,$H58)*$I58</f>
        <v>1500</v>
      </c>
      <c r="AM58" s="552">
        <f>SUMIFS('Sales T&amp;E &amp; 科室会WP'!$T:$T,'Sales T&amp;E &amp; 科室会WP'!$Q:$Q,$H58)*$I58</f>
        <v>1500</v>
      </c>
      <c r="AN58" s="552">
        <f>SUMIFS('Sales T&amp;E &amp; 科室会WP'!$T:$T,'Sales T&amp;E &amp; 科室会WP'!$Q:$Q,$H58)*$I58</f>
        <v>1500</v>
      </c>
      <c r="AO58" s="552">
        <f>SUMIFS('Sales T&amp;E &amp; 科室会WP'!$T:$T,'Sales T&amp;E &amp; 科室会WP'!$Q:$Q,$H58)*$J58</f>
        <v>1500</v>
      </c>
      <c r="AP58" s="552">
        <f>SUMIFS('Sales T&amp;E &amp; 科室会WP'!$T:$T,'Sales T&amp;E &amp; 科室会WP'!$Q:$Q,$H58)*$J58</f>
        <v>1500</v>
      </c>
      <c r="AQ58" s="552">
        <f>SUMIFS('Sales T&amp;E &amp; 科室会WP'!$T:$T,'Sales T&amp;E &amp; 科室会WP'!$Q:$Q,$H58)*$J58</f>
        <v>1500</v>
      </c>
      <c r="AR58" s="552">
        <f>SUMIFS('Sales T&amp;E &amp; 科室会WP'!$T:$T,'Sales T&amp;E &amp; 科室会WP'!$Q:$Q,$H58)*$K58</f>
        <v>1500</v>
      </c>
      <c r="AS58" s="552">
        <f>SUMIFS('Sales T&amp;E &amp; 科室会WP'!$T:$T,'Sales T&amp;E &amp; 科室会WP'!$Q:$Q,$H58)*$K58</f>
        <v>1500</v>
      </c>
      <c r="AT58" s="552">
        <f>SUMIFS('Sales T&amp;E &amp; 科室会WP'!$T:$T,'Sales T&amp;E &amp; 科室会WP'!$Q:$Q,$H58)*$K58</f>
        <v>1500</v>
      </c>
      <c r="AU58" s="552">
        <f>SUMIFS('Sales T&amp;E &amp; 科室会WP'!$T:$T,'Sales T&amp;E &amp; 科室会WP'!$Q:$Q,$H58)*$L58</f>
        <v>1500</v>
      </c>
      <c r="AV58" s="552">
        <f>SUMIFS('Sales T&amp;E &amp; 科室会WP'!$T:$T,'Sales T&amp;E &amp; 科室会WP'!$Q:$Q,$H58)*$L58</f>
        <v>1500</v>
      </c>
      <c r="AW58" s="552">
        <f>SUMIFS('Sales T&amp;E &amp; 科室会WP'!$T:$T,'Sales T&amp;E &amp; 科室会WP'!$Q:$Q,$H58)*$L58</f>
        <v>1500</v>
      </c>
      <c r="AX58" s="552">
        <f t="shared" si="6"/>
        <v>18000</v>
      </c>
    </row>
    <row r="59" spans="1:50" hidden="1">
      <c r="A59" s="551" t="s">
        <v>203</v>
      </c>
      <c r="B59" s="551" t="s">
        <v>958</v>
      </c>
      <c r="C59" s="551" t="s">
        <v>971</v>
      </c>
      <c r="D59" s="551" t="s">
        <v>969</v>
      </c>
      <c r="F59" s="551" t="s">
        <v>982</v>
      </c>
      <c r="G59" s="508" t="s">
        <v>8</v>
      </c>
      <c r="H59" s="551" t="s">
        <v>972</v>
      </c>
      <c r="I59" s="551">
        <v>1</v>
      </c>
      <c r="J59" s="551">
        <v>1</v>
      </c>
      <c r="K59" s="551">
        <v>1</v>
      </c>
      <c r="L59" s="551">
        <v>1</v>
      </c>
      <c r="N59" s="552">
        <f>SUMIFS('Sales T&amp;E &amp; 科室会WP'!$N:$N,'Sales T&amp;E &amp; 科室会WP'!$L:$L,$G59,'Sales T&amp;E &amp; 科室会WP'!$M:$M,$H59)*3*I59</f>
        <v>0</v>
      </c>
      <c r="O59" s="552">
        <f>SUMIFS('Sales T&amp;E &amp; 科室会WP'!$N:$N,'Sales T&amp;E &amp; 科室会WP'!$L:$L,$G59,'Sales T&amp;E &amp; 科室会WP'!$M:$M,$H59)*3*J59</f>
        <v>0</v>
      </c>
      <c r="P59" s="552">
        <f>SUMIFS('Sales T&amp;E &amp; 科室会WP'!$N:$N,'Sales T&amp;E &amp; 科室会WP'!$L:$L,$G59,'Sales T&amp;E &amp; 科室会WP'!$M:$M,$H59)*3*K59</f>
        <v>0</v>
      </c>
      <c r="Q59" s="552">
        <f>SUMIFS('Sales T&amp;E &amp; 科室会WP'!$N:$N,'Sales T&amp;E &amp; 科室会WP'!$L:$L,$G59,'Sales T&amp;E &amp; 科室会WP'!$M:$M,$H59)*3*L59</f>
        <v>0</v>
      </c>
      <c r="R59" s="553">
        <f t="shared" si="13"/>
        <v>0</v>
      </c>
      <c r="V59" s="553">
        <f t="shared" si="14"/>
        <v>0</v>
      </c>
      <c r="W59" s="553">
        <f t="shared" si="14"/>
        <v>0</v>
      </c>
      <c r="X59" s="553">
        <f t="shared" si="14"/>
        <v>0</v>
      </c>
      <c r="Y59" s="553">
        <f t="shared" si="15"/>
        <v>0</v>
      </c>
      <c r="Z59" s="553">
        <f t="shared" si="15"/>
        <v>0</v>
      </c>
      <c r="AA59" s="553">
        <f t="shared" si="15"/>
        <v>0</v>
      </c>
      <c r="AB59" s="553">
        <f t="shared" si="16"/>
        <v>0</v>
      </c>
      <c r="AC59" s="553">
        <f t="shared" si="16"/>
        <v>0</v>
      </c>
      <c r="AD59" s="553">
        <f t="shared" si="16"/>
        <v>0</v>
      </c>
      <c r="AE59" s="553">
        <f t="shared" si="17"/>
        <v>0</v>
      </c>
      <c r="AF59" s="553">
        <f t="shared" si="17"/>
        <v>0</v>
      </c>
      <c r="AG59" s="553">
        <f t="shared" si="17"/>
        <v>0</v>
      </c>
      <c r="AH59" s="553">
        <f t="shared" si="4"/>
        <v>0</v>
      </c>
      <c r="AI59" s="553">
        <f t="shared" si="5"/>
        <v>0</v>
      </c>
      <c r="AL59" s="552">
        <f>SUMIFS('Sales T&amp;E &amp; 科室会WP'!$T:$T,'Sales T&amp;E &amp; 科室会WP'!$Q:$Q,$H59)*$I59</f>
        <v>0</v>
      </c>
      <c r="AM59" s="552">
        <f>SUMIFS('Sales T&amp;E &amp; 科室会WP'!$T:$T,'Sales T&amp;E &amp; 科室会WP'!$Q:$Q,$H59)*$I59</f>
        <v>0</v>
      </c>
      <c r="AN59" s="552">
        <f>SUMIFS('Sales T&amp;E &amp; 科室会WP'!$T:$T,'Sales T&amp;E &amp; 科室会WP'!$Q:$Q,$H59)*$I59</f>
        <v>0</v>
      </c>
      <c r="AO59" s="552">
        <f>SUMIFS('Sales T&amp;E &amp; 科室会WP'!$T:$T,'Sales T&amp;E &amp; 科室会WP'!$Q:$Q,$H59)*$J59</f>
        <v>0</v>
      </c>
      <c r="AP59" s="552">
        <f>SUMIFS('Sales T&amp;E &amp; 科室会WP'!$T:$T,'Sales T&amp;E &amp; 科室会WP'!$Q:$Q,$H59)*$J59</f>
        <v>0</v>
      </c>
      <c r="AQ59" s="552">
        <f>SUMIFS('Sales T&amp;E &amp; 科室会WP'!$T:$T,'Sales T&amp;E &amp; 科室会WP'!$Q:$Q,$H59)*$J59</f>
        <v>0</v>
      </c>
      <c r="AR59" s="552">
        <f>SUMIFS('Sales T&amp;E &amp; 科室会WP'!$T:$T,'Sales T&amp;E &amp; 科室会WP'!$Q:$Q,$H59)*$K59</f>
        <v>0</v>
      </c>
      <c r="AS59" s="552">
        <f>SUMIFS('Sales T&amp;E &amp; 科室会WP'!$T:$T,'Sales T&amp;E &amp; 科室会WP'!$Q:$Q,$H59)*$K59</f>
        <v>0</v>
      </c>
      <c r="AT59" s="552">
        <f>SUMIFS('Sales T&amp;E &amp; 科室会WP'!$T:$T,'Sales T&amp;E &amp; 科室会WP'!$Q:$Q,$H59)*$K59</f>
        <v>0</v>
      </c>
      <c r="AU59" s="552">
        <f>SUMIFS('Sales T&amp;E &amp; 科室会WP'!$T:$T,'Sales T&amp;E &amp; 科室会WP'!$Q:$Q,$H59)*$L59</f>
        <v>0</v>
      </c>
      <c r="AV59" s="552">
        <f>SUMIFS('Sales T&amp;E &amp; 科室会WP'!$T:$T,'Sales T&amp;E &amp; 科室会WP'!$Q:$Q,$H59)*$L59</f>
        <v>0</v>
      </c>
      <c r="AW59" s="552">
        <f>SUMIFS('Sales T&amp;E &amp; 科室会WP'!$T:$T,'Sales T&amp;E &amp; 科室会WP'!$Q:$Q,$H59)*$L59</f>
        <v>0</v>
      </c>
      <c r="AX59" s="552">
        <f t="shared" si="6"/>
        <v>0</v>
      </c>
    </row>
    <row r="60" spans="1:50" hidden="1">
      <c r="A60" s="551" t="s">
        <v>203</v>
      </c>
      <c r="B60" s="551" t="s">
        <v>958</v>
      </c>
      <c r="C60" s="551" t="s">
        <v>971</v>
      </c>
      <c r="D60" s="551" t="s">
        <v>970</v>
      </c>
      <c r="E60" s="551" t="s">
        <v>883</v>
      </c>
      <c r="F60" s="551" t="s">
        <v>983</v>
      </c>
      <c r="G60" s="508" t="s">
        <v>8</v>
      </c>
      <c r="H60" s="551" t="s">
        <v>97</v>
      </c>
      <c r="I60" s="551">
        <v>1</v>
      </c>
      <c r="J60" s="551">
        <v>1</v>
      </c>
      <c r="K60" s="551">
        <v>1</v>
      </c>
      <c r="L60" s="551">
        <v>1</v>
      </c>
      <c r="N60" s="552">
        <f>SUMIFS('Sales T&amp;E &amp; 科室会WP'!$N:$N,'Sales T&amp;E &amp; 科室会WP'!$L:$L,$G60,'Sales T&amp;E &amp; 科室会WP'!$M:$M,$H60)*3*I60</f>
        <v>66000</v>
      </c>
      <c r="O60" s="552">
        <f>SUMIFS('Sales T&amp;E &amp; 科室会WP'!$N:$N,'Sales T&amp;E &amp; 科室会WP'!$L:$L,$G60,'Sales T&amp;E &amp; 科室会WP'!$M:$M,$H60)*3*J60</f>
        <v>66000</v>
      </c>
      <c r="P60" s="552">
        <f>SUMIFS('Sales T&amp;E &amp; 科室会WP'!$N:$N,'Sales T&amp;E &amp; 科室会WP'!$L:$L,$G60,'Sales T&amp;E &amp; 科室会WP'!$M:$M,$H60)*3*K60</f>
        <v>66000</v>
      </c>
      <c r="Q60" s="552">
        <f>SUMIFS('Sales T&amp;E &amp; 科室会WP'!$N:$N,'Sales T&amp;E &amp; 科室会WP'!$L:$L,$G60,'Sales T&amp;E &amp; 科室会WP'!$M:$M,$H60)*3*L60</f>
        <v>66000</v>
      </c>
      <c r="R60" s="553">
        <f t="shared" si="13"/>
        <v>264000</v>
      </c>
      <c r="V60" s="553">
        <f t="shared" si="14"/>
        <v>22000</v>
      </c>
      <c r="W60" s="553">
        <f t="shared" si="14"/>
        <v>22000</v>
      </c>
      <c r="X60" s="553">
        <f t="shared" si="14"/>
        <v>22000</v>
      </c>
      <c r="Y60" s="553">
        <f t="shared" si="15"/>
        <v>22000</v>
      </c>
      <c r="Z60" s="553">
        <f t="shared" si="15"/>
        <v>22000</v>
      </c>
      <c r="AA60" s="553">
        <f t="shared" si="15"/>
        <v>22000</v>
      </c>
      <c r="AB60" s="553">
        <f t="shared" si="16"/>
        <v>22000</v>
      </c>
      <c r="AC60" s="553">
        <f t="shared" si="16"/>
        <v>22000</v>
      </c>
      <c r="AD60" s="553">
        <f t="shared" si="16"/>
        <v>22000</v>
      </c>
      <c r="AE60" s="553">
        <f t="shared" si="17"/>
        <v>22000</v>
      </c>
      <c r="AF60" s="553">
        <f t="shared" si="17"/>
        <v>22000</v>
      </c>
      <c r="AG60" s="553">
        <f t="shared" si="17"/>
        <v>22000</v>
      </c>
      <c r="AH60" s="553">
        <f t="shared" si="4"/>
        <v>264000</v>
      </c>
      <c r="AI60" s="553">
        <f t="shared" si="5"/>
        <v>0</v>
      </c>
      <c r="AL60" s="552">
        <f>SUMIFS('Sales T&amp;E &amp; 科室会WP'!$T:$T,'Sales T&amp;E &amp; 科室会WP'!$Q:$Q,$H60)*$I60</f>
        <v>1500</v>
      </c>
      <c r="AM60" s="552">
        <f>SUMIFS('Sales T&amp;E &amp; 科室会WP'!$T:$T,'Sales T&amp;E &amp; 科室会WP'!$Q:$Q,$H60)*$I60</f>
        <v>1500</v>
      </c>
      <c r="AN60" s="552">
        <f>SUMIFS('Sales T&amp;E &amp; 科室会WP'!$T:$T,'Sales T&amp;E &amp; 科室会WP'!$Q:$Q,$H60)*$I60</f>
        <v>1500</v>
      </c>
      <c r="AO60" s="552">
        <f>SUMIFS('Sales T&amp;E &amp; 科室会WP'!$T:$T,'Sales T&amp;E &amp; 科室会WP'!$Q:$Q,$H60)*$J60</f>
        <v>1500</v>
      </c>
      <c r="AP60" s="552">
        <f>SUMIFS('Sales T&amp;E &amp; 科室会WP'!$T:$T,'Sales T&amp;E &amp; 科室会WP'!$Q:$Q,$H60)*$J60</f>
        <v>1500</v>
      </c>
      <c r="AQ60" s="552">
        <f>SUMIFS('Sales T&amp;E &amp; 科室会WP'!$T:$T,'Sales T&amp;E &amp; 科室会WP'!$Q:$Q,$H60)*$J60</f>
        <v>1500</v>
      </c>
      <c r="AR60" s="552">
        <f>SUMIFS('Sales T&amp;E &amp; 科室会WP'!$T:$T,'Sales T&amp;E &amp; 科室会WP'!$Q:$Q,$H60)*$K60</f>
        <v>1500</v>
      </c>
      <c r="AS60" s="552">
        <f>SUMIFS('Sales T&amp;E &amp; 科室会WP'!$T:$T,'Sales T&amp;E &amp; 科室会WP'!$Q:$Q,$H60)*$K60</f>
        <v>1500</v>
      </c>
      <c r="AT60" s="552">
        <f>SUMIFS('Sales T&amp;E &amp; 科室会WP'!$T:$T,'Sales T&amp;E &amp; 科室会WP'!$Q:$Q,$H60)*$K60</f>
        <v>1500</v>
      </c>
      <c r="AU60" s="552">
        <f>SUMIFS('Sales T&amp;E &amp; 科室会WP'!$T:$T,'Sales T&amp;E &amp; 科室会WP'!$Q:$Q,$H60)*$L60</f>
        <v>1500</v>
      </c>
      <c r="AV60" s="552">
        <f>SUMIFS('Sales T&amp;E &amp; 科室会WP'!$T:$T,'Sales T&amp;E &amp; 科室会WP'!$Q:$Q,$H60)*$L60</f>
        <v>1500</v>
      </c>
      <c r="AW60" s="552">
        <f>SUMIFS('Sales T&amp;E &amp; 科室会WP'!$T:$T,'Sales T&amp;E &amp; 科室会WP'!$Q:$Q,$H60)*$L60</f>
        <v>1500</v>
      </c>
      <c r="AX60" s="552">
        <f t="shared" si="6"/>
        <v>18000</v>
      </c>
    </row>
    <row r="61" spans="1:50" hidden="1">
      <c r="A61" s="551" t="s">
        <v>203</v>
      </c>
      <c r="B61" s="551" t="s">
        <v>958</v>
      </c>
      <c r="C61" s="551" t="s">
        <v>971</v>
      </c>
      <c r="D61" s="551" t="s">
        <v>970</v>
      </c>
      <c r="F61" s="551" t="s">
        <v>983</v>
      </c>
      <c r="G61" s="508" t="s">
        <v>8</v>
      </c>
      <c r="H61" s="551" t="s">
        <v>972</v>
      </c>
      <c r="I61" s="551">
        <v>1</v>
      </c>
      <c r="J61" s="551">
        <v>1</v>
      </c>
      <c r="K61" s="551">
        <v>1</v>
      </c>
      <c r="L61" s="551">
        <v>1</v>
      </c>
      <c r="N61" s="552">
        <f>SUMIFS('Sales T&amp;E &amp; 科室会WP'!$N:$N,'Sales T&amp;E &amp; 科室会WP'!$L:$L,$G61,'Sales T&amp;E &amp; 科室会WP'!$M:$M,$H61)*3*I61</f>
        <v>0</v>
      </c>
      <c r="O61" s="552">
        <f>SUMIFS('Sales T&amp;E &amp; 科室会WP'!$N:$N,'Sales T&amp;E &amp; 科室会WP'!$L:$L,$G61,'Sales T&amp;E &amp; 科室会WP'!$M:$M,$H61)*3*J61</f>
        <v>0</v>
      </c>
      <c r="P61" s="552">
        <f>SUMIFS('Sales T&amp;E &amp; 科室会WP'!$N:$N,'Sales T&amp;E &amp; 科室会WP'!$L:$L,$G61,'Sales T&amp;E &amp; 科室会WP'!$M:$M,$H61)*3*K61</f>
        <v>0</v>
      </c>
      <c r="Q61" s="552">
        <f>SUMIFS('Sales T&amp;E &amp; 科室会WP'!$N:$N,'Sales T&amp;E &amp; 科室会WP'!$L:$L,$G61,'Sales T&amp;E &amp; 科室会WP'!$M:$M,$H61)*3*L61</f>
        <v>0</v>
      </c>
      <c r="R61" s="553">
        <f t="shared" si="13"/>
        <v>0</v>
      </c>
      <c r="V61" s="553">
        <f t="shared" si="14"/>
        <v>0</v>
      </c>
      <c r="W61" s="553">
        <f t="shared" si="14"/>
        <v>0</v>
      </c>
      <c r="X61" s="553">
        <f t="shared" si="14"/>
        <v>0</v>
      </c>
      <c r="Y61" s="553">
        <f t="shared" si="15"/>
        <v>0</v>
      </c>
      <c r="Z61" s="553">
        <f t="shared" si="15"/>
        <v>0</v>
      </c>
      <c r="AA61" s="553">
        <f t="shared" si="15"/>
        <v>0</v>
      </c>
      <c r="AB61" s="553">
        <f t="shared" si="16"/>
        <v>0</v>
      </c>
      <c r="AC61" s="553">
        <f t="shared" si="16"/>
        <v>0</v>
      </c>
      <c r="AD61" s="553">
        <f t="shared" si="16"/>
        <v>0</v>
      </c>
      <c r="AE61" s="553">
        <f t="shared" si="17"/>
        <v>0</v>
      </c>
      <c r="AF61" s="553">
        <f t="shared" si="17"/>
        <v>0</v>
      </c>
      <c r="AG61" s="553">
        <f t="shared" si="17"/>
        <v>0</v>
      </c>
      <c r="AH61" s="553">
        <f t="shared" si="4"/>
        <v>0</v>
      </c>
      <c r="AI61" s="553">
        <f t="shared" si="5"/>
        <v>0</v>
      </c>
      <c r="AL61" s="552">
        <f>SUMIFS('Sales T&amp;E &amp; 科室会WP'!$T:$T,'Sales T&amp;E &amp; 科室会WP'!$Q:$Q,$H61)*$I61</f>
        <v>0</v>
      </c>
      <c r="AM61" s="552">
        <f>SUMIFS('Sales T&amp;E &amp; 科室会WP'!$T:$T,'Sales T&amp;E &amp; 科室会WP'!$Q:$Q,$H61)*$I61</f>
        <v>0</v>
      </c>
      <c r="AN61" s="552">
        <f>SUMIFS('Sales T&amp;E &amp; 科室会WP'!$T:$T,'Sales T&amp;E &amp; 科室会WP'!$Q:$Q,$H61)*$I61</f>
        <v>0</v>
      </c>
      <c r="AO61" s="552">
        <f>SUMIFS('Sales T&amp;E &amp; 科室会WP'!$T:$T,'Sales T&amp;E &amp; 科室会WP'!$Q:$Q,$H61)*$J61</f>
        <v>0</v>
      </c>
      <c r="AP61" s="552">
        <f>SUMIFS('Sales T&amp;E &amp; 科室会WP'!$T:$T,'Sales T&amp;E &amp; 科室会WP'!$Q:$Q,$H61)*$J61</f>
        <v>0</v>
      </c>
      <c r="AQ61" s="552">
        <f>SUMIFS('Sales T&amp;E &amp; 科室会WP'!$T:$T,'Sales T&amp;E &amp; 科室会WP'!$Q:$Q,$H61)*$J61</f>
        <v>0</v>
      </c>
      <c r="AR61" s="552">
        <f>SUMIFS('Sales T&amp;E &amp; 科室会WP'!$T:$T,'Sales T&amp;E &amp; 科室会WP'!$Q:$Q,$H61)*$K61</f>
        <v>0</v>
      </c>
      <c r="AS61" s="552">
        <f>SUMIFS('Sales T&amp;E &amp; 科室会WP'!$T:$T,'Sales T&amp;E &amp; 科室会WP'!$Q:$Q,$H61)*$K61</f>
        <v>0</v>
      </c>
      <c r="AT61" s="552">
        <f>SUMIFS('Sales T&amp;E &amp; 科室会WP'!$T:$T,'Sales T&amp;E &amp; 科室会WP'!$Q:$Q,$H61)*$K61</f>
        <v>0</v>
      </c>
      <c r="AU61" s="552">
        <f>SUMIFS('Sales T&amp;E &amp; 科室会WP'!$T:$T,'Sales T&amp;E &amp; 科室会WP'!$Q:$Q,$H61)*$L61</f>
        <v>0</v>
      </c>
      <c r="AV61" s="552">
        <f>SUMIFS('Sales T&amp;E &amp; 科室会WP'!$T:$T,'Sales T&amp;E &amp; 科室会WP'!$Q:$Q,$H61)*$L61</f>
        <v>0</v>
      </c>
      <c r="AW61" s="552">
        <f>SUMIFS('Sales T&amp;E &amp; 科室会WP'!$T:$T,'Sales T&amp;E &amp; 科室会WP'!$Q:$Q,$H61)*$L61</f>
        <v>0</v>
      </c>
      <c r="AX61" s="552">
        <f t="shared" si="6"/>
        <v>0</v>
      </c>
    </row>
    <row r="62" spans="1:50" hidden="1">
      <c r="A62" s="551" t="s">
        <v>203</v>
      </c>
      <c r="B62" s="551" t="s">
        <v>958</v>
      </c>
      <c r="C62" s="551" t="s">
        <v>973</v>
      </c>
      <c r="D62" s="551" t="s">
        <v>974</v>
      </c>
      <c r="E62" s="551" t="s">
        <v>961</v>
      </c>
      <c r="F62" s="508" t="s">
        <v>847</v>
      </c>
      <c r="G62" s="508" t="s">
        <v>8</v>
      </c>
      <c r="N62" s="552">
        <f>SUMIFS('Sales T&amp;E &amp; 科室会WP'!$N:$N,'Sales T&amp;E &amp; 科室会WP'!$L:$L,$G62,'Sales T&amp;E &amp; 科室会WP'!$M:$M,$H62)*3*I62</f>
        <v>0</v>
      </c>
      <c r="O62" s="552">
        <f>SUMIFS('Sales T&amp;E &amp; 科室会WP'!$N:$N,'Sales T&amp;E &amp; 科室会WP'!$L:$L,$G62,'Sales T&amp;E &amp; 科室会WP'!$M:$M,$H62)*3*J62</f>
        <v>0</v>
      </c>
      <c r="P62" s="552">
        <f>SUMIFS('Sales T&amp;E &amp; 科室会WP'!$N:$N,'Sales T&amp;E &amp; 科室会WP'!$L:$L,$G62,'Sales T&amp;E &amp; 科室会WP'!$M:$M,$H62)*3*K62</f>
        <v>0</v>
      </c>
      <c r="Q62" s="552">
        <f>SUMIFS('Sales T&amp;E &amp; 科室会WP'!$N:$N,'Sales T&amp;E &amp; 科室会WP'!$L:$L,$G62,'Sales T&amp;E &amp; 科室会WP'!$M:$M,$H62)*3*L62</f>
        <v>0</v>
      </c>
      <c r="R62" s="553">
        <f t="shared" si="13"/>
        <v>0</v>
      </c>
      <c r="V62" s="553">
        <f t="shared" si="14"/>
        <v>0</v>
      </c>
      <c r="W62" s="553">
        <f t="shared" si="14"/>
        <v>0</v>
      </c>
      <c r="X62" s="553">
        <f t="shared" si="14"/>
        <v>0</v>
      </c>
      <c r="Y62" s="553">
        <f t="shared" si="15"/>
        <v>0</v>
      </c>
      <c r="Z62" s="553">
        <f t="shared" si="15"/>
        <v>0</v>
      </c>
      <c r="AA62" s="553">
        <f t="shared" si="15"/>
        <v>0</v>
      </c>
      <c r="AB62" s="553">
        <f t="shared" si="16"/>
        <v>0</v>
      </c>
      <c r="AC62" s="553">
        <f t="shared" si="16"/>
        <v>0</v>
      </c>
      <c r="AD62" s="553">
        <f t="shared" si="16"/>
        <v>0</v>
      </c>
      <c r="AE62" s="553">
        <f t="shared" si="17"/>
        <v>0</v>
      </c>
      <c r="AF62" s="553">
        <f t="shared" si="17"/>
        <v>0</v>
      </c>
      <c r="AG62" s="553">
        <f t="shared" si="17"/>
        <v>0</v>
      </c>
      <c r="AH62" s="553">
        <f t="shared" si="4"/>
        <v>0</v>
      </c>
      <c r="AI62" s="553">
        <f t="shared" si="5"/>
        <v>0</v>
      </c>
      <c r="AL62" s="552">
        <f>SUMIFS('Sales T&amp;E &amp; 科室会WP'!$T:$T,'Sales T&amp;E &amp; 科室会WP'!$Q:$Q,$H62)*$I62</f>
        <v>0</v>
      </c>
      <c r="AM62" s="552">
        <f>SUMIFS('Sales T&amp;E &amp; 科室会WP'!$T:$T,'Sales T&amp;E &amp; 科室会WP'!$Q:$Q,$H62)*$I62</f>
        <v>0</v>
      </c>
      <c r="AN62" s="552">
        <f>SUMIFS('Sales T&amp;E &amp; 科室会WP'!$T:$T,'Sales T&amp;E &amp; 科室会WP'!$Q:$Q,$H62)*$I62</f>
        <v>0</v>
      </c>
      <c r="AO62" s="552">
        <f>SUMIFS('Sales T&amp;E &amp; 科室会WP'!$T:$T,'Sales T&amp;E &amp; 科室会WP'!$Q:$Q,$H62)*$J62</f>
        <v>0</v>
      </c>
      <c r="AP62" s="552">
        <f>SUMIFS('Sales T&amp;E &amp; 科室会WP'!$T:$T,'Sales T&amp;E &amp; 科室会WP'!$Q:$Q,$H62)*$J62</f>
        <v>0</v>
      </c>
      <c r="AQ62" s="552">
        <f>SUMIFS('Sales T&amp;E &amp; 科室会WP'!$T:$T,'Sales T&amp;E &amp; 科室会WP'!$Q:$Q,$H62)*$J62</f>
        <v>0</v>
      </c>
      <c r="AR62" s="552">
        <f>SUMIFS('Sales T&amp;E &amp; 科室会WP'!$T:$T,'Sales T&amp;E &amp; 科室会WP'!$Q:$Q,$H62)*$K62</f>
        <v>0</v>
      </c>
      <c r="AS62" s="552">
        <f>SUMIFS('Sales T&amp;E &amp; 科室会WP'!$T:$T,'Sales T&amp;E &amp; 科室会WP'!$Q:$Q,$H62)*$K62</f>
        <v>0</v>
      </c>
      <c r="AT62" s="552">
        <f>SUMIFS('Sales T&amp;E &amp; 科室会WP'!$T:$T,'Sales T&amp;E &amp; 科室会WP'!$Q:$Q,$H62)*$K62</f>
        <v>0</v>
      </c>
      <c r="AU62" s="552">
        <f>SUMIFS('Sales T&amp;E &amp; 科室会WP'!$T:$T,'Sales T&amp;E &amp; 科室会WP'!$Q:$Q,$H62)*$L62</f>
        <v>0</v>
      </c>
      <c r="AV62" s="552">
        <f>SUMIFS('Sales T&amp;E &amp; 科室会WP'!$T:$T,'Sales T&amp;E &amp; 科室会WP'!$Q:$Q,$H62)*$L62</f>
        <v>0</v>
      </c>
      <c r="AW62" s="552">
        <f>SUMIFS('Sales T&amp;E &amp; 科室会WP'!$T:$T,'Sales T&amp;E &amp; 科室会WP'!$Q:$Q,$H62)*$L62</f>
        <v>0</v>
      </c>
      <c r="AX62" s="552">
        <f t="shared" si="6"/>
        <v>0</v>
      </c>
    </row>
    <row r="63" spans="1:50" hidden="1">
      <c r="A63" s="551" t="s">
        <v>203</v>
      </c>
      <c r="B63" s="551" t="s">
        <v>958</v>
      </c>
      <c r="C63" s="551" t="s">
        <v>973</v>
      </c>
      <c r="D63" s="551" t="s">
        <v>974</v>
      </c>
      <c r="E63" s="551" t="s">
        <v>961</v>
      </c>
      <c r="F63" s="508" t="s">
        <v>847</v>
      </c>
      <c r="G63" s="508" t="s">
        <v>8</v>
      </c>
      <c r="H63" s="551" t="s">
        <v>93</v>
      </c>
      <c r="I63" s="551">
        <v>5</v>
      </c>
      <c r="J63" s="551">
        <v>6</v>
      </c>
      <c r="K63" s="551">
        <v>6</v>
      </c>
      <c r="L63" s="551">
        <v>6</v>
      </c>
      <c r="N63" s="552">
        <f>SUMIFS('Sales T&amp;E &amp; 科室会WP'!$N:$N,'Sales T&amp;E &amp; 科室会WP'!$L:$L,$G63,'Sales T&amp;E &amp; 科室会WP'!$M:$M,$H63)*3*I63</f>
        <v>135000</v>
      </c>
      <c r="O63" s="552">
        <f>SUMIFS('Sales T&amp;E &amp; 科室会WP'!$N:$N,'Sales T&amp;E &amp; 科室会WP'!$L:$L,$G63,'Sales T&amp;E &amp; 科室会WP'!$M:$M,$H63)*3*J63</f>
        <v>162000</v>
      </c>
      <c r="P63" s="552">
        <f>SUMIFS('Sales T&amp;E &amp; 科室会WP'!$N:$N,'Sales T&amp;E &amp; 科室会WP'!$L:$L,$G63,'Sales T&amp;E &amp; 科室会WP'!$M:$M,$H63)*3*K63</f>
        <v>162000</v>
      </c>
      <c r="Q63" s="552">
        <f>SUMIFS('Sales T&amp;E &amp; 科室会WP'!$N:$N,'Sales T&amp;E &amp; 科室会WP'!$L:$L,$G63,'Sales T&amp;E &amp; 科室会WP'!$M:$M,$H63)*3*L63</f>
        <v>162000</v>
      </c>
      <c r="R63" s="553">
        <f t="shared" si="13"/>
        <v>621000</v>
      </c>
      <c r="V63" s="553">
        <f t="shared" si="14"/>
        <v>45000</v>
      </c>
      <c r="W63" s="553">
        <f t="shared" si="14"/>
        <v>45000</v>
      </c>
      <c r="X63" s="553">
        <f t="shared" si="14"/>
        <v>45000</v>
      </c>
      <c r="Y63" s="553">
        <f t="shared" si="15"/>
        <v>54000</v>
      </c>
      <c r="Z63" s="553">
        <f t="shared" si="15"/>
        <v>54000</v>
      </c>
      <c r="AA63" s="553">
        <f t="shared" si="15"/>
        <v>54000</v>
      </c>
      <c r="AB63" s="553">
        <f t="shared" si="16"/>
        <v>54000</v>
      </c>
      <c r="AC63" s="553">
        <f t="shared" si="16"/>
        <v>54000</v>
      </c>
      <c r="AD63" s="553">
        <f t="shared" si="16"/>
        <v>54000</v>
      </c>
      <c r="AE63" s="553">
        <f t="shared" si="17"/>
        <v>54000</v>
      </c>
      <c r="AF63" s="553">
        <f t="shared" si="17"/>
        <v>54000</v>
      </c>
      <c r="AG63" s="553">
        <f t="shared" si="17"/>
        <v>54000</v>
      </c>
      <c r="AH63" s="553">
        <f t="shared" si="4"/>
        <v>621000</v>
      </c>
      <c r="AI63" s="553">
        <f t="shared" si="5"/>
        <v>0</v>
      </c>
      <c r="AL63" s="552">
        <f>SUMIFS('Sales T&amp;E &amp; 科室会WP'!$T:$T,'Sales T&amp;E &amp; 科室会WP'!$Q:$Q,$H63)*$I63</f>
        <v>15000</v>
      </c>
      <c r="AM63" s="552">
        <f>SUMIFS('Sales T&amp;E &amp; 科室会WP'!$T:$T,'Sales T&amp;E &amp; 科室会WP'!$Q:$Q,$H63)*$I63</f>
        <v>15000</v>
      </c>
      <c r="AN63" s="552">
        <f>SUMIFS('Sales T&amp;E &amp; 科室会WP'!$T:$T,'Sales T&amp;E &amp; 科室会WP'!$Q:$Q,$H63)*$I63</f>
        <v>15000</v>
      </c>
      <c r="AO63" s="552">
        <f>SUMIFS('Sales T&amp;E &amp; 科室会WP'!$T:$T,'Sales T&amp;E &amp; 科室会WP'!$Q:$Q,$H63)*$J63</f>
        <v>18000</v>
      </c>
      <c r="AP63" s="552">
        <f>SUMIFS('Sales T&amp;E &amp; 科室会WP'!$T:$T,'Sales T&amp;E &amp; 科室会WP'!$Q:$Q,$H63)*$J63</f>
        <v>18000</v>
      </c>
      <c r="AQ63" s="552">
        <f>SUMIFS('Sales T&amp;E &amp; 科室会WP'!$T:$T,'Sales T&amp;E &amp; 科室会WP'!$Q:$Q,$H63)*$J63</f>
        <v>18000</v>
      </c>
      <c r="AR63" s="552">
        <f>SUMIFS('Sales T&amp;E &amp; 科室会WP'!$T:$T,'Sales T&amp;E &amp; 科室会WP'!$Q:$Q,$H63)*$K63</f>
        <v>18000</v>
      </c>
      <c r="AS63" s="552">
        <f>SUMIFS('Sales T&amp;E &amp; 科室会WP'!$T:$T,'Sales T&amp;E &amp; 科室会WP'!$Q:$Q,$H63)*$K63</f>
        <v>18000</v>
      </c>
      <c r="AT63" s="552">
        <f>SUMIFS('Sales T&amp;E &amp; 科室会WP'!$T:$T,'Sales T&amp;E &amp; 科室会WP'!$Q:$Q,$H63)*$K63</f>
        <v>18000</v>
      </c>
      <c r="AU63" s="552">
        <f>SUMIFS('Sales T&amp;E &amp; 科室会WP'!$T:$T,'Sales T&amp;E &amp; 科室会WP'!$Q:$Q,$H63)*$L63</f>
        <v>18000</v>
      </c>
      <c r="AV63" s="552">
        <f>SUMIFS('Sales T&amp;E &amp; 科室会WP'!$T:$T,'Sales T&amp;E &amp; 科室会WP'!$Q:$Q,$H63)*$L63</f>
        <v>18000</v>
      </c>
      <c r="AW63" s="552">
        <f>SUMIFS('Sales T&amp;E &amp; 科室会WP'!$T:$T,'Sales T&amp;E &amp; 科室会WP'!$Q:$Q,$H63)*$L63</f>
        <v>18000</v>
      </c>
      <c r="AX63" s="552">
        <f t="shared" si="6"/>
        <v>207000</v>
      </c>
    </row>
    <row r="64" spans="1:50" hidden="1">
      <c r="A64" s="551" t="s">
        <v>203</v>
      </c>
      <c r="B64" s="551" t="s">
        <v>958</v>
      </c>
      <c r="C64" s="551" t="s">
        <v>973</v>
      </c>
      <c r="D64" s="551" t="s">
        <v>974</v>
      </c>
      <c r="E64" s="551" t="s">
        <v>961</v>
      </c>
      <c r="F64" s="508" t="s">
        <v>847</v>
      </c>
      <c r="G64" s="508" t="s">
        <v>8</v>
      </c>
      <c r="H64" s="551" t="s">
        <v>94</v>
      </c>
      <c r="I64" s="551">
        <v>34</v>
      </c>
      <c r="J64" s="551">
        <v>43</v>
      </c>
      <c r="K64" s="551">
        <v>43</v>
      </c>
      <c r="L64" s="551">
        <v>43</v>
      </c>
      <c r="N64" s="552">
        <f>SUMIFS('Sales T&amp;E &amp; 科室会WP'!$N:$N,'Sales T&amp;E &amp; 科室会WP'!$L:$L,$G64,'Sales T&amp;E &amp; 科室会WP'!$M:$M,$H64)*3*I64</f>
        <v>510000</v>
      </c>
      <c r="O64" s="552">
        <f>SUMIFS('Sales T&amp;E &amp; 科室会WP'!$N:$N,'Sales T&amp;E &amp; 科室会WP'!$L:$L,$G64,'Sales T&amp;E &amp; 科室会WP'!$M:$M,$H64)*3*J64</f>
        <v>645000</v>
      </c>
      <c r="P64" s="552">
        <f>SUMIFS('Sales T&amp;E &amp; 科室会WP'!$N:$N,'Sales T&amp;E &amp; 科室会WP'!$L:$L,$G64,'Sales T&amp;E &amp; 科室会WP'!$M:$M,$H64)*3*K64</f>
        <v>645000</v>
      </c>
      <c r="Q64" s="552">
        <f>SUMIFS('Sales T&amp;E &amp; 科室会WP'!$N:$N,'Sales T&amp;E &amp; 科室会WP'!$L:$L,$G64,'Sales T&amp;E &amp; 科室会WP'!$M:$M,$H64)*3*L64</f>
        <v>645000</v>
      </c>
      <c r="R64" s="553">
        <f t="shared" si="13"/>
        <v>2445000</v>
      </c>
      <c r="V64" s="553">
        <f t="shared" si="14"/>
        <v>170000</v>
      </c>
      <c r="W64" s="553">
        <f t="shared" si="14"/>
        <v>170000</v>
      </c>
      <c r="X64" s="553">
        <f t="shared" si="14"/>
        <v>170000</v>
      </c>
      <c r="Y64" s="553">
        <f t="shared" si="15"/>
        <v>215000</v>
      </c>
      <c r="Z64" s="553">
        <f t="shared" si="15"/>
        <v>215000</v>
      </c>
      <c r="AA64" s="553">
        <f t="shared" si="15"/>
        <v>215000</v>
      </c>
      <c r="AB64" s="553">
        <f t="shared" si="16"/>
        <v>215000</v>
      </c>
      <c r="AC64" s="553">
        <f t="shared" si="16"/>
        <v>215000</v>
      </c>
      <c r="AD64" s="553">
        <f t="shared" si="16"/>
        <v>215000</v>
      </c>
      <c r="AE64" s="553">
        <f t="shared" si="17"/>
        <v>215000</v>
      </c>
      <c r="AF64" s="553">
        <f t="shared" si="17"/>
        <v>215000</v>
      </c>
      <c r="AG64" s="553">
        <f t="shared" si="17"/>
        <v>215000</v>
      </c>
      <c r="AH64" s="553">
        <f t="shared" si="4"/>
        <v>2445000</v>
      </c>
      <c r="AI64" s="553">
        <f t="shared" si="5"/>
        <v>0</v>
      </c>
      <c r="AL64" s="552">
        <f>SUMIFS('Sales T&amp;E &amp; 科室会WP'!$T:$T,'Sales T&amp;E &amp; 科室会WP'!$Q:$Q,$H64)*$I64</f>
        <v>102000</v>
      </c>
      <c r="AM64" s="552">
        <f>SUMIFS('Sales T&amp;E &amp; 科室会WP'!$T:$T,'Sales T&amp;E &amp; 科室会WP'!$Q:$Q,$H64)*$I64</f>
        <v>102000</v>
      </c>
      <c r="AN64" s="552">
        <f>SUMIFS('Sales T&amp;E &amp; 科室会WP'!$T:$T,'Sales T&amp;E &amp; 科室会WP'!$Q:$Q,$H64)*$I64</f>
        <v>102000</v>
      </c>
      <c r="AO64" s="552">
        <f>SUMIFS('Sales T&amp;E &amp; 科室会WP'!$T:$T,'Sales T&amp;E &amp; 科室会WP'!$Q:$Q,$H64)*$J64</f>
        <v>129000</v>
      </c>
      <c r="AP64" s="552">
        <f>SUMIFS('Sales T&amp;E &amp; 科室会WP'!$T:$T,'Sales T&amp;E &amp; 科室会WP'!$Q:$Q,$H64)*$J64</f>
        <v>129000</v>
      </c>
      <c r="AQ64" s="552">
        <f>SUMIFS('Sales T&amp;E &amp; 科室会WP'!$T:$T,'Sales T&amp;E &amp; 科室会WP'!$Q:$Q,$H64)*$J64</f>
        <v>129000</v>
      </c>
      <c r="AR64" s="552">
        <f>SUMIFS('Sales T&amp;E &amp; 科室会WP'!$T:$T,'Sales T&amp;E &amp; 科室会WP'!$Q:$Q,$H64)*$K64</f>
        <v>129000</v>
      </c>
      <c r="AS64" s="552">
        <f>SUMIFS('Sales T&amp;E &amp; 科室会WP'!$T:$T,'Sales T&amp;E &amp; 科室会WP'!$Q:$Q,$H64)*$K64</f>
        <v>129000</v>
      </c>
      <c r="AT64" s="552">
        <f>SUMIFS('Sales T&amp;E &amp; 科室会WP'!$T:$T,'Sales T&amp;E &amp; 科室会WP'!$Q:$Q,$H64)*$K64</f>
        <v>129000</v>
      </c>
      <c r="AU64" s="552">
        <f>SUMIFS('Sales T&amp;E &amp; 科室会WP'!$T:$T,'Sales T&amp;E &amp; 科室会WP'!$Q:$Q,$H64)*$L64</f>
        <v>129000</v>
      </c>
      <c r="AV64" s="552">
        <f>SUMIFS('Sales T&amp;E &amp; 科室会WP'!$T:$T,'Sales T&amp;E &amp; 科室会WP'!$Q:$Q,$H64)*$L64</f>
        <v>129000</v>
      </c>
      <c r="AW64" s="552">
        <f>SUMIFS('Sales T&amp;E &amp; 科室会WP'!$T:$T,'Sales T&amp;E &amp; 科室会WP'!$Q:$Q,$H64)*$L64</f>
        <v>129000</v>
      </c>
      <c r="AX64" s="552">
        <f t="shared" si="6"/>
        <v>1467000</v>
      </c>
    </row>
    <row r="65" spans="1:50" hidden="1">
      <c r="A65" s="551" t="s">
        <v>203</v>
      </c>
      <c r="B65" s="551" t="s">
        <v>958</v>
      </c>
      <c r="C65" s="551" t="s">
        <v>973</v>
      </c>
      <c r="D65" s="551" t="s">
        <v>974</v>
      </c>
      <c r="E65" s="551" t="s">
        <v>961</v>
      </c>
      <c r="F65" s="508" t="s">
        <v>847</v>
      </c>
      <c r="G65" s="508" t="s">
        <v>8</v>
      </c>
      <c r="H65" s="551" t="s">
        <v>131</v>
      </c>
      <c r="I65" s="551">
        <v>1</v>
      </c>
      <c r="J65" s="551">
        <v>1</v>
      </c>
      <c r="K65" s="551">
        <v>1</v>
      </c>
      <c r="L65" s="551">
        <v>1</v>
      </c>
      <c r="N65" s="552">
        <f>SUMIFS('Sales T&amp;E &amp; 科室会WP'!$N:$N,'Sales T&amp;E &amp; 科室会WP'!$L:$L,$G65,'Sales T&amp;E &amp; 科室会WP'!$M:$M,$H65)*3*I65</f>
        <v>27000</v>
      </c>
      <c r="O65" s="552">
        <f>SUMIFS('Sales T&amp;E &amp; 科室会WP'!$N:$N,'Sales T&amp;E &amp; 科室会WP'!$L:$L,$G65,'Sales T&amp;E &amp; 科室会WP'!$M:$M,$H65)*3*J65</f>
        <v>27000</v>
      </c>
      <c r="P65" s="552">
        <f>SUMIFS('Sales T&amp;E &amp; 科室会WP'!$N:$N,'Sales T&amp;E &amp; 科室会WP'!$L:$L,$G65,'Sales T&amp;E &amp; 科室会WP'!$M:$M,$H65)*3*K65</f>
        <v>27000</v>
      </c>
      <c r="Q65" s="552">
        <f>SUMIFS('Sales T&amp;E &amp; 科室会WP'!$N:$N,'Sales T&amp;E &amp; 科室会WP'!$L:$L,$G65,'Sales T&amp;E &amp; 科室会WP'!$M:$M,$H65)*3*L65</f>
        <v>27000</v>
      </c>
      <c r="R65" s="553">
        <f t="shared" si="13"/>
        <v>108000</v>
      </c>
      <c r="V65" s="553">
        <f t="shared" si="14"/>
        <v>9000</v>
      </c>
      <c r="W65" s="553">
        <f t="shared" si="14"/>
        <v>9000</v>
      </c>
      <c r="X65" s="553">
        <f t="shared" si="14"/>
        <v>9000</v>
      </c>
      <c r="Y65" s="553">
        <f t="shared" si="15"/>
        <v>9000</v>
      </c>
      <c r="Z65" s="553">
        <f t="shared" si="15"/>
        <v>9000</v>
      </c>
      <c r="AA65" s="553">
        <f t="shared" si="15"/>
        <v>9000</v>
      </c>
      <c r="AB65" s="553">
        <f t="shared" si="16"/>
        <v>9000</v>
      </c>
      <c r="AC65" s="553">
        <f t="shared" si="16"/>
        <v>9000</v>
      </c>
      <c r="AD65" s="553">
        <f t="shared" si="16"/>
        <v>9000</v>
      </c>
      <c r="AE65" s="553">
        <f t="shared" si="17"/>
        <v>9000</v>
      </c>
      <c r="AF65" s="553">
        <f t="shared" si="17"/>
        <v>9000</v>
      </c>
      <c r="AG65" s="553">
        <f t="shared" si="17"/>
        <v>9000</v>
      </c>
      <c r="AH65" s="553">
        <f t="shared" si="4"/>
        <v>108000</v>
      </c>
      <c r="AI65" s="553">
        <f t="shared" si="5"/>
        <v>0</v>
      </c>
      <c r="AL65" s="552">
        <f>SUMIFS('Sales T&amp;E &amp; 科室会WP'!$T:$T,'Sales T&amp;E &amp; 科室会WP'!$Q:$Q,$H65)*$I65</f>
        <v>3000</v>
      </c>
      <c r="AM65" s="552">
        <f>SUMIFS('Sales T&amp;E &amp; 科室会WP'!$T:$T,'Sales T&amp;E &amp; 科室会WP'!$Q:$Q,$H65)*$I65</f>
        <v>3000</v>
      </c>
      <c r="AN65" s="552">
        <f>SUMIFS('Sales T&amp;E &amp; 科室会WP'!$T:$T,'Sales T&amp;E &amp; 科室会WP'!$Q:$Q,$H65)*$I65</f>
        <v>3000</v>
      </c>
      <c r="AO65" s="552">
        <f>SUMIFS('Sales T&amp;E &amp; 科室会WP'!$T:$T,'Sales T&amp;E &amp; 科室会WP'!$Q:$Q,$H65)*$J65</f>
        <v>3000</v>
      </c>
      <c r="AP65" s="552">
        <f>SUMIFS('Sales T&amp;E &amp; 科室会WP'!$T:$T,'Sales T&amp;E &amp; 科室会WP'!$Q:$Q,$H65)*$J65</f>
        <v>3000</v>
      </c>
      <c r="AQ65" s="552">
        <f>SUMIFS('Sales T&amp;E &amp; 科室会WP'!$T:$T,'Sales T&amp;E &amp; 科室会WP'!$Q:$Q,$H65)*$J65</f>
        <v>3000</v>
      </c>
      <c r="AR65" s="552">
        <f>SUMIFS('Sales T&amp;E &amp; 科室会WP'!$T:$T,'Sales T&amp;E &amp; 科室会WP'!$Q:$Q,$H65)*$K65</f>
        <v>3000</v>
      </c>
      <c r="AS65" s="552">
        <f>SUMIFS('Sales T&amp;E &amp; 科室会WP'!$T:$T,'Sales T&amp;E &amp; 科室会WP'!$Q:$Q,$H65)*$K65</f>
        <v>3000</v>
      </c>
      <c r="AT65" s="552">
        <f>SUMIFS('Sales T&amp;E &amp; 科室会WP'!$T:$T,'Sales T&amp;E &amp; 科室会WP'!$Q:$Q,$H65)*$K65</f>
        <v>3000</v>
      </c>
      <c r="AU65" s="552">
        <f>SUMIFS('Sales T&amp;E &amp; 科室会WP'!$T:$T,'Sales T&amp;E &amp; 科室会WP'!$Q:$Q,$H65)*$L65</f>
        <v>3000</v>
      </c>
      <c r="AV65" s="552">
        <f>SUMIFS('Sales T&amp;E &amp; 科室会WP'!$T:$T,'Sales T&amp;E &amp; 科室会WP'!$Q:$Q,$H65)*$L65</f>
        <v>3000</v>
      </c>
      <c r="AW65" s="552">
        <f>SUMIFS('Sales T&amp;E &amp; 科室会WP'!$T:$T,'Sales T&amp;E &amp; 科室会WP'!$Q:$Q,$H65)*$L65</f>
        <v>3000</v>
      </c>
      <c r="AX65" s="552">
        <f t="shared" si="6"/>
        <v>36000</v>
      </c>
    </row>
    <row r="66" spans="1:50" hidden="1">
      <c r="A66" s="551" t="s">
        <v>203</v>
      </c>
      <c r="B66" s="551" t="s">
        <v>958</v>
      </c>
      <c r="C66" s="551" t="s">
        <v>973</v>
      </c>
      <c r="D66" s="551" t="s">
        <v>974</v>
      </c>
      <c r="E66" s="551" t="s">
        <v>962</v>
      </c>
      <c r="F66" s="508" t="s">
        <v>865</v>
      </c>
      <c r="G66" s="508" t="s">
        <v>8</v>
      </c>
      <c r="N66" s="552">
        <f>SUMIFS('Sales T&amp;E &amp; 科室会WP'!$N:$N,'Sales T&amp;E &amp; 科室会WP'!$L:$L,$G66,'Sales T&amp;E &amp; 科室会WP'!$M:$M,$H66)*3*I66</f>
        <v>0</v>
      </c>
      <c r="O66" s="552">
        <f>SUMIFS('Sales T&amp;E &amp; 科室会WP'!$N:$N,'Sales T&amp;E &amp; 科室会WP'!$L:$L,$G66,'Sales T&amp;E &amp; 科室会WP'!$M:$M,$H66)*3*J66</f>
        <v>0</v>
      </c>
      <c r="P66" s="552">
        <f>SUMIFS('Sales T&amp;E &amp; 科室会WP'!$N:$N,'Sales T&amp;E &amp; 科室会WP'!$L:$L,$G66,'Sales T&amp;E &amp; 科室会WP'!$M:$M,$H66)*3*K66</f>
        <v>0</v>
      </c>
      <c r="Q66" s="552">
        <f>SUMIFS('Sales T&amp;E &amp; 科室会WP'!$N:$N,'Sales T&amp;E &amp; 科室会WP'!$L:$L,$G66,'Sales T&amp;E &amp; 科室会WP'!$M:$M,$H66)*3*L66</f>
        <v>0</v>
      </c>
      <c r="R66" s="553">
        <f t="shared" si="13"/>
        <v>0</v>
      </c>
      <c r="V66" s="553">
        <f t="shared" si="14"/>
        <v>0</v>
      </c>
      <c r="W66" s="553">
        <f t="shared" si="14"/>
        <v>0</v>
      </c>
      <c r="X66" s="553">
        <f t="shared" si="14"/>
        <v>0</v>
      </c>
      <c r="Y66" s="553">
        <f t="shared" si="15"/>
        <v>0</v>
      </c>
      <c r="Z66" s="553">
        <f t="shared" si="15"/>
        <v>0</v>
      </c>
      <c r="AA66" s="553">
        <f t="shared" si="15"/>
        <v>0</v>
      </c>
      <c r="AB66" s="553">
        <f t="shared" si="16"/>
        <v>0</v>
      </c>
      <c r="AC66" s="553">
        <f t="shared" si="16"/>
        <v>0</v>
      </c>
      <c r="AD66" s="553">
        <f t="shared" si="16"/>
        <v>0</v>
      </c>
      <c r="AE66" s="553">
        <f t="shared" si="17"/>
        <v>0</v>
      </c>
      <c r="AF66" s="553">
        <f t="shared" si="17"/>
        <v>0</v>
      </c>
      <c r="AG66" s="553">
        <f t="shared" si="17"/>
        <v>0</v>
      </c>
      <c r="AH66" s="553">
        <f t="shared" si="4"/>
        <v>0</v>
      </c>
      <c r="AI66" s="553">
        <f t="shared" si="5"/>
        <v>0</v>
      </c>
      <c r="AL66" s="552">
        <f>SUMIFS('Sales T&amp;E &amp; 科室会WP'!$T:$T,'Sales T&amp;E &amp; 科室会WP'!$Q:$Q,$H66)*$I66</f>
        <v>0</v>
      </c>
      <c r="AM66" s="552">
        <f>SUMIFS('Sales T&amp;E &amp; 科室会WP'!$T:$T,'Sales T&amp;E &amp; 科室会WP'!$Q:$Q,$H66)*$I66</f>
        <v>0</v>
      </c>
      <c r="AN66" s="552">
        <f>SUMIFS('Sales T&amp;E &amp; 科室会WP'!$T:$T,'Sales T&amp;E &amp; 科室会WP'!$Q:$Q,$H66)*$I66</f>
        <v>0</v>
      </c>
      <c r="AO66" s="552">
        <f>SUMIFS('Sales T&amp;E &amp; 科室会WP'!$T:$T,'Sales T&amp;E &amp; 科室会WP'!$Q:$Q,$H66)*$J66</f>
        <v>0</v>
      </c>
      <c r="AP66" s="552">
        <f>SUMIFS('Sales T&amp;E &amp; 科室会WP'!$T:$T,'Sales T&amp;E &amp; 科室会WP'!$Q:$Q,$H66)*$J66</f>
        <v>0</v>
      </c>
      <c r="AQ66" s="552">
        <f>SUMIFS('Sales T&amp;E &amp; 科室会WP'!$T:$T,'Sales T&amp;E &amp; 科室会WP'!$Q:$Q,$H66)*$J66</f>
        <v>0</v>
      </c>
      <c r="AR66" s="552">
        <f>SUMIFS('Sales T&amp;E &amp; 科室会WP'!$T:$T,'Sales T&amp;E &amp; 科室会WP'!$Q:$Q,$H66)*$K66</f>
        <v>0</v>
      </c>
      <c r="AS66" s="552">
        <f>SUMIFS('Sales T&amp;E &amp; 科室会WP'!$T:$T,'Sales T&amp;E &amp; 科室会WP'!$Q:$Q,$H66)*$K66</f>
        <v>0</v>
      </c>
      <c r="AT66" s="552">
        <f>SUMIFS('Sales T&amp;E &amp; 科室会WP'!$T:$T,'Sales T&amp;E &amp; 科室会WP'!$Q:$Q,$H66)*$K66</f>
        <v>0</v>
      </c>
      <c r="AU66" s="552">
        <f>SUMIFS('Sales T&amp;E &amp; 科室会WP'!$T:$T,'Sales T&amp;E &amp; 科室会WP'!$Q:$Q,$H66)*$L66</f>
        <v>0</v>
      </c>
      <c r="AV66" s="552">
        <f>SUMIFS('Sales T&amp;E &amp; 科室会WP'!$T:$T,'Sales T&amp;E &amp; 科室会WP'!$Q:$Q,$H66)*$L66</f>
        <v>0</v>
      </c>
      <c r="AW66" s="552">
        <f>SUMIFS('Sales T&amp;E &amp; 科室会WP'!$T:$T,'Sales T&amp;E &amp; 科室会WP'!$Q:$Q,$H66)*$L66</f>
        <v>0</v>
      </c>
      <c r="AX66" s="552">
        <f t="shared" si="6"/>
        <v>0</v>
      </c>
    </row>
    <row r="67" spans="1:50" hidden="1">
      <c r="A67" s="551" t="s">
        <v>203</v>
      </c>
      <c r="B67" s="551" t="s">
        <v>958</v>
      </c>
      <c r="C67" s="551" t="s">
        <v>973</v>
      </c>
      <c r="D67" s="551" t="s">
        <v>974</v>
      </c>
      <c r="E67" s="551" t="s">
        <v>962</v>
      </c>
      <c r="F67" s="508" t="s">
        <v>865</v>
      </c>
      <c r="G67" s="508" t="s">
        <v>8</v>
      </c>
      <c r="H67" s="551" t="s">
        <v>93</v>
      </c>
      <c r="I67" s="551">
        <v>3</v>
      </c>
      <c r="J67" s="551">
        <v>3</v>
      </c>
      <c r="K67" s="551">
        <v>3</v>
      </c>
      <c r="L67" s="551">
        <v>3</v>
      </c>
      <c r="N67" s="552">
        <f>SUMIFS('Sales T&amp;E &amp; 科室会WP'!$N:$N,'Sales T&amp;E &amp; 科室会WP'!$L:$L,$G67,'Sales T&amp;E &amp; 科室会WP'!$M:$M,$H67)*3*I67</f>
        <v>81000</v>
      </c>
      <c r="O67" s="552">
        <f>SUMIFS('Sales T&amp;E &amp; 科室会WP'!$N:$N,'Sales T&amp;E &amp; 科室会WP'!$L:$L,$G67,'Sales T&amp;E &amp; 科室会WP'!$M:$M,$H67)*3*J67</f>
        <v>81000</v>
      </c>
      <c r="P67" s="552">
        <f>SUMIFS('Sales T&amp;E &amp; 科室会WP'!$N:$N,'Sales T&amp;E &amp; 科室会WP'!$L:$L,$G67,'Sales T&amp;E &amp; 科室会WP'!$M:$M,$H67)*3*K67</f>
        <v>81000</v>
      </c>
      <c r="Q67" s="552">
        <f>SUMIFS('Sales T&amp;E &amp; 科室会WP'!$N:$N,'Sales T&amp;E &amp; 科室会WP'!$L:$L,$G67,'Sales T&amp;E &amp; 科室会WP'!$M:$M,$H67)*3*L67</f>
        <v>81000</v>
      </c>
      <c r="R67" s="553">
        <f t="shared" si="13"/>
        <v>324000</v>
      </c>
      <c r="V67" s="553">
        <f t="shared" si="14"/>
        <v>27000</v>
      </c>
      <c r="W67" s="553">
        <f t="shared" si="14"/>
        <v>27000</v>
      </c>
      <c r="X67" s="553">
        <f t="shared" si="14"/>
        <v>27000</v>
      </c>
      <c r="Y67" s="553">
        <f t="shared" si="15"/>
        <v>27000</v>
      </c>
      <c r="Z67" s="553">
        <f t="shared" si="15"/>
        <v>27000</v>
      </c>
      <c r="AA67" s="553">
        <f t="shared" si="15"/>
        <v>27000</v>
      </c>
      <c r="AB67" s="553">
        <f t="shared" si="16"/>
        <v>27000</v>
      </c>
      <c r="AC67" s="553">
        <f t="shared" si="16"/>
        <v>27000</v>
      </c>
      <c r="AD67" s="553">
        <f t="shared" si="16"/>
        <v>27000</v>
      </c>
      <c r="AE67" s="553">
        <f t="shared" si="17"/>
        <v>27000</v>
      </c>
      <c r="AF67" s="553">
        <f t="shared" si="17"/>
        <v>27000</v>
      </c>
      <c r="AG67" s="553">
        <f t="shared" si="17"/>
        <v>27000</v>
      </c>
      <c r="AH67" s="553">
        <f t="shared" ref="AH67:AH99" si="18">SUM(V67:AG67)</f>
        <v>324000</v>
      </c>
      <c r="AI67" s="553">
        <f t="shared" ref="AI67:AI99" si="19">AH67-R67</f>
        <v>0</v>
      </c>
      <c r="AL67" s="552">
        <f>SUMIFS('Sales T&amp;E &amp; 科室会WP'!$T:$T,'Sales T&amp;E &amp; 科室会WP'!$Q:$Q,$H67)*$I67</f>
        <v>9000</v>
      </c>
      <c r="AM67" s="552">
        <f>SUMIFS('Sales T&amp;E &amp; 科室会WP'!$T:$T,'Sales T&amp;E &amp; 科室会WP'!$Q:$Q,$H67)*$I67</f>
        <v>9000</v>
      </c>
      <c r="AN67" s="552">
        <f>SUMIFS('Sales T&amp;E &amp; 科室会WP'!$T:$T,'Sales T&amp;E &amp; 科室会WP'!$Q:$Q,$H67)*$I67</f>
        <v>9000</v>
      </c>
      <c r="AO67" s="552">
        <f>SUMIFS('Sales T&amp;E &amp; 科室会WP'!$T:$T,'Sales T&amp;E &amp; 科室会WP'!$Q:$Q,$H67)*$J67</f>
        <v>9000</v>
      </c>
      <c r="AP67" s="552">
        <f>SUMIFS('Sales T&amp;E &amp; 科室会WP'!$T:$T,'Sales T&amp;E &amp; 科室会WP'!$Q:$Q,$H67)*$J67</f>
        <v>9000</v>
      </c>
      <c r="AQ67" s="552">
        <f>SUMIFS('Sales T&amp;E &amp; 科室会WP'!$T:$T,'Sales T&amp;E &amp; 科室会WP'!$Q:$Q,$H67)*$J67</f>
        <v>9000</v>
      </c>
      <c r="AR67" s="552">
        <f>SUMIFS('Sales T&amp;E &amp; 科室会WP'!$T:$T,'Sales T&amp;E &amp; 科室会WP'!$Q:$Q,$H67)*$K67</f>
        <v>9000</v>
      </c>
      <c r="AS67" s="552">
        <f>SUMIFS('Sales T&amp;E &amp; 科室会WP'!$T:$T,'Sales T&amp;E &amp; 科室会WP'!$Q:$Q,$H67)*$K67</f>
        <v>9000</v>
      </c>
      <c r="AT67" s="552">
        <f>SUMIFS('Sales T&amp;E &amp; 科室会WP'!$T:$T,'Sales T&amp;E &amp; 科室会WP'!$Q:$Q,$H67)*$K67</f>
        <v>9000</v>
      </c>
      <c r="AU67" s="552">
        <f>SUMIFS('Sales T&amp;E &amp; 科室会WP'!$T:$T,'Sales T&amp;E &amp; 科室会WP'!$Q:$Q,$H67)*$L67</f>
        <v>9000</v>
      </c>
      <c r="AV67" s="552">
        <f>SUMIFS('Sales T&amp;E &amp; 科室会WP'!$T:$T,'Sales T&amp;E &amp; 科室会WP'!$Q:$Q,$H67)*$L67</f>
        <v>9000</v>
      </c>
      <c r="AW67" s="552">
        <f>SUMIFS('Sales T&amp;E &amp; 科室会WP'!$T:$T,'Sales T&amp;E &amp; 科室会WP'!$Q:$Q,$H67)*$L67</f>
        <v>9000</v>
      </c>
      <c r="AX67" s="552">
        <f t="shared" ref="AX67:AX99" si="20">SUM(AL67:AW67)</f>
        <v>108000</v>
      </c>
    </row>
    <row r="68" spans="1:50" hidden="1">
      <c r="A68" s="551" t="s">
        <v>203</v>
      </c>
      <c r="B68" s="551" t="s">
        <v>958</v>
      </c>
      <c r="C68" s="551" t="s">
        <v>973</v>
      </c>
      <c r="D68" s="551" t="s">
        <v>974</v>
      </c>
      <c r="E68" s="551" t="s">
        <v>962</v>
      </c>
      <c r="F68" s="508" t="s">
        <v>865</v>
      </c>
      <c r="G68" s="508" t="s">
        <v>8</v>
      </c>
      <c r="H68" s="551" t="s">
        <v>94</v>
      </c>
      <c r="I68" s="551">
        <v>24</v>
      </c>
      <c r="J68" s="551">
        <v>29</v>
      </c>
      <c r="K68" s="551">
        <v>29</v>
      </c>
      <c r="L68" s="551">
        <v>29</v>
      </c>
      <c r="N68" s="552">
        <f>SUMIFS('Sales T&amp;E &amp; 科室会WP'!$N:$N,'Sales T&amp;E &amp; 科室会WP'!$L:$L,$G68,'Sales T&amp;E &amp; 科室会WP'!$M:$M,$H68)*3*I68</f>
        <v>360000</v>
      </c>
      <c r="O68" s="552">
        <f>SUMIFS('Sales T&amp;E &amp; 科室会WP'!$N:$N,'Sales T&amp;E &amp; 科室会WP'!$L:$L,$G68,'Sales T&amp;E &amp; 科室会WP'!$M:$M,$H68)*3*J68</f>
        <v>435000</v>
      </c>
      <c r="P68" s="552">
        <f>SUMIFS('Sales T&amp;E &amp; 科室会WP'!$N:$N,'Sales T&amp;E &amp; 科室会WP'!$L:$L,$G68,'Sales T&amp;E &amp; 科室会WP'!$M:$M,$H68)*3*K68</f>
        <v>435000</v>
      </c>
      <c r="Q68" s="552">
        <f>SUMIFS('Sales T&amp;E &amp; 科室会WP'!$N:$N,'Sales T&amp;E &amp; 科室会WP'!$L:$L,$G68,'Sales T&amp;E &amp; 科室会WP'!$M:$M,$H68)*3*L68</f>
        <v>435000</v>
      </c>
      <c r="R68" s="553">
        <f t="shared" si="13"/>
        <v>1665000</v>
      </c>
      <c r="V68" s="553">
        <f t="shared" si="14"/>
        <v>120000</v>
      </c>
      <c r="W68" s="553">
        <f t="shared" si="14"/>
        <v>120000</v>
      </c>
      <c r="X68" s="553">
        <f t="shared" si="14"/>
        <v>120000</v>
      </c>
      <c r="Y68" s="553">
        <f t="shared" si="15"/>
        <v>145000</v>
      </c>
      <c r="Z68" s="553">
        <f t="shared" si="15"/>
        <v>145000</v>
      </c>
      <c r="AA68" s="553">
        <f t="shared" si="15"/>
        <v>145000</v>
      </c>
      <c r="AB68" s="553">
        <f t="shared" si="16"/>
        <v>145000</v>
      </c>
      <c r="AC68" s="553">
        <f t="shared" si="16"/>
        <v>145000</v>
      </c>
      <c r="AD68" s="553">
        <f t="shared" si="16"/>
        <v>145000</v>
      </c>
      <c r="AE68" s="553">
        <f t="shared" si="17"/>
        <v>145000</v>
      </c>
      <c r="AF68" s="553">
        <f t="shared" si="17"/>
        <v>145000</v>
      </c>
      <c r="AG68" s="553">
        <f t="shared" si="17"/>
        <v>145000</v>
      </c>
      <c r="AH68" s="553">
        <f t="shared" si="18"/>
        <v>1665000</v>
      </c>
      <c r="AI68" s="553">
        <f t="shared" si="19"/>
        <v>0</v>
      </c>
      <c r="AL68" s="552">
        <f>SUMIFS('Sales T&amp;E &amp; 科室会WP'!$T:$T,'Sales T&amp;E &amp; 科室会WP'!$Q:$Q,$H68)*$I68</f>
        <v>72000</v>
      </c>
      <c r="AM68" s="552">
        <f>SUMIFS('Sales T&amp;E &amp; 科室会WP'!$T:$T,'Sales T&amp;E &amp; 科室会WP'!$Q:$Q,$H68)*$I68</f>
        <v>72000</v>
      </c>
      <c r="AN68" s="552">
        <f>SUMIFS('Sales T&amp;E &amp; 科室会WP'!$T:$T,'Sales T&amp;E &amp; 科室会WP'!$Q:$Q,$H68)*$I68</f>
        <v>72000</v>
      </c>
      <c r="AO68" s="552">
        <f>SUMIFS('Sales T&amp;E &amp; 科室会WP'!$T:$T,'Sales T&amp;E &amp; 科室会WP'!$Q:$Q,$H68)*$J68</f>
        <v>87000</v>
      </c>
      <c r="AP68" s="552">
        <f>SUMIFS('Sales T&amp;E &amp; 科室会WP'!$T:$T,'Sales T&amp;E &amp; 科室会WP'!$Q:$Q,$H68)*$J68</f>
        <v>87000</v>
      </c>
      <c r="AQ68" s="552">
        <f>SUMIFS('Sales T&amp;E &amp; 科室会WP'!$T:$T,'Sales T&amp;E &amp; 科室会WP'!$Q:$Q,$H68)*$J68</f>
        <v>87000</v>
      </c>
      <c r="AR68" s="552">
        <f>SUMIFS('Sales T&amp;E &amp; 科室会WP'!$T:$T,'Sales T&amp;E &amp; 科室会WP'!$Q:$Q,$H68)*$K68</f>
        <v>87000</v>
      </c>
      <c r="AS68" s="552">
        <f>SUMIFS('Sales T&amp;E &amp; 科室会WP'!$T:$T,'Sales T&amp;E &amp; 科室会WP'!$Q:$Q,$H68)*$K68</f>
        <v>87000</v>
      </c>
      <c r="AT68" s="552">
        <f>SUMIFS('Sales T&amp;E &amp; 科室会WP'!$T:$T,'Sales T&amp;E &amp; 科室会WP'!$Q:$Q,$H68)*$K68</f>
        <v>87000</v>
      </c>
      <c r="AU68" s="552">
        <f>SUMIFS('Sales T&amp;E &amp; 科室会WP'!$T:$T,'Sales T&amp;E &amp; 科室会WP'!$Q:$Q,$H68)*$L68</f>
        <v>87000</v>
      </c>
      <c r="AV68" s="552">
        <f>SUMIFS('Sales T&amp;E &amp; 科室会WP'!$T:$T,'Sales T&amp;E &amp; 科室会WP'!$Q:$Q,$H68)*$L68</f>
        <v>87000</v>
      </c>
      <c r="AW68" s="552">
        <f>SUMIFS('Sales T&amp;E &amp; 科室会WP'!$T:$T,'Sales T&amp;E &amp; 科室会WP'!$Q:$Q,$H68)*$L68</f>
        <v>87000</v>
      </c>
      <c r="AX68" s="552">
        <f t="shared" si="20"/>
        <v>999000</v>
      </c>
    </row>
    <row r="69" spans="1:50" hidden="1">
      <c r="A69" s="551" t="s">
        <v>203</v>
      </c>
      <c r="B69" s="551" t="s">
        <v>958</v>
      </c>
      <c r="C69" s="551" t="s">
        <v>973</v>
      </c>
      <c r="D69" s="551" t="s">
        <v>974</v>
      </c>
      <c r="E69" s="551" t="s">
        <v>962</v>
      </c>
      <c r="F69" s="508" t="s">
        <v>865</v>
      </c>
      <c r="G69" s="508" t="s">
        <v>8</v>
      </c>
      <c r="H69" s="551" t="s">
        <v>131</v>
      </c>
      <c r="I69" s="551">
        <v>1</v>
      </c>
      <c r="J69" s="551">
        <v>1</v>
      </c>
      <c r="K69" s="551">
        <v>1</v>
      </c>
      <c r="L69" s="551">
        <v>1</v>
      </c>
      <c r="N69" s="552">
        <f>SUMIFS('Sales T&amp;E &amp; 科室会WP'!$N:$N,'Sales T&amp;E &amp; 科室会WP'!$L:$L,$G69,'Sales T&amp;E &amp; 科室会WP'!$M:$M,$H69)*3*I69</f>
        <v>27000</v>
      </c>
      <c r="O69" s="552">
        <f>SUMIFS('Sales T&amp;E &amp; 科室会WP'!$N:$N,'Sales T&amp;E &amp; 科室会WP'!$L:$L,$G69,'Sales T&amp;E &amp; 科室会WP'!$M:$M,$H69)*3*J69</f>
        <v>27000</v>
      </c>
      <c r="P69" s="552">
        <f>SUMIFS('Sales T&amp;E &amp; 科室会WP'!$N:$N,'Sales T&amp;E &amp; 科室会WP'!$L:$L,$G69,'Sales T&amp;E &amp; 科室会WP'!$M:$M,$H69)*3*K69</f>
        <v>27000</v>
      </c>
      <c r="Q69" s="552">
        <f>SUMIFS('Sales T&amp;E &amp; 科室会WP'!$N:$N,'Sales T&amp;E &amp; 科室会WP'!$L:$L,$G69,'Sales T&amp;E &amp; 科室会WP'!$M:$M,$H69)*3*L69</f>
        <v>27000</v>
      </c>
      <c r="R69" s="553">
        <f t="shared" si="13"/>
        <v>108000</v>
      </c>
      <c r="V69" s="553">
        <f t="shared" si="14"/>
        <v>9000</v>
      </c>
      <c r="W69" s="553">
        <f t="shared" si="14"/>
        <v>9000</v>
      </c>
      <c r="X69" s="553">
        <f t="shared" si="14"/>
        <v>9000</v>
      </c>
      <c r="Y69" s="553">
        <f t="shared" si="15"/>
        <v>9000</v>
      </c>
      <c r="Z69" s="553">
        <f t="shared" si="15"/>
        <v>9000</v>
      </c>
      <c r="AA69" s="553">
        <f t="shared" si="15"/>
        <v>9000</v>
      </c>
      <c r="AB69" s="553">
        <f t="shared" si="16"/>
        <v>9000</v>
      </c>
      <c r="AC69" s="553">
        <f t="shared" si="16"/>
        <v>9000</v>
      </c>
      <c r="AD69" s="553">
        <f t="shared" si="16"/>
        <v>9000</v>
      </c>
      <c r="AE69" s="553">
        <f t="shared" si="17"/>
        <v>9000</v>
      </c>
      <c r="AF69" s="553">
        <f t="shared" si="17"/>
        <v>9000</v>
      </c>
      <c r="AG69" s="553">
        <f t="shared" si="17"/>
        <v>9000</v>
      </c>
      <c r="AH69" s="553">
        <f t="shared" si="18"/>
        <v>108000</v>
      </c>
      <c r="AI69" s="553">
        <f t="shared" si="19"/>
        <v>0</v>
      </c>
      <c r="AL69" s="552">
        <f>SUMIFS('Sales T&amp;E &amp; 科室会WP'!$T:$T,'Sales T&amp;E &amp; 科室会WP'!$Q:$Q,$H69)*$I69</f>
        <v>3000</v>
      </c>
      <c r="AM69" s="552">
        <f>SUMIFS('Sales T&amp;E &amp; 科室会WP'!$T:$T,'Sales T&amp;E &amp; 科室会WP'!$Q:$Q,$H69)*$I69</f>
        <v>3000</v>
      </c>
      <c r="AN69" s="552">
        <f>SUMIFS('Sales T&amp;E &amp; 科室会WP'!$T:$T,'Sales T&amp;E &amp; 科室会WP'!$Q:$Q,$H69)*$I69</f>
        <v>3000</v>
      </c>
      <c r="AO69" s="552">
        <f>SUMIFS('Sales T&amp;E &amp; 科室会WP'!$T:$T,'Sales T&amp;E &amp; 科室会WP'!$Q:$Q,$H69)*$J69</f>
        <v>3000</v>
      </c>
      <c r="AP69" s="552">
        <f>SUMIFS('Sales T&amp;E &amp; 科室会WP'!$T:$T,'Sales T&amp;E &amp; 科室会WP'!$Q:$Q,$H69)*$J69</f>
        <v>3000</v>
      </c>
      <c r="AQ69" s="552">
        <f>SUMIFS('Sales T&amp;E &amp; 科室会WP'!$T:$T,'Sales T&amp;E &amp; 科室会WP'!$Q:$Q,$H69)*$J69</f>
        <v>3000</v>
      </c>
      <c r="AR69" s="552">
        <f>SUMIFS('Sales T&amp;E &amp; 科室会WP'!$T:$T,'Sales T&amp;E &amp; 科室会WP'!$Q:$Q,$H69)*$K69</f>
        <v>3000</v>
      </c>
      <c r="AS69" s="552">
        <f>SUMIFS('Sales T&amp;E &amp; 科室会WP'!$T:$T,'Sales T&amp;E &amp; 科室会WP'!$Q:$Q,$H69)*$K69</f>
        <v>3000</v>
      </c>
      <c r="AT69" s="552">
        <f>SUMIFS('Sales T&amp;E &amp; 科室会WP'!$T:$T,'Sales T&amp;E &amp; 科室会WP'!$Q:$Q,$H69)*$K69</f>
        <v>3000</v>
      </c>
      <c r="AU69" s="552">
        <f>SUMIFS('Sales T&amp;E &amp; 科室会WP'!$T:$T,'Sales T&amp;E &amp; 科室会WP'!$Q:$Q,$H69)*$L69</f>
        <v>3000</v>
      </c>
      <c r="AV69" s="552">
        <f>SUMIFS('Sales T&amp;E &amp; 科室会WP'!$T:$T,'Sales T&amp;E &amp; 科室会WP'!$Q:$Q,$H69)*$L69</f>
        <v>3000</v>
      </c>
      <c r="AW69" s="552">
        <f>SUMIFS('Sales T&amp;E &amp; 科室会WP'!$T:$T,'Sales T&amp;E &amp; 科室会WP'!$Q:$Q,$H69)*$L69</f>
        <v>3000</v>
      </c>
      <c r="AX69" s="552">
        <f t="shared" si="20"/>
        <v>36000</v>
      </c>
    </row>
    <row r="70" spans="1:50" hidden="1">
      <c r="A70" s="551" t="s">
        <v>203</v>
      </c>
      <c r="B70" s="551" t="s">
        <v>958</v>
      </c>
      <c r="C70" s="551" t="s">
        <v>973</v>
      </c>
      <c r="D70" s="551" t="s">
        <v>974</v>
      </c>
      <c r="E70" s="551" t="s">
        <v>963</v>
      </c>
      <c r="F70" s="508" t="s">
        <v>976</v>
      </c>
      <c r="G70" s="508" t="s">
        <v>8</v>
      </c>
      <c r="N70" s="552">
        <f>SUMIFS('Sales T&amp;E &amp; 科室会WP'!$N:$N,'Sales T&amp;E &amp; 科室会WP'!$L:$L,$G70,'Sales T&amp;E &amp; 科室会WP'!$M:$M,$H70)*3*I70</f>
        <v>0</v>
      </c>
      <c r="O70" s="552">
        <f>SUMIFS('Sales T&amp;E &amp; 科室会WP'!$N:$N,'Sales T&amp;E &amp; 科室会WP'!$L:$L,$G70,'Sales T&amp;E &amp; 科室会WP'!$M:$M,$H70)*3*J70</f>
        <v>0</v>
      </c>
      <c r="P70" s="552">
        <f>SUMIFS('Sales T&amp;E &amp; 科室会WP'!$N:$N,'Sales T&amp;E &amp; 科室会WP'!$L:$L,$G70,'Sales T&amp;E &amp; 科室会WP'!$M:$M,$H70)*3*K70</f>
        <v>0</v>
      </c>
      <c r="Q70" s="552">
        <f>SUMIFS('Sales T&amp;E &amp; 科室会WP'!$N:$N,'Sales T&amp;E &amp; 科室会WP'!$L:$L,$G70,'Sales T&amp;E &amp; 科室会WP'!$M:$M,$H70)*3*L70</f>
        <v>0</v>
      </c>
      <c r="R70" s="553">
        <f t="shared" si="13"/>
        <v>0</v>
      </c>
      <c r="V70" s="553">
        <f t="shared" si="14"/>
        <v>0</v>
      </c>
      <c r="W70" s="553">
        <f t="shared" si="14"/>
        <v>0</v>
      </c>
      <c r="X70" s="553">
        <f t="shared" si="14"/>
        <v>0</v>
      </c>
      <c r="Y70" s="553">
        <f t="shared" si="15"/>
        <v>0</v>
      </c>
      <c r="Z70" s="553">
        <f t="shared" si="15"/>
        <v>0</v>
      </c>
      <c r="AA70" s="553">
        <f t="shared" si="15"/>
        <v>0</v>
      </c>
      <c r="AB70" s="553">
        <f t="shared" si="16"/>
        <v>0</v>
      </c>
      <c r="AC70" s="553">
        <f t="shared" si="16"/>
        <v>0</v>
      </c>
      <c r="AD70" s="553">
        <f t="shared" si="16"/>
        <v>0</v>
      </c>
      <c r="AE70" s="553">
        <f t="shared" si="17"/>
        <v>0</v>
      </c>
      <c r="AF70" s="553">
        <f t="shared" si="17"/>
        <v>0</v>
      </c>
      <c r="AG70" s="553">
        <f t="shared" si="17"/>
        <v>0</v>
      </c>
      <c r="AH70" s="553">
        <f t="shared" si="18"/>
        <v>0</v>
      </c>
      <c r="AI70" s="553">
        <f t="shared" si="19"/>
        <v>0</v>
      </c>
      <c r="AL70" s="552">
        <f>SUMIFS('Sales T&amp;E &amp; 科室会WP'!$T:$T,'Sales T&amp;E &amp; 科室会WP'!$Q:$Q,$H70)*$I70</f>
        <v>0</v>
      </c>
      <c r="AM70" s="552">
        <f>SUMIFS('Sales T&amp;E &amp; 科室会WP'!$T:$T,'Sales T&amp;E &amp; 科室会WP'!$Q:$Q,$H70)*$I70</f>
        <v>0</v>
      </c>
      <c r="AN70" s="552">
        <f>SUMIFS('Sales T&amp;E &amp; 科室会WP'!$T:$T,'Sales T&amp;E &amp; 科室会WP'!$Q:$Q,$H70)*$I70</f>
        <v>0</v>
      </c>
      <c r="AO70" s="552">
        <f>SUMIFS('Sales T&amp;E &amp; 科室会WP'!$T:$T,'Sales T&amp;E &amp; 科室会WP'!$Q:$Q,$H70)*$J70</f>
        <v>0</v>
      </c>
      <c r="AP70" s="552">
        <f>SUMIFS('Sales T&amp;E &amp; 科室会WP'!$T:$T,'Sales T&amp;E &amp; 科室会WP'!$Q:$Q,$H70)*$J70</f>
        <v>0</v>
      </c>
      <c r="AQ70" s="552">
        <f>SUMIFS('Sales T&amp;E &amp; 科室会WP'!$T:$T,'Sales T&amp;E &amp; 科室会WP'!$Q:$Q,$H70)*$J70</f>
        <v>0</v>
      </c>
      <c r="AR70" s="552">
        <f>SUMIFS('Sales T&amp;E &amp; 科室会WP'!$T:$T,'Sales T&amp;E &amp; 科室会WP'!$Q:$Q,$H70)*$K70</f>
        <v>0</v>
      </c>
      <c r="AS70" s="552">
        <f>SUMIFS('Sales T&amp;E &amp; 科室会WP'!$T:$T,'Sales T&amp;E &amp; 科室会WP'!$Q:$Q,$H70)*$K70</f>
        <v>0</v>
      </c>
      <c r="AT70" s="552">
        <f>SUMIFS('Sales T&amp;E &amp; 科室会WP'!$T:$T,'Sales T&amp;E &amp; 科室会WP'!$Q:$Q,$H70)*$K70</f>
        <v>0</v>
      </c>
      <c r="AU70" s="552">
        <f>SUMIFS('Sales T&amp;E &amp; 科室会WP'!$T:$T,'Sales T&amp;E &amp; 科室会WP'!$Q:$Q,$H70)*$L70</f>
        <v>0</v>
      </c>
      <c r="AV70" s="552">
        <f>SUMIFS('Sales T&amp;E &amp; 科室会WP'!$T:$T,'Sales T&amp;E &amp; 科室会WP'!$Q:$Q,$H70)*$L70</f>
        <v>0</v>
      </c>
      <c r="AW70" s="552">
        <f>SUMIFS('Sales T&amp;E &amp; 科室会WP'!$T:$T,'Sales T&amp;E &amp; 科室会WP'!$Q:$Q,$H70)*$L70</f>
        <v>0</v>
      </c>
      <c r="AX70" s="552">
        <f t="shared" si="20"/>
        <v>0</v>
      </c>
    </row>
    <row r="71" spans="1:50" hidden="1">
      <c r="A71" s="551" t="s">
        <v>203</v>
      </c>
      <c r="B71" s="551" t="s">
        <v>958</v>
      </c>
      <c r="C71" s="551" t="s">
        <v>973</v>
      </c>
      <c r="D71" s="551" t="s">
        <v>974</v>
      </c>
      <c r="E71" s="551" t="s">
        <v>963</v>
      </c>
      <c r="F71" s="508" t="s">
        <v>976</v>
      </c>
      <c r="G71" s="508" t="s">
        <v>8</v>
      </c>
      <c r="H71" s="551" t="s">
        <v>93</v>
      </c>
      <c r="I71" s="551">
        <v>6</v>
      </c>
      <c r="J71" s="551">
        <v>7</v>
      </c>
      <c r="K71" s="551">
        <v>7</v>
      </c>
      <c r="L71" s="551">
        <v>7</v>
      </c>
      <c r="N71" s="552">
        <f>SUMIFS('Sales T&amp;E &amp; 科室会WP'!$N:$N,'Sales T&amp;E &amp; 科室会WP'!$L:$L,$G71,'Sales T&amp;E &amp; 科室会WP'!$M:$M,$H71)*3*I71</f>
        <v>162000</v>
      </c>
      <c r="O71" s="552">
        <f>SUMIFS('Sales T&amp;E &amp; 科室会WP'!$N:$N,'Sales T&amp;E &amp; 科室会WP'!$L:$L,$G71,'Sales T&amp;E &amp; 科室会WP'!$M:$M,$H71)*3*J71</f>
        <v>189000</v>
      </c>
      <c r="P71" s="552">
        <f>SUMIFS('Sales T&amp;E &amp; 科室会WP'!$N:$N,'Sales T&amp;E &amp; 科室会WP'!$L:$L,$G71,'Sales T&amp;E &amp; 科室会WP'!$M:$M,$H71)*3*K71</f>
        <v>189000</v>
      </c>
      <c r="Q71" s="552">
        <f>SUMIFS('Sales T&amp;E &amp; 科室会WP'!$N:$N,'Sales T&amp;E &amp; 科室会WP'!$L:$L,$G71,'Sales T&amp;E &amp; 科室会WP'!$M:$M,$H71)*3*L71</f>
        <v>189000</v>
      </c>
      <c r="R71" s="553">
        <f t="shared" si="13"/>
        <v>729000</v>
      </c>
      <c r="V71" s="553">
        <f t="shared" si="14"/>
        <v>54000</v>
      </c>
      <c r="W71" s="553">
        <f t="shared" si="14"/>
        <v>54000</v>
      </c>
      <c r="X71" s="553">
        <f t="shared" si="14"/>
        <v>54000</v>
      </c>
      <c r="Y71" s="553">
        <f t="shared" si="15"/>
        <v>63000</v>
      </c>
      <c r="Z71" s="553">
        <f t="shared" si="15"/>
        <v>63000</v>
      </c>
      <c r="AA71" s="553">
        <f t="shared" si="15"/>
        <v>63000</v>
      </c>
      <c r="AB71" s="553">
        <f t="shared" si="16"/>
        <v>63000</v>
      </c>
      <c r="AC71" s="553">
        <f t="shared" si="16"/>
        <v>63000</v>
      </c>
      <c r="AD71" s="553">
        <f t="shared" si="16"/>
        <v>63000</v>
      </c>
      <c r="AE71" s="553">
        <f t="shared" si="17"/>
        <v>63000</v>
      </c>
      <c r="AF71" s="553">
        <f t="shared" si="17"/>
        <v>63000</v>
      </c>
      <c r="AG71" s="553">
        <f t="shared" si="17"/>
        <v>63000</v>
      </c>
      <c r="AH71" s="553">
        <f t="shared" si="18"/>
        <v>729000</v>
      </c>
      <c r="AI71" s="553">
        <f t="shared" si="19"/>
        <v>0</v>
      </c>
      <c r="AL71" s="552">
        <f>SUMIFS('Sales T&amp;E &amp; 科室会WP'!$T:$T,'Sales T&amp;E &amp; 科室会WP'!$Q:$Q,$H71)*$I71</f>
        <v>18000</v>
      </c>
      <c r="AM71" s="552">
        <f>SUMIFS('Sales T&amp;E &amp; 科室会WP'!$T:$T,'Sales T&amp;E &amp; 科室会WP'!$Q:$Q,$H71)*$I71</f>
        <v>18000</v>
      </c>
      <c r="AN71" s="552">
        <f>SUMIFS('Sales T&amp;E &amp; 科室会WP'!$T:$T,'Sales T&amp;E &amp; 科室会WP'!$Q:$Q,$H71)*$I71</f>
        <v>18000</v>
      </c>
      <c r="AO71" s="552">
        <f>SUMIFS('Sales T&amp;E &amp; 科室会WP'!$T:$T,'Sales T&amp;E &amp; 科室会WP'!$Q:$Q,$H71)*$J71</f>
        <v>21000</v>
      </c>
      <c r="AP71" s="552">
        <f>SUMIFS('Sales T&amp;E &amp; 科室会WP'!$T:$T,'Sales T&amp;E &amp; 科室会WP'!$Q:$Q,$H71)*$J71</f>
        <v>21000</v>
      </c>
      <c r="AQ71" s="552">
        <f>SUMIFS('Sales T&amp;E &amp; 科室会WP'!$T:$T,'Sales T&amp;E &amp; 科室会WP'!$Q:$Q,$H71)*$J71</f>
        <v>21000</v>
      </c>
      <c r="AR71" s="552">
        <f>SUMIFS('Sales T&amp;E &amp; 科室会WP'!$T:$T,'Sales T&amp;E &amp; 科室会WP'!$Q:$Q,$H71)*$K71</f>
        <v>21000</v>
      </c>
      <c r="AS71" s="552">
        <f>SUMIFS('Sales T&amp;E &amp; 科室会WP'!$T:$T,'Sales T&amp;E &amp; 科室会WP'!$Q:$Q,$H71)*$K71</f>
        <v>21000</v>
      </c>
      <c r="AT71" s="552">
        <f>SUMIFS('Sales T&amp;E &amp; 科室会WP'!$T:$T,'Sales T&amp;E &amp; 科室会WP'!$Q:$Q,$H71)*$K71</f>
        <v>21000</v>
      </c>
      <c r="AU71" s="552">
        <f>SUMIFS('Sales T&amp;E &amp; 科室会WP'!$T:$T,'Sales T&amp;E &amp; 科室会WP'!$Q:$Q,$H71)*$L71</f>
        <v>21000</v>
      </c>
      <c r="AV71" s="552">
        <f>SUMIFS('Sales T&amp;E &amp; 科室会WP'!$T:$T,'Sales T&amp;E &amp; 科室会WP'!$Q:$Q,$H71)*$L71</f>
        <v>21000</v>
      </c>
      <c r="AW71" s="552">
        <f>SUMIFS('Sales T&amp;E &amp; 科室会WP'!$T:$T,'Sales T&amp;E &amp; 科室会WP'!$Q:$Q,$H71)*$L71</f>
        <v>21000</v>
      </c>
      <c r="AX71" s="552">
        <f t="shared" si="20"/>
        <v>243000</v>
      </c>
    </row>
    <row r="72" spans="1:50" hidden="1">
      <c r="A72" s="551" t="s">
        <v>203</v>
      </c>
      <c r="B72" s="551" t="s">
        <v>958</v>
      </c>
      <c r="C72" s="551" t="s">
        <v>973</v>
      </c>
      <c r="D72" s="551" t="s">
        <v>974</v>
      </c>
      <c r="E72" s="551" t="s">
        <v>963</v>
      </c>
      <c r="F72" s="508" t="s">
        <v>976</v>
      </c>
      <c r="G72" s="508" t="s">
        <v>8</v>
      </c>
      <c r="H72" s="551" t="s">
        <v>94</v>
      </c>
      <c r="I72" s="551">
        <v>36</v>
      </c>
      <c r="J72" s="551">
        <v>41</v>
      </c>
      <c r="K72" s="551">
        <v>41</v>
      </c>
      <c r="L72" s="551">
        <v>41</v>
      </c>
      <c r="N72" s="552">
        <f>SUMIFS('Sales T&amp;E &amp; 科室会WP'!$N:$N,'Sales T&amp;E &amp; 科室会WP'!$L:$L,$G72,'Sales T&amp;E &amp; 科室会WP'!$M:$M,$H72)*3*I72</f>
        <v>540000</v>
      </c>
      <c r="O72" s="552">
        <f>SUMIFS('Sales T&amp;E &amp; 科室会WP'!$N:$N,'Sales T&amp;E &amp; 科室会WP'!$L:$L,$G72,'Sales T&amp;E &amp; 科室会WP'!$M:$M,$H72)*3*J72</f>
        <v>615000</v>
      </c>
      <c r="P72" s="552">
        <f>SUMIFS('Sales T&amp;E &amp; 科室会WP'!$N:$N,'Sales T&amp;E &amp; 科室会WP'!$L:$L,$G72,'Sales T&amp;E &amp; 科室会WP'!$M:$M,$H72)*3*K72</f>
        <v>615000</v>
      </c>
      <c r="Q72" s="552">
        <f>SUMIFS('Sales T&amp;E &amp; 科室会WP'!$N:$N,'Sales T&amp;E &amp; 科室会WP'!$L:$L,$G72,'Sales T&amp;E &amp; 科室会WP'!$M:$M,$H72)*3*L72</f>
        <v>615000</v>
      </c>
      <c r="R72" s="553">
        <f t="shared" si="13"/>
        <v>2385000</v>
      </c>
      <c r="V72" s="553">
        <f t="shared" si="14"/>
        <v>180000</v>
      </c>
      <c r="W72" s="553">
        <f t="shared" si="14"/>
        <v>180000</v>
      </c>
      <c r="X72" s="553">
        <f t="shared" si="14"/>
        <v>180000</v>
      </c>
      <c r="Y72" s="553">
        <f t="shared" si="15"/>
        <v>205000</v>
      </c>
      <c r="Z72" s="553">
        <f t="shared" si="15"/>
        <v>205000</v>
      </c>
      <c r="AA72" s="553">
        <f t="shared" si="15"/>
        <v>205000</v>
      </c>
      <c r="AB72" s="553">
        <f t="shared" si="16"/>
        <v>205000</v>
      </c>
      <c r="AC72" s="553">
        <f t="shared" si="16"/>
        <v>205000</v>
      </c>
      <c r="AD72" s="553">
        <f t="shared" si="16"/>
        <v>205000</v>
      </c>
      <c r="AE72" s="553">
        <f t="shared" si="17"/>
        <v>205000</v>
      </c>
      <c r="AF72" s="553">
        <f t="shared" si="17"/>
        <v>205000</v>
      </c>
      <c r="AG72" s="553">
        <f t="shared" si="17"/>
        <v>205000</v>
      </c>
      <c r="AH72" s="553">
        <f t="shared" si="18"/>
        <v>2385000</v>
      </c>
      <c r="AI72" s="553">
        <f t="shared" si="19"/>
        <v>0</v>
      </c>
      <c r="AL72" s="552">
        <f>SUMIFS('Sales T&amp;E &amp; 科室会WP'!$T:$T,'Sales T&amp;E &amp; 科室会WP'!$Q:$Q,$H72)*$I72</f>
        <v>108000</v>
      </c>
      <c r="AM72" s="552">
        <f>SUMIFS('Sales T&amp;E &amp; 科室会WP'!$T:$T,'Sales T&amp;E &amp; 科室会WP'!$Q:$Q,$H72)*$I72</f>
        <v>108000</v>
      </c>
      <c r="AN72" s="552">
        <f>SUMIFS('Sales T&amp;E &amp; 科室会WP'!$T:$T,'Sales T&amp;E &amp; 科室会WP'!$Q:$Q,$H72)*$I72</f>
        <v>108000</v>
      </c>
      <c r="AO72" s="552">
        <f>SUMIFS('Sales T&amp;E &amp; 科室会WP'!$T:$T,'Sales T&amp;E &amp; 科室会WP'!$Q:$Q,$H72)*$J72</f>
        <v>123000</v>
      </c>
      <c r="AP72" s="552">
        <f>SUMIFS('Sales T&amp;E &amp; 科室会WP'!$T:$T,'Sales T&amp;E &amp; 科室会WP'!$Q:$Q,$H72)*$J72</f>
        <v>123000</v>
      </c>
      <c r="AQ72" s="552">
        <f>SUMIFS('Sales T&amp;E &amp; 科室会WP'!$T:$T,'Sales T&amp;E &amp; 科室会WP'!$Q:$Q,$H72)*$J72</f>
        <v>123000</v>
      </c>
      <c r="AR72" s="552">
        <f>SUMIFS('Sales T&amp;E &amp; 科室会WP'!$T:$T,'Sales T&amp;E &amp; 科室会WP'!$Q:$Q,$H72)*$K72</f>
        <v>123000</v>
      </c>
      <c r="AS72" s="552">
        <f>SUMIFS('Sales T&amp;E &amp; 科室会WP'!$T:$T,'Sales T&amp;E &amp; 科室会WP'!$Q:$Q,$H72)*$K72</f>
        <v>123000</v>
      </c>
      <c r="AT72" s="552">
        <f>SUMIFS('Sales T&amp;E &amp; 科室会WP'!$T:$T,'Sales T&amp;E &amp; 科室会WP'!$Q:$Q,$H72)*$K72</f>
        <v>123000</v>
      </c>
      <c r="AU72" s="552">
        <f>SUMIFS('Sales T&amp;E &amp; 科室会WP'!$T:$T,'Sales T&amp;E &amp; 科室会WP'!$Q:$Q,$H72)*$L72</f>
        <v>123000</v>
      </c>
      <c r="AV72" s="552">
        <f>SUMIFS('Sales T&amp;E &amp; 科室会WP'!$T:$T,'Sales T&amp;E &amp; 科室会WP'!$Q:$Q,$H72)*$L72</f>
        <v>123000</v>
      </c>
      <c r="AW72" s="552">
        <f>SUMIFS('Sales T&amp;E &amp; 科室会WP'!$T:$T,'Sales T&amp;E &amp; 科室会WP'!$Q:$Q,$H72)*$L72</f>
        <v>123000</v>
      </c>
      <c r="AX72" s="552">
        <f t="shared" si="20"/>
        <v>1431000</v>
      </c>
    </row>
    <row r="73" spans="1:50" hidden="1">
      <c r="A73" s="551" t="s">
        <v>203</v>
      </c>
      <c r="B73" s="551" t="s">
        <v>958</v>
      </c>
      <c r="C73" s="551" t="s">
        <v>973</v>
      </c>
      <c r="D73" s="551" t="s">
        <v>974</v>
      </c>
      <c r="E73" s="551" t="s">
        <v>963</v>
      </c>
      <c r="F73" s="508" t="s">
        <v>976</v>
      </c>
      <c r="G73" s="508" t="s">
        <v>8</v>
      </c>
      <c r="H73" s="551" t="s">
        <v>131</v>
      </c>
      <c r="I73" s="551">
        <v>1</v>
      </c>
      <c r="J73" s="551">
        <v>1</v>
      </c>
      <c r="K73" s="551">
        <v>1</v>
      </c>
      <c r="L73" s="551">
        <v>1</v>
      </c>
      <c r="N73" s="552">
        <f>SUMIFS('Sales T&amp;E &amp; 科室会WP'!$N:$N,'Sales T&amp;E &amp; 科室会WP'!$L:$L,$G73,'Sales T&amp;E &amp; 科室会WP'!$M:$M,$H73)*3*I73</f>
        <v>27000</v>
      </c>
      <c r="O73" s="552">
        <f>SUMIFS('Sales T&amp;E &amp; 科室会WP'!$N:$N,'Sales T&amp;E &amp; 科室会WP'!$L:$L,$G73,'Sales T&amp;E &amp; 科室会WP'!$M:$M,$H73)*3*J73</f>
        <v>27000</v>
      </c>
      <c r="P73" s="552">
        <f>SUMIFS('Sales T&amp;E &amp; 科室会WP'!$N:$N,'Sales T&amp;E &amp; 科室会WP'!$L:$L,$G73,'Sales T&amp;E &amp; 科室会WP'!$M:$M,$H73)*3*K73</f>
        <v>27000</v>
      </c>
      <c r="Q73" s="552">
        <f>SUMIFS('Sales T&amp;E &amp; 科室会WP'!$N:$N,'Sales T&amp;E &amp; 科室会WP'!$L:$L,$G73,'Sales T&amp;E &amp; 科室会WP'!$M:$M,$H73)*3*L73</f>
        <v>27000</v>
      </c>
      <c r="R73" s="553">
        <f t="shared" si="13"/>
        <v>108000</v>
      </c>
      <c r="V73" s="553">
        <f t="shared" si="14"/>
        <v>9000</v>
      </c>
      <c r="W73" s="553">
        <f t="shared" si="14"/>
        <v>9000</v>
      </c>
      <c r="X73" s="553">
        <f t="shared" si="14"/>
        <v>9000</v>
      </c>
      <c r="Y73" s="553">
        <f t="shared" si="15"/>
        <v>9000</v>
      </c>
      <c r="Z73" s="553">
        <f t="shared" si="15"/>
        <v>9000</v>
      </c>
      <c r="AA73" s="553">
        <f t="shared" si="15"/>
        <v>9000</v>
      </c>
      <c r="AB73" s="553">
        <f t="shared" si="16"/>
        <v>9000</v>
      </c>
      <c r="AC73" s="553">
        <f t="shared" si="16"/>
        <v>9000</v>
      </c>
      <c r="AD73" s="553">
        <f t="shared" si="16"/>
        <v>9000</v>
      </c>
      <c r="AE73" s="553">
        <f t="shared" si="17"/>
        <v>9000</v>
      </c>
      <c r="AF73" s="553">
        <f t="shared" si="17"/>
        <v>9000</v>
      </c>
      <c r="AG73" s="553">
        <f t="shared" si="17"/>
        <v>9000</v>
      </c>
      <c r="AH73" s="553">
        <f t="shared" si="18"/>
        <v>108000</v>
      </c>
      <c r="AI73" s="553">
        <f t="shared" si="19"/>
        <v>0</v>
      </c>
      <c r="AL73" s="552">
        <f>SUMIFS('Sales T&amp;E &amp; 科室会WP'!$T:$T,'Sales T&amp;E &amp; 科室会WP'!$Q:$Q,$H73)*$I73</f>
        <v>3000</v>
      </c>
      <c r="AM73" s="552">
        <f>SUMIFS('Sales T&amp;E &amp; 科室会WP'!$T:$T,'Sales T&amp;E &amp; 科室会WP'!$Q:$Q,$H73)*$I73</f>
        <v>3000</v>
      </c>
      <c r="AN73" s="552">
        <f>SUMIFS('Sales T&amp;E &amp; 科室会WP'!$T:$T,'Sales T&amp;E &amp; 科室会WP'!$Q:$Q,$H73)*$I73</f>
        <v>3000</v>
      </c>
      <c r="AO73" s="552">
        <f>SUMIFS('Sales T&amp;E &amp; 科室会WP'!$T:$T,'Sales T&amp;E &amp; 科室会WP'!$Q:$Q,$H73)*$J73</f>
        <v>3000</v>
      </c>
      <c r="AP73" s="552">
        <f>SUMIFS('Sales T&amp;E &amp; 科室会WP'!$T:$T,'Sales T&amp;E &amp; 科室会WP'!$Q:$Q,$H73)*$J73</f>
        <v>3000</v>
      </c>
      <c r="AQ73" s="552">
        <f>SUMIFS('Sales T&amp;E &amp; 科室会WP'!$T:$T,'Sales T&amp;E &amp; 科室会WP'!$Q:$Q,$H73)*$J73</f>
        <v>3000</v>
      </c>
      <c r="AR73" s="552">
        <f>SUMIFS('Sales T&amp;E &amp; 科室会WP'!$T:$T,'Sales T&amp;E &amp; 科室会WP'!$Q:$Q,$H73)*$K73</f>
        <v>3000</v>
      </c>
      <c r="AS73" s="552">
        <f>SUMIFS('Sales T&amp;E &amp; 科室会WP'!$T:$T,'Sales T&amp;E &amp; 科室会WP'!$Q:$Q,$H73)*$K73</f>
        <v>3000</v>
      </c>
      <c r="AT73" s="552">
        <f>SUMIFS('Sales T&amp;E &amp; 科室会WP'!$T:$T,'Sales T&amp;E &amp; 科室会WP'!$Q:$Q,$H73)*$K73</f>
        <v>3000</v>
      </c>
      <c r="AU73" s="552">
        <f>SUMIFS('Sales T&amp;E &amp; 科室会WP'!$T:$T,'Sales T&amp;E &amp; 科室会WP'!$Q:$Q,$H73)*$L73</f>
        <v>3000</v>
      </c>
      <c r="AV73" s="552">
        <f>SUMIFS('Sales T&amp;E &amp; 科室会WP'!$T:$T,'Sales T&amp;E &amp; 科室会WP'!$Q:$Q,$H73)*$L73</f>
        <v>3000</v>
      </c>
      <c r="AW73" s="552">
        <f>SUMIFS('Sales T&amp;E &amp; 科室会WP'!$T:$T,'Sales T&amp;E &amp; 科室会WP'!$Q:$Q,$H73)*$L73</f>
        <v>3000</v>
      </c>
      <c r="AX73" s="552">
        <f t="shared" si="20"/>
        <v>36000</v>
      </c>
    </row>
    <row r="74" spans="1:50" hidden="1">
      <c r="A74" s="551" t="s">
        <v>203</v>
      </c>
      <c r="B74" s="551" t="s">
        <v>958</v>
      </c>
      <c r="C74" s="551" t="s">
        <v>973</v>
      </c>
      <c r="D74" s="551" t="s">
        <v>974</v>
      </c>
      <c r="E74" s="551" t="s">
        <v>964</v>
      </c>
      <c r="F74" s="551" t="s">
        <v>977</v>
      </c>
      <c r="G74" s="508" t="s">
        <v>8</v>
      </c>
      <c r="H74" s="551" t="s">
        <v>93</v>
      </c>
      <c r="I74" s="551">
        <v>3</v>
      </c>
      <c r="J74" s="551">
        <v>3</v>
      </c>
      <c r="K74" s="551">
        <v>3</v>
      </c>
      <c r="L74" s="551">
        <v>3</v>
      </c>
      <c r="N74" s="552">
        <f>SUMIFS('Sales T&amp;E &amp; 科室会WP'!$N:$N,'Sales T&amp;E &amp; 科室会WP'!$L:$L,$G74,'Sales T&amp;E &amp; 科室会WP'!$M:$M,$H74)*3*I74</f>
        <v>81000</v>
      </c>
      <c r="O74" s="552">
        <f>SUMIFS('Sales T&amp;E &amp; 科室会WP'!$N:$N,'Sales T&amp;E &amp; 科室会WP'!$L:$L,$G74,'Sales T&amp;E &amp; 科室会WP'!$M:$M,$H74)*3*J74</f>
        <v>81000</v>
      </c>
      <c r="P74" s="552">
        <f>SUMIFS('Sales T&amp;E &amp; 科室会WP'!$N:$N,'Sales T&amp;E &amp; 科室会WP'!$L:$L,$G74,'Sales T&amp;E &amp; 科室会WP'!$M:$M,$H74)*3*K74</f>
        <v>81000</v>
      </c>
      <c r="Q74" s="552">
        <f>SUMIFS('Sales T&amp;E &amp; 科室会WP'!$N:$N,'Sales T&amp;E &amp; 科室会WP'!$L:$L,$G74,'Sales T&amp;E &amp; 科室会WP'!$M:$M,$H74)*3*L74</f>
        <v>81000</v>
      </c>
      <c r="R74" s="553">
        <f t="shared" si="13"/>
        <v>324000</v>
      </c>
      <c r="V74" s="553">
        <f t="shared" si="14"/>
        <v>27000</v>
      </c>
      <c r="W74" s="553">
        <f t="shared" si="14"/>
        <v>27000</v>
      </c>
      <c r="X74" s="553">
        <f t="shared" si="14"/>
        <v>27000</v>
      </c>
      <c r="Y74" s="553">
        <f t="shared" si="15"/>
        <v>27000</v>
      </c>
      <c r="Z74" s="553">
        <f t="shared" si="15"/>
        <v>27000</v>
      </c>
      <c r="AA74" s="553">
        <f t="shared" si="15"/>
        <v>27000</v>
      </c>
      <c r="AB74" s="553">
        <f t="shared" si="16"/>
        <v>27000</v>
      </c>
      <c r="AC74" s="553">
        <f t="shared" si="16"/>
        <v>27000</v>
      </c>
      <c r="AD74" s="553">
        <f t="shared" si="16"/>
        <v>27000</v>
      </c>
      <c r="AE74" s="553">
        <f t="shared" si="17"/>
        <v>27000</v>
      </c>
      <c r="AF74" s="553">
        <f t="shared" si="17"/>
        <v>27000</v>
      </c>
      <c r="AG74" s="553">
        <f t="shared" si="17"/>
        <v>27000</v>
      </c>
      <c r="AH74" s="553">
        <f t="shared" si="18"/>
        <v>324000</v>
      </c>
      <c r="AI74" s="553">
        <f t="shared" si="19"/>
        <v>0</v>
      </c>
      <c r="AL74" s="552">
        <f>SUMIFS('Sales T&amp;E &amp; 科室会WP'!$T:$T,'Sales T&amp;E &amp; 科室会WP'!$Q:$Q,$H74)*$I74</f>
        <v>9000</v>
      </c>
      <c r="AM74" s="552">
        <f>SUMIFS('Sales T&amp;E &amp; 科室会WP'!$T:$T,'Sales T&amp;E &amp; 科室会WP'!$Q:$Q,$H74)*$I74</f>
        <v>9000</v>
      </c>
      <c r="AN74" s="552">
        <f>SUMIFS('Sales T&amp;E &amp; 科室会WP'!$T:$T,'Sales T&amp;E &amp; 科室会WP'!$Q:$Q,$H74)*$I74</f>
        <v>9000</v>
      </c>
      <c r="AO74" s="552">
        <f>SUMIFS('Sales T&amp;E &amp; 科室会WP'!$T:$T,'Sales T&amp;E &amp; 科室会WP'!$Q:$Q,$H74)*$J74</f>
        <v>9000</v>
      </c>
      <c r="AP74" s="552">
        <f>SUMIFS('Sales T&amp;E &amp; 科室会WP'!$T:$T,'Sales T&amp;E &amp; 科室会WP'!$Q:$Q,$H74)*$J74</f>
        <v>9000</v>
      </c>
      <c r="AQ74" s="552">
        <f>SUMIFS('Sales T&amp;E &amp; 科室会WP'!$T:$T,'Sales T&amp;E &amp; 科室会WP'!$Q:$Q,$H74)*$J74</f>
        <v>9000</v>
      </c>
      <c r="AR74" s="552">
        <f>SUMIFS('Sales T&amp;E &amp; 科室会WP'!$T:$T,'Sales T&amp;E &amp; 科室会WP'!$Q:$Q,$H74)*$K74</f>
        <v>9000</v>
      </c>
      <c r="AS74" s="552">
        <f>SUMIFS('Sales T&amp;E &amp; 科室会WP'!$T:$T,'Sales T&amp;E &amp; 科室会WP'!$Q:$Q,$H74)*$K74</f>
        <v>9000</v>
      </c>
      <c r="AT74" s="552">
        <f>SUMIFS('Sales T&amp;E &amp; 科室会WP'!$T:$T,'Sales T&amp;E &amp; 科室会WP'!$Q:$Q,$H74)*$K74</f>
        <v>9000</v>
      </c>
      <c r="AU74" s="552">
        <f>SUMIFS('Sales T&amp;E &amp; 科室会WP'!$T:$T,'Sales T&amp;E &amp; 科室会WP'!$Q:$Q,$H74)*$L74</f>
        <v>9000</v>
      </c>
      <c r="AV74" s="552">
        <f>SUMIFS('Sales T&amp;E &amp; 科室会WP'!$T:$T,'Sales T&amp;E &amp; 科室会WP'!$Q:$Q,$H74)*$L74</f>
        <v>9000</v>
      </c>
      <c r="AW74" s="552">
        <f>SUMIFS('Sales T&amp;E &amp; 科室会WP'!$T:$T,'Sales T&amp;E &amp; 科室会WP'!$Q:$Q,$H74)*$L74</f>
        <v>9000</v>
      </c>
      <c r="AX74" s="552">
        <f t="shared" si="20"/>
        <v>108000</v>
      </c>
    </row>
    <row r="75" spans="1:50" hidden="1">
      <c r="A75" s="551" t="s">
        <v>203</v>
      </c>
      <c r="B75" s="551" t="s">
        <v>958</v>
      </c>
      <c r="C75" s="551" t="s">
        <v>973</v>
      </c>
      <c r="D75" s="551" t="s">
        <v>974</v>
      </c>
      <c r="E75" s="551" t="s">
        <v>964</v>
      </c>
      <c r="F75" s="551" t="s">
        <v>977</v>
      </c>
      <c r="G75" s="508" t="s">
        <v>8</v>
      </c>
      <c r="H75" s="551" t="s">
        <v>94</v>
      </c>
      <c r="I75" s="551">
        <v>25</v>
      </c>
      <c r="J75" s="551">
        <v>33</v>
      </c>
      <c r="K75" s="551">
        <v>33</v>
      </c>
      <c r="L75" s="551">
        <v>33</v>
      </c>
      <c r="N75" s="552">
        <f>SUMIFS('Sales T&amp;E &amp; 科室会WP'!$N:$N,'Sales T&amp;E &amp; 科室会WP'!$L:$L,$G75,'Sales T&amp;E &amp; 科室会WP'!$M:$M,$H75)*3*I75</f>
        <v>375000</v>
      </c>
      <c r="O75" s="552">
        <f>SUMIFS('Sales T&amp;E &amp; 科室会WP'!$N:$N,'Sales T&amp;E &amp; 科室会WP'!$L:$L,$G75,'Sales T&amp;E &amp; 科室会WP'!$M:$M,$H75)*3*J75</f>
        <v>495000</v>
      </c>
      <c r="P75" s="552">
        <f>SUMIFS('Sales T&amp;E &amp; 科室会WP'!$N:$N,'Sales T&amp;E &amp; 科室会WP'!$L:$L,$G75,'Sales T&amp;E &amp; 科室会WP'!$M:$M,$H75)*3*K75</f>
        <v>495000</v>
      </c>
      <c r="Q75" s="552">
        <f>SUMIFS('Sales T&amp;E &amp; 科室会WP'!$N:$N,'Sales T&amp;E &amp; 科室会WP'!$L:$L,$G75,'Sales T&amp;E &amp; 科室会WP'!$M:$M,$H75)*3*L75</f>
        <v>495000</v>
      </c>
      <c r="R75" s="553">
        <f t="shared" si="13"/>
        <v>1860000</v>
      </c>
      <c r="V75" s="553">
        <f t="shared" si="14"/>
        <v>125000</v>
      </c>
      <c r="W75" s="553">
        <f t="shared" si="14"/>
        <v>125000</v>
      </c>
      <c r="X75" s="553">
        <f t="shared" si="14"/>
        <v>125000</v>
      </c>
      <c r="Y75" s="553">
        <f t="shared" si="15"/>
        <v>165000</v>
      </c>
      <c r="Z75" s="553">
        <f t="shared" si="15"/>
        <v>165000</v>
      </c>
      <c r="AA75" s="553">
        <f t="shared" si="15"/>
        <v>165000</v>
      </c>
      <c r="AB75" s="553">
        <f t="shared" si="16"/>
        <v>165000</v>
      </c>
      <c r="AC75" s="553">
        <f t="shared" si="16"/>
        <v>165000</v>
      </c>
      <c r="AD75" s="553">
        <f t="shared" si="16"/>
        <v>165000</v>
      </c>
      <c r="AE75" s="553">
        <f t="shared" si="17"/>
        <v>165000</v>
      </c>
      <c r="AF75" s="553">
        <f t="shared" si="17"/>
        <v>165000</v>
      </c>
      <c r="AG75" s="553">
        <f t="shared" si="17"/>
        <v>165000</v>
      </c>
      <c r="AH75" s="553">
        <f t="shared" si="18"/>
        <v>1860000</v>
      </c>
      <c r="AI75" s="553">
        <f t="shared" si="19"/>
        <v>0</v>
      </c>
      <c r="AL75" s="552">
        <f>SUMIFS('Sales T&amp;E &amp; 科室会WP'!$T:$T,'Sales T&amp;E &amp; 科室会WP'!$Q:$Q,$H75)*$I75</f>
        <v>75000</v>
      </c>
      <c r="AM75" s="552">
        <f>SUMIFS('Sales T&amp;E &amp; 科室会WP'!$T:$T,'Sales T&amp;E &amp; 科室会WP'!$Q:$Q,$H75)*$I75</f>
        <v>75000</v>
      </c>
      <c r="AN75" s="552">
        <f>SUMIFS('Sales T&amp;E &amp; 科室会WP'!$T:$T,'Sales T&amp;E &amp; 科室会WP'!$Q:$Q,$H75)*$I75</f>
        <v>75000</v>
      </c>
      <c r="AO75" s="552">
        <f>SUMIFS('Sales T&amp;E &amp; 科室会WP'!$T:$T,'Sales T&amp;E &amp; 科室会WP'!$Q:$Q,$H75)*$J75</f>
        <v>99000</v>
      </c>
      <c r="AP75" s="552">
        <f>SUMIFS('Sales T&amp;E &amp; 科室会WP'!$T:$T,'Sales T&amp;E &amp; 科室会WP'!$Q:$Q,$H75)*$J75</f>
        <v>99000</v>
      </c>
      <c r="AQ75" s="552">
        <f>SUMIFS('Sales T&amp;E &amp; 科室会WP'!$T:$T,'Sales T&amp;E &amp; 科室会WP'!$Q:$Q,$H75)*$J75</f>
        <v>99000</v>
      </c>
      <c r="AR75" s="552">
        <f>SUMIFS('Sales T&amp;E &amp; 科室会WP'!$T:$T,'Sales T&amp;E &amp; 科室会WP'!$Q:$Q,$H75)*$K75</f>
        <v>99000</v>
      </c>
      <c r="AS75" s="552">
        <f>SUMIFS('Sales T&amp;E &amp; 科室会WP'!$T:$T,'Sales T&amp;E &amp; 科室会WP'!$Q:$Q,$H75)*$K75</f>
        <v>99000</v>
      </c>
      <c r="AT75" s="552">
        <f>SUMIFS('Sales T&amp;E &amp; 科室会WP'!$T:$T,'Sales T&amp;E &amp; 科室会WP'!$Q:$Q,$H75)*$K75</f>
        <v>99000</v>
      </c>
      <c r="AU75" s="552">
        <f>SUMIFS('Sales T&amp;E &amp; 科室会WP'!$T:$T,'Sales T&amp;E &amp; 科室会WP'!$Q:$Q,$H75)*$L75</f>
        <v>99000</v>
      </c>
      <c r="AV75" s="552">
        <f>SUMIFS('Sales T&amp;E &amp; 科室会WP'!$T:$T,'Sales T&amp;E &amp; 科室会WP'!$Q:$Q,$H75)*$L75</f>
        <v>99000</v>
      </c>
      <c r="AW75" s="552">
        <f>SUMIFS('Sales T&amp;E &amp; 科室会WP'!$T:$T,'Sales T&amp;E &amp; 科室会WP'!$Q:$Q,$H75)*$L75</f>
        <v>99000</v>
      </c>
      <c r="AX75" s="552">
        <f t="shared" si="20"/>
        <v>1116000</v>
      </c>
    </row>
    <row r="76" spans="1:50" hidden="1">
      <c r="A76" s="551" t="s">
        <v>203</v>
      </c>
      <c r="B76" s="551" t="s">
        <v>958</v>
      </c>
      <c r="C76" s="551" t="s">
        <v>973</v>
      </c>
      <c r="D76" s="551" t="s">
        <v>974</v>
      </c>
      <c r="E76" s="551" t="s">
        <v>964</v>
      </c>
      <c r="F76" s="551" t="s">
        <v>977</v>
      </c>
      <c r="G76" s="508" t="s">
        <v>8</v>
      </c>
      <c r="H76" s="551" t="s">
        <v>131</v>
      </c>
      <c r="I76" s="551">
        <v>1</v>
      </c>
      <c r="J76" s="551">
        <v>1</v>
      </c>
      <c r="K76" s="551">
        <v>1</v>
      </c>
      <c r="L76" s="551">
        <v>1</v>
      </c>
      <c r="N76" s="552">
        <f>SUMIFS('Sales T&amp;E &amp; 科室会WP'!$N:$N,'Sales T&amp;E &amp; 科室会WP'!$L:$L,$G76,'Sales T&amp;E &amp; 科室会WP'!$M:$M,$H76)*3*I76</f>
        <v>27000</v>
      </c>
      <c r="O76" s="552">
        <f>SUMIFS('Sales T&amp;E &amp; 科室会WP'!$N:$N,'Sales T&amp;E &amp; 科室会WP'!$L:$L,$G76,'Sales T&amp;E &amp; 科室会WP'!$M:$M,$H76)*3*J76</f>
        <v>27000</v>
      </c>
      <c r="P76" s="552">
        <f>SUMIFS('Sales T&amp;E &amp; 科室会WP'!$N:$N,'Sales T&amp;E &amp; 科室会WP'!$L:$L,$G76,'Sales T&amp;E &amp; 科室会WP'!$M:$M,$H76)*3*K76</f>
        <v>27000</v>
      </c>
      <c r="Q76" s="552">
        <f>SUMIFS('Sales T&amp;E &amp; 科室会WP'!$N:$N,'Sales T&amp;E &amp; 科室会WP'!$L:$L,$G76,'Sales T&amp;E &amp; 科室会WP'!$M:$M,$H76)*3*L76</f>
        <v>27000</v>
      </c>
      <c r="R76" s="553">
        <f t="shared" si="13"/>
        <v>108000</v>
      </c>
      <c r="V76" s="553">
        <f t="shared" si="14"/>
        <v>9000</v>
      </c>
      <c r="W76" s="553">
        <f t="shared" si="14"/>
        <v>9000</v>
      </c>
      <c r="X76" s="553">
        <f t="shared" si="14"/>
        <v>9000</v>
      </c>
      <c r="Y76" s="553">
        <f t="shared" si="15"/>
        <v>9000</v>
      </c>
      <c r="Z76" s="553">
        <f t="shared" si="15"/>
        <v>9000</v>
      </c>
      <c r="AA76" s="553">
        <f t="shared" si="15"/>
        <v>9000</v>
      </c>
      <c r="AB76" s="553">
        <f t="shared" si="16"/>
        <v>9000</v>
      </c>
      <c r="AC76" s="553">
        <f t="shared" si="16"/>
        <v>9000</v>
      </c>
      <c r="AD76" s="553">
        <f t="shared" si="16"/>
        <v>9000</v>
      </c>
      <c r="AE76" s="553">
        <f t="shared" si="17"/>
        <v>9000</v>
      </c>
      <c r="AF76" s="553">
        <f t="shared" si="17"/>
        <v>9000</v>
      </c>
      <c r="AG76" s="553">
        <f t="shared" si="17"/>
        <v>9000</v>
      </c>
      <c r="AH76" s="553">
        <f t="shared" si="18"/>
        <v>108000</v>
      </c>
      <c r="AI76" s="553">
        <f t="shared" si="19"/>
        <v>0</v>
      </c>
      <c r="AL76" s="552">
        <f>SUMIFS('Sales T&amp;E &amp; 科室会WP'!$T:$T,'Sales T&amp;E &amp; 科室会WP'!$Q:$Q,$H76)*$I76</f>
        <v>3000</v>
      </c>
      <c r="AM76" s="552">
        <f>SUMIFS('Sales T&amp;E &amp; 科室会WP'!$T:$T,'Sales T&amp;E &amp; 科室会WP'!$Q:$Q,$H76)*$I76</f>
        <v>3000</v>
      </c>
      <c r="AN76" s="552">
        <f>SUMIFS('Sales T&amp;E &amp; 科室会WP'!$T:$T,'Sales T&amp;E &amp; 科室会WP'!$Q:$Q,$H76)*$I76</f>
        <v>3000</v>
      </c>
      <c r="AO76" s="552">
        <f>SUMIFS('Sales T&amp;E &amp; 科室会WP'!$T:$T,'Sales T&amp;E &amp; 科室会WP'!$Q:$Q,$H76)*$J76</f>
        <v>3000</v>
      </c>
      <c r="AP76" s="552">
        <f>SUMIFS('Sales T&amp;E &amp; 科室会WP'!$T:$T,'Sales T&amp;E &amp; 科室会WP'!$Q:$Q,$H76)*$J76</f>
        <v>3000</v>
      </c>
      <c r="AQ76" s="552">
        <f>SUMIFS('Sales T&amp;E &amp; 科室会WP'!$T:$T,'Sales T&amp;E &amp; 科室会WP'!$Q:$Q,$H76)*$J76</f>
        <v>3000</v>
      </c>
      <c r="AR76" s="552">
        <f>SUMIFS('Sales T&amp;E &amp; 科室会WP'!$T:$T,'Sales T&amp;E &amp; 科室会WP'!$Q:$Q,$H76)*$K76</f>
        <v>3000</v>
      </c>
      <c r="AS76" s="552">
        <f>SUMIFS('Sales T&amp;E &amp; 科室会WP'!$T:$T,'Sales T&amp;E &amp; 科室会WP'!$Q:$Q,$H76)*$K76</f>
        <v>3000</v>
      </c>
      <c r="AT76" s="552">
        <f>SUMIFS('Sales T&amp;E &amp; 科室会WP'!$T:$T,'Sales T&amp;E &amp; 科室会WP'!$Q:$Q,$H76)*$K76</f>
        <v>3000</v>
      </c>
      <c r="AU76" s="552">
        <f>SUMIFS('Sales T&amp;E &amp; 科室会WP'!$T:$T,'Sales T&amp;E &amp; 科室会WP'!$Q:$Q,$H76)*$L76</f>
        <v>3000</v>
      </c>
      <c r="AV76" s="552">
        <f>SUMIFS('Sales T&amp;E &amp; 科室会WP'!$T:$T,'Sales T&amp;E &amp; 科室会WP'!$Q:$Q,$H76)*$L76</f>
        <v>3000</v>
      </c>
      <c r="AW76" s="552">
        <f>SUMIFS('Sales T&amp;E &amp; 科室会WP'!$T:$T,'Sales T&amp;E &amp; 科室会WP'!$Q:$Q,$H76)*$L76</f>
        <v>3000</v>
      </c>
      <c r="AX76" s="552">
        <f t="shared" si="20"/>
        <v>36000</v>
      </c>
    </row>
    <row r="77" spans="1:50" hidden="1">
      <c r="A77" s="551" t="s">
        <v>203</v>
      </c>
      <c r="B77" s="551" t="s">
        <v>958</v>
      </c>
      <c r="C77" s="551" t="s">
        <v>973</v>
      </c>
      <c r="D77" s="551" t="s">
        <v>974</v>
      </c>
      <c r="E77" s="551" t="s">
        <v>965</v>
      </c>
      <c r="F77" s="551" t="s">
        <v>978</v>
      </c>
      <c r="G77" s="508" t="s">
        <v>8</v>
      </c>
      <c r="N77" s="552">
        <f>SUMIFS('Sales T&amp;E &amp; 科室会WP'!$N:$N,'Sales T&amp;E &amp; 科室会WP'!$L:$L,$G77,'Sales T&amp;E &amp; 科室会WP'!$M:$M,$H77)*3*I77</f>
        <v>0</v>
      </c>
      <c r="O77" s="552">
        <f>SUMIFS('Sales T&amp;E &amp; 科室会WP'!$N:$N,'Sales T&amp;E &amp; 科室会WP'!$L:$L,$G77,'Sales T&amp;E &amp; 科室会WP'!$M:$M,$H77)*3*J77</f>
        <v>0</v>
      </c>
      <c r="P77" s="552">
        <f>SUMIFS('Sales T&amp;E &amp; 科室会WP'!$N:$N,'Sales T&amp;E &amp; 科室会WP'!$L:$L,$G77,'Sales T&amp;E &amp; 科室会WP'!$M:$M,$H77)*3*K77</f>
        <v>0</v>
      </c>
      <c r="Q77" s="552">
        <f>SUMIFS('Sales T&amp;E &amp; 科室会WP'!$N:$N,'Sales T&amp;E &amp; 科室会WP'!$L:$L,$G77,'Sales T&amp;E &amp; 科室会WP'!$M:$M,$H77)*3*L77</f>
        <v>0</v>
      </c>
      <c r="R77" s="553">
        <f t="shared" si="13"/>
        <v>0</v>
      </c>
      <c r="V77" s="553">
        <f t="shared" si="14"/>
        <v>0</v>
      </c>
      <c r="W77" s="553">
        <f t="shared" si="14"/>
        <v>0</v>
      </c>
      <c r="X77" s="553">
        <f t="shared" si="14"/>
        <v>0</v>
      </c>
      <c r="Y77" s="553">
        <f t="shared" si="15"/>
        <v>0</v>
      </c>
      <c r="Z77" s="553">
        <f t="shared" si="15"/>
        <v>0</v>
      </c>
      <c r="AA77" s="553">
        <f t="shared" si="15"/>
        <v>0</v>
      </c>
      <c r="AB77" s="553">
        <f t="shared" si="16"/>
        <v>0</v>
      </c>
      <c r="AC77" s="553">
        <f t="shared" si="16"/>
        <v>0</v>
      </c>
      <c r="AD77" s="553">
        <f t="shared" si="16"/>
        <v>0</v>
      </c>
      <c r="AE77" s="553">
        <f t="shared" si="17"/>
        <v>0</v>
      </c>
      <c r="AF77" s="553">
        <f t="shared" si="17"/>
        <v>0</v>
      </c>
      <c r="AG77" s="553">
        <f t="shared" si="17"/>
        <v>0</v>
      </c>
      <c r="AH77" s="553">
        <f t="shared" si="18"/>
        <v>0</v>
      </c>
      <c r="AI77" s="553">
        <f t="shared" si="19"/>
        <v>0</v>
      </c>
      <c r="AL77" s="552">
        <f>SUMIFS('Sales T&amp;E &amp; 科室会WP'!$T:$T,'Sales T&amp;E &amp; 科室会WP'!$Q:$Q,$H77)*$I77</f>
        <v>0</v>
      </c>
      <c r="AM77" s="552">
        <f>SUMIFS('Sales T&amp;E &amp; 科室会WP'!$T:$T,'Sales T&amp;E &amp; 科室会WP'!$Q:$Q,$H77)*$I77</f>
        <v>0</v>
      </c>
      <c r="AN77" s="552">
        <f>SUMIFS('Sales T&amp;E &amp; 科室会WP'!$T:$T,'Sales T&amp;E &amp; 科室会WP'!$Q:$Q,$H77)*$I77</f>
        <v>0</v>
      </c>
      <c r="AO77" s="552">
        <f>SUMIFS('Sales T&amp;E &amp; 科室会WP'!$T:$T,'Sales T&amp;E &amp; 科室会WP'!$Q:$Q,$H77)*$J77</f>
        <v>0</v>
      </c>
      <c r="AP77" s="552">
        <f>SUMIFS('Sales T&amp;E &amp; 科室会WP'!$T:$T,'Sales T&amp;E &amp; 科室会WP'!$Q:$Q,$H77)*$J77</f>
        <v>0</v>
      </c>
      <c r="AQ77" s="552">
        <f>SUMIFS('Sales T&amp;E &amp; 科室会WP'!$T:$T,'Sales T&amp;E &amp; 科室会WP'!$Q:$Q,$H77)*$J77</f>
        <v>0</v>
      </c>
      <c r="AR77" s="552">
        <f>SUMIFS('Sales T&amp;E &amp; 科室会WP'!$T:$T,'Sales T&amp;E &amp; 科室会WP'!$Q:$Q,$H77)*$K77</f>
        <v>0</v>
      </c>
      <c r="AS77" s="552">
        <f>SUMIFS('Sales T&amp;E &amp; 科室会WP'!$T:$T,'Sales T&amp;E &amp; 科室会WP'!$Q:$Q,$H77)*$K77</f>
        <v>0</v>
      </c>
      <c r="AT77" s="552">
        <f>SUMIFS('Sales T&amp;E &amp; 科室会WP'!$T:$T,'Sales T&amp;E &amp; 科室会WP'!$Q:$Q,$H77)*$K77</f>
        <v>0</v>
      </c>
      <c r="AU77" s="552">
        <f>SUMIFS('Sales T&amp;E &amp; 科室会WP'!$T:$T,'Sales T&amp;E &amp; 科室会WP'!$Q:$Q,$H77)*$L77</f>
        <v>0</v>
      </c>
      <c r="AV77" s="552">
        <f>SUMIFS('Sales T&amp;E &amp; 科室会WP'!$T:$T,'Sales T&amp;E &amp; 科室会WP'!$Q:$Q,$H77)*$L77</f>
        <v>0</v>
      </c>
      <c r="AW77" s="552">
        <f>SUMIFS('Sales T&amp;E &amp; 科室会WP'!$T:$T,'Sales T&amp;E &amp; 科室会WP'!$Q:$Q,$H77)*$L77</f>
        <v>0</v>
      </c>
      <c r="AX77" s="552">
        <f t="shared" si="20"/>
        <v>0</v>
      </c>
    </row>
    <row r="78" spans="1:50" hidden="1">
      <c r="A78" s="551" t="s">
        <v>203</v>
      </c>
      <c r="B78" s="551" t="s">
        <v>958</v>
      </c>
      <c r="C78" s="551" t="s">
        <v>973</v>
      </c>
      <c r="D78" s="551" t="s">
        <v>974</v>
      </c>
      <c r="E78" s="551" t="s">
        <v>965</v>
      </c>
      <c r="F78" s="551" t="s">
        <v>978</v>
      </c>
      <c r="G78" s="508" t="s">
        <v>8</v>
      </c>
      <c r="H78" s="551" t="s">
        <v>93</v>
      </c>
      <c r="I78" s="551">
        <v>3</v>
      </c>
      <c r="J78" s="551">
        <v>3</v>
      </c>
      <c r="K78" s="551">
        <v>3</v>
      </c>
      <c r="L78" s="551">
        <v>3</v>
      </c>
      <c r="N78" s="552">
        <f>SUMIFS('Sales T&amp;E &amp; 科室会WP'!$N:$N,'Sales T&amp;E &amp; 科室会WP'!$L:$L,$G78,'Sales T&amp;E &amp; 科室会WP'!$M:$M,$H78)*3*I78</f>
        <v>81000</v>
      </c>
      <c r="O78" s="552">
        <f>SUMIFS('Sales T&amp;E &amp; 科室会WP'!$N:$N,'Sales T&amp;E &amp; 科室会WP'!$L:$L,$G78,'Sales T&amp;E &amp; 科室会WP'!$M:$M,$H78)*3*J78</f>
        <v>81000</v>
      </c>
      <c r="P78" s="552">
        <f>SUMIFS('Sales T&amp;E &amp; 科室会WP'!$N:$N,'Sales T&amp;E &amp; 科室会WP'!$L:$L,$G78,'Sales T&amp;E &amp; 科室会WP'!$M:$M,$H78)*3*K78</f>
        <v>81000</v>
      </c>
      <c r="Q78" s="552">
        <f>SUMIFS('Sales T&amp;E &amp; 科室会WP'!$N:$N,'Sales T&amp;E &amp; 科室会WP'!$L:$L,$G78,'Sales T&amp;E &amp; 科室会WP'!$M:$M,$H78)*3*L78</f>
        <v>81000</v>
      </c>
      <c r="R78" s="553">
        <f t="shared" si="13"/>
        <v>324000</v>
      </c>
      <c r="V78" s="553">
        <f t="shared" si="14"/>
        <v>27000</v>
      </c>
      <c r="W78" s="553">
        <f t="shared" si="14"/>
        <v>27000</v>
      </c>
      <c r="X78" s="553">
        <f t="shared" si="14"/>
        <v>27000</v>
      </c>
      <c r="Y78" s="553">
        <f t="shared" si="15"/>
        <v>27000</v>
      </c>
      <c r="Z78" s="553">
        <f t="shared" si="15"/>
        <v>27000</v>
      </c>
      <c r="AA78" s="553">
        <f t="shared" si="15"/>
        <v>27000</v>
      </c>
      <c r="AB78" s="553">
        <f t="shared" si="16"/>
        <v>27000</v>
      </c>
      <c r="AC78" s="553">
        <f t="shared" si="16"/>
        <v>27000</v>
      </c>
      <c r="AD78" s="553">
        <f t="shared" si="16"/>
        <v>27000</v>
      </c>
      <c r="AE78" s="553">
        <f t="shared" si="17"/>
        <v>27000</v>
      </c>
      <c r="AF78" s="553">
        <f t="shared" si="17"/>
        <v>27000</v>
      </c>
      <c r="AG78" s="553">
        <f t="shared" si="17"/>
        <v>27000</v>
      </c>
      <c r="AH78" s="553">
        <f t="shared" si="18"/>
        <v>324000</v>
      </c>
      <c r="AI78" s="553">
        <f t="shared" si="19"/>
        <v>0</v>
      </c>
      <c r="AL78" s="552">
        <f>SUMIFS('Sales T&amp;E &amp; 科室会WP'!$T:$T,'Sales T&amp;E &amp; 科室会WP'!$Q:$Q,$H78)*$I78</f>
        <v>9000</v>
      </c>
      <c r="AM78" s="552">
        <f>SUMIFS('Sales T&amp;E &amp; 科室会WP'!$T:$T,'Sales T&amp;E &amp; 科室会WP'!$Q:$Q,$H78)*$I78</f>
        <v>9000</v>
      </c>
      <c r="AN78" s="552">
        <f>SUMIFS('Sales T&amp;E &amp; 科室会WP'!$T:$T,'Sales T&amp;E &amp; 科室会WP'!$Q:$Q,$H78)*$I78</f>
        <v>9000</v>
      </c>
      <c r="AO78" s="552">
        <f>SUMIFS('Sales T&amp;E &amp; 科室会WP'!$T:$T,'Sales T&amp;E &amp; 科室会WP'!$Q:$Q,$H78)*$J78</f>
        <v>9000</v>
      </c>
      <c r="AP78" s="552">
        <f>SUMIFS('Sales T&amp;E &amp; 科室会WP'!$T:$T,'Sales T&amp;E &amp; 科室会WP'!$Q:$Q,$H78)*$J78</f>
        <v>9000</v>
      </c>
      <c r="AQ78" s="552">
        <f>SUMIFS('Sales T&amp;E &amp; 科室会WP'!$T:$T,'Sales T&amp;E &amp; 科室会WP'!$Q:$Q,$H78)*$J78</f>
        <v>9000</v>
      </c>
      <c r="AR78" s="552">
        <f>SUMIFS('Sales T&amp;E &amp; 科室会WP'!$T:$T,'Sales T&amp;E &amp; 科室会WP'!$Q:$Q,$H78)*$K78</f>
        <v>9000</v>
      </c>
      <c r="AS78" s="552">
        <f>SUMIFS('Sales T&amp;E &amp; 科室会WP'!$T:$T,'Sales T&amp;E &amp; 科室会WP'!$Q:$Q,$H78)*$K78</f>
        <v>9000</v>
      </c>
      <c r="AT78" s="552">
        <f>SUMIFS('Sales T&amp;E &amp; 科室会WP'!$T:$T,'Sales T&amp;E &amp; 科室会WP'!$Q:$Q,$H78)*$K78</f>
        <v>9000</v>
      </c>
      <c r="AU78" s="552">
        <f>SUMIFS('Sales T&amp;E &amp; 科室会WP'!$T:$T,'Sales T&amp;E &amp; 科室会WP'!$Q:$Q,$H78)*$L78</f>
        <v>9000</v>
      </c>
      <c r="AV78" s="552">
        <f>SUMIFS('Sales T&amp;E &amp; 科室会WP'!$T:$T,'Sales T&amp;E &amp; 科室会WP'!$Q:$Q,$H78)*$L78</f>
        <v>9000</v>
      </c>
      <c r="AW78" s="552">
        <f>SUMIFS('Sales T&amp;E &amp; 科室会WP'!$T:$T,'Sales T&amp;E &amp; 科室会WP'!$Q:$Q,$H78)*$L78</f>
        <v>9000</v>
      </c>
      <c r="AX78" s="552">
        <f t="shared" si="20"/>
        <v>108000</v>
      </c>
    </row>
    <row r="79" spans="1:50" hidden="1">
      <c r="A79" s="551" t="s">
        <v>203</v>
      </c>
      <c r="B79" s="551" t="s">
        <v>958</v>
      </c>
      <c r="C79" s="551" t="s">
        <v>973</v>
      </c>
      <c r="D79" s="551" t="s">
        <v>974</v>
      </c>
      <c r="E79" s="551" t="s">
        <v>965</v>
      </c>
      <c r="F79" s="551" t="s">
        <v>978</v>
      </c>
      <c r="G79" s="508" t="s">
        <v>8</v>
      </c>
      <c r="H79" s="551" t="s">
        <v>94</v>
      </c>
      <c r="I79" s="551">
        <v>20</v>
      </c>
      <c r="J79" s="551">
        <v>24</v>
      </c>
      <c r="K79" s="551">
        <v>24</v>
      </c>
      <c r="L79" s="551">
        <v>24</v>
      </c>
      <c r="N79" s="552">
        <f>SUMIFS('Sales T&amp;E &amp; 科室会WP'!$N:$N,'Sales T&amp;E &amp; 科室会WP'!$L:$L,$G79,'Sales T&amp;E &amp; 科室会WP'!$M:$M,$H79)*3*I79</f>
        <v>300000</v>
      </c>
      <c r="O79" s="552">
        <f>SUMIFS('Sales T&amp;E &amp; 科室会WP'!$N:$N,'Sales T&amp;E &amp; 科室会WP'!$L:$L,$G79,'Sales T&amp;E &amp; 科室会WP'!$M:$M,$H79)*3*J79</f>
        <v>360000</v>
      </c>
      <c r="P79" s="552">
        <f>SUMIFS('Sales T&amp;E &amp; 科室会WP'!$N:$N,'Sales T&amp;E &amp; 科室会WP'!$L:$L,$G79,'Sales T&amp;E &amp; 科室会WP'!$M:$M,$H79)*3*K79</f>
        <v>360000</v>
      </c>
      <c r="Q79" s="552">
        <f>SUMIFS('Sales T&amp;E &amp; 科室会WP'!$N:$N,'Sales T&amp;E &amp; 科室会WP'!$L:$L,$G79,'Sales T&amp;E &amp; 科室会WP'!$M:$M,$H79)*3*L79</f>
        <v>360000</v>
      </c>
      <c r="R79" s="553">
        <f t="shared" si="13"/>
        <v>1380000</v>
      </c>
      <c r="V79" s="553">
        <f t="shared" si="14"/>
        <v>100000</v>
      </c>
      <c r="W79" s="553">
        <f t="shared" si="14"/>
        <v>100000</v>
      </c>
      <c r="X79" s="553">
        <f t="shared" si="14"/>
        <v>100000</v>
      </c>
      <c r="Y79" s="553">
        <f t="shared" si="15"/>
        <v>120000</v>
      </c>
      <c r="Z79" s="553">
        <f t="shared" si="15"/>
        <v>120000</v>
      </c>
      <c r="AA79" s="553">
        <f t="shared" si="15"/>
        <v>120000</v>
      </c>
      <c r="AB79" s="553">
        <f t="shared" si="16"/>
        <v>120000</v>
      </c>
      <c r="AC79" s="553">
        <f t="shared" si="16"/>
        <v>120000</v>
      </c>
      <c r="AD79" s="553">
        <f t="shared" si="16"/>
        <v>120000</v>
      </c>
      <c r="AE79" s="553">
        <f t="shared" si="17"/>
        <v>120000</v>
      </c>
      <c r="AF79" s="553">
        <f t="shared" si="17"/>
        <v>120000</v>
      </c>
      <c r="AG79" s="553">
        <f t="shared" si="17"/>
        <v>120000</v>
      </c>
      <c r="AH79" s="553">
        <f t="shared" si="18"/>
        <v>1380000</v>
      </c>
      <c r="AI79" s="553">
        <f t="shared" si="19"/>
        <v>0</v>
      </c>
      <c r="AL79" s="552">
        <f>SUMIFS('Sales T&amp;E &amp; 科室会WP'!$T:$T,'Sales T&amp;E &amp; 科室会WP'!$Q:$Q,$H79)*$I79</f>
        <v>60000</v>
      </c>
      <c r="AM79" s="552">
        <f>SUMIFS('Sales T&amp;E &amp; 科室会WP'!$T:$T,'Sales T&amp;E &amp; 科室会WP'!$Q:$Q,$H79)*$I79</f>
        <v>60000</v>
      </c>
      <c r="AN79" s="552">
        <f>SUMIFS('Sales T&amp;E &amp; 科室会WP'!$T:$T,'Sales T&amp;E &amp; 科室会WP'!$Q:$Q,$H79)*$I79</f>
        <v>60000</v>
      </c>
      <c r="AO79" s="552">
        <f>SUMIFS('Sales T&amp;E &amp; 科室会WP'!$T:$T,'Sales T&amp;E &amp; 科室会WP'!$Q:$Q,$H79)*$J79</f>
        <v>72000</v>
      </c>
      <c r="AP79" s="552">
        <f>SUMIFS('Sales T&amp;E &amp; 科室会WP'!$T:$T,'Sales T&amp;E &amp; 科室会WP'!$Q:$Q,$H79)*$J79</f>
        <v>72000</v>
      </c>
      <c r="AQ79" s="552">
        <f>SUMIFS('Sales T&amp;E &amp; 科室会WP'!$T:$T,'Sales T&amp;E &amp; 科室会WP'!$Q:$Q,$H79)*$J79</f>
        <v>72000</v>
      </c>
      <c r="AR79" s="552">
        <f>SUMIFS('Sales T&amp;E &amp; 科室会WP'!$T:$T,'Sales T&amp;E &amp; 科室会WP'!$Q:$Q,$H79)*$K79</f>
        <v>72000</v>
      </c>
      <c r="AS79" s="552">
        <f>SUMIFS('Sales T&amp;E &amp; 科室会WP'!$T:$T,'Sales T&amp;E &amp; 科室会WP'!$Q:$Q,$H79)*$K79</f>
        <v>72000</v>
      </c>
      <c r="AT79" s="552">
        <f>SUMIFS('Sales T&amp;E &amp; 科室会WP'!$T:$T,'Sales T&amp;E &amp; 科室会WP'!$Q:$Q,$H79)*$K79</f>
        <v>72000</v>
      </c>
      <c r="AU79" s="552">
        <f>SUMIFS('Sales T&amp;E &amp; 科室会WP'!$T:$T,'Sales T&amp;E &amp; 科室会WP'!$Q:$Q,$H79)*$L79</f>
        <v>72000</v>
      </c>
      <c r="AV79" s="552">
        <f>SUMIFS('Sales T&amp;E &amp; 科室会WP'!$T:$T,'Sales T&amp;E &amp; 科室会WP'!$Q:$Q,$H79)*$L79</f>
        <v>72000</v>
      </c>
      <c r="AW79" s="552">
        <f>SUMIFS('Sales T&amp;E &amp; 科室会WP'!$T:$T,'Sales T&amp;E &amp; 科室会WP'!$Q:$Q,$H79)*$L79</f>
        <v>72000</v>
      </c>
      <c r="AX79" s="552">
        <f t="shared" si="20"/>
        <v>828000</v>
      </c>
    </row>
    <row r="80" spans="1:50" hidden="1">
      <c r="A80" s="551" t="s">
        <v>203</v>
      </c>
      <c r="B80" s="551" t="s">
        <v>958</v>
      </c>
      <c r="C80" s="551" t="s">
        <v>973</v>
      </c>
      <c r="D80" s="551" t="s">
        <v>974</v>
      </c>
      <c r="E80" s="551" t="s">
        <v>965</v>
      </c>
      <c r="F80" s="551" t="s">
        <v>978</v>
      </c>
      <c r="G80" s="508" t="s">
        <v>8</v>
      </c>
      <c r="H80" s="551" t="s">
        <v>131</v>
      </c>
      <c r="I80" s="551">
        <v>1</v>
      </c>
      <c r="J80" s="551">
        <v>1</v>
      </c>
      <c r="K80" s="551">
        <v>1</v>
      </c>
      <c r="L80" s="551">
        <v>1</v>
      </c>
      <c r="N80" s="552">
        <f>SUMIFS('Sales T&amp;E &amp; 科室会WP'!$N:$N,'Sales T&amp;E &amp; 科室会WP'!$L:$L,$G80,'Sales T&amp;E &amp; 科室会WP'!$M:$M,$H80)*3*I80</f>
        <v>27000</v>
      </c>
      <c r="O80" s="552">
        <f>SUMIFS('Sales T&amp;E &amp; 科室会WP'!$N:$N,'Sales T&amp;E &amp; 科室会WP'!$L:$L,$G80,'Sales T&amp;E &amp; 科室会WP'!$M:$M,$H80)*3*J80</f>
        <v>27000</v>
      </c>
      <c r="P80" s="552">
        <f>SUMIFS('Sales T&amp;E &amp; 科室会WP'!$N:$N,'Sales T&amp;E &amp; 科室会WP'!$L:$L,$G80,'Sales T&amp;E &amp; 科室会WP'!$M:$M,$H80)*3*K80</f>
        <v>27000</v>
      </c>
      <c r="Q80" s="552">
        <f>SUMIFS('Sales T&amp;E &amp; 科室会WP'!$N:$N,'Sales T&amp;E &amp; 科室会WP'!$L:$L,$G80,'Sales T&amp;E &amp; 科室会WP'!$M:$M,$H80)*3*L80</f>
        <v>27000</v>
      </c>
      <c r="R80" s="553">
        <f t="shared" si="13"/>
        <v>108000</v>
      </c>
      <c r="V80" s="553">
        <f t="shared" si="14"/>
        <v>9000</v>
      </c>
      <c r="W80" s="553">
        <f t="shared" si="14"/>
        <v>9000</v>
      </c>
      <c r="X80" s="553">
        <f t="shared" si="14"/>
        <v>9000</v>
      </c>
      <c r="Y80" s="553">
        <f t="shared" si="15"/>
        <v>9000</v>
      </c>
      <c r="Z80" s="553">
        <f t="shared" si="15"/>
        <v>9000</v>
      </c>
      <c r="AA80" s="553">
        <f t="shared" si="15"/>
        <v>9000</v>
      </c>
      <c r="AB80" s="553">
        <f t="shared" si="16"/>
        <v>9000</v>
      </c>
      <c r="AC80" s="553">
        <f t="shared" si="16"/>
        <v>9000</v>
      </c>
      <c r="AD80" s="553">
        <f t="shared" si="16"/>
        <v>9000</v>
      </c>
      <c r="AE80" s="553">
        <f t="shared" si="17"/>
        <v>9000</v>
      </c>
      <c r="AF80" s="553">
        <f t="shared" si="17"/>
        <v>9000</v>
      </c>
      <c r="AG80" s="553">
        <f t="shared" si="17"/>
        <v>9000</v>
      </c>
      <c r="AH80" s="553">
        <f t="shared" si="18"/>
        <v>108000</v>
      </c>
      <c r="AI80" s="553">
        <f t="shared" si="19"/>
        <v>0</v>
      </c>
      <c r="AL80" s="552">
        <f>SUMIFS('Sales T&amp;E &amp; 科室会WP'!$T:$T,'Sales T&amp;E &amp; 科室会WP'!$Q:$Q,$H80)*$I80</f>
        <v>3000</v>
      </c>
      <c r="AM80" s="552">
        <f>SUMIFS('Sales T&amp;E &amp; 科室会WP'!$T:$T,'Sales T&amp;E &amp; 科室会WP'!$Q:$Q,$H80)*$I80</f>
        <v>3000</v>
      </c>
      <c r="AN80" s="552">
        <f>SUMIFS('Sales T&amp;E &amp; 科室会WP'!$T:$T,'Sales T&amp;E &amp; 科室会WP'!$Q:$Q,$H80)*$I80</f>
        <v>3000</v>
      </c>
      <c r="AO80" s="552">
        <f>SUMIFS('Sales T&amp;E &amp; 科室会WP'!$T:$T,'Sales T&amp;E &amp; 科室会WP'!$Q:$Q,$H80)*$J80</f>
        <v>3000</v>
      </c>
      <c r="AP80" s="552">
        <f>SUMIFS('Sales T&amp;E &amp; 科室会WP'!$T:$T,'Sales T&amp;E &amp; 科室会WP'!$Q:$Q,$H80)*$J80</f>
        <v>3000</v>
      </c>
      <c r="AQ80" s="552">
        <f>SUMIFS('Sales T&amp;E &amp; 科室会WP'!$T:$T,'Sales T&amp;E &amp; 科室会WP'!$Q:$Q,$H80)*$J80</f>
        <v>3000</v>
      </c>
      <c r="AR80" s="552">
        <f>SUMIFS('Sales T&amp;E &amp; 科室会WP'!$T:$T,'Sales T&amp;E &amp; 科室会WP'!$Q:$Q,$H80)*$K80</f>
        <v>3000</v>
      </c>
      <c r="AS80" s="552">
        <f>SUMIFS('Sales T&amp;E &amp; 科室会WP'!$T:$T,'Sales T&amp;E &amp; 科室会WP'!$Q:$Q,$H80)*$K80</f>
        <v>3000</v>
      </c>
      <c r="AT80" s="552">
        <f>SUMIFS('Sales T&amp;E &amp; 科室会WP'!$T:$T,'Sales T&amp;E &amp; 科室会WP'!$Q:$Q,$H80)*$K80</f>
        <v>3000</v>
      </c>
      <c r="AU80" s="552">
        <f>SUMIFS('Sales T&amp;E &amp; 科室会WP'!$T:$T,'Sales T&amp;E &amp; 科室会WP'!$Q:$Q,$H80)*$L80</f>
        <v>3000</v>
      </c>
      <c r="AV80" s="552">
        <f>SUMIFS('Sales T&amp;E &amp; 科室会WP'!$T:$T,'Sales T&amp;E &amp; 科室会WP'!$Q:$Q,$H80)*$L80</f>
        <v>3000</v>
      </c>
      <c r="AW80" s="552">
        <f>SUMIFS('Sales T&amp;E &amp; 科室会WP'!$T:$T,'Sales T&amp;E &amp; 科室会WP'!$Q:$Q,$H80)*$L80</f>
        <v>3000</v>
      </c>
      <c r="AX80" s="552">
        <f t="shared" si="20"/>
        <v>36000</v>
      </c>
    </row>
    <row r="81" spans="1:50" hidden="1">
      <c r="A81" s="551" t="s">
        <v>203</v>
      </c>
      <c r="B81" s="551" t="s">
        <v>958</v>
      </c>
      <c r="C81" s="551" t="s">
        <v>973</v>
      </c>
      <c r="D81" s="551" t="s">
        <v>974</v>
      </c>
      <c r="E81" s="551" t="s">
        <v>966</v>
      </c>
      <c r="F81" s="551" t="s">
        <v>979</v>
      </c>
      <c r="G81" s="508" t="s">
        <v>8</v>
      </c>
      <c r="H81" s="551" t="s">
        <v>93</v>
      </c>
      <c r="I81" s="551">
        <v>4</v>
      </c>
      <c r="J81" s="551">
        <v>4</v>
      </c>
      <c r="K81" s="551">
        <v>4</v>
      </c>
      <c r="L81" s="551">
        <v>4</v>
      </c>
      <c r="N81" s="552">
        <f>SUMIFS('Sales T&amp;E &amp; 科室会WP'!$N:$N,'Sales T&amp;E &amp; 科室会WP'!$L:$L,$G81,'Sales T&amp;E &amp; 科室会WP'!$M:$M,$H81)*3*I81</f>
        <v>108000</v>
      </c>
      <c r="O81" s="552">
        <f>SUMIFS('Sales T&amp;E &amp; 科室会WP'!$N:$N,'Sales T&amp;E &amp; 科室会WP'!$L:$L,$G81,'Sales T&amp;E &amp; 科室会WP'!$M:$M,$H81)*3*J81</f>
        <v>108000</v>
      </c>
      <c r="P81" s="552">
        <f>SUMIFS('Sales T&amp;E &amp; 科室会WP'!$N:$N,'Sales T&amp;E &amp; 科室会WP'!$L:$L,$G81,'Sales T&amp;E &amp; 科室会WP'!$M:$M,$H81)*3*K81</f>
        <v>108000</v>
      </c>
      <c r="Q81" s="552">
        <f>SUMIFS('Sales T&amp;E &amp; 科室会WP'!$N:$N,'Sales T&amp;E &amp; 科室会WP'!$L:$L,$G81,'Sales T&amp;E &amp; 科室会WP'!$M:$M,$H81)*3*L81</f>
        <v>108000</v>
      </c>
      <c r="R81" s="553">
        <f t="shared" si="13"/>
        <v>432000</v>
      </c>
      <c r="V81" s="553">
        <f t="shared" si="14"/>
        <v>36000</v>
      </c>
      <c r="W81" s="553">
        <f t="shared" si="14"/>
        <v>36000</v>
      </c>
      <c r="X81" s="553">
        <f t="shared" si="14"/>
        <v>36000</v>
      </c>
      <c r="Y81" s="553">
        <f t="shared" si="15"/>
        <v>36000</v>
      </c>
      <c r="Z81" s="553">
        <f t="shared" si="15"/>
        <v>36000</v>
      </c>
      <c r="AA81" s="553">
        <f t="shared" si="15"/>
        <v>36000</v>
      </c>
      <c r="AB81" s="553">
        <f t="shared" si="16"/>
        <v>36000</v>
      </c>
      <c r="AC81" s="553">
        <f t="shared" si="16"/>
        <v>36000</v>
      </c>
      <c r="AD81" s="553">
        <f t="shared" si="16"/>
        <v>36000</v>
      </c>
      <c r="AE81" s="553">
        <f t="shared" si="17"/>
        <v>36000</v>
      </c>
      <c r="AF81" s="553">
        <f t="shared" si="17"/>
        <v>36000</v>
      </c>
      <c r="AG81" s="553">
        <f t="shared" si="17"/>
        <v>36000</v>
      </c>
      <c r="AH81" s="553">
        <f t="shared" si="18"/>
        <v>432000</v>
      </c>
      <c r="AI81" s="553">
        <f t="shared" si="19"/>
        <v>0</v>
      </c>
      <c r="AL81" s="552">
        <f>SUMIFS('Sales T&amp;E &amp; 科室会WP'!$T:$T,'Sales T&amp;E &amp; 科室会WP'!$Q:$Q,$H81)*$I81</f>
        <v>12000</v>
      </c>
      <c r="AM81" s="552">
        <f>SUMIFS('Sales T&amp;E &amp; 科室会WP'!$T:$T,'Sales T&amp;E &amp; 科室会WP'!$Q:$Q,$H81)*$I81</f>
        <v>12000</v>
      </c>
      <c r="AN81" s="552">
        <f>SUMIFS('Sales T&amp;E &amp; 科室会WP'!$T:$T,'Sales T&amp;E &amp; 科室会WP'!$Q:$Q,$H81)*$I81</f>
        <v>12000</v>
      </c>
      <c r="AO81" s="552">
        <f>SUMIFS('Sales T&amp;E &amp; 科室会WP'!$T:$T,'Sales T&amp;E &amp; 科室会WP'!$Q:$Q,$H81)*$J81</f>
        <v>12000</v>
      </c>
      <c r="AP81" s="552">
        <f>SUMIFS('Sales T&amp;E &amp; 科室会WP'!$T:$T,'Sales T&amp;E &amp; 科室会WP'!$Q:$Q,$H81)*$J81</f>
        <v>12000</v>
      </c>
      <c r="AQ81" s="552">
        <f>SUMIFS('Sales T&amp;E &amp; 科室会WP'!$T:$T,'Sales T&amp;E &amp; 科室会WP'!$Q:$Q,$H81)*$J81</f>
        <v>12000</v>
      </c>
      <c r="AR81" s="552">
        <f>SUMIFS('Sales T&amp;E &amp; 科室会WP'!$T:$T,'Sales T&amp;E &amp; 科室会WP'!$Q:$Q,$H81)*$K81</f>
        <v>12000</v>
      </c>
      <c r="AS81" s="552">
        <f>SUMIFS('Sales T&amp;E &amp; 科室会WP'!$T:$T,'Sales T&amp;E &amp; 科室会WP'!$Q:$Q,$H81)*$K81</f>
        <v>12000</v>
      </c>
      <c r="AT81" s="552">
        <f>SUMIFS('Sales T&amp;E &amp; 科室会WP'!$T:$T,'Sales T&amp;E &amp; 科室会WP'!$Q:$Q,$H81)*$K81</f>
        <v>12000</v>
      </c>
      <c r="AU81" s="552">
        <f>SUMIFS('Sales T&amp;E &amp; 科室会WP'!$T:$T,'Sales T&amp;E &amp; 科室会WP'!$Q:$Q,$H81)*$L81</f>
        <v>12000</v>
      </c>
      <c r="AV81" s="552">
        <f>SUMIFS('Sales T&amp;E &amp; 科室会WP'!$T:$T,'Sales T&amp;E &amp; 科室会WP'!$Q:$Q,$H81)*$L81</f>
        <v>12000</v>
      </c>
      <c r="AW81" s="552">
        <f>SUMIFS('Sales T&amp;E &amp; 科室会WP'!$T:$T,'Sales T&amp;E &amp; 科室会WP'!$Q:$Q,$H81)*$L81</f>
        <v>12000</v>
      </c>
      <c r="AX81" s="552">
        <f t="shared" si="20"/>
        <v>144000</v>
      </c>
    </row>
    <row r="82" spans="1:50" hidden="1">
      <c r="A82" s="551" t="s">
        <v>203</v>
      </c>
      <c r="B82" s="551" t="s">
        <v>958</v>
      </c>
      <c r="C82" s="551" t="s">
        <v>973</v>
      </c>
      <c r="D82" s="551" t="s">
        <v>974</v>
      </c>
      <c r="E82" s="551" t="s">
        <v>966</v>
      </c>
      <c r="F82" s="551" t="s">
        <v>979</v>
      </c>
      <c r="G82" s="508" t="s">
        <v>8</v>
      </c>
      <c r="H82" s="551" t="s">
        <v>94</v>
      </c>
      <c r="I82" s="551">
        <v>18</v>
      </c>
      <c r="J82" s="551">
        <v>21</v>
      </c>
      <c r="K82" s="551">
        <v>21</v>
      </c>
      <c r="L82" s="551">
        <v>21</v>
      </c>
      <c r="N82" s="552">
        <f>SUMIFS('Sales T&amp;E &amp; 科室会WP'!$N:$N,'Sales T&amp;E &amp; 科室会WP'!$L:$L,$G82,'Sales T&amp;E &amp; 科室会WP'!$M:$M,$H82)*3*I82</f>
        <v>270000</v>
      </c>
      <c r="O82" s="552">
        <f>SUMIFS('Sales T&amp;E &amp; 科室会WP'!$N:$N,'Sales T&amp;E &amp; 科室会WP'!$L:$L,$G82,'Sales T&amp;E &amp; 科室会WP'!$M:$M,$H82)*3*J82</f>
        <v>315000</v>
      </c>
      <c r="P82" s="552">
        <f>SUMIFS('Sales T&amp;E &amp; 科室会WP'!$N:$N,'Sales T&amp;E &amp; 科室会WP'!$L:$L,$G82,'Sales T&amp;E &amp; 科室会WP'!$M:$M,$H82)*3*K82</f>
        <v>315000</v>
      </c>
      <c r="Q82" s="552">
        <f>SUMIFS('Sales T&amp;E &amp; 科室会WP'!$N:$N,'Sales T&amp;E &amp; 科室会WP'!$L:$L,$G82,'Sales T&amp;E &amp; 科室会WP'!$M:$M,$H82)*3*L82</f>
        <v>315000</v>
      </c>
      <c r="R82" s="553">
        <f t="shared" si="13"/>
        <v>1215000</v>
      </c>
      <c r="V82" s="553">
        <f t="shared" si="14"/>
        <v>90000</v>
      </c>
      <c r="W82" s="553">
        <f t="shared" si="14"/>
        <v>90000</v>
      </c>
      <c r="X82" s="553">
        <f t="shared" si="14"/>
        <v>90000</v>
      </c>
      <c r="Y82" s="553">
        <f t="shared" si="15"/>
        <v>105000</v>
      </c>
      <c r="Z82" s="553">
        <f t="shared" si="15"/>
        <v>105000</v>
      </c>
      <c r="AA82" s="553">
        <f t="shared" si="15"/>
        <v>105000</v>
      </c>
      <c r="AB82" s="553">
        <f t="shared" si="16"/>
        <v>105000</v>
      </c>
      <c r="AC82" s="553">
        <f t="shared" si="16"/>
        <v>105000</v>
      </c>
      <c r="AD82" s="553">
        <f t="shared" si="16"/>
        <v>105000</v>
      </c>
      <c r="AE82" s="553">
        <f t="shared" si="17"/>
        <v>105000</v>
      </c>
      <c r="AF82" s="553">
        <f t="shared" si="17"/>
        <v>105000</v>
      </c>
      <c r="AG82" s="553">
        <f t="shared" si="17"/>
        <v>105000</v>
      </c>
      <c r="AH82" s="553">
        <f t="shared" si="18"/>
        <v>1215000</v>
      </c>
      <c r="AI82" s="553">
        <f t="shared" si="19"/>
        <v>0</v>
      </c>
      <c r="AL82" s="552">
        <f>SUMIFS('Sales T&amp;E &amp; 科室会WP'!$T:$T,'Sales T&amp;E &amp; 科室会WP'!$Q:$Q,$H82)*$I82</f>
        <v>54000</v>
      </c>
      <c r="AM82" s="552">
        <f>SUMIFS('Sales T&amp;E &amp; 科室会WP'!$T:$T,'Sales T&amp;E &amp; 科室会WP'!$Q:$Q,$H82)*$I82</f>
        <v>54000</v>
      </c>
      <c r="AN82" s="552">
        <f>SUMIFS('Sales T&amp;E &amp; 科室会WP'!$T:$T,'Sales T&amp;E &amp; 科室会WP'!$Q:$Q,$H82)*$I82</f>
        <v>54000</v>
      </c>
      <c r="AO82" s="552">
        <f>SUMIFS('Sales T&amp;E &amp; 科室会WP'!$T:$T,'Sales T&amp;E &amp; 科室会WP'!$Q:$Q,$H82)*$J82</f>
        <v>63000</v>
      </c>
      <c r="AP82" s="552">
        <f>SUMIFS('Sales T&amp;E &amp; 科室会WP'!$T:$T,'Sales T&amp;E &amp; 科室会WP'!$Q:$Q,$H82)*$J82</f>
        <v>63000</v>
      </c>
      <c r="AQ82" s="552">
        <f>SUMIFS('Sales T&amp;E &amp; 科室会WP'!$T:$T,'Sales T&amp;E &amp; 科室会WP'!$Q:$Q,$H82)*$J82</f>
        <v>63000</v>
      </c>
      <c r="AR82" s="552">
        <f>SUMIFS('Sales T&amp;E &amp; 科室会WP'!$T:$T,'Sales T&amp;E &amp; 科室会WP'!$Q:$Q,$H82)*$K82</f>
        <v>63000</v>
      </c>
      <c r="AS82" s="552">
        <f>SUMIFS('Sales T&amp;E &amp; 科室会WP'!$T:$T,'Sales T&amp;E &amp; 科室会WP'!$Q:$Q,$H82)*$K82</f>
        <v>63000</v>
      </c>
      <c r="AT82" s="552">
        <f>SUMIFS('Sales T&amp;E &amp; 科室会WP'!$T:$T,'Sales T&amp;E &amp; 科室会WP'!$Q:$Q,$H82)*$K82</f>
        <v>63000</v>
      </c>
      <c r="AU82" s="552">
        <f>SUMIFS('Sales T&amp;E &amp; 科室会WP'!$T:$T,'Sales T&amp;E &amp; 科室会WP'!$Q:$Q,$H82)*$L82</f>
        <v>63000</v>
      </c>
      <c r="AV82" s="552">
        <f>SUMIFS('Sales T&amp;E &amp; 科室会WP'!$T:$T,'Sales T&amp;E &amp; 科室会WP'!$Q:$Q,$H82)*$L82</f>
        <v>63000</v>
      </c>
      <c r="AW82" s="552">
        <f>SUMIFS('Sales T&amp;E &amp; 科室会WP'!$T:$T,'Sales T&amp;E &amp; 科室会WP'!$Q:$Q,$H82)*$L82</f>
        <v>63000</v>
      </c>
      <c r="AX82" s="552">
        <f t="shared" si="20"/>
        <v>729000</v>
      </c>
    </row>
    <row r="83" spans="1:50" hidden="1">
      <c r="A83" s="551" t="s">
        <v>203</v>
      </c>
      <c r="B83" s="551" t="s">
        <v>958</v>
      </c>
      <c r="C83" s="551" t="s">
        <v>973</v>
      </c>
      <c r="D83" s="551" t="s">
        <v>974</v>
      </c>
      <c r="E83" s="551" t="s">
        <v>966</v>
      </c>
      <c r="F83" s="551" t="s">
        <v>979</v>
      </c>
      <c r="G83" s="508" t="s">
        <v>8</v>
      </c>
      <c r="H83" s="551" t="s">
        <v>131</v>
      </c>
      <c r="I83" s="551">
        <v>1</v>
      </c>
      <c r="J83" s="551">
        <v>1</v>
      </c>
      <c r="K83" s="551">
        <v>1</v>
      </c>
      <c r="L83" s="551">
        <v>1</v>
      </c>
      <c r="N83" s="552">
        <f>SUMIFS('Sales T&amp;E &amp; 科室会WP'!$N:$N,'Sales T&amp;E &amp; 科室会WP'!$L:$L,$G83,'Sales T&amp;E &amp; 科室会WP'!$M:$M,$H83)*3*I83</f>
        <v>27000</v>
      </c>
      <c r="O83" s="552">
        <f>SUMIFS('Sales T&amp;E &amp; 科室会WP'!$N:$N,'Sales T&amp;E &amp; 科室会WP'!$L:$L,$G83,'Sales T&amp;E &amp; 科室会WP'!$M:$M,$H83)*3*J83</f>
        <v>27000</v>
      </c>
      <c r="P83" s="552">
        <f>SUMIFS('Sales T&amp;E &amp; 科室会WP'!$N:$N,'Sales T&amp;E &amp; 科室会WP'!$L:$L,$G83,'Sales T&amp;E &amp; 科室会WP'!$M:$M,$H83)*3*K83</f>
        <v>27000</v>
      </c>
      <c r="Q83" s="552">
        <f>SUMIFS('Sales T&amp;E &amp; 科室会WP'!$N:$N,'Sales T&amp;E &amp; 科室会WP'!$L:$L,$G83,'Sales T&amp;E &amp; 科室会WP'!$M:$M,$H83)*3*L83</f>
        <v>27000</v>
      </c>
      <c r="R83" s="553">
        <f t="shared" si="13"/>
        <v>108000</v>
      </c>
      <c r="V83" s="553">
        <f t="shared" ref="V83:X99" si="21">$N83/3</f>
        <v>9000</v>
      </c>
      <c r="W83" s="553">
        <f t="shared" si="21"/>
        <v>9000</v>
      </c>
      <c r="X83" s="553">
        <f t="shared" si="21"/>
        <v>9000</v>
      </c>
      <c r="Y83" s="553">
        <f t="shared" ref="Y83:AA99" si="22">$O83/3</f>
        <v>9000</v>
      </c>
      <c r="Z83" s="553">
        <f t="shared" si="22"/>
        <v>9000</v>
      </c>
      <c r="AA83" s="553">
        <f t="shared" si="22"/>
        <v>9000</v>
      </c>
      <c r="AB83" s="553">
        <f t="shared" ref="AB83:AD99" si="23">$P83/3</f>
        <v>9000</v>
      </c>
      <c r="AC83" s="553">
        <f t="shared" si="23"/>
        <v>9000</v>
      </c>
      <c r="AD83" s="553">
        <f t="shared" si="23"/>
        <v>9000</v>
      </c>
      <c r="AE83" s="553">
        <f t="shared" ref="AE83:AG99" si="24">$Q83/3</f>
        <v>9000</v>
      </c>
      <c r="AF83" s="553">
        <f t="shared" si="24"/>
        <v>9000</v>
      </c>
      <c r="AG83" s="553">
        <f t="shared" si="24"/>
        <v>9000</v>
      </c>
      <c r="AH83" s="553">
        <f t="shared" si="18"/>
        <v>108000</v>
      </c>
      <c r="AI83" s="553">
        <f t="shared" si="19"/>
        <v>0</v>
      </c>
      <c r="AL83" s="552">
        <f>SUMIFS('Sales T&amp;E &amp; 科室会WP'!$T:$T,'Sales T&amp;E &amp; 科室会WP'!$Q:$Q,$H83)*$I83</f>
        <v>3000</v>
      </c>
      <c r="AM83" s="552">
        <f>SUMIFS('Sales T&amp;E &amp; 科室会WP'!$T:$T,'Sales T&amp;E &amp; 科室会WP'!$Q:$Q,$H83)*$I83</f>
        <v>3000</v>
      </c>
      <c r="AN83" s="552">
        <f>SUMIFS('Sales T&amp;E &amp; 科室会WP'!$T:$T,'Sales T&amp;E &amp; 科室会WP'!$Q:$Q,$H83)*$I83</f>
        <v>3000</v>
      </c>
      <c r="AO83" s="552">
        <f>SUMIFS('Sales T&amp;E &amp; 科室会WP'!$T:$T,'Sales T&amp;E &amp; 科室会WP'!$Q:$Q,$H83)*$J83</f>
        <v>3000</v>
      </c>
      <c r="AP83" s="552">
        <f>SUMIFS('Sales T&amp;E &amp; 科室会WP'!$T:$T,'Sales T&amp;E &amp; 科室会WP'!$Q:$Q,$H83)*$J83</f>
        <v>3000</v>
      </c>
      <c r="AQ83" s="552">
        <f>SUMIFS('Sales T&amp;E &amp; 科室会WP'!$T:$T,'Sales T&amp;E &amp; 科室会WP'!$Q:$Q,$H83)*$J83</f>
        <v>3000</v>
      </c>
      <c r="AR83" s="552">
        <f>SUMIFS('Sales T&amp;E &amp; 科室会WP'!$T:$T,'Sales T&amp;E &amp; 科室会WP'!$Q:$Q,$H83)*$K83</f>
        <v>3000</v>
      </c>
      <c r="AS83" s="552">
        <f>SUMIFS('Sales T&amp;E &amp; 科室会WP'!$T:$T,'Sales T&amp;E &amp; 科室会WP'!$Q:$Q,$H83)*$K83</f>
        <v>3000</v>
      </c>
      <c r="AT83" s="552">
        <f>SUMIFS('Sales T&amp;E &amp; 科室会WP'!$T:$T,'Sales T&amp;E &amp; 科室会WP'!$Q:$Q,$H83)*$K83</f>
        <v>3000</v>
      </c>
      <c r="AU83" s="552">
        <f>SUMIFS('Sales T&amp;E &amp; 科室会WP'!$T:$T,'Sales T&amp;E &amp; 科室会WP'!$Q:$Q,$H83)*$L83</f>
        <v>3000</v>
      </c>
      <c r="AV83" s="552">
        <f>SUMIFS('Sales T&amp;E &amp; 科室会WP'!$T:$T,'Sales T&amp;E &amp; 科室会WP'!$Q:$Q,$H83)*$L83</f>
        <v>3000</v>
      </c>
      <c r="AW83" s="552">
        <f>SUMIFS('Sales T&amp;E &amp; 科室会WP'!$T:$T,'Sales T&amp;E &amp; 科室会WP'!$Q:$Q,$H83)*$L83</f>
        <v>3000</v>
      </c>
      <c r="AX83" s="552">
        <f t="shared" si="20"/>
        <v>36000</v>
      </c>
    </row>
    <row r="84" spans="1:50" hidden="1">
      <c r="A84" s="551" t="s">
        <v>203</v>
      </c>
      <c r="B84" s="551" t="s">
        <v>958</v>
      </c>
      <c r="C84" s="551" t="s">
        <v>973</v>
      </c>
      <c r="D84" s="551" t="s">
        <v>974</v>
      </c>
      <c r="E84" s="551" t="s">
        <v>967</v>
      </c>
      <c r="F84" s="551" t="s">
        <v>980</v>
      </c>
      <c r="G84" s="508" t="s">
        <v>8</v>
      </c>
      <c r="N84" s="552">
        <f>SUMIFS('Sales T&amp;E &amp; 科室会WP'!$N:$N,'Sales T&amp;E &amp; 科室会WP'!$L:$L,$G84,'Sales T&amp;E &amp; 科室会WP'!$M:$M,$H84)*3*I84</f>
        <v>0</v>
      </c>
      <c r="O84" s="552">
        <f>SUMIFS('Sales T&amp;E &amp; 科室会WP'!$N:$N,'Sales T&amp;E &amp; 科室会WP'!$L:$L,$G84,'Sales T&amp;E &amp; 科室会WP'!$M:$M,$H84)*3*J84</f>
        <v>0</v>
      </c>
      <c r="P84" s="552">
        <f>SUMIFS('Sales T&amp;E &amp; 科室会WP'!$N:$N,'Sales T&amp;E &amp; 科室会WP'!$L:$L,$G84,'Sales T&amp;E &amp; 科室会WP'!$M:$M,$H84)*3*K84</f>
        <v>0</v>
      </c>
      <c r="Q84" s="552">
        <f>SUMIFS('Sales T&amp;E &amp; 科室会WP'!$N:$N,'Sales T&amp;E &amp; 科室会WP'!$L:$L,$G84,'Sales T&amp;E &amp; 科室会WP'!$M:$M,$H84)*3*L84</f>
        <v>0</v>
      </c>
      <c r="R84" s="553">
        <f t="shared" si="13"/>
        <v>0</v>
      </c>
      <c r="V84" s="553">
        <f t="shared" si="21"/>
        <v>0</v>
      </c>
      <c r="W84" s="553">
        <f t="shared" si="21"/>
        <v>0</v>
      </c>
      <c r="X84" s="553">
        <f t="shared" si="21"/>
        <v>0</v>
      </c>
      <c r="Y84" s="553">
        <f t="shared" si="22"/>
        <v>0</v>
      </c>
      <c r="Z84" s="553">
        <f t="shared" si="22"/>
        <v>0</v>
      </c>
      <c r="AA84" s="553">
        <f t="shared" si="22"/>
        <v>0</v>
      </c>
      <c r="AB84" s="553">
        <f t="shared" si="23"/>
        <v>0</v>
      </c>
      <c r="AC84" s="553">
        <f t="shared" si="23"/>
        <v>0</v>
      </c>
      <c r="AD84" s="553">
        <f t="shared" si="23"/>
        <v>0</v>
      </c>
      <c r="AE84" s="553">
        <f t="shared" si="24"/>
        <v>0</v>
      </c>
      <c r="AF84" s="553">
        <f t="shared" si="24"/>
        <v>0</v>
      </c>
      <c r="AG84" s="553">
        <f t="shared" si="24"/>
        <v>0</v>
      </c>
      <c r="AH84" s="553">
        <f t="shared" si="18"/>
        <v>0</v>
      </c>
      <c r="AI84" s="553">
        <f t="shared" si="19"/>
        <v>0</v>
      </c>
      <c r="AL84" s="552">
        <f>SUMIFS('Sales T&amp;E &amp; 科室会WP'!$T:$T,'Sales T&amp;E &amp; 科室会WP'!$Q:$Q,$H84)*$I84</f>
        <v>0</v>
      </c>
      <c r="AM84" s="552">
        <f>SUMIFS('Sales T&amp;E &amp; 科室会WP'!$T:$T,'Sales T&amp;E &amp; 科室会WP'!$Q:$Q,$H84)*$I84</f>
        <v>0</v>
      </c>
      <c r="AN84" s="552">
        <f>SUMIFS('Sales T&amp;E &amp; 科室会WP'!$T:$T,'Sales T&amp;E &amp; 科室会WP'!$Q:$Q,$H84)*$I84</f>
        <v>0</v>
      </c>
      <c r="AO84" s="552">
        <f>SUMIFS('Sales T&amp;E &amp; 科室会WP'!$T:$T,'Sales T&amp;E &amp; 科室会WP'!$Q:$Q,$H84)*$J84</f>
        <v>0</v>
      </c>
      <c r="AP84" s="552">
        <f>SUMIFS('Sales T&amp;E &amp; 科室会WP'!$T:$T,'Sales T&amp;E &amp; 科室会WP'!$Q:$Q,$H84)*$J84</f>
        <v>0</v>
      </c>
      <c r="AQ84" s="552">
        <f>SUMIFS('Sales T&amp;E &amp; 科室会WP'!$T:$T,'Sales T&amp;E &amp; 科室会WP'!$Q:$Q,$H84)*$J84</f>
        <v>0</v>
      </c>
      <c r="AR84" s="552">
        <f>SUMIFS('Sales T&amp;E &amp; 科室会WP'!$T:$T,'Sales T&amp;E &amp; 科室会WP'!$Q:$Q,$H84)*$K84</f>
        <v>0</v>
      </c>
      <c r="AS84" s="552">
        <f>SUMIFS('Sales T&amp;E &amp; 科室会WP'!$T:$T,'Sales T&amp;E &amp; 科室会WP'!$Q:$Q,$H84)*$K84</f>
        <v>0</v>
      </c>
      <c r="AT84" s="552">
        <f>SUMIFS('Sales T&amp;E &amp; 科室会WP'!$T:$T,'Sales T&amp;E &amp; 科室会WP'!$Q:$Q,$H84)*$K84</f>
        <v>0</v>
      </c>
      <c r="AU84" s="552">
        <f>SUMIFS('Sales T&amp;E &amp; 科室会WP'!$T:$T,'Sales T&amp;E &amp; 科室会WP'!$Q:$Q,$H84)*$L84</f>
        <v>0</v>
      </c>
      <c r="AV84" s="552">
        <f>SUMIFS('Sales T&amp;E &amp; 科室会WP'!$T:$T,'Sales T&amp;E &amp; 科室会WP'!$Q:$Q,$H84)*$L84</f>
        <v>0</v>
      </c>
      <c r="AW84" s="552">
        <f>SUMIFS('Sales T&amp;E &amp; 科室会WP'!$T:$T,'Sales T&amp;E &amp; 科室会WP'!$Q:$Q,$H84)*$L84</f>
        <v>0</v>
      </c>
      <c r="AX84" s="552">
        <f t="shared" si="20"/>
        <v>0</v>
      </c>
    </row>
    <row r="85" spans="1:50" hidden="1">
      <c r="A85" s="551" t="s">
        <v>203</v>
      </c>
      <c r="B85" s="551" t="s">
        <v>958</v>
      </c>
      <c r="C85" s="551" t="s">
        <v>973</v>
      </c>
      <c r="D85" s="551" t="s">
        <v>974</v>
      </c>
      <c r="E85" s="551" t="s">
        <v>967</v>
      </c>
      <c r="F85" s="551" t="s">
        <v>980</v>
      </c>
      <c r="G85" s="508" t="s">
        <v>8</v>
      </c>
      <c r="H85" s="551" t="s">
        <v>93</v>
      </c>
      <c r="I85" s="551">
        <v>6</v>
      </c>
      <c r="J85" s="551">
        <v>6</v>
      </c>
      <c r="K85" s="551">
        <v>6</v>
      </c>
      <c r="L85" s="551">
        <v>6</v>
      </c>
      <c r="N85" s="552">
        <f>SUMIFS('Sales T&amp;E &amp; 科室会WP'!$N:$N,'Sales T&amp;E &amp; 科室会WP'!$L:$L,$G85,'Sales T&amp;E &amp; 科室会WP'!$M:$M,$H85)*3*I85</f>
        <v>162000</v>
      </c>
      <c r="O85" s="552">
        <f>SUMIFS('Sales T&amp;E &amp; 科室会WP'!$N:$N,'Sales T&amp;E &amp; 科室会WP'!$L:$L,$G85,'Sales T&amp;E &amp; 科室会WP'!$M:$M,$H85)*3*J85</f>
        <v>162000</v>
      </c>
      <c r="P85" s="552">
        <f>SUMIFS('Sales T&amp;E &amp; 科室会WP'!$N:$N,'Sales T&amp;E &amp; 科室会WP'!$L:$L,$G85,'Sales T&amp;E &amp; 科室会WP'!$M:$M,$H85)*3*K85</f>
        <v>162000</v>
      </c>
      <c r="Q85" s="552">
        <f>SUMIFS('Sales T&amp;E &amp; 科室会WP'!$N:$N,'Sales T&amp;E &amp; 科室会WP'!$L:$L,$G85,'Sales T&amp;E &amp; 科室会WP'!$M:$M,$H85)*3*L85</f>
        <v>162000</v>
      </c>
      <c r="R85" s="553">
        <f t="shared" si="13"/>
        <v>648000</v>
      </c>
      <c r="V85" s="553">
        <f t="shared" si="21"/>
        <v>54000</v>
      </c>
      <c r="W85" s="553">
        <f t="shared" si="21"/>
        <v>54000</v>
      </c>
      <c r="X85" s="553">
        <f t="shared" si="21"/>
        <v>54000</v>
      </c>
      <c r="Y85" s="553">
        <f t="shared" si="22"/>
        <v>54000</v>
      </c>
      <c r="Z85" s="553">
        <f t="shared" si="22"/>
        <v>54000</v>
      </c>
      <c r="AA85" s="553">
        <f t="shared" si="22"/>
        <v>54000</v>
      </c>
      <c r="AB85" s="553">
        <f t="shared" si="23"/>
        <v>54000</v>
      </c>
      <c r="AC85" s="553">
        <f t="shared" si="23"/>
        <v>54000</v>
      </c>
      <c r="AD85" s="553">
        <f t="shared" si="23"/>
        <v>54000</v>
      </c>
      <c r="AE85" s="553">
        <f t="shared" si="24"/>
        <v>54000</v>
      </c>
      <c r="AF85" s="553">
        <f t="shared" si="24"/>
        <v>54000</v>
      </c>
      <c r="AG85" s="553">
        <f t="shared" si="24"/>
        <v>54000</v>
      </c>
      <c r="AH85" s="553">
        <f t="shared" si="18"/>
        <v>648000</v>
      </c>
      <c r="AI85" s="553">
        <f t="shared" si="19"/>
        <v>0</v>
      </c>
      <c r="AL85" s="552">
        <f>SUMIFS('Sales T&amp;E &amp; 科室会WP'!$T:$T,'Sales T&amp;E &amp; 科室会WP'!$Q:$Q,$H85)*$I85</f>
        <v>18000</v>
      </c>
      <c r="AM85" s="552">
        <f>SUMIFS('Sales T&amp;E &amp; 科室会WP'!$T:$T,'Sales T&amp;E &amp; 科室会WP'!$Q:$Q,$H85)*$I85</f>
        <v>18000</v>
      </c>
      <c r="AN85" s="552">
        <f>SUMIFS('Sales T&amp;E &amp; 科室会WP'!$T:$T,'Sales T&amp;E &amp; 科室会WP'!$Q:$Q,$H85)*$I85</f>
        <v>18000</v>
      </c>
      <c r="AO85" s="552">
        <f>SUMIFS('Sales T&amp;E &amp; 科室会WP'!$T:$T,'Sales T&amp;E &amp; 科室会WP'!$Q:$Q,$H85)*$J85</f>
        <v>18000</v>
      </c>
      <c r="AP85" s="552">
        <f>SUMIFS('Sales T&amp;E &amp; 科室会WP'!$T:$T,'Sales T&amp;E &amp; 科室会WP'!$Q:$Q,$H85)*$J85</f>
        <v>18000</v>
      </c>
      <c r="AQ85" s="552">
        <f>SUMIFS('Sales T&amp;E &amp; 科室会WP'!$T:$T,'Sales T&amp;E &amp; 科室会WP'!$Q:$Q,$H85)*$J85</f>
        <v>18000</v>
      </c>
      <c r="AR85" s="552">
        <f>SUMIFS('Sales T&amp;E &amp; 科室会WP'!$T:$T,'Sales T&amp;E &amp; 科室会WP'!$Q:$Q,$H85)*$K85</f>
        <v>18000</v>
      </c>
      <c r="AS85" s="552">
        <f>SUMIFS('Sales T&amp;E &amp; 科室会WP'!$T:$T,'Sales T&amp;E &amp; 科室会WP'!$Q:$Q,$H85)*$K85</f>
        <v>18000</v>
      </c>
      <c r="AT85" s="552">
        <f>SUMIFS('Sales T&amp;E &amp; 科室会WP'!$T:$T,'Sales T&amp;E &amp; 科室会WP'!$Q:$Q,$H85)*$K85</f>
        <v>18000</v>
      </c>
      <c r="AU85" s="552">
        <f>SUMIFS('Sales T&amp;E &amp; 科室会WP'!$T:$T,'Sales T&amp;E &amp; 科室会WP'!$Q:$Q,$H85)*$L85</f>
        <v>18000</v>
      </c>
      <c r="AV85" s="552">
        <f>SUMIFS('Sales T&amp;E &amp; 科室会WP'!$T:$T,'Sales T&amp;E &amp; 科室会WP'!$Q:$Q,$H85)*$L85</f>
        <v>18000</v>
      </c>
      <c r="AW85" s="552">
        <f>SUMIFS('Sales T&amp;E &amp; 科室会WP'!$T:$T,'Sales T&amp;E &amp; 科室会WP'!$Q:$Q,$H85)*$L85</f>
        <v>18000</v>
      </c>
      <c r="AX85" s="552">
        <f t="shared" si="20"/>
        <v>216000</v>
      </c>
    </row>
    <row r="86" spans="1:50" hidden="1">
      <c r="A86" s="551" t="s">
        <v>203</v>
      </c>
      <c r="B86" s="551" t="s">
        <v>958</v>
      </c>
      <c r="C86" s="551" t="s">
        <v>973</v>
      </c>
      <c r="D86" s="551" t="s">
        <v>974</v>
      </c>
      <c r="E86" s="551" t="s">
        <v>967</v>
      </c>
      <c r="F86" s="551" t="s">
        <v>980</v>
      </c>
      <c r="G86" s="508" t="s">
        <v>8</v>
      </c>
      <c r="H86" s="551" t="s">
        <v>94</v>
      </c>
      <c r="I86" s="551">
        <v>18</v>
      </c>
      <c r="J86" s="551">
        <v>21</v>
      </c>
      <c r="K86" s="551">
        <v>21</v>
      </c>
      <c r="L86" s="551">
        <v>21</v>
      </c>
      <c r="N86" s="552">
        <f>SUMIFS('Sales T&amp;E &amp; 科室会WP'!$N:$N,'Sales T&amp;E &amp; 科室会WP'!$L:$L,$G86,'Sales T&amp;E &amp; 科室会WP'!$M:$M,$H86)*3*I86</f>
        <v>270000</v>
      </c>
      <c r="O86" s="552">
        <f>SUMIFS('Sales T&amp;E &amp; 科室会WP'!$N:$N,'Sales T&amp;E &amp; 科室会WP'!$L:$L,$G86,'Sales T&amp;E &amp; 科室会WP'!$M:$M,$H86)*3*J86</f>
        <v>315000</v>
      </c>
      <c r="P86" s="552">
        <f>SUMIFS('Sales T&amp;E &amp; 科室会WP'!$N:$N,'Sales T&amp;E &amp; 科室会WP'!$L:$L,$G86,'Sales T&amp;E &amp; 科室会WP'!$M:$M,$H86)*3*K86</f>
        <v>315000</v>
      </c>
      <c r="Q86" s="552">
        <f>SUMIFS('Sales T&amp;E &amp; 科室会WP'!$N:$N,'Sales T&amp;E &amp; 科室会WP'!$L:$L,$G86,'Sales T&amp;E &amp; 科室会WP'!$M:$M,$H86)*3*L86</f>
        <v>315000</v>
      </c>
      <c r="R86" s="553">
        <f t="shared" si="13"/>
        <v>1215000</v>
      </c>
      <c r="V86" s="553">
        <f t="shared" si="21"/>
        <v>90000</v>
      </c>
      <c r="W86" s="553">
        <f t="shared" si="21"/>
        <v>90000</v>
      </c>
      <c r="X86" s="553">
        <f t="shared" si="21"/>
        <v>90000</v>
      </c>
      <c r="Y86" s="553">
        <f t="shared" si="22"/>
        <v>105000</v>
      </c>
      <c r="Z86" s="553">
        <f t="shared" si="22"/>
        <v>105000</v>
      </c>
      <c r="AA86" s="553">
        <f t="shared" si="22"/>
        <v>105000</v>
      </c>
      <c r="AB86" s="553">
        <f t="shared" si="23"/>
        <v>105000</v>
      </c>
      <c r="AC86" s="553">
        <f t="shared" si="23"/>
        <v>105000</v>
      </c>
      <c r="AD86" s="553">
        <f t="shared" si="23"/>
        <v>105000</v>
      </c>
      <c r="AE86" s="553">
        <f t="shared" si="24"/>
        <v>105000</v>
      </c>
      <c r="AF86" s="553">
        <f t="shared" si="24"/>
        <v>105000</v>
      </c>
      <c r="AG86" s="553">
        <f t="shared" si="24"/>
        <v>105000</v>
      </c>
      <c r="AH86" s="553">
        <f t="shared" si="18"/>
        <v>1215000</v>
      </c>
      <c r="AI86" s="553">
        <f t="shared" si="19"/>
        <v>0</v>
      </c>
      <c r="AL86" s="552">
        <f>SUMIFS('Sales T&amp;E &amp; 科室会WP'!$T:$T,'Sales T&amp;E &amp; 科室会WP'!$Q:$Q,$H86)*$I86</f>
        <v>54000</v>
      </c>
      <c r="AM86" s="552">
        <f>SUMIFS('Sales T&amp;E &amp; 科室会WP'!$T:$T,'Sales T&amp;E &amp; 科室会WP'!$Q:$Q,$H86)*$I86</f>
        <v>54000</v>
      </c>
      <c r="AN86" s="552">
        <f>SUMIFS('Sales T&amp;E &amp; 科室会WP'!$T:$T,'Sales T&amp;E &amp; 科室会WP'!$Q:$Q,$H86)*$I86</f>
        <v>54000</v>
      </c>
      <c r="AO86" s="552">
        <f>SUMIFS('Sales T&amp;E &amp; 科室会WP'!$T:$T,'Sales T&amp;E &amp; 科室会WP'!$Q:$Q,$H86)*$J86</f>
        <v>63000</v>
      </c>
      <c r="AP86" s="552">
        <f>SUMIFS('Sales T&amp;E &amp; 科室会WP'!$T:$T,'Sales T&amp;E &amp; 科室会WP'!$Q:$Q,$H86)*$J86</f>
        <v>63000</v>
      </c>
      <c r="AQ86" s="552">
        <f>SUMIFS('Sales T&amp;E &amp; 科室会WP'!$T:$T,'Sales T&amp;E &amp; 科室会WP'!$Q:$Q,$H86)*$J86</f>
        <v>63000</v>
      </c>
      <c r="AR86" s="552">
        <f>SUMIFS('Sales T&amp;E &amp; 科室会WP'!$T:$T,'Sales T&amp;E &amp; 科室会WP'!$Q:$Q,$H86)*$K86</f>
        <v>63000</v>
      </c>
      <c r="AS86" s="552">
        <f>SUMIFS('Sales T&amp;E &amp; 科室会WP'!$T:$T,'Sales T&amp;E &amp; 科室会WP'!$Q:$Q,$H86)*$K86</f>
        <v>63000</v>
      </c>
      <c r="AT86" s="552">
        <f>SUMIFS('Sales T&amp;E &amp; 科室会WP'!$T:$T,'Sales T&amp;E &amp; 科室会WP'!$Q:$Q,$H86)*$K86</f>
        <v>63000</v>
      </c>
      <c r="AU86" s="552">
        <f>SUMIFS('Sales T&amp;E &amp; 科室会WP'!$T:$T,'Sales T&amp;E &amp; 科室会WP'!$Q:$Q,$H86)*$L86</f>
        <v>63000</v>
      </c>
      <c r="AV86" s="552">
        <f>SUMIFS('Sales T&amp;E &amp; 科室会WP'!$T:$T,'Sales T&amp;E &amp; 科室会WP'!$Q:$Q,$H86)*$L86</f>
        <v>63000</v>
      </c>
      <c r="AW86" s="552">
        <f>SUMIFS('Sales T&amp;E &amp; 科室会WP'!$T:$T,'Sales T&amp;E &amp; 科室会WP'!$Q:$Q,$H86)*$L86</f>
        <v>63000</v>
      </c>
      <c r="AX86" s="552">
        <f t="shared" si="20"/>
        <v>729000</v>
      </c>
    </row>
    <row r="87" spans="1:50" hidden="1">
      <c r="A87" s="551" t="s">
        <v>203</v>
      </c>
      <c r="B87" s="551" t="s">
        <v>958</v>
      </c>
      <c r="C87" s="551" t="s">
        <v>973</v>
      </c>
      <c r="D87" s="551" t="s">
        <v>974</v>
      </c>
      <c r="E87" s="551" t="s">
        <v>967</v>
      </c>
      <c r="F87" s="551" t="s">
        <v>980</v>
      </c>
      <c r="G87" s="508" t="s">
        <v>8</v>
      </c>
      <c r="H87" s="551" t="s">
        <v>131</v>
      </c>
      <c r="I87" s="551">
        <v>1</v>
      </c>
      <c r="J87" s="551">
        <v>1</v>
      </c>
      <c r="K87" s="551">
        <v>1</v>
      </c>
      <c r="L87" s="551">
        <v>1</v>
      </c>
      <c r="N87" s="552">
        <f>SUMIFS('Sales T&amp;E &amp; 科室会WP'!$N:$N,'Sales T&amp;E &amp; 科室会WP'!$L:$L,$G87,'Sales T&amp;E &amp; 科室会WP'!$M:$M,$H87)*3*I87</f>
        <v>27000</v>
      </c>
      <c r="O87" s="552">
        <f>SUMIFS('Sales T&amp;E &amp; 科室会WP'!$N:$N,'Sales T&amp;E &amp; 科室会WP'!$L:$L,$G87,'Sales T&amp;E &amp; 科室会WP'!$M:$M,$H87)*3*J87</f>
        <v>27000</v>
      </c>
      <c r="P87" s="552">
        <f>SUMIFS('Sales T&amp;E &amp; 科室会WP'!$N:$N,'Sales T&amp;E &amp; 科室会WP'!$L:$L,$G87,'Sales T&amp;E &amp; 科室会WP'!$M:$M,$H87)*3*K87</f>
        <v>27000</v>
      </c>
      <c r="Q87" s="552">
        <f>SUMIFS('Sales T&amp;E &amp; 科室会WP'!$N:$N,'Sales T&amp;E &amp; 科室会WP'!$L:$L,$G87,'Sales T&amp;E &amp; 科室会WP'!$M:$M,$H87)*3*L87</f>
        <v>27000</v>
      </c>
      <c r="R87" s="553">
        <f t="shared" si="13"/>
        <v>108000</v>
      </c>
      <c r="V87" s="553">
        <f t="shared" si="21"/>
        <v>9000</v>
      </c>
      <c r="W87" s="553">
        <f t="shared" si="21"/>
        <v>9000</v>
      </c>
      <c r="X87" s="553">
        <f t="shared" si="21"/>
        <v>9000</v>
      </c>
      <c r="Y87" s="553">
        <f t="shared" si="22"/>
        <v>9000</v>
      </c>
      <c r="Z87" s="553">
        <f t="shared" si="22"/>
        <v>9000</v>
      </c>
      <c r="AA87" s="553">
        <f t="shared" si="22"/>
        <v>9000</v>
      </c>
      <c r="AB87" s="553">
        <f t="shared" si="23"/>
        <v>9000</v>
      </c>
      <c r="AC87" s="553">
        <f t="shared" si="23"/>
        <v>9000</v>
      </c>
      <c r="AD87" s="553">
        <f t="shared" si="23"/>
        <v>9000</v>
      </c>
      <c r="AE87" s="553">
        <f t="shared" si="24"/>
        <v>9000</v>
      </c>
      <c r="AF87" s="553">
        <f t="shared" si="24"/>
        <v>9000</v>
      </c>
      <c r="AG87" s="553">
        <f t="shared" si="24"/>
        <v>9000</v>
      </c>
      <c r="AH87" s="553">
        <f t="shared" si="18"/>
        <v>108000</v>
      </c>
      <c r="AI87" s="553">
        <f t="shared" si="19"/>
        <v>0</v>
      </c>
      <c r="AL87" s="552">
        <f>SUMIFS('Sales T&amp;E &amp; 科室会WP'!$T:$T,'Sales T&amp;E &amp; 科室会WP'!$Q:$Q,$H87)*$I87</f>
        <v>3000</v>
      </c>
      <c r="AM87" s="552">
        <f>SUMIFS('Sales T&amp;E &amp; 科室会WP'!$T:$T,'Sales T&amp;E &amp; 科室会WP'!$Q:$Q,$H87)*$I87</f>
        <v>3000</v>
      </c>
      <c r="AN87" s="552">
        <f>SUMIFS('Sales T&amp;E &amp; 科室会WP'!$T:$T,'Sales T&amp;E &amp; 科室会WP'!$Q:$Q,$H87)*$I87</f>
        <v>3000</v>
      </c>
      <c r="AO87" s="552">
        <f>SUMIFS('Sales T&amp;E &amp; 科室会WP'!$T:$T,'Sales T&amp;E &amp; 科室会WP'!$Q:$Q,$H87)*$J87</f>
        <v>3000</v>
      </c>
      <c r="AP87" s="552">
        <f>SUMIFS('Sales T&amp;E &amp; 科室会WP'!$T:$T,'Sales T&amp;E &amp; 科室会WP'!$Q:$Q,$H87)*$J87</f>
        <v>3000</v>
      </c>
      <c r="AQ87" s="552">
        <f>SUMIFS('Sales T&amp;E &amp; 科室会WP'!$T:$T,'Sales T&amp;E &amp; 科室会WP'!$Q:$Q,$H87)*$J87</f>
        <v>3000</v>
      </c>
      <c r="AR87" s="552">
        <f>SUMIFS('Sales T&amp;E &amp; 科室会WP'!$T:$T,'Sales T&amp;E &amp; 科室会WP'!$Q:$Q,$H87)*$K87</f>
        <v>3000</v>
      </c>
      <c r="AS87" s="552">
        <f>SUMIFS('Sales T&amp;E &amp; 科室会WP'!$T:$T,'Sales T&amp;E &amp; 科室会WP'!$Q:$Q,$H87)*$K87</f>
        <v>3000</v>
      </c>
      <c r="AT87" s="552">
        <f>SUMIFS('Sales T&amp;E &amp; 科室会WP'!$T:$T,'Sales T&amp;E &amp; 科室会WP'!$Q:$Q,$H87)*$K87</f>
        <v>3000</v>
      </c>
      <c r="AU87" s="552">
        <f>SUMIFS('Sales T&amp;E &amp; 科室会WP'!$T:$T,'Sales T&amp;E &amp; 科室会WP'!$Q:$Q,$H87)*$L87</f>
        <v>3000</v>
      </c>
      <c r="AV87" s="552">
        <f>SUMIFS('Sales T&amp;E &amp; 科室会WP'!$T:$T,'Sales T&amp;E &amp; 科室会WP'!$Q:$Q,$H87)*$L87</f>
        <v>3000</v>
      </c>
      <c r="AW87" s="552">
        <f>SUMIFS('Sales T&amp;E &amp; 科室会WP'!$T:$T,'Sales T&amp;E &amp; 科室会WP'!$Q:$Q,$H87)*$L87</f>
        <v>3000</v>
      </c>
      <c r="AX87" s="552">
        <f t="shared" si="20"/>
        <v>36000</v>
      </c>
    </row>
    <row r="88" spans="1:50" hidden="1">
      <c r="A88" s="551" t="s">
        <v>203</v>
      </c>
      <c r="B88" s="551" t="s">
        <v>958</v>
      </c>
      <c r="C88" s="551" t="s">
        <v>973</v>
      </c>
      <c r="D88" s="551" t="s">
        <v>974</v>
      </c>
      <c r="E88" s="551" t="s">
        <v>968</v>
      </c>
      <c r="F88" s="551" t="s">
        <v>981</v>
      </c>
      <c r="G88" s="508" t="s">
        <v>8</v>
      </c>
      <c r="N88" s="552">
        <f>SUMIFS('Sales T&amp;E &amp; 科室会WP'!$N:$N,'Sales T&amp;E &amp; 科室会WP'!$L:$L,$G88,'Sales T&amp;E &amp; 科室会WP'!$M:$M,$H88)*3*I88</f>
        <v>0</v>
      </c>
      <c r="O88" s="552">
        <f>SUMIFS('Sales T&amp;E &amp; 科室会WP'!$N:$N,'Sales T&amp;E &amp; 科室会WP'!$L:$L,$G88,'Sales T&amp;E &amp; 科室会WP'!$M:$M,$H88)*3*J88</f>
        <v>0</v>
      </c>
      <c r="P88" s="552">
        <f>SUMIFS('Sales T&amp;E &amp; 科室会WP'!$N:$N,'Sales T&amp;E &amp; 科室会WP'!$L:$L,$G88,'Sales T&amp;E &amp; 科室会WP'!$M:$M,$H88)*3*K88</f>
        <v>0</v>
      </c>
      <c r="Q88" s="552">
        <f>SUMIFS('Sales T&amp;E &amp; 科室会WP'!$N:$N,'Sales T&amp;E &amp; 科室会WP'!$L:$L,$G88,'Sales T&amp;E &amp; 科室会WP'!$M:$M,$H88)*3*L88</f>
        <v>0</v>
      </c>
      <c r="R88" s="553">
        <f t="shared" si="13"/>
        <v>0</v>
      </c>
      <c r="V88" s="553">
        <f t="shared" si="21"/>
        <v>0</v>
      </c>
      <c r="W88" s="553">
        <f t="shared" si="21"/>
        <v>0</v>
      </c>
      <c r="X88" s="553">
        <f t="shared" si="21"/>
        <v>0</v>
      </c>
      <c r="Y88" s="553">
        <f t="shared" si="22"/>
        <v>0</v>
      </c>
      <c r="Z88" s="553">
        <f t="shared" si="22"/>
        <v>0</v>
      </c>
      <c r="AA88" s="553">
        <f t="shared" si="22"/>
        <v>0</v>
      </c>
      <c r="AB88" s="553">
        <f t="shared" si="23"/>
        <v>0</v>
      </c>
      <c r="AC88" s="553">
        <f t="shared" si="23"/>
        <v>0</v>
      </c>
      <c r="AD88" s="553">
        <f t="shared" si="23"/>
        <v>0</v>
      </c>
      <c r="AE88" s="553">
        <f t="shared" si="24"/>
        <v>0</v>
      </c>
      <c r="AF88" s="553">
        <f t="shared" si="24"/>
        <v>0</v>
      </c>
      <c r="AG88" s="553">
        <f t="shared" si="24"/>
        <v>0</v>
      </c>
      <c r="AH88" s="553">
        <f t="shared" si="18"/>
        <v>0</v>
      </c>
      <c r="AI88" s="553">
        <f t="shared" si="19"/>
        <v>0</v>
      </c>
      <c r="AL88" s="552">
        <f>SUMIFS('Sales T&amp;E &amp; 科室会WP'!$T:$T,'Sales T&amp;E &amp; 科室会WP'!$Q:$Q,$H88)*$I88</f>
        <v>0</v>
      </c>
      <c r="AM88" s="552">
        <f>SUMIFS('Sales T&amp;E &amp; 科室会WP'!$T:$T,'Sales T&amp;E &amp; 科室会WP'!$Q:$Q,$H88)*$I88</f>
        <v>0</v>
      </c>
      <c r="AN88" s="552">
        <f>SUMIFS('Sales T&amp;E &amp; 科室会WP'!$T:$T,'Sales T&amp;E &amp; 科室会WP'!$Q:$Q,$H88)*$I88</f>
        <v>0</v>
      </c>
      <c r="AO88" s="552">
        <f>SUMIFS('Sales T&amp;E &amp; 科室会WP'!$T:$T,'Sales T&amp;E &amp; 科室会WP'!$Q:$Q,$H88)*$J88</f>
        <v>0</v>
      </c>
      <c r="AP88" s="552">
        <f>SUMIFS('Sales T&amp;E &amp; 科室会WP'!$T:$T,'Sales T&amp;E &amp; 科室会WP'!$Q:$Q,$H88)*$J88</f>
        <v>0</v>
      </c>
      <c r="AQ88" s="552">
        <f>SUMIFS('Sales T&amp;E &amp; 科室会WP'!$T:$T,'Sales T&amp;E &amp; 科室会WP'!$Q:$Q,$H88)*$J88</f>
        <v>0</v>
      </c>
      <c r="AR88" s="552">
        <f>SUMIFS('Sales T&amp;E &amp; 科室会WP'!$T:$T,'Sales T&amp;E &amp; 科室会WP'!$Q:$Q,$H88)*$K88</f>
        <v>0</v>
      </c>
      <c r="AS88" s="552">
        <f>SUMIFS('Sales T&amp;E &amp; 科室会WP'!$T:$T,'Sales T&amp;E &amp; 科室会WP'!$Q:$Q,$H88)*$K88</f>
        <v>0</v>
      </c>
      <c r="AT88" s="552">
        <f>SUMIFS('Sales T&amp;E &amp; 科室会WP'!$T:$T,'Sales T&amp;E &amp; 科室会WP'!$Q:$Q,$H88)*$K88</f>
        <v>0</v>
      </c>
      <c r="AU88" s="552">
        <f>SUMIFS('Sales T&amp;E &amp; 科室会WP'!$T:$T,'Sales T&amp;E &amp; 科室会WP'!$Q:$Q,$H88)*$L88</f>
        <v>0</v>
      </c>
      <c r="AV88" s="552">
        <f>SUMIFS('Sales T&amp;E &amp; 科室会WP'!$T:$T,'Sales T&amp;E &amp; 科室会WP'!$Q:$Q,$H88)*$L88</f>
        <v>0</v>
      </c>
      <c r="AW88" s="552">
        <f>SUMIFS('Sales T&amp;E &amp; 科室会WP'!$T:$T,'Sales T&amp;E &amp; 科室会WP'!$Q:$Q,$H88)*$L88</f>
        <v>0</v>
      </c>
      <c r="AX88" s="552">
        <f t="shared" si="20"/>
        <v>0</v>
      </c>
    </row>
    <row r="89" spans="1:50" hidden="1">
      <c r="A89" s="551" t="s">
        <v>203</v>
      </c>
      <c r="B89" s="551" t="s">
        <v>958</v>
      </c>
      <c r="C89" s="551" t="s">
        <v>973</v>
      </c>
      <c r="D89" s="551" t="s">
        <v>974</v>
      </c>
      <c r="E89" s="551" t="s">
        <v>968</v>
      </c>
      <c r="F89" s="551" t="s">
        <v>981</v>
      </c>
      <c r="G89" s="508" t="s">
        <v>8</v>
      </c>
      <c r="H89" s="551" t="s">
        <v>93</v>
      </c>
      <c r="I89" s="551">
        <v>2</v>
      </c>
      <c r="J89" s="551">
        <v>2</v>
      </c>
      <c r="K89" s="551">
        <v>2</v>
      </c>
      <c r="L89" s="551">
        <v>2</v>
      </c>
      <c r="N89" s="552">
        <f>SUMIFS('Sales T&amp;E &amp; 科室会WP'!$N:$N,'Sales T&amp;E &amp; 科室会WP'!$L:$L,$G89,'Sales T&amp;E &amp; 科室会WP'!$M:$M,$H89)*3*I89</f>
        <v>54000</v>
      </c>
      <c r="O89" s="552">
        <f>SUMIFS('Sales T&amp;E &amp; 科室会WP'!$N:$N,'Sales T&amp;E &amp; 科室会WP'!$L:$L,$G89,'Sales T&amp;E &amp; 科室会WP'!$M:$M,$H89)*3*J89</f>
        <v>54000</v>
      </c>
      <c r="P89" s="552">
        <f>SUMIFS('Sales T&amp;E &amp; 科室会WP'!$N:$N,'Sales T&amp;E &amp; 科室会WP'!$L:$L,$G89,'Sales T&amp;E &amp; 科室会WP'!$M:$M,$H89)*3*K89</f>
        <v>54000</v>
      </c>
      <c r="Q89" s="552">
        <f>SUMIFS('Sales T&amp;E &amp; 科室会WP'!$N:$N,'Sales T&amp;E &amp; 科室会WP'!$L:$L,$G89,'Sales T&amp;E &amp; 科室会WP'!$M:$M,$H89)*3*L89</f>
        <v>54000</v>
      </c>
      <c r="R89" s="553">
        <f t="shared" si="13"/>
        <v>216000</v>
      </c>
      <c r="V89" s="553">
        <f t="shared" si="21"/>
        <v>18000</v>
      </c>
      <c r="W89" s="553">
        <f t="shared" si="21"/>
        <v>18000</v>
      </c>
      <c r="X89" s="553">
        <f t="shared" si="21"/>
        <v>18000</v>
      </c>
      <c r="Y89" s="553">
        <f t="shared" si="22"/>
        <v>18000</v>
      </c>
      <c r="Z89" s="553">
        <f t="shared" si="22"/>
        <v>18000</v>
      </c>
      <c r="AA89" s="553">
        <f t="shared" si="22"/>
        <v>18000</v>
      </c>
      <c r="AB89" s="553">
        <f t="shared" si="23"/>
        <v>18000</v>
      </c>
      <c r="AC89" s="553">
        <f t="shared" si="23"/>
        <v>18000</v>
      </c>
      <c r="AD89" s="553">
        <f t="shared" si="23"/>
        <v>18000</v>
      </c>
      <c r="AE89" s="553">
        <f t="shared" si="24"/>
        <v>18000</v>
      </c>
      <c r="AF89" s="553">
        <f t="shared" si="24"/>
        <v>18000</v>
      </c>
      <c r="AG89" s="553">
        <f t="shared" si="24"/>
        <v>18000</v>
      </c>
      <c r="AH89" s="553">
        <f t="shared" si="18"/>
        <v>216000</v>
      </c>
      <c r="AI89" s="553">
        <f t="shared" si="19"/>
        <v>0</v>
      </c>
      <c r="AL89" s="552">
        <f>SUMIFS('Sales T&amp;E &amp; 科室会WP'!$T:$T,'Sales T&amp;E &amp; 科室会WP'!$Q:$Q,$H89)*$I89</f>
        <v>6000</v>
      </c>
      <c r="AM89" s="552">
        <f>SUMIFS('Sales T&amp;E &amp; 科室会WP'!$T:$T,'Sales T&amp;E &amp; 科室会WP'!$Q:$Q,$H89)*$I89</f>
        <v>6000</v>
      </c>
      <c r="AN89" s="552">
        <f>SUMIFS('Sales T&amp;E &amp; 科室会WP'!$T:$T,'Sales T&amp;E &amp; 科室会WP'!$Q:$Q,$H89)*$I89</f>
        <v>6000</v>
      </c>
      <c r="AO89" s="552">
        <f>SUMIFS('Sales T&amp;E &amp; 科室会WP'!$T:$T,'Sales T&amp;E &amp; 科室会WP'!$Q:$Q,$H89)*$J89</f>
        <v>6000</v>
      </c>
      <c r="AP89" s="552">
        <f>SUMIFS('Sales T&amp;E &amp; 科室会WP'!$T:$T,'Sales T&amp;E &amp; 科室会WP'!$Q:$Q,$H89)*$J89</f>
        <v>6000</v>
      </c>
      <c r="AQ89" s="552">
        <f>SUMIFS('Sales T&amp;E &amp; 科室会WP'!$T:$T,'Sales T&amp;E &amp; 科室会WP'!$Q:$Q,$H89)*$J89</f>
        <v>6000</v>
      </c>
      <c r="AR89" s="552">
        <f>SUMIFS('Sales T&amp;E &amp; 科室会WP'!$T:$T,'Sales T&amp;E &amp; 科室会WP'!$Q:$Q,$H89)*$K89</f>
        <v>6000</v>
      </c>
      <c r="AS89" s="552">
        <f>SUMIFS('Sales T&amp;E &amp; 科室会WP'!$T:$T,'Sales T&amp;E &amp; 科室会WP'!$Q:$Q,$H89)*$K89</f>
        <v>6000</v>
      </c>
      <c r="AT89" s="552">
        <f>SUMIFS('Sales T&amp;E &amp; 科室会WP'!$T:$T,'Sales T&amp;E &amp; 科室会WP'!$Q:$Q,$H89)*$K89</f>
        <v>6000</v>
      </c>
      <c r="AU89" s="552">
        <f>SUMIFS('Sales T&amp;E &amp; 科室会WP'!$T:$T,'Sales T&amp;E &amp; 科室会WP'!$Q:$Q,$H89)*$L89</f>
        <v>6000</v>
      </c>
      <c r="AV89" s="552">
        <f>SUMIFS('Sales T&amp;E &amp; 科室会WP'!$T:$T,'Sales T&amp;E &amp; 科室会WP'!$Q:$Q,$H89)*$L89</f>
        <v>6000</v>
      </c>
      <c r="AW89" s="552">
        <f>SUMIFS('Sales T&amp;E &amp; 科室会WP'!$T:$T,'Sales T&amp;E &amp; 科室会WP'!$Q:$Q,$H89)*$L89</f>
        <v>6000</v>
      </c>
      <c r="AX89" s="552">
        <f t="shared" si="20"/>
        <v>72000</v>
      </c>
    </row>
    <row r="90" spans="1:50" hidden="1">
      <c r="A90" s="551" t="s">
        <v>203</v>
      </c>
      <c r="B90" s="551" t="s">
        <v>958</v>
      </c>
      <c r="C90" s="551" t="s">
        <v>973</v>
      </c>
      <c r="D90" s="551" t="s">
        <v>974</v>
      </c>
      <c r="E90" s="551" t="s">
        <v>968</v>
      </c>
      <c r="F90" s="551" t="s">
        <v>981</v>
      </c>
      <c r="G90" s="508" t="s">
        <v>8</v>
      </c>
      <c r="H90" s="551" t="s">
        <v>94</v>
      </c>
      <c r="I90" s="551">
        <v>15</v>
      </c>
      <c r="J90" s="551">
        <v>22</v>
      </c>
      <c r="K90" s="551">
        <v>22</v>
      </c>
      <c r="L90" s="551">
        <v>22</v>
      </c>
      <c r="N90" s="552">
        <f>SUMIFS('Sales T&amp;E &amp; 科室会WP'!$N:$N,'Sales T&amp;E &amp; 科室会WP'!$L:$L,$G90,'Sales T&amp;E &amp; 科室会WP'!$M:$M,$H90)*3*I90</f>
        <v>225000</v>
      </c>
      <c r="O90" s="552">
        <f>SUMIFS('Sales T&amp;E &amp; 科室会WP'!$N:$N,'Sales T&amp;E &amp; 科室会WP'!$L:$L,$G90,'Sales T&amp;E &amp; 科室会WP'!$M:$M,$H90)*3*J90</f>
        <v>330000</v>
      </c>
      <c r="P90" s="552">
        <f>SUMIFS('Sales T&amp;E &amp; 科室会WP'!$N:$N,'Sales T&amp;E &amp; 科室会WP'!$L:$L,$G90,'Sales T&amp;E &amp; 科室会WP'!$M:$M,$H90)*3*K90</f>
        <v>330000</v>
      </c>
      <c r="Q90" s="552">
        <f>SUMIFS('Sales T&amp;E &amp; 科室会WP'!$N:$N,'Sales T&amp;E &amp; 科室会WP'!$L:$L,$G90,'Sales T&amp;E &amp; 科室会WP'!$M:$M,$H90)*3*L90</f>
        <v>330000</v>
      </c>
      <c r="R90" s="553">
        <f t="shared" si="13"/>
        <v>1215000</v>
      </c>
      <c r="V90" s="553">
        <f t="shared" si="21"/>
        <v>75000</v>
      </c>
      <c r="W90" s="553">
        <f t="shared" si="21"/>
        <v>75000</v>
      </c>
      <c r="X90" s="553">
        <f t="shared" si="21"/>
        <v>75000</v>
      </c>
      <c r="Y90" s="553">
        <f t="shared" si="22"/>
        <v>110000</v>
      </c>
      <c r="Z90" s="553">
        <f t="shared" si="22"/>
        <v>110000</v>
      </c>
      <c r="AA90" s="553">
        <f t="shared" si="22"/>
        <v>110000</v>
      </c>
      <c r="AB90" s="553">
        <f t="shared" si="23"/>
        <v>110000</v>
      </c>
      <c r="AC90" s="553">
        <f t="shared" si="23"/>
        <v>110000</v>
      </c>
      <c r="AD90" s="553">
        <f t="shared" si="23"/>
        <v>110000</v>
      </c>
      <c r="AE90" s="553">
        <f t="shared" si="24"/>
        <v>110000</v>
      </c>
      <c r="AF90" s="553">
        <f t="shared" si="24"/>
        <v>110000</v>
      </c>
      <c r="AG90" s="553">
        <f t="shared" si="24"/>
        <v>110000</v>
      </c>
      <c r="AH90" s="553">
        <f t="shared" si="18"/>
        <v>1215000</v>
      </c>
      <c r="AI90" s="553">
        <f t="shared" si="19"/>
        <v>0</v>
      </c>
      <c r="AL90" s="552">
        <f>SUMIFS('Sales T&amp;E &amp; 科室会WP'!$T:$T,'Sales T&amp;E &amp; 科室会WP'!$Q:$Q,$H90)*$I90</f>
        <v>45000</v>
      </c>
      <c r="AM90" s="552">
        <f>SUMIFS('Sales T&amp;E &amp; 科室会WP'!$T:$T,'Sales T&amp;E &amp; 科室会WP'!$Q:$Q,$H90)*$I90</f>
        <v>45000</v>
      </c>
      <c r="AN90" s="552">
        <f>SUMIFS('Sales T&amp;E &amp; 科室会WP'!$T:$T,'Sales T&amp;E &amp; 科室会WP'!$Q:$Q,$H90)*$I90</f>
        <v>45000</v>
      </c>
      <c r="AO90" s="552">
        <f>SUMIFS('Sales T&amp;E &amp; 科室会WP'!$T:$T,'Sales T&amp;E &amp; 科室会WP'!$Q:$Q,$H90)*$J90</f>
        <v>66000</v>
      </c>
      <c r="AP90" s="552">
        <f>SUMIFS('Sales T&amp;E &amp; 科室会WP'!$T:$T,'Sales T&amp;E &amp; 科室会WP'!$Q:$Q,$H90)*$J90</f>
        <v>66000</v>
      </c>
      <c r="AQ90" s="552">
        <f>SUMIFS('Sales T&amp;E &amp; 科室会WP'!$T:$T,'Sales T&amp;E &amp; 科室会WP'!$Q:$Q,$H90)*$J90</f>
        <v>66000</v>
      </c>
      <c r="AR90" s="552">
        <f>SUMIFS('Sales T&amp;E &amp; 科室会WP'!$T:$T,'Sales T&amp;E &amp; 科室会WP'!$Q:$Q,$H90)*$K90</f>
        <v>66000</v>
      </c>
      <c r="AS90" s="552">
        <f>SUMIFS('Sales T&amp;E &amp; 科室会WP'!$T:$T,'Sales T&amp;E &amp; 科室会WP'!$Q:$Q,$H90)*$K90</f>
        <v>66000</v>
      </c>
      <c r="AT90" s="552">
        <f>SUMIFS('Sales T&amp;E &amp; 科室会WP'!$T:$T,'Sales T&amp;E &amp; 科室会WP'!$Q:$Q,$H90)*$K90</f>
        <v>66000</v>
      </c>
      <c r="AU90" s="552">
        <f>SUMIFS('Sales T&amp;E &amp; 科室会WP'!$T:$T,'Sales T&amp;E &amp; 科室会WP'!$Q:$Q,$H90)*$L90</f>
        <v>66000</v>
      </c>
      <c r="AV90" s="552">
        <f>SUMIFS('Sales T&amp;E &amp; 科室会WP'!$T:$T,'Sales T&amp;E &amp; 科室会WP'!$Q:$Q,$H90)*$L90</f>
        <v>66000</v>
      </c>
      <c r="AW90" s="552">
        <f>SUMIFS('Sales T&amp;E &amp; 科室会WP'!$T:$T,'Sales T&amp;E &amp; 科室会WP'!$Q:$Q,$H90)*$L90</f>
        <v>66000</v>
      </c>
      <c r="AX90" s="552">
        <f t="shared" si="20"/>
        <v>729000</v>
      </c>
    </row>
    <row r="91" spans="1:50" hidden="1">
      <c r="A91" s="551" t="s">
        <v>203</v>
      </c>
      <c r="B91" s="551" t="s">
        <v>958</v>
      </c>
      <c r="C91" s="551" t="s">
        <v>973</v>
      </c>
      <c r="D91" s="551" t="s">
        <v>974</v>
      </c>
      <c r="E91" s="551" t="s">
        <v>968</v>
      </c>
      <c r="F91" s="551" t="s">
        <v>981</v>
      </c>
      <c r="G91" s="508" t="s">
        <v>8</v>
      </c>
      <c r="H91" s="551" t="s">
        <v>131</v>
      </c>
      <c r="I91" s="551">
        <v>1</v>
      </c>
      <c r="J91" s="551">
        <v>1</v>
      </c>
      <c r="K91" s="551">
        <v>1</v>
      </c>
      <c r="L91" s="551">
        <v>1</v>
      </c>
      <c r="N91" s="552">
        <f>SUMIFS('Sales T&amp;E &amp; 科室会WP'!$N:$N,'Sales T&amp;E &amp; 科室会WP'!$L:$L,$G91,'Sales T&amp;E &amp; 科室会WP'!$M:$M,$H91)*3*I91</f>
        <v>27000</v>
      </c>
      <c r="O91" s="552">
        <f>SUMIFS('Sales T&amp;E &amp; 科室会WP'!$N:$N,'Sales T&amp;E &amp; 科室会WP'!$L:$L,$G91,'Sales T&amp;E &amp; 科室会WP'!$M:$M,$H91)*3*J91</f>
        <v>27000</v>
      </c>
      <c r="P91" s="552">
        <f>SUMIFS('Sales T&amp;E &amp; 科室会WP'!$N:$N,'Sales T&amp;E &amp; 科室会WP'!$L:$L,$G91,'Sales T&amp;E &amp; 科室会WP'!$M:$M,$H91)*3*K91</f>
        <v>27000</v>
      </c>
      <c r="Q91" s="552">
        <f>SUMIFS('Sales T&amp;E &amp; 科室会WP'!$N:$N,'Sales T&amp;E &amp; 科室会WP'!$L:$L,$G91,'Sales T&amp;E &amp; 科室会WP'!$M:$M,$H91)*3*L91</f>
        <v>27000</v>
      </c>
      <c r="R91" s="553">
        <f t="shared" si="13"/>
        <v>108000</v>
      </c>
      <c r="V91" s="553">
        <f t="shared" si="21"/>
        <v>9000</v>
      </c>
      <c r="W91" s="553">
        <f t="shared" si="21"/>
        <v>9000</v>
      </c>
      <c r="X91" s="553">
        <f t="shared" si="21"/>
        <v>9000</v>
      </c>
      <c r="Y91" s="553">
        <f t="shared" si="22"/>
        <v>9000</v>
      </c>
      <c r="Z91" s="553">
        <f t="shared" si="22"/>
        <v>9000</v>
      </c>
      <c r="AA91" s="553">
        <f t="shared" si="22"/>
        <v>9000</v>
      </c>
      <c r="AB91" s="553">
        <f t="shared" si="23"/>
        <v>9000</v>
      </c>
      <c r="AC91" s="553">
        <f t="shared" si="23"/>
        <v>9000</v>
      </c>
      <c r="AD91" s="553">
        <f t="shared" si="23"/>
        <v>9000</v>
      </c>
      <c r="AE91" s="553">
        <f t="shared" si="24"/>
        <v>9000</v>
      </c>
      <c r="AF91" s="553">
        <f t="shared" si="24"/>
        <v>9000</v>
      </c>
      <c r="AG91" s="553">
        <f t="shared" si="24"/>
        <v>9000</v>
      </c>
      <c r="AH91" s="553">
        <f t="shared" si="18"/>
        <v>108000</v>
      </c>
      <c r="AI91" s="553">
        <f t="shared" si="19"/>
        <v>0</v>
      </c>
      <c r="AL91" s="552">
        <f>SUMIFS('Sales T&amp;E &amp; 科室会WP'!$T:$T,'Sales T&amp;E &amp; 科室会WP'!$Q:$Q,$H91)*$I91</f>
        <v>3000</v>
      </c>
      <c r="AM91" s="552">
        <f>SUMIFS('Sales T&amp;E &amp; 科室会WP'!$T:$T,'Sales T&amp;E &amp; 科室会WP'!$Q:$Q,$H91)*$I91</f>
        <v>3000</v>
      </c>
      <c r="AN91" s="552">
        <f>SUMIFS('Sales T&amp;E &amp; 科室会WP'!$T:$T,'Sales T&amp;E &amp; 科室会WP'!$Q:$Q,$H91)*$I91</f>
        <v>3000</v>
      </c>
      <c r="AO91" s="552">
        <f>SUMIFS('Sales T&amp;E &amp; 科室会WP'!$T:$T,'Sales T&amp;E &amp; 科室会WP'!$Q:$Q,$H91)*$J91</f>
        <v>3000</v>
      </c>
      <c r="AP91" s="552">
        <f>SUMIFS('Sales T&amp;E &amp; 科室会WP'!$T:$T,'Sales T&amp;E &amp; 科室会WP'!$Q:$Q,$H91)*$J91</f>
        <v>3000</v>
      </c>
      <c r="AQ91" s="552">
        <f>SUMIFS('Sales T&amp;E &amp; 科室会WP'!$T:$T,'Sales T&amp;E &amp; 科室会WP'!$Q:$Q,$H91)*$J91</f>
        <v>3000</v>
      </c>
      <c r="AR91" s="552">
        <f>SUMIFS('Sales T&amp;E &amp; 科室会WP'!$T:$T,'Sales T&amp;E &amp; 科室会WP'!$Q:$Q,$H91)*$K91</f>
        <v>3000</v>
      </c>
      <c r="AS91" s="552">
        <f>SUMIFS('Sales T&amp;E &amp; 科室会WP'!$T:$T,'Sales T&amp;E &amp; 科室会WP'!$Q:$Q,$H91)*$K91</f>
        <v>3000</v>
      </c>
      <c r="AT91" s="552">
        <f>SUMIFS('Sales T&amp;E &amp; 科室会WP'!$T:$T,'Sales T&amp;E &amp; 科室会WP'!$Q:$Q,$H91)*$K91</f>
        <v>3000</v>
      </c>
      <c r="AU91" s="552">
        <f>SUMIFS('Sales T&amp;E &amp; 科室会WP'!$T:$T,'Sales T&amp;E &amp; 科室会WP'!$Q:$Q,$H91)*$L91</f>
        <v>3000</v>
      </c>
      <c r="AV91" s="552">
        <f>SUMIFS('Sales T&amp;E &amp; 科室会WP'!$T:$T,'Sales T&amp;E &amp; 科室会WP'!$Q:$Q,$H91)*$L91</f>
        <v>3000</v>
      </c>
      <c r="AW91" s="552">
        <f>SUMIFS('Sales T&amp;E &amp; 科室会WP'!$T:$T,'Sales T&amp;E &amp; 科室会WP'!$Q:$Q,$H91)*$L91</f>
        <v>3000</v>
      </c>
      <c r="AX91" s="552">
        <f t="shared" si="20"/>
        <v>36000</v>
      </c>
    </row>
    <row r="92" spans="1:50" hidden="1">
      <c r="A92" s="551" t="s">
        <v>203</v>
      </c>
      <c r="B92" s="551" t="s">
        <v>958</v>
      </c>
      <c r="C92" s="551" t="s">
        <v>973</v>
      </c>
      <c r="D92" s="551" t="s">
        <v>974</v>
      </c>
      <c r="E92" s="551" t="s">
        <v>969</v>
      </c>
      <c r="F92" s="551" t="s">
        <v>982</v>
      </c>
      <c r="G92" s="508" t="s">
        <v>8</v>
      </c>
      <c r="N92" s="552">
        <f>SUMIFS('Sales T&amp;E &amp; 科室会WP'!$N:$N,'Sales T&amp;E &amp; 科室会WP'!$L:$L,$G92,'Sales T&amp;E &amp; 科室会WP'!$M:$M,$H92)*3*I92</f>
        <v>0</v>
      </c>
      <c r="O92" s="552">
        <f>SUMIFS('Sales T&amp;E &amp; 科室会WP'!$N:$N,'Sales T&amp;E &amp; 科室会WP'!$L:$L,$G92,'Sales T&amp;E &amp; 科室会WP'!$M:$M,$H92)*3*J92</f>
        <v>0</v>
      </c>
      <c r="P92" s="552">
        <f>SUMIFS('Sales T&amp;E &amp; 科室会WP'!$N:$N,'Sales T&amp;E &amp; 科室会WP'!$L:$L,$G92,'Sales T&amp;E &amp; 科室会WP'!$M:$M,$H92)*3*K92</f>
        <v>0</v>
      </c>
      <c r="Q92" s="552">
        <f>SUMIFS('Sales T&amp;E &amp; 科室会WP'!$N:$N,'Sales T&amp;E &amp; 科室会WP'!$L:$L,$G92,'Sales T&amp;E &amp; 科室会WP'!$M:$M,$H92)*3*L92</f>
        <v>0</v>
      </c>
      <c r="R92" s="553">
        <f t="shared" si="13"/>
        <v>0</v>
      </c>
      <c r="V92" s="553">
        <f t="shared" si="21"/>
        <v>0</v>
      </c>
      <c r="W92" s="553">
        <f t="shared" si="21"/>
        <v>0</v>
      </c>
      <c r="X92" s="553">
        <f t="shared" si="21"/>
        <v>0</v>
      </c>
      <c r="Y92" s="553">
        <f t="shared" si="22"/>
        <v>0</v>
      </c>
      <c r="Z92" s="553">
        <f t="shared" si="22"/>
        <v>0</v>
      </c>
      <c r="AA92" s="553">
        <f t="shared" si="22"/>
        <v>0</v>
      </c>
      <c r="AB92" s="553">
        <f t="shared" si="23"/>
        <v>0</v>
      </c>
      <c r="AC92" s="553">
        <f t="shared" si="23"/>
        <v>0</v>
      </c>
      <c r="AD92" s="553">
        <f t="shared" si="23"/>
        <v>0</v>
      </c>
      <c r="AE92" s="553">
        <f t="shared" si="24"/>
        <v>0</v>
      </c>
      <c r="AF92" s="553">
        <f t="shared" si="24"/>
        <v>0</v>
      </c>
      <c r="AG92" s="553">
        <f t="shared" si="24"/>
        <v>0</v>
      </c>
      <c r="AH92" s="553">
        <f t="shared" si="18"/>
        <v>0</v>
      </c>
      <c r="AI92" s="553">
        <f t="shared" si="19"/>
        <v>0</v>
      </c>
      <c r="AL92" s="552">
        <f>SUMIFS('Sales T&amp;E &amp; 科室会WP'!$T:$T,'Sales T&amp;E &amp; 科室会WP'!$Q:$Q,$H92)*$I92</f>
        <v>0</v>
      </c>
      <c r="AM92" s="552">
        <f>SUMIFS('Sales T&amp;E &amp; 科室会WP'!$T:$T,'Sales T&amp;E &amp; 科室会WP'!$Q:$Q,$H92)*$I92</f>
        <v>0</v>
      </c>
      <c r="AN92" s="552">
        <f>SUMIFS('Sales T&amp;E &amp; 科室会WP'!$T:$T,'Sales T&amp;E &amp; 科室会WP'!$Q:$Q,$H92)*$I92</f>
        <v>0</v>
      </c>
      <c r="AO92" s="552">
        <f>SUMIFS('Sales T&amp;E &amp; 科室会WP'!$T:$T,'Sales T&amp;E &amp; 科室会WP'!$Q:$Q,$H92)*$J92</f>
        <v>0</v>
      </c>
      <c r="AP92" s="552">
        <f>SUMIFS('Sales T&amp;E &amp; 科室会WP'!$T:$T,'Sales T&amp;E &amp; 科室会WP'!$Q:$Q,$H92)*$J92</f>
        <v>0</v>
      </c>
      <c r="AQ92" s="552">
        <f>SUMIFS('Sales T&amp;E &amp; 科室会WP'!$T:$T,'Sales T&amp;E &amp; 科室会WP'!$Q:$Q,$H92)*$J92</f>
        <v>0</v>
      </c>
      <c r="AR92" s="552">
        <f>SUMIFS('Sales T&amp;E &amp; 科室会WP'!$T:$T,'Sales T&amp;E &amp; 科室会WP'!$Q:$Q,$H92)*$K92</f>
        <v>0</v>
      </c>
      <c r="AS92" s="552">
        <f>SUMIFS('Sales T&amp;E &amp; 科室会WP'!$T:$T,'Sales T&amp;E &amp; 科室会WP'!$Q:$Q,$H92)*$K92</f>
        <v>0</v>
      </c>
      <c r="AT92" s="552">
        <f>SUMIFS('Sales T&amp;E &amp; 科室会WP'!$T:$T,'Sales T&amp;E &amp; 科室会WP'!$Q:$Q,$H92)*$K92</f>
        <v>0</v>
      </c>
      <c r="AU92" s="552">
        <f>SUMIFS('Sales T&amp;E &amp; 科室会WP'!$T:$T,'Sales T&amp;E &amp; 科室会WP'!$Q:$Q,$H92)*$L92</f>
        <v>0</v>
      </c>
      <c r="AV92" s="552">
        <f>SUMIFS('Sales T&amp;E &amp; 科室会WP'!$T:$T,'Sales T&amp;E &amp; 科室会WP'!$Q:$Q,$H92)*$L92</f>
        <v>0</v>
      </c>
      <c r="AW92" s="552">
        <f>SUMIFS('Sales T&amp;E &amp; 科室会WP'!$T:$T,'Sales T&amp;E &amp; 科室会WP'!$Q:$Q,$H92)*$L92</f>
        <v>0</v>
      </c>
      <c r="AX92" s="552">
        <f t="shared" si="20"/>
        <v>0</v>
      </c>
    </row>
    <row r="93" spans="1:50" hidden="1">
      <c r="A93" s="551" t="s">
        <v>203</v>
      </c>
      <c r="B93" s="551" t="s">
        <v>958</v>
      </c>
      <c r="C93" s="551" t="s">
        <v>973</v>
      </c>
      <c r="D93" s="551" t="s">
        <v>974</v>
      </c>
      <c r="E93" s="551" t="s">
        <v>969</v>
      </c>
      <c r="F93" s="551" t="s">
        <v>982</v>
      </c>
      <c r="G93" s="508" t="s">
        <v>8</v>
      </c>
      <c r="H93" s="551" t="s">
        <v>93</v>
      </c>
      <c r="I93" s="551">
        <v>5</v>
      </c>
      <c r="J93" s="551">
        <v>7</v>
      </c>
      <c r="K93" s="551">
        <v>7</v>
      </c>
      <c r="L93" s="551">
        <v>7</v>
      </c>
      <c r="N93" s="552">
        <f>SUMIFS('Sales T&amp;E &amp; 科室会WP'!$N:$N,'Sales T&amp;E &amp; 科室会WP'!$L:$L,$G93,'Sales T&amp;E &amp; 科室会WP'!$M:$M,$H93)*3*I93</f>
        <v>135000</v>
      </c>
      <c r="O93" s="552">
        <f>SUMIFS('Sales T&amp;E &amp; 科室会WP'!$N:$N,'Sales T&amp;E &amp; 科室会WP'!$L:$L,$G93,'Sales T&amp;E &amp; 科室会WP'!$M:$M,$H93)*3*J93</f>
        <v>189000</v>
      </c>
      <c r="P93" s="552">
        <f>SUMIFS('Sales T&amp;E &amp; 科室会WP'!$N:$N,'Sales T&amp;E &amp; 科室会WP'!$L:$L,$G93,'Sales T&amp;E &amp; 科室会WP'!$M:$M,$H93)*3*K93</f>
        <v>189000</v>
      </c>
      <c r="Q93" s="552">
        <f>SUMIFS('Sales T&amp;E &amp; 科室会WP'!$N:$N,'Sales T&amp;E &amp; 科室会WP'!$L:$L,$G93,'Sales T&amp;E &amp; 科室会WP'!$M:$M,$H93)*3*L93</f>
        <v>189000</v>
      </c>
      <c r="R93" s="553">
        <f t="shared" si="13"/>
        <v>702000</v>
      </c>
      <c r="V93" s="553">
        <f t="shared" si="21"/>
        <v>45000</v>
      </c>
      <c r="W93" s="553">
        <f t="shared" si="21"/>
        <v>45000</v>
      </c>
      <c r="X93" s="553">
        <f t="shared" si="21"/>
        <v>45000</v>
      </c>
      <c r="Y93" s="553">
        <f t="shared" si="22"/>
        <v>63000</v>
      </c>
      <c r="Z93" s="553">
        <f t="shared" si="22"/>
        <v>63000</v>
      </c>
      <c r="AA93" s="553">
        <f t="shared" si="22"/>
        <v>63000</v>
      </c>
      <c r="AB93" s="553">
        <f t="shared" si="23"/>
        <v>63000</v>
      </c>
      <c r="AC93" s="553">
        <f t="shared" si="23"/>
        <v>63000</v>
      </c>
      <c r="AD93" s="553">
        <f t="shared" si="23"/>
        <v>63000</v>
      </c>
      <c r="AE93" s="553">
        <f t="shared" si="24"/>
        <v>63000</v>
      </c>
      <c r="AF93" s="553">
        <f t="shared" si="24"/>
        <v>63000</v>
      </c>
      <c r="AG93" s="553">
        <f t="shared" si="24"/>
        <v>63000</v>
      </c>
      <c r="AH93" s="553">
        <f t="shared" si="18"/>
        <v>702000</v>
      </c>
      <c r="AI93" s="553">
        <f t="shared" si="19"/>
        <v>0</v>
      </c>
      <c r="AL93" s="552">
        <f>SUMIFS('Sales T&amp;E &amp; 科室会WP'!$T:$T,'Sales T&amp;E &amp; 科室会WP'!$Q:$Q,$H93)*$I93</f>
        <v>15000</v>
      </c>
      <c r="AM93" s="552">
        <f>SUMIFS('Sales T&amp;E &amp; 科室会WP'!$T:$T,'Sales T&amp;E &amp; 科室会WP'!$Q:$Q,$H93)*$I93</f>
        <v>15000</v>
      </c>
      <c r="AN93" s="552">
        <f>SUMIFS('Sales T&amp;E &amp; 科室会WP'!$T:$T,'Sales T&amp;E &amp; 科室会WP'!$Q:$Q,$H93)*$I93</f>
        <v>15000</v>
      </c>
      <c r="AO93" s="552">
        <f>SUMIFS('Sales T&amp;E &amp; 科室会WP'!$T:$T,'Sales T&amp;E &amp; 科室会WP'!$Q:$Q,$H93)*$J93</f>
        <v>21000</v>
      </c>
      <c r="AP93" s="552">
        <f>SUMIFS('Sales T&amp;E &amp; 科室会WP'!$T:$T,'Sales T&amp;E &amp; 科室会WP'!$Q:$Q,$H93)*$J93</f>
        <v>21000</v>
      </c>
      <c r="AQ93" s="552">
        <f>SUMIFS('Sales T&amp;E &amp; 科室会WP'!$T:$T,'Sales T&amp;E &amp; 科室会WP'!$Q:$Q,$H93)*$J93</f>
        <v>21000</v>
      </c>
      <c r="AR93" s="552">
        <f>SUMIFS('Sales T&amp;E &amp; 科室会WP'!$T:$T,'Sales T&amp;E &amp; 科室会WP'!$Q:$Q,$H93)*$K93</f>
        <v>21000</v>
      </c>
      <c r="AS93" s="552">
        <f>SUMIFS('Sales T&amp;E &amp; 科室会WP'!$T:$T,'Sales T&amp;E &amp; 科室会WP'!$Q:$Q,$H93)*$K93</f>
        <v>21000</v>
      </c>
      <c r="AT93" s="552">
        <f>SUMIFS('Sales T&amp;E &amp; 科室会WP'!$T:$T,'Sales T&amp;E &amp; 科室会WP'!$Q:$Q,$H93)*$K93</f>
        <v>21000</v>
      </c>
      <c r="AU93" s="552">
        <f>SUMIFS('Sales T&amp;E &amp; 科室会WP'!$T:$T,'Sales T&amp;E &amp; 科室会WP'!$Q:$Q,$H93)*$L93</f>
        <v>21000</v>
      </c>
      <c r="AV93" s="552">
        <f>SUMIFS('Sales T&amp;E &amp; 科室会WP'!$T:$T,'Sales T&amp;E &amp; 科室会WP'!$Q:$Q,$H93)*$L93</f>
        <v>21000</v>
      </c>
      <c r="AW93" s="552">
        <f>SUMIFS('Sales T&amp;E &amp; 科室会WP'!$T:$T,'Sales T&amp;E &amp; 科室会WP'!$Q:$Q,$H93)*$L93</f>
        <v>21000</v>
      </c>
      <c r="AX93" s="552">
        <f t="shared" si="20"/>
        <v>234000</v>
      </c>
    </row>
    <row r="94" spans="1:50" hidden="1">
      <c r="A94" s="551" t="s">
        <v>203</v>
      </c>
      <c r="B94" s="551" t="s">
        <v>958</v>
      </c>
      <c r="C94" s="551" t="s">
        <v>973</v>
      </c>
      <c r="D94" s="551" t="s">
        <v>974</v>
      </c>
      <c r="E94" s="551" t="s">
        <v>969</v>
      </c>
      <c r="F94" s="551" t="s">
        <v>982</v>
      </c>
      <c r="G94" s="508" t="s">
        <v>8</v>
      </c>
      <c r="H94" s="551" t="s">
        <v>94</v>
      </c>
      <c r="I94" s="551">
        <v>30</v>
      </c>
      <c r="J94" s="551">
        <v>33</v>
      </c>
      <c r="K94" s="551">
        <v>33</v>
      </c>
      <c r="L94" s="551">
        <v>33</v>
      </c>
      <c r="N94" s="552">
        <f>SUMIFS('Sales T&amp;E &amp; 科室会WP'!$N:$N,'Sales T&amp;E &amp; 科室会WP'!$L:$L,$G94,'Sales T&amp;E &amp; 科室会WP'!$M:$M,$H94)*3*I94</f>
        <v>450000</v>
      </c>
      <c r="O94" s="552">
        <f>SUMIFS('Sales T&amp;E &amp; 科室会WP'!$N:$N,'Sales T&amp;E &amp; 科室会WP'!$L:$L,$G94,'Sales T&amp;E &amp; 科室会WP'!$M:$M,$H94)*3*J94</f>
        <v>495000</v>
      </c>
      <c r="P94" s="552">
        <f>SUMIFS('Sales T&amp;E &amp; 科室会WP'!$N:$N,'Sales T&amp;E &amp; 科室会WP'!$L:$L,$G94,'Sales T&amp;E &amp; 科室会WP'!$M:$M,$H94)*3*K94</f>
        <v>495000</v>
      </c>
      <c r="Q94" s="552">
        <f>SUMIFS('Sales T&amp;E &amp; 科室会WP'!$N:$N,'Sales T&amp;E &amp; 科室会WP'!$L:$L,$G94,'Sales T&amp;E &amp; 科室会WP'!$M:$M,$H94)*3*L94</f>
        <v>495000</v>
      </c>
      <c r="R94" s="553">
        <f t="shared" si="13"/>
        <v>1935000</v>
      </c>
      <c r="V94" s="553">
        <f t="shared" si="21"/>
        <v>150000</v>
      </c>
      <c r="W94" s="553">
        <f t="shared" si="21"/>
        <v>150000</v>
      </c>
      <c r="X94" s="553">
        <f t="shared" si="21"/>
        <v>150000</v>
      </c>
      <c r="Y94" s="553">
        <f t="shared" si="22"/>
        <v>165000</v>
      </c>
      <c r="Z94" s="553">
        <f t="shared" si="22"/>
        <v>165000</v>
      </c>
      <c r="AA94" s="553">
        <f t="shared" si="22"/>
        <v>165000</v>
      </c>
      <c r="AB94" s="553">
        <f t="shared" si="23"/>
        <v>165000</v>
      </c>
      <c r="AC94" s="553">
        <f t="shared" si="23"/>
        <v>165000</v>
      </c>
      <c r="AD94" s="553">
        <f t="shared" si="23"/>
        <v>165000</v>
      </c>
      <c r="AE94" s="553">
        <f t="shared" si="24"/>
        <v>165000</v>
      </c>
      <c r="AF94" s="553">
        <f t="shared" si="24"/>
        <v>165000</v>
      </c>
      <c r="AG94" s="553">
        <f t="shared" si="24"/>
        <v>165000</v>
      </c>
      <c r="AH94" s="553">
        <f t="shared" si="18"/>
        <v>1935000</v>
      </c>
      <c r="AI94" s="553">
        <f t="shared" si="19"/>
        <v>0</v>
      </c>
      <c r="AL94" s="552">
        <f>SUMIFS('Sales T&amp;E &amp; 科室会WP'!$T:$T,'Sales T&amp;E &amp; 科室会WP'!$Q:$Q,$H94)*$I94</f>
        <v>90000</v>
      </c>
      <c r="AM94" s="552">
        <f>SUMIFS('Sales T&amp;E &amp; 科室会WP'!$T:$T,'Sales T&amp;E &amp; 科室会WP'!$Q:$Q,$H94)*$I94</f>
        <v>90000</v>
      </c>
      <c r="AN94" s="552">
        <f>SUMIFS('Sales T&amp;E &amp; 科室会WP'!$T:$T,'Sales T&amp;E &amp; 科室会WP'!$Q:$Q,$H94)*$I94</f>
        <v>90000</v>
      </c>
      <c r="AO94" s="552">
        <f>SUMIFS('Sales T&amp;E &amp; 科室会WP'!$T:$T,'Sales T&amp;E &amp; 科室会WP'!$Q:$Q,$H94)*$J94</f>
        <v>99000</v>
      </c>
      <c r="AP94" s="552">
        <f>SUMIFS('Sales T&amp;E &amp; 科室会WP'!$T:$T,'Sales T&amp;E &amp; 科室会WP'!$Q:$Q,$H94)*$J94</f>
        <v>99000</v>
      </c>
      <c r="AQ94" s="552">
        <f>SUMIFS('Sales T&amp;E &amp; 科室会WP'!$T:$T,'Sales T&amp;E &amp; 科室会WP'!$Q:$Q,$H94)*$J94</f>
        <v>99000</v>
      </c>
      <c r="AR94" s="552">
        <f>SUMIFS('Sales T&amp;E &amp; 科室会WP'!$T:$T,'Sales T&amp;E &amp; 科室会WP'!$Q:$Q,$H94)*$K94</f>
        <v>99000</v>
      </c>
      <c r="AS94" s="552">
        <f>SUMIFS('Sales T&amp;E &amp; 科室会WP'!$T:$T,'Sales T&amp;E &amp; 科室会WP'!$Q:$Q,$H94)*$K94</f>
        <v>99000</v>
      </c>
      <c r="AT94" s="552">
        <f>SUMIFS('Sales T&amp;E &amp; 科室会WP'!$T:$T,'Sales T&amp;E &amp; 科室会WP'!$Q:$Q,$H94)*$K94</f>
        <v>99000</v>
      </c>
      <c r="AU94" s="552">
        <f>SUMIFS('Sales T&amp;E &amp; 科室会WP'!$T:$T,'Sales T&amp;E &amp; 科室会WP'!$Q:$Q,$H94)*$L94</f>
        <v>99000</v>
      </c>
      <c r="AV94" s="552">
        <f>SUMIFS('Sales T&amp;E &amp; 科室会WP'!$T:$T,'Sales T&amp;E &amp; 科室会WP'!$Q:$Q,$H94)*$L94</f>
        <v>99000</v>
      </c>
      <c r="AW94" s="552">
        <f>SUMIFS('Sales T&amp;E &amp; 科室会WP'!$T:$T,'Sales T&amp;E &amp; 科室会WP'!$Q:$Q,$H94)*$L94</f>
        <v>99000</v>
      </c>
      <c r="AX94" s="552">
        <f t="shared" si="20"/>
        <v>1161000</v>
      </c>
    </row>
    <row r="95" spans="1:50" hidden="1">
      <c r="A95" s="551" t="s">
        <v>203</v>
      </c>
      <c r="B95" s="551" t="s">
        <v>958</v>
      </c>
      <c r="C95" s="551" t="s">
        <v>973</v>
      </c>
      <c r="D95" s="551" t="s">
        <v>974</v>
      </c>
      <c r="E95" s="551" t="s">
        <v>969</v>
      </c>
      <c r="F95" s="551" t="s">
        <v>982</v>
      </c>
      <c r="G95" s="508" t="s">
        <v>8</v>
      </c>
      <c r="H95" s="551" t="s">
        <v>131</v>
      </c>
      <c r="I95" s="551">
        <v>1</v>
      </c>
      <c r="J95" s="551">
        <v>1</v>
      </c>
      <c r="K95" s="551">
        <v>1</v>
      </c>
      <c r="L95" s="551">
        <v>1</v>
      </c>
      <c r="N95" s="552">
        <f>SUMIFS('Sales T&amp;E &amp; 科室会WP'!$N:$N,'Sales T&amp;E &amp; 科室会WP'!$L:$L,$G95,'Sales T&amp;E &amp; 科室会WP'!$M:$M,$H95)*3*I95</f>
        <v>27000</v>
      </c>
      <c r="O95" s="552">
        <f>SUMIFS('Sales T&amp;E &amp; 科室会WP'!$N:$N,'Sales T&amp;E &amp; 科室会WP'!$L:$L,$G95,'Sales T&amp;E &amp; 科室会WP'!$M:$M,$H95)*3*J95</f>
        <v>27000</v>
      </c>
      <c r="P95" s="552">
        <f>SUMIFS('Sales T&amp;E &amp; 科室会WP'!$N:$N,'Sales T&amp;E &amp; 科室会WP'!$L:$L,$G95,'Sales T&amp;E &amp; 科室会WP'!$M:$M,$H95)*3*K95</f>
        <v>27000</v>
      </c>
      <c r="Q95" s="552">
        <f>SUMIFS('Sales T&amp;E &amp; 科室会WP'!$N:$N,'Sales T&amp;E &amp; 科室会WP'!$L:$L,$G95,'Sales T&amp;E &amp; 科室会WP'!$M:$M,$H95)*3*L95</f>
        <v>27000</v>
      </c>
      <c r="R95" s="553">
        <f t="shared" si="13"/>
        <v>108000</v>
      </c>
      <c r="V95" s="553">
        <f t="shared" si="21"/>
        <v>9000</v>
      </c>
      <c r="W95" s="553">
        <f t="shared" si="21"/>
        <v>9000</v>
      </c>
      <c r="X95" s="553">
        <f t="shared" si="21"/>
        <v>9000</v>
      </c>
      <c r="Y95" s="553">
        <f t="shared" si="22"/>
        <v>9000</v>
      </c>
      <c r="Z95" s="553">
        <f t="shared" si="22"/>
        <v>9000</v>
      </c>
      <c r="AA95" s="553">
        <f t="shared" si="22"/>
        <v>9000</v>
      </c>
      <c r="AB95" s="553">
        <f t="shared" si="23"/>
        <v>9000</v>
      </c>
      <c r="AC95" s="553">
        <f t="shared" si="23"/>
        <v>9000</v>
      </c>
      <c r="AD95" s="553">
        <f t="shared" si="23"/>
        <v>9000</v>
      </c>
      <c r="AE95" s="553">
        <f t="shared" si="24"/>
        <v>9000</v>
      </c>
      <c r="AF95" s="553">
        <f t="shared" si="24"/>
        <v>9000</v>
      </c>
      <c r="AG95" s="553">
        <f t="shared" si="24"/>
        <v>9000</v>
      </c>
      <c r="AH95" s="553">
        <f t="shared" si="18"/>
        <v>108000</v>
      </c>
      <c r="AI95" s="553">
        <f t="shared" si="19"/>
        <v>0</v>
      </c>
      <c r="AL95" s="552">
        <f>SUMIFS('Sales T&amp;E &amp; 科室会WP'!$T:$T,'Sales T&amp;E &amp; 科室会WP'!$Q:$Q,$H95)*$I95</f>
        <v>3000</v>
      </c>
      <c r="AM95" s="552">
        <f>SUMIFS('Sales T&amp;E &amp; 科室会WP'!$T:$T,'Sales T&amp;E &amp; 科室会WP'!$Q:$Q,$H95)*$I95</f>
        <v>3000</v>
      </c>
      <c r="AN95" s="552">
        <f>SUMIFS('Sales T&amp;E &amp; 科室会WP'!$T:$T,'Sales T&amp;E &amp; 科室会WP'!$Q:$Q,$H95)*$I95</f>
        <v>3000</v>
      </c>
      <c r="AO95" s="552">
        <f>SUMIFS('Sales T&amp;E &amp; 科室会WP'!$T:$T,'Sales T&amp;E &amp; 科室会WP'!$Q:$Q,$H95)*$J95</f>
        <v>3000</v>
      </c>
      <c r="AP95" s="552">
        <f>SUMIFS('Sales T&amp;E &amp; 科室会WP'!$T:$T,'Sales T&amp;E &amp; 科室会WP'!$Q:$Q,$H95)*$J95</f>
        <v>3000</v>
      </c>
      <c r="AQ95" s="552">
        <f>SUMIFS('Sales T&amp;E &amp; 科室会WP'!$T:$T,'Sales T&amp;E &amp; 科室会WP'!$Q:$Q,$H95)*$J95</f>
        <v>3000</v>
      </c>
      <c r="AR95" s="552">
        <f>SUMIFS('Sales T&amp;E &amp; 科室会WP'!$T:$T,'Sales T&amp;E &amp; 科室会WP'!$Q:$Q,$H95)*$K95</f>
        <v>3000</v>
      </c>
      <c r="AS95" s="552">
        <f>SUMIFS('Sales T&amp;E &amp; 科室会WP'!$T:$T,'Sales T&amp;E &amp; 科室会WP'!$Q:$Q,$H95)*$K95</f>
        <v>3000</v>
      </c>
      <c r="AT95" s="552">
        <f>SUMIFS('Sales T&amp;E &amp; 科室会WP'!$T:$T,'Sales T&amp;E &amp; 科室会WP'!$Q:$Q,$H95)*$K95</f>
        <v>3000</v>
      </c>
      <c r="AU95" s="552">
        <f>SUMIFS('Sales T&amp;E &amp; 科室会WP'!$T:$T,'Sales T&amp;E &amp; 科室会WP'!$Q:$Q,$H95)*$L95</f>
        <v>3000</v>
      </c>
      <c r="AV95" s="552">
        <f>SUMIFS('Sales T&amp;E &amp; 科室会WP'!$T:$T,'Sales T&amp;E &amp; 科室会WP'!$Q:$Q,$H95)*$L95</f>
        <v>3000</v>
      </c>
      <c r="AW95" s="552">
        <f>SUMIFS('Sales T&amp;E &amp; 科室会WP'!$T:$T,'Sales T&amp;E &amp; 科室会WP'!$Q:$Q,$H95)*$L95</f>
        <v>3000</v>
      </c>
      <c r="AX95" s="552">
        <f t="shared" si="20"/>
        <v>36000</v>
      </c>
    </row>
    <row r="96" spans="1:50" hidden="1">
      <c r="A96" s="551" t="s">
        <v>203</v>
      </c>
      <c r="B96" s="551" t="s">
        <v>958</v>
      </c>
      <c r="C96" s="551" t="s">
        <v>973</v>
      </c>
      <c r="D96" s="551" t="s">
        <v>974</v>
      </c>
      <c r="E96" s="551" t="s">
        <v>970</v>
      </c>
      <c r="F96" s="551" t="s">
        <v>983</v>
      </c>
      <c r="G96" s="508" t="s">
        <v>8</v>
      </c>
      <c r="N96" s="552">
        <f>SUMIFS('Sales T&amp;E &amp; 科室会WP'!$N:$N,'Sales T&amp;E &amp; 科室会WP'!$L:$L,$G96,'Sales T&amp;E &amp; 科室会WP'!$M:$M,$H96)*3*I96</f>
        <v>0</v>
      </c>
      <c r="O96" s="552">
        <f>SUMIFS('Sales T&amp;E &amp; 科室会WP'!$N:$N,'Sales T&amp;E &amp; 科室会WP'!$L:$L,$G96,'Sales T&amp;E &amp; 科室会WP'!$M:$M,$H96)*3*J96</f>
        <v>0</v>
      </c>
      <c r="P96" s="552">
        <f>SUMIFS('Sales T&amp;E &amp; 科室会WP'!$N:$N,'Sales T&amp;E &amp; 科室会WP'!$L:$L,$G96,'Sales T&amp;E &amp; 科室会WP'!$M:$M,$H96)*3*K96</f>
        <v>0</v>
      </c>
      <c r="Q96" s="552">
        <f>SUMIFS('Sales T&amp;E &amp; 科室会WP'!$N:$N,'Sales T&amp;E &amp; 科室会WP'!$L:$L,$G96,'Sales T&amp;E &amp; 科室会WP'!$M:$M,$H96)*3*L96</f>
        <v>0</v>
      </c>
      <c r="R96" s="553">
        <f t="shared" si="13"/>
        <v>0</v>
      </c>
      <c r="V96" s="553">
        <f t="shared" si="21"/>
        <v>0</v>
      </c>
      <c r="W96" s="553">
        <f t="shared" si="21"/>
        <v>0</v>
      </c>
      <c r="X96" s="553">
        <f t="shared" si="21"/>
        <v>0</v>
      </c>
      <c r="Y96" s="553">
        <f t="shared" si="22"/>
        <v>0</v>
      </c>
      <c r="Z96" s="553">
        <f t="shared" si="22"/>
        <v>0</v>
      </c>
      <c r="AA96" s="553">
        <f t="shared" si="22"/>
        <v>0</v>
      </c>
      <c r="AB96" s="553">
        <f t="shared" si="23"/>
        <v>0</v>
      </c>
      <c r="AC96" s="553">
        <f t="shared" si="23"/>
        <v>0</v>
      </c>
      <c r="AD96" s="553">
        <f t="shared" si="23"/>
        <v>0</v>
      </c>
      <c r="AE96" s="553">
        <f t="shared" si="24"/>
        <v>0</v>
      </c>
      <c r="AF96" s="553">
        <f t="shared" si="24"/>
        <v>0</v>
      </c>
      <c r="AG96" s="553">
        <f t="shared" si="24"/>
        <v>0</v>
      </c>
      <c r="AH96" s="553">
        <f t="shared" si="18"/>
        <v>0</v>
      </c>
      <c r="AI96" s="553">
        <f t="shared" si="19"/>
        <v>0</v>
      </c>
      <c r="AL96" s="552">
        <f>SUMIFS('Sales T&amp;E &amp; 科室会WP'!$T:$T,'Sales T&amp;E &amp; 科室会WP'!$Q:$Q,$H96)*$I96</f>
        <v>0</v>
      </c>
      <c r="AM96" s="552">
        <f>SUMIFS('Sales T&amp;E &amp; 科室会WP'!$T:$T,'Sales T&amp;E &amp; 科室会WP'!$Q:$Q,$H96)*$I96</f>
        <v>0</v>
      </c>
      <c r="AN96" s="552">
        <f>SUMIFS('Sales T&amp;E &amp; 科室会WP'!$T:$T,'Sales T&amp;E &amp; 科室会WP'!$Q:$Q,$H96)*$I96</f>
        <v>0</v>
      </c>
      <c r="AO96" s="552">
        <f>SUMIFS('Sales T&amp;E &amp; 科室会WP'!$T:$T,'Sales T&amp;E &amp; 科室会WP'!$Q:$Q,$H96)*$J96</f>
        <v>0</v>
      </c>
      <c r="AP96" s="552">
        <f>SUMIFS('Sales T&amp;E &amp; 科室会WP'!$T:$T,'Sales T&amp;E &amp; 科室会WP'!$Q:$Q,$H96)*$J96</f>
        <v>0</v>
      </c>
      <c r="AQ96" s="552">
        <f>SUMIFS('Sales T&amp;E &amp; 科室会WP'!$T:$T,'Sales T&amp;E &amp; 科室会WP'!$Q:$Q,$H96)*$J96</f>
        <v>0</v>
      </c>
      <c r="AR96" s="552">
        <f>SUMIFS('Sales T&amp;E &amp; 科室会WP'!$T:$T,'Sales T&amp;E &amp; 科室会WP'!$Q:$Q,$H96)*$K96</f>
        <v>0</v>
      </c>
      <c r="AS96" s="552">
        <f>SUMIFS('Sales T&amp;E &amp; 科室会WP'!$T:$T,'Sales T&amp;E &amp; 科室会WP'!$Q:$Q,$H96)*$K96</f>
        <v>0</v>
      </c>
      <c r="AT96" s="552">
        <f>SUMIFS('Sales T&amp;E &amp; 科室会WP'!$T:$T,'Sales T&amp;E &amp; 科室会WP'!$Q:$Q,$H96)*$K96</f>
        <v>0</v>
      </c>
      <c r="AU96" s="552">
        <f>SUMIFS('Sales T&amp;E &amp; 科室会WP'!$T:$T,'Sales T&amp;E &amp; 科室会WP'!$Q:$Q,$H96)*$L96</f>
        <v>0</v>
      </c>
      <c r="AV96" s="552">
        <f>SUMIFS('Sales T&amp;E &amp; 科室会WP'!$T:$T,'Sales T&amp;E &amp; 科室会WP'!$Q:$Q,$H96)*$L96</f>
        <v>0</v>
      </c>
      <c r="AW96" s="552">
        <f>SUMIFS('Sales T&amp;E &amp; 科室会WP'!$T:$T,'Sales T&amp;E &amp; 科室会WP'!$Q:$Q,$H96)*$L96</f>
        <v>0</v>
      </c>
      <c r="AX96" s="552">
        <f t="shared" si="20"/>
        <v>0</v>
      </c>
    </row>
    <row r="97" spans="1:50" hidden="1">
      <c r="A97" s="551" t="s">
        <v>203</v>
      </c>
      <c r="B97" s="551" t="s">
        <v>958</v>
      </c>
      <c r="C97" s="551" t="s">
        <v>973</v>
      </c>
      <c r="D97" s="551" t="s">
        <v>974</v>
      </c>
      <c r="E97" s="551" t="s">
        <v>970</v>
      </c>
      <c r="F97" s="551" t="s">
        <v>983</v>
      </c>
      <c r="G97" s="508" t="s">
        <v>8</v>
      </c>
      <c r="H97" s="551" t="s">
        <v>93</v>
      </c>
      <c r="I97" s="551">
        <v>4</v>
      </c>
      <c r="J97" s="551">
        <v>4</v>
      </c>
      <c r="K97" s="551">
        <v>4</v>
      </c>
      <c r="L97" s="551">
        <v>4</v>
      </c>
      <c r="N97" s="552">
        <f>SUMIFS('Sales T&amp;E &amp; 科室会WP'!$N:$N,'Sales T&amp;E &amp; 科室会WP'!$L:$L,$G97,'Sales T&amp;E &amp; 科室会WP'!$M:$M,$H97)*3*I97</f>
        <v>108000</v>
      </c>
      <c r="O97" s="552">
        <f>SUMIFS('Sales T&amp;E &amp; 科室会WP'!$N:$N,'Sales T&amp;E &amp; 科室会WP'!$L:$L,$G97,'Sales T&amp;E &amp; 科室会WP'!$M:$M,$H97)*3*J97</f>
        <v>108000</v>
      </c>
      <c r="P97" s="552">
        <f>SUMIFS('Sales T&amp;E &amp; 科室会WP'!$N:$N,'Sales T&amp;E &amp; 科室会WP'!$L:$L,$G97,'Sales T&amp;E &amp; 科室会WP'!$M:$M,$H97)*3*K97</f>
        <v>108000</v>
      </c>
      <c r="Q97" s="552">
        <f>SUMIFS('Sales T&amp;E &amp; 科室会WP'!$N:$N,'Sales T&amp;E &amp; 科室会WP'!$L:$L,$G97,'Sales T&amp;E &amp; 科室会WP'!$M:$M,$H97)*3*L97</f>
        <v>108000</v>
      </c>
      <c r="R97" s="553">
        <f t="shared" si="13"/>
        <v>432000</v>
      </c>
      <c r="V97" s="553">
        <f t="shared" si="21"/>
        <v>36000</v>
      </c>
      <c r="W97" s="553">
        <f t="shared" si="21"/>
        <v>36000</v>
      </c>
      <c r="X97" s="553">
        <f t="shared" si="21"/>
        <v>36000</v>
      </c>
      <c r="Y97" s="553">
        <f t="shared" si="22"/>
        <v>36000</v>
      </c>
      <c r="Z97" s="553">
        <f t="shared" si="22"/>
        <v>36000</v>
      </c>
      <c r="AA97" s="553">
        <f t="shared" si="22"/>
        <v>36000</v>
      </c>
      <c r="AB97" s="553">
        <f t="shared" si="23"/>
        <v>36000</v>
      </c>
      <c r="AC97" s="553">
        <f t="shared" si="23"/>
        <v>36000</v>
      </c>
      <c r="AD97" s="553">
        <f t="shared" si="23"/>
        <v>36000</v>
      </c>
      <c r="AE97" s="553">
        <f t="shared" si="24"/>
        <v>36000</v>
      </c>
      <c r="AF97" s="553">
        <f t="shared" si="24"/>
        <v>36000</v>
      </c>
      <c r="AG97" s="553">
        <f t="shared" si="24"/>
        <v>36000</v>
      </c>
      <c r="AH97" s="553">
        <f t="shared" si="18"/>
        <v>432000</v>
      </c>
      <c r="AI97" s="553">
        <f t="shared" si="19"/>
        <v>0</v>
      </c>
      <c r="AL97" s="552">
        <f>SUMIFS('Sales T&amp;E &amp; 科室会WP'!$T:$T,'Sales T&amp;E &amp; 科室会WP'!$Q:$Q,$H97)*$I97</f>
        <v>12000</v>
      </c>
      <c r="AM97" s="552">
        <f>SUMIFS('Sales T&amp;E &amp; 科室会WP'!$T:$T,'Sales T&amp;E &amp; 科室会WP'!$Q:$Q,$H97)*$I97</f>
        <v>12000</v>
      </c>
      <c r="AN97" s="552">
        <f>SUMIFS('Sales T&amp;E &amp; 科室会WP'!$T:$T,'Sales T&amp;E &amp; 科室会WP'!$Q:$Q,$H97)*$I97</f>
        <v>12000</v>
      </c>
      <c r="AO97" s="552">
        <f>SUMIFS('Sales T&amp;E &amp; 科室会WP'!$T:$T,'Sales T&amp;E &amp; 科室会WP'!$Q:$Q,$H97)*$J97</f>
        <v>12000</v>
      </c>
      <c r="AP97" s="552">
        <f>SUMIFS('Sales T&amp;E &amp; 科室会WP'!$T:$T,'Sales T&amp;E &amp; 科室会WP'!$Q:$Q,$H97)*$J97</f>
        <v>12000</v>
      </c>
      <c r="AQ97" s="552">
        <f>SUMIFS('Sales T&amp;E &amp; 科室会WP'!$T:$T,'Sales T&amp;E &amp; 科室会WP'!$Q:$Q,$H97)*$J97</f>
        <v>12000</v>
      </c>
      <c r="AR97" s="552">
        <f>SUMIFS('Sales T&amp;E &amp; 科室会WP'!$T:$T,'Sales T&amp;E &amp; 科室会WP'!$Q:$Q,$H97)*$K97</f>
        <v>12000</v>
      </c>
      <c r="AS97" s="552">
        <f>SUMIFS('Sales T&amp;E &amp; 科室会WP'!$T:$T,'Sales T&amp;E &amp; 科室会WP'!$Q:$Q,$H97)*$K97</f>
        <v>12000</v>
      </c>
      <c r="AT97" s="552">
        <f>SUMIFS('Sales T&amp;E &amp; 科室会WP'!$T:$T,'Sales T&amp;E &amp; 科室会WP'!$Q:$Q,$H97)*$K97</f>
        <v>12000</v>
      </c>
      <c r="AU97" s="552">
        <f>SUMIFS('Sales T&amp;E &amp; 科室会WP'!$T:$T,'Sales T&amp;E &amp; 科室会WP'!$Q:$Q,$H97)*$L97</f>
        <v>12000</v>
      </c>
      <c r="AV97" s="552">
        <f>SUMIFS('Sales T&amp;E &amp; 科室会WP'!$T:$T,'Sales T&amp;E &amp; 科室会WP'!$Q:$Q,$H97)*$L97</f>
        <v>12000</v>
      </c>
      <c r="AW97" s="552">
        <f>SUMIFS('Sales T&amp;E &amp; 科室会WP'!$T:$T,'Sales T&amp;E &amp; 科室会WP'!$Q:$Q,$H97)*$L97</f>
        <v>12000</v>
      </c>
      <c r="AX97" s="552">
        <f t="shared" si="20"/>
        <v>144000</v>
      </c>
    </row>
    <row r="98" spans="1:50" hidden="1">
      <c r="A98" s="551" t="s">
        <v>203</v>
      </c>
      <c r="B98" s="551" t="s">
        <v>958</v>
      </c>
      <c r="C98" s="551" t="s">
        <v>973</v>
      </c>
      <c r="D98" s="551" t="s">
        <v>974</v>
      </c>
      <c r="E98" s="551" t="s">
        <v>970</v>
      </c>
      <c r="F98" s="551" t="s">
        <v>983</v>
      </c>
      <c r="G98" s="508" t="s">
        <v>8</v>
      </c>
      <c r="H98" s="551" t="s">
        <v>94</v>
      </c>
      <c r="I98" s="551">
        <v>26</v>
      </c>
      <c r="J98" s="551">
        <v>34</v>
      </c>
      <c r="K98" s="551">
        <v>34</v>
      </c>
      <c r="L98" s="551">
        <v>34</v>
      </c>
      <c r="N98" s="552">
        <f>SUMIFS('Sales T&amp;E &amp; 科室会WP'!$N:$N,'Sales T&amp;E &amp; 科室会WP'!$L:$L,$G98,'Sales T&amp;E &amp; 科室会WP'!$M:$M,$H98)*3*I98</f>
        <v>390000</v>
      </c>
      <c r="O98" s="552">
        <f>SUMIFS('Sales T&amp;E &amp; 科室会WP'!$N:$N,'Sales T&amp;E &amp; 科室会WP'!$L:$L,$G98,'Sales T&amp;E &amp; 科室会WP'!$M:$M,$H98)*3*J98</f>
        <v>510000</v>
      </c>
      <c r="P98" s="552">
        <f>SUMIFS('Sales T&amp;E &amp; 科室会WP'!$N:$N,'Sales T&amp;E &amp; 科室会WP'!$L:$L,$G98,'Sales T&amp;E &amp; 科室会WP'!$M:$M,$H98)*3*K98</f>
        <v>510000</v>
      </c>
      <c r="Q98" s="552">
        <f>SUMIFS('Sales T&amp;E &amp; 科室会WP'!$N:$N,'Sales T&amp;E &amp; 科室会WP'!$L:$L,$G98,'Sales T&amp;E &amp; 科室会WP'!$M:$M,$H98)*3*L98</f>
        <v>510000</v>
      </c>
      <c r="R98" s="553">
        <f t="shared" si="13"/>
        <v>1920000</v>
      </c>
      <c r="V98" s="553">
        <f t="shared" si="21"/>
        <v>130000</v>
      </c>
      <c r="W98" s="553">
        <f t="shared" si="21"/>
        <v>130000</v>
      </c>
      <c r="X98" s="553">
        <f t="shared" si="21"/>
        <v>130000</v>
      </c>
      <c r="Y98" s="553">
        <f t="shared" si="22"/>
        <v>170000</v>
      </c>
      <c r="Z98" s="553">
        <f t="shared" si="22"/>
        <v>170000</v>
      </c>
      <c r="AA98" s="553">
        <f t="shared" si="22"/>
        <v>170000</v>
      </c>
      <c r="AB98" s="553">
        <f t="shared" si="23"/>
        <v>170000</v>
      </c>
      <c r="AC98" s="553">
        <f t="shared" si="23"/>
        <v>170000</v>
      </c>
      <c r="AD98" s="553">
        <f t="shared" si="23"/>
        <v>170000</v>
      </c>
      <c r="AE98" s="553">
        <f t="shared" si="24"/>
        <v>170000</v>
      </c>
      <c r="AF98" s="553">
        <f t="shared" si="24"/>
        <v>170000</v>
      </c>
      <c r="AG98" s="553">
        <f t="shared" si="24"/>
        <v>170000</v>
      </c>
      <c r="AH98" s="553">
        <f t="shared" si="18"/>
        <v>1920000</v>
      </c>
      <c r="AI98" s="553">
        <f t="shared" si="19"/>
        <v>0</v>
      </c>
      <c r="AL98" s="552">
        <f>SUMIFS('Sales T&amp;E &amp; 科室会WP'!$T:$T,'Sales T&amp;E &amp; 科室会WP'!$Q:$Q,$H98)*$I98</f>
        <v>78000</v>
      </c>
      <c r="AM98" s="552">
        <f>SUMIFS('Sales T&amp;E &amp; 科室会WP'!$T:$T,'Sales T&amp;E &amp; 科室会WP'!$Q:$Q,$H98)*$I98</f>
        <v>78000</v>
      </c>
      <c r="AN98" s="552">
        <f>SUMIFS('Sales T&amp;E &amp; 科室会WP'!$T:$T,'Sales T&amp;E &amp; 科室会WP'!$Q:$Q,$H98)*$I98</f>
        <v>78000</v>
      </c>
      <c r="AO98" s="552">
        <f>SUMIFS('Sales T&amp;E &amp; 科室会WP'!$T:$T,'Sales T&amp;E &amp; 科室会WP'!$Q:$Q,$H98)*$J98</f>
        <v>102000</v>
      </c>
      <c r="AP98" s="552">
        <f>SUMIFS('Sales T&amp;E &amp; 科室会WP'!$T:$T,'Sales T&amp;E &amp; 科室会WP'!$Q:$Q,$H98)*$J98</f>
        <v>102000</v>
      </c>
      <c r="AQ98" s="552">
        <f>SUMIFS('Sales T&amp;E &amp; 科室会WP'!$T:$T,'Sales T&amp;E &amp; 科室会WP'!$Q:$Q,$H98)*$J98</f>
        <v>102000</v>
      </c>
      <c r="AR98" s="552">
        <f>SUMIFS('Sales T&amp;E &amp; 科室会WP'!$T:$T,'Sales T&amp;E &amp; 科室会WP'!$Q:$Q,$H98)*$K98</f>
        <v>102000</v>
      </c>
      <c r="AS98" s="552">
        <f>SUMIFS('Sales T&amp;E &amp; 科室会WP'!$T:$T,'Sales T&amp;E &amp; 科室会WP'!$Q:$Q,$H98)*$K98</f>
        <v>102000</v>
      </c>
      <c r="AT98" s="552">
        <f>SUMIFS('Sales T&amp;E &amp; 科室会WP'!$T:$T,'Sales T&amp;E &amp; 科室会WP'!$Q:$Q,$H98)*$K98</f>
        <v>102000</v>
      </c>
      <c r="AU98" s="552">
        <f>SUMIFS('Sales T&amp;E &amp; 科室会WP'!$T:$T,'Sales T&amp;E &amp; 科室会WP'!$Q:$Q,$H98)*$L98</f>
        <v>102000</v>
      </c>
      <c r="AV98" s="552">
        <f>SUMIFS('Sales T&amp;E &amp; 科室会WP'!$T:$T,'Sales T&amp;E &amp; 科室会WP'!$Q:$Q,$H98)*$L98</f>
        <v>102000</v>
      </c>
      <c r="AW98" s="552">
        <f>SUMIFS('Sales T&amp;E &amp; 科室会WP'!$T:$T,'Sales T&amp;E &amp; 科室会WP'!$Q:$Q,$H98)*$L98</f>
        <v>102000</v>
      </c>
      <c r="AX98" s="552">
        <f t="shared" si="20"/>
        <v>1152000</v>
      </c>
    </row>
    <row r="99" spans="1:50" hidden="1">
      <c r="A99" s="551" t="s">
        <v>203</v>
      </c>
      <c r="B99" s="551" t="s">
        <v>958</v>
      </c>
      <c r="C99" s="551" t="s">
        <v>973</v>
      </c>
      <c r="D99" s="551" t="s">
        <v>974</v>
      </c>
      <c r="E99" s="551" t="s">
        <v>970</v>
      </c>
      <c r="F99" s="551" t="s">
        <v>983</v>
      </c>
      <c r="G99" s="508" t="s">
        <v>8</v>
      </c>
      <c r="H99" s="551" t="s">
        <v>131</v>
      </c>
      <c r="I99" s="551">
        <v>1</v>
      </c>
      <c r="J99" s="551">
        <v>1</v>
      </c>
      <c r="K99" s="551">
        <v>1</v>
      </c>
      <c r="L99" s="551">
        <v>1</v>
      </c>
      <c r="N99" s="552">
        <f>SUMIFS('Sales T&amp;E &amp; 科室会WP'!$N:$N,'Sales T&amp;E &amp; 科室会WP'!$L:$L,$G99,'Sales T&amp;E &amp; 科室会WP'!$M:$M,$H99)*3*I99</f>
        <v>27000</v>
      </c>
      <c r="O99" s="552">
        <f>SUMIFS('Sales T&amp;E &amp; 科室会WP'!$N:$N,'Sales T&amp;E &amp; 科室会WP'!$L:$L,$G99,'Sales T&amp;E &amp; 科室会WP'!$M:$M,$H99)*3*J99</f>
        <v>27000</v>
      </c>
      <c r="P99" s="552">
        <f>SUMIFS('Sales T&amp;E &amp; 科室会WP'!$N:$N,'Sales T&amp;E &amp; 科室会WP'!$L:$L,$G99,'Sales T&amp;E &amp; 科室会WP'!$M:$M,$H99)*3*K99</f>
        <v>27000</v>
      </c>
      <c r="Q99" s="552">
        <f>SUMIFS('Sales T&amp;E &amp; 科室会WP'!$N:$N,'Sales T&amp;E &amp; 科室会WP'!$L:$L,$G99,'Sales T&amp;E &amp; 科室会WP'!$M:$M,$H99)*3*L99</f>
        <v>27000</v>
      </c>
      <c r="R99" s="553">
        <f t="shared" si="13"/>
        <v>108000</v>
      </c>
      <c r="S99" s="553">
        <f>SUM(R42:R99)</f>
        <v>25707000</v>
      </c>
      <c r="T99" s="553">
        <f>S99-'Sales T&amp;E &amp; 科室会WP'!P53</f>
        <v>-1381250.0000000037</v>
      </c>
      <c r="V99" s="553">
        <f t="shared" si="21"/>
        <v>9000</v>
      </c>
      <c r="W99" s="553">
        <f t="shared" si="21"/>
        <v>9000</v>
      </c>
      <c r="X99" s="553">
        <f t="shared" si="21"/>
        <v>9000</v>
      </c>
      <c r="Y99" s="553">
        <f t="shared" si="22"/>
        <v>9000</v>
      </c>
      <c r="Z99" s="553">
        <f t="shared" si="22"/>
        <v>9000</v>
      </c>
      <c r="AA99" s="553">
        <f t="shared" si="22"/>
        <v>9000</v>
      </c>
      <c r="AB99" s="553">
        <f t="shared" si="23"/>
        <v>9000</v>
      </c>
      <c r="AC99" s="553">
        <f t="shared" si="23"/>
        <v>9000</v>
      </c>
      <c r="AD99" s="553">
        <f t="shared" si="23"/>
        <v>9000</v>
      </c>
      <c r="AE99" s="553">
        <f t="shared" si="24"/>
        <v>9000</v>
      </c>
      <c r="AF99" s="553">
        <f t="shared" si="24"/>
        <v>9000</v>
      </c>
      <c r="AG99" s="553">
        <f t="shared" si="24"/>
        <v>9000</v>
      </c>
      <c r="AH99" s="553">
        <f t="shared" si="18"/>
        <v>108000</v>
      </c>
      <c r="AI99" s="553">
        <f t="shared" si="19"/>
        <v>0</v>
      </c>
      <c r="AL99" s="552">
        <f>SUMIFS('Sales T&amp;E &amp; 科室会WP'!$T:$T,'Sales T&amp;E &amp; 科室会WP'!$Q:$Q,$H99)*$I99</f>
        <v>3000</v>
      </c>
      <c r="AM99" s="552">
        <f>SUMIFS('Sales T&amp;E &amp; 科室会WP'!$T:$T,'Sales T&amp;E &amp; 科室会WP'!$Q:$Q,$H99)*$I99</f>
        <v>3000</v>
      </c>
      <c r="AN99" s="552">
        <f>SUMIFS('Sales T&amp;E &amp; 科室会WP'!$T:$T,'Sales T&amp;E &amp; 科室会WP'!$Q:$Q,$H99)*$I99</f>
        <v>3000</v>
      </c>
      <c r="AO99" s="552">
        <f>SUMIFS('Sales T&amp;E &amp; 科室会WP'!$T:$T,'Sales T&amp;E &amp; 科室会WP'!$Q:$Q,$H99)*$J99</f>
        <v>3000</v>
      </c>
      <c r="AP99" s="552">
        <f>SUMIFS('Sales T&amp;E &amp; 科室会WP'!$T:$T,'Sales T&amp;E &amp; 科室会WP'!$Q:$Q,$H99)*$J99</f>
        <v>3000</v>
      </c>
      <c r="AQ99" s="552">
        <f>SUMIFS('Sales T&amp;E &amp; 科室会WP'!$T:$T,'Sales T&amp;E &amp; 科室会WP'!$Q:$Q,$H99)*$J99</f>
        <v>3000</v>
      </c>
      <c r="AR99" s="552">
        <f>SUMIFS('Sales T&amp;E &amp; 科室会WP'!$T:$T,'Sales T&amp;E &amp; 科室会WP'!$Q:$Q,$H99)*$K99</f>
        <v>3000</v>
      </c>
      <c r="AS99" s="552">
        <f>SUMIFS('Sales T&amp;E &amp; 科室会WP'!$T:$T,'Sales T&amp;E &amp; 科室会WP'!$Q:$Q,$H99)*$K99</f>
        <v>3000</v>
      </c>
      <c r="AT99" s="552">
        <f>SUMIFS('Sales T&amp;E &amp; 科室会WP'!$T:$T,'Sales T&amp;E &amp; 科室会WP'!$Q:$Q,$H99)*$K99</f>
        <v>3000</v>
      </c>
      <c r="AU99" s="552">
        <f>SUMIFS('Sales T&amp;E &amp; 科室会WP'!$T:$T,'Sales T&amp;E &amp; 科室会WP'!$Q:$Q,$H99)*$L99</f>
        <v>3000</v>
      </c>
      <c r="AV99" s="552">
        <f>SUMIFS('Sales T&amp;E &amp; 科室会WP'!$T:$T,'Sales T&amp;E &amp; 科室会WP'!$Q:$Q,$H99)*$L99</f>
        <v>3000</v>
      </c>
      <c r="AW99" s="552">
        <f>SUMIFS('Sales T&amp;E &amp; 科室会WP'!$T:$T,'Sales T&amp;E &amp; 科室会WP'!$Q:$Q,$H99)*$L99</f>
        <v>3000</v>
      </c>
      <c r="AX99" s="552">
        <f t="shared" si="20"/>
        <v>36000</v>
      </c>
    </row>
    <row r="100" spans="1:50" hidden="1">
      <c r="A100" s="551" t="s">
        <v>203</v>
      </c>
      <c r="B100" s="551" t="s">
        <v>958</v>
      </c>
      <c r="C100" s="551" t="s">
        <v>973</v>
      </c>
      <c r="D100" s="551" t="s">
        <v>957</v>
      </c>
      <c r="E100" s="551" t="s">
        <v>957</v>
      </c>
      <c r="H100" s="551" t="s">
        <v>957</v>
      </c>
    </row>
    <row r="103" spans="1:50">
      <c r="T103" s="553">
        <f>T99+T41+T5</f>
        <v>-151250.00000000373</v>
      </c>
    </row>
    <row r="104" spans="1:50">
      <c r="T104" s="553">
        <f>-T103</f>
        <v>151250.00000000373</v>
      </c>
    </row>
    <row r="105" spans="1:50">
      <c r="T105" s="553">
        <f>SUM(T104,T99,T41,T5)</f>
        <v>0</v>
      </c>
    </row>
  </sheetData>
  <autoFilter ref="A1:L100" xr:uid="{049727A1-3EF4-4DAB-9C6B-5CF952D2478B}">
    <filterColumn colId="6">
      <filters>
        <filter val="Velsipity"/>
      </filters>
    </filterColumn>
  </autoFilter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23947-C3C8-4CB5-BD80-9DDC55184C77}">
  <sheetPr>
    <tabColor rgb="FFFFFF00"/>
  </sheetPr>
  <dimension ref="A2:AA87"/>
  <sheetViews>
    <sheetView tabSelected="1" zoomScale="80" zoomScaleNormal="80" workbookViewId="0">
      <pane xSplit="4" ySplit="10" topLeftCell="E34" activePane="bottomRight" state="frozen"/>
      <selection pane="topRight" activeCell="E1" sqref="E1"/>
      <selection pane="bottomLeft" activeCell="A11" sqref="A11"/>
      <selection pane="bottomRight" activeCell="K74" sqref="K74"/>
    </sheetView>
  </sheetViews>
  <sheetFormatPr defaultRowHeight="13.8" outlineLevelCol="1"/>
  <cols>
    <col min="1" max="1" width="8.88671875" hidden="1" customWidth="1"/>
    <col min="2" max="2" width="6.5546875" customWidth="1"/>
    <col min="3" max="3" width="22" customWidth="1"/>
    <col min="4" max="4" width="11.88671875" customWidth="1"/>
    <col min="5" max="5" width="14.6640625" customWidth="1" outlineLevel="1"/>
    <col min="6" max="7" width="12.109375" customWidth="1" outlineLevel="1"/>
    <col min="8" max="13" width="12.21875" customWidth="1" outlineLevel="1"/>
    <col min="14" max="15" width="14.109375" customWidth="1" outlineLevel="1"/>
    <col min="16" max="16" width="13.6640625" customWidth="1" outlineLevel="1"/>
    <col min="17" max="22" width="12.109375" customWidth="1"/>
    <col min="23" max="23" width="15.88671875" bestFit="1" customWidth="1"/>
    <col min="24" max="26" width="12.109375" bestFit="1" customWidth="1"/>
    <col min="27" max="27" width="11.109375" bestFit="1" customWidth="1"/>
  </cols>
  <sheetData>
    <row r="2" spans="1:27" ht="18" hidden="1" customHeight="1">
      <c r="A2" s="820" t="s">
        <v>1171</v>
      </c>
      <c r="B2" s="821"/>
    </row>
    <row r="3" spans="1:27" s="262" customFormat="1" ht="28.2" hidden="1" customHeight="1">
      <c r="A3" s="767"/>
      <c r="B3" s="768"/>
      <c r="C3" s="768"/>
      <c r="D3" s="795"/>
      <c r="E3" s="808" t="s">
        <v>100</v>
      </c>
      <c r="F3" s="769" t="s">
        <v>101</v>
      </c>
      <c r="G3" s="769" t="s">
        <v>103</v>
      </c>
      <c r="H3" s="769" t="s">
        <v>104</v>
      </c>
      <c r="I3" s="769" t="s">
        <v>105</v>
      </c>
      <c r="J3" s="769" t="s">
        <v>106</v>
      </c>
      <c r="K3" s="769" t="s">
        <v>107</v>
      </c>
      <c r="L3" s="769" t="s">
        <v>108</v>
      </c>
      <c r="M3" s="769" t="s">
        <v>109</v>
      </c>
      <c r="N3" s="769" t="s">
        <v>110</v>
      </c>
      <c r="O3" s="769" t="s">
        <v>111</v>
      </c>
      <c r="P3" s="809" t="s">
        <v>112</v>
      </c>
      <c r="Q3" s="799" t="s">
        <v>79</v>
      </c>
      <c r="R3" s="770" t="s">
        <v>80</v>
      </c>
      <c r="S3" s="770" t="s">
        <v>81</v>
      </c>
      <c r="T3" s="770" t="s">
        <v>82</v>
      </c>
      <c r="U3" s="770" t="s">
        <v>1097</v>
      </c>
      <c r="V3" s="771" t="s">
        <v>1098</v>
      </c>
      <c r="W3" s="789" t="s">
        <v>85</v>
      </c>
    </row>
    <row r="4" spans="1:27" hidden="1">
      <c r="A4" s="772"/>
      <c r="B4" s="751"/>
      <c r="C4" s="751"/>
      <c r="D4" s="796" t="s">
        <v>784</v>
      </c>
      <c r="E4" s="810">
        <f>'IN-MKT WP'!E60/'IN-MKT WP'!$Q$60</f>
        <v>7.8063025210084028E-2</v>
      </c>
      <c r="F4" s="756">
        <f>'IN-MKT WP'!F60/'IN-MKT WP'!$Q$60</f>
        <v>7.8063025210084028E-2</v>
      </c>
      <c r="G4" s="756">
        <f>'IN-MKT WP'!G60/'IN-MKT WP'!$Q$60</f>
        <v>7.8058823529411764E-2</v>
      </c>
      <c r="H4" s="756">
        <f>'IN-MKT WP'!H60/'IN-MKT WP'!$Q$60</f>
        <v>8.4327731092436978E-2</v>
      </c>
      <c r="I4" s="756">
        <f>'IN-MKT WP'!I60/'IN-MKT WP'!$Q$60</f>
        <v>8.4327731092436978E-2</v>
      </c>
      <c r="J4" s="756">
        <f>'IN-MKT WP'!J60/'IN-MKT WP'!$Q$60</f>
        <v>8.4344537815126047E-2</v>
      </c>
      <c r="K4" s="756">
        <f>'IN-MKT WP'!K60/'IN-MKT WP'!$Q$60</f>
        <v>8.2008403361344531E-2</v>
      </c>
      <c r="L4" s="756">
        <f>'IN-MKT WP'!L60/'IN-MKT WP'!$Q$60</f>
        <v>8.2008403361344531E-2</v>
      </c>
      <c r="M4" s="756">
        <f>'IN-MKT WP'!M60/'IN-MKT WP'!$Q$60</f>
        <v>8.2000000000000003E-2</v>
      </c>
      <c r="N4" s="756">
        <f>'IN-MKT WP'!N60/'IN-MKT WP'!$Q$60</f>
        <v>8.8932773109243704E-2</v>
      </c>
      <c r="O4" s="756">
        <f>'IN-MKT WP'!O60/'IN-MKT WP'!$Q$60</f>
        <v>8.8932773109243704E-2</v>
      </c>
      <c r="P4" s="773">
        <f>'IN-MKT WP'!P60/'IN-MKT WP'!$Q$60</f>
        <v>8.8932773109243704E-2</v>
      </c>
      <c r="Q4" s="800"/>
      <c r="R4" s="756"/>
      <c r="S4" s="756"/>
      <c r="T4" s="756"/>
      <c r="U4" s="756"/>
      <c r="V4" s="773"/>
      <c r="W4" s="790"/>
      <c r="X4" s="6"/>
    </row>
    <row r="5" spans="1:27" hidden="1">
      <c r="A5" s="772" t="s">
        <v>785</v>
      </c>
      <c r="B5" s="751" t="s">
        <v>722</v>
      </c>
      <c r="C5" s="751" t="s">
        <v>42</v>
      </c>
      <c r="D5" s="796" t="s">
        <v>17</v>
      </c>
      <c r="E5" s="811">
        <f>E4*$X$5</f>
        <v>0</v>
      </c>
      <c r="F5" s="754">
        <f t="shared" ref="F5:P5" si="0">F4*$X$5</f>
        <v>0</v>
      </c>
      <c r="G5" s="754">
        <f t="shared" si="0"/>
        <v>0</v>
      </c>
      <c r="H5" s="754">
        <f t="shared" si="0"/>
        <v>0</v>
      </c>
      <c r="I5" s="754">
        <f t="shared" si="0"/>
        <v>0</v>
      </c>
      <c r="J5" s="754">
        <f t="shared" si="0"/>
        <v>0</v>
      </c>
      <c r="K5" s="754">
        <f t="shared" si="0"/>
        <v>0</v>
      </c>
      <c r="L5" s="754">
        <f t="shared" si="0"/>
        <v>0</v>
      </c>
      <c r="M5" s="754">
        <f t="shared" si="0"/>
        <v>0</v>
      </c>
      <c r="N5" s="754">
        <f t="shared" si="0"/>
        <v>0</v>
      </c>
      <c r="O5" s="754">
        <f t="shared" si="0"/>
        <v>0</v>
      </c>
      <c r="P5" s="774">
        <f t="shared" si="0"/>
        <v>0</v>
      </c>
      <c r="Q5" s="794"/>
      <c r="R5" s="754"/>
      <c r="S5" s="754"/>
      <c r="T5" s="754"/>
      <c r="U5" s="754"/>
      <c r="V5" s="774"/>
      <c r="W5" s="791">
        <f>SUM(E5:P5)</f>
        <v>0</v>
      </c>
      <c r="X5" s="1"/>
      <c r="Y5" s="1"/>
      <c r="Z5" s="6"/>
    </row>
    <row r="6" spans="1:27" hidden="1">
      <c r="A6" s="772"/>
      <c r="B6" s="751"/>
      <c r="C6" s="751"/>
      <c r="D6" s="796"/>
      <c r="E6" s="772"/>
      <c r="F6" s="751"/>
      <c r="G6" s="751"/>
      <c r="H6" s="751"/>
      <c r="I6" s="751"/>
      <c r="J6" s="751"/>
      <c r="K6" s="751"/>
      <c r="L6" s="751"/>
      <c r="M6" s="751"/>
      <c r="N6" s="751"/>
      <c r="O6" s="751"/>
      <c r="P6" s="775"/>
      <c r="Q6" s="764"/>
      <c r="R6" s="751"/>
      <c r="S6" s="751"/>
      <c r="T6" s="751"/>
      <c r="U6" s="751"/>
      <c r="V6" s="775"/>
      <c r="W6" s="791"/>
      <c r="X6" s="1"/>
    </row>
    <row r="7" spans="1:27" hidden="1">
      <c r="A7" s="772"/>
      <c r="B7" s="751"/>
      <c r="C7" s="751"/>
      <c r="D7" s="796" t="s">
        <v>786</v>
      </c>
      <c r="E7" s="810">
        <f>'IN-MKT WP'!E64/'IN-MKT WP'!$R$64</f>
        <v>0.14901386428635047</v>
      </c>
      <c r="F7" s="756">
        <f>'IN-MKT WP'!F64/'IN-MKT WP'!$R$64</f>
        <v>0.14901386428635047</v>
      </c>
      <c r="G7" s="756">
        <f>'IN-MKT WP'!G64/'IN-MKT WP'!$R$64</f>
        <v>0.14900891628979426</v>
      </c>
      <c r="H7" s="756">
        <f>'IN-MKT WP'!H64/'IN-MKT WP'!$R$64</f>
        <v>0.18431781971479747</v>
      </c>
      <c r="I7" s="756">
        <f>'IN-MKT WP'!I64/'IN-MKT WP'!$R$64</f>
        <v>0.18431781971479747</v>
      </c>
      <c r="J7" s="756">
        <f>'IN-MKT WP'!J64/'IN-MKT WP'!$R$64</f>
        <v>0.18432771570790987</v>
      </c>
      <c r="K7" s="756">
        <f>'IN-MKT WP'!K64/'IN-MKT WP'!$S$64</f>
        <v>0.14912392029802388</v>
      </c>
      <c r="L7" s="756">
        <f>'IN-MKT WP'!L64/'IN-MKT WP'!$S$64</f>
        <v>0.14912392029802388</v>
      </c>
      <c r="M7" s="756">
        <f>'IN-MKT WP'!M64/'IN-MKT WP'!$S$64</f>
        <v>0.14912765306198628</v>
      </c>
      <c r="N7" s="756">
        <f>'IN-MKT WP'!N64/'IN-MKT WP'!$S$64</f>
        <v>0.18420816878065532</v>
      </c>
      <c r="O7" s="756">
        <f>'IN-MKT WP'!O64/'IN-MKT WP'!$S$64</f>
        <v>0.18420816878065532</v>
      </c>
      <c r="P7" s="773">
        <f>'IN-MKT WP'!P64/'IN-MKT WP'!$S$64</f>
        <v>0.18420816878065532</v>
      </c>
      <c r="Q7" s="800"/>
      <c r="R7" s="756"/>
      <c r="S7" s="756"/>
      <c r="T7" s="756"/>
      <c r="U7" s="756"/>
      <c r="V7" s="773"/>
      <c r="W7" s="791"/>
      <c r="X7" s="1"/>
    </row>
    <row r="8" spans="1:27" hidden="1">
      <c r="A8" s="772" t="s">
        <v>934</v>
      </c>
      <c r="B8" s="751" t="s">
        <v>722</v>
      </c>
      <c r="C8" s="751" t="s">
        <v>8</v>
      </c>
      <c r="D8" s="796" t="s">
        <v>17</v>
      </c>
      <c r="E8" s="812">
        <f>E7*$X$8*50%</f>
        <v>0</v>
      </c>
      <c r="F8" s="757">
        <f t="shared" ref="F8:P8" si="1">F7*$X$8*50%</f>
        <v>0</v>
      </c>
      <c r="G8" s="757">
        <f t="shared" si="1"/>
        <v>0</v>
      </c>
      <c r="H8" s="757">
        <f t="shared" si="1"/>
        <v>0</v>
      </c>
      <c r="I8" s="757">
        <f t="shared" si="1"/>
        <v>0</v>
      </c>
      <c r="J8" s="757">
        <f t="shared" si="1"/>
        <v>0</v>
      </c>
      <c r="K8" s="757">
        <f t="shared" si="1"/>
        <v>0</v>
      </c>
      <c r="L8" s="757">
        <f t="shared" si="1"/>
        <v>0</v>
      </c>
      <c r="M8" s="757">
        <f t="shared" si="1"/>
        <v>0</v>
      </c>
      <c r="N8" s="757">
        <f t="shared" si="1"/>
        <v>0</v>
      </c>
      <c r="O8" s="757">
        <f t="shared" si="1"/>
        <v>0</v>
      </c>
      <c r="P8" s="776">
        <f t="shared" si="1"/>
        <v>0</v>
      </c>
      <c r="Q8" s="801"/>
      <c r="R8" s="757"/>
      <c r="S8" s="757"/>
      <c r="T8" s="757"/>
      <c r="U8" s="757"/>
      <c r="V8" s="776"/>
      <c r="W8" s="791">
        <f>SUM(E8:P8)</f>
        <v>0</v>
      </c>
      <c r="X8" s="1"/>
      <c r="Y8" s="6"/>
      <c r="Z8" s="6"/>
      <c r="AA8" s="6"/>
    </row>
    <row r="9" spans="1:27" hidden="1">
      <c r="A9" s="772"/>
      <c r="B9" s="751"/>
      <c r="C9" s="751"/>
      <c r="D9" s="796"/>
      <c r="E9" s="772"/>
      <c r="F9" s="751"/>
      <c r="G9" s="751"/>
      <c r="H9" s="751"/>
      <c r="I9" s="751"/>
      <c r="J9" s="751"/>
      <c r="K9" s="751"/>
      <c r="L9" s="751"/>
      <c r="M9" s="751"/>
      <c r="N9" s="751"/>
      <c r="O9" s="751"/>
      <c r="P9" s="775"/>
      <c r="Q9" s="764"/>
      <c r="R9" s="751"/>
      <c r="S9" s="751"/>
      <c r="T9" s="751"/>
      <c r="U9" s="751"/>
      <c r="V9" s="775"/>
      <c r="W9" s="791"/>
      <c r="X9" s="1"/>
      <c r="AA9" s="1"/>
    </row>
    <row r="10" spans="1:27" hidden="1">
      <c r="A10" s="772"/>
      <c r="B10" s="751"/>
      <c r="C10" s="751"/>
      <c r="D10" s="796"/>
      <c r="E10" s="813">
        <f>'IN-MKT WP'!E68/'IN-MKT WP'!$Q$68</f>
        <v>0</v>
      </c>
      <c r="F10" s="758">
        <f>'IN-MKT WP'!F68/'IN-MKT WP'!$Q$68</f>
        <v>0</v>
      </c>
      <c r="G10" s="758">
        <f>'IN-MKT WP'!G68/'IN-MKT WP'!$Q$68</f>
        <v>0</v>
      </c>
      <c r="H10" s="758">
        <f>'IN-MKT WP'!H68/'IN-MKT WP'!$Q$68</f>
        <v>2.3556112067616215E-2</v>
      </c>
      <c r="I10" s="758">
        <f>'IN-MKT WP'!I68/'IN-MKT WP'!$Q$68</f>
        <v>4.5233995930505554E-2</v>
      </c>
      <c r="J10" s="758">
        <f>'IN-MKT WP'!J68/'IN-MKT WP'!$Q$68</f>
        <v>6.4720613554546877E-2</v>
      </c>
      <c r="K10" s="758">
        <f>'IN-MKT WP'!K68/'IN-MKT WP'!$Q$68</f>
        <v>8.8198466113632801E-2</v>
      </c>
      <c r="L10" s="758">
        <f>'IN-MKT WP'!L68/'IN-MKT WP'!$Q$68</f>
        <v>0.11222413523243074</v>
      </c>
      <c r="M10" s="758">
        <f>'IN-MKT WP'!M68/'IN-MKT WP'!$Q$68</f>
        <v>0.13585850680857725</v>
      </c>
      <c r="N10" s="758">
        <f>'IN-MKT WP'!N68/'IN-MKT WP'!$Q$68</f>
        <v>0.15933635936766316</v>
      </c>
      <c r="O10" s="758">
        <f>'IN-MKT WP'!O68/'IN-MKT WP'!$Q$68</f>
        <v>0.17819690092346219</v>
      </c>
      <c r="P10" s="777">
        <f>'IN-MKT WP'!P68/'IN-MKT WP'!$Q$68</f>
        <v>0.1926749100015652</v>
      </c>
      <c r="Q10" s="802"/>
      <c r="R10" s="758"/>
      <c r="S10" s="758"/>
      <c r="T10" s="758"/>
      <c r="U10" s="758"/>
      <c r="V10" s="777"/>
      <c r="W10" s="791"/>
      <c r="X10" s="1"/>
    </row>
    <row r="11" spans="1:27" hidden="1">
      <c r="A11" s="778" t="s">
        <v>785</v>
      </c>
      <c r="B11" s="753" t="s">
        <v>17</v>
      </c>
      <c r="C11" s="753" t="s">
        <v>130</v>
      </c>
      <c r="D11" s="797" t="s">
        <v>17</v>
      </c>
      <c r="E11" s="811">
        <v>409090.90909090912</v>
      </c>
      <c r="F11" s="754">
        <v>818181.81818181823</v>
      </c>
      <c r="G11" s="754">
        <v>1472727.2727272727</v>
      </c>
      <c r="H11" s="754">
        <v>1472727.2727272727</v>
      </c>
      <c r="I11" s="754">
        <v>1227272.7272727273</v>
      </c>
      <c r="J11" s="754">
        <v>981818.18181818188</v>
      </c>
      <c r="K11" s="754">
        <v>1227272.7272727273</v>
      </c>
      <c r="L11" s="754">
        <v>2454545.4545454546</v>
      </c>
      <c r="M11" s="754">
        <v>1636363.6363636365</v>
      </c>
      <c r="N11" s="754">
        <v>2454545.4545454546</v>
      </c>
      <c r="O11" s="754">
        <v>2045454.5454545456</v>
      </c>
      <c r="P11" s="774">
        <v>1800000</v>
      </c>
      <c r="Q11" s="794">
        <f>E11+F11+G11</f>
        <v>2700000</v>
      </c>
      <c r="R11" s="754">
        <f>H11+I11+J11</f>
        <v>3681818.1818181816</v>
      </c>
      <c r="S11" s="754">
        <f>K11+L11+M11</f>
        <v>5318181.8181818184</v>
      </c>
      <c r="T11" s="754">
        <f>N11+O11+P11</f>
        <v>6300000</v>
      </c>
      <c r="U11" s="754">
        <f>Q11+R11</f>
        <v>6381818.1818181816</v>
      </c>
      <c r="V11" s="774">
        <f>S11+T11</f>
        <v>11618181.818181818</v>
      </c>
      <c r="W11" s="791">
        <f>SUM(E11:P11)</f>
        <v>18000000</v>
      </c>
      <c r="X11" s="1"/>
      <c r="AA11" s="1"/>
    </row>
    <row r="12" spans="1:27" hidden="1">
      <c r="A12" s="778"/>
      <c r="B12" s="753"/>
      <c r="C12" s="753"/>
      <c r="D12" s="797" t="s">
        <v>1099</v>
      </c>
      <c r="E12" s="814">
        <f>E11/$W$11</f>
        <v>2.2727272727272728E-2</v>
      </c>
      <c r="F12" s="755">
        <f t="shared" ref="F12:P12" si="2">F11/$W$11</f>
        <v>4.5454545454545456E-2</v>
      </c>
      <c r="G12" s="755">
        <f t="shared" si="2"/>
        <v>8.1818181818181818E-2</v>
      </c>
      <c r="H12" s="755">
        <f t="shared" si="2"/>
        <v>8.1818181818181818E-2</v>
      </c>
      <c r="I12" s="755">
        <f t="shared" si="2"/>
        <v>6.8181818181818177E-2</v>
      </c>
      <c r="J12" s="755">
        <f t="shared" si="2"/>
        <v>5.454545454545455E-2</v>
      </c>
      <c r="K12" s="755">
        <f t="shared" si="2"/>
        <v>6.8181818181818177E-2</v>
      </c>
      <c r="L12" s="755">
        <f t="shared" si="2"/>
        <v>0.13636363636363635</v>
      </c>
      <c r="M12" s="755">
        <f t="shared" si="2"/>
        <v>9.0909090909090912E-2</v>
      </c>
      <c r="N12" s="755">
        <f t="shared" si="2"/>
        <v>0.13636363636363635</v>
      </c>
      <c r="O12" s="755">
        <f t="shared" si="2"/>
        <v>0.11363636363636365</v>
      </c>
      <c r="P12" s="779">
        <f t="shared" si="2"/>
        <v>0.1</v>
      </c>
      <c r="Q12" s="803">
        <f t="shared" ref="Q12" si="3">Q11/$W$11</f>
        <v>0.15</v>
      </c>
      <c r="R12" s="755">
        <f t="shared" ref="R12" si="4">R11/$W$11</f>
        <v>0.20454545454545453</v>
      </c>
      <c r="S12" s="755">
        <f t="shared" ref="S12" si="5">S11/$W$11</f>
        <v>0.29545454545454547</v>
      </c>
      <c r="T12" s="755">
        <f t="shared" ref="T12" si="6">T11/$W$11</f>
        <v>0.35</v>
      </c>
      <c r="U12" s="829">
        <f t="shared" ref="U12" si="7">U11/$W$11</f>
        <v>0.35454545454545455</v>
      </c>
      <c r="V12" s="830">
        <f t="shared" ref="V12" si="8">V11/$W$11</f>
        <v>0.6454545454545455</v>
      </c>
      <c r="W12" s="790"/>
      <c r="AA12" s="6"/>
    </row>
    <row r="13" spans="1:27" hidden="1">
      <c r="A13" s="778"/>
      <c r="B13" s="753"/>
      <c r="C13" s="753"/>
      <c r="D13" s="797"/>
      <c r="E13" s="815"/>
      <c r="F13" s="759"/>
      <c r="G13" s="759">
        <v>40</v>
      </c>
      <c r="H13" s="759"/>
      <c r="I13" s="759"/>
      <c r="J13" s="759">
        <v>60</v>
      </c>
      <c r="K13" s="759"/>
      <c r="L13" s="759"/>
      <c r="M13" s="759">
        <v>100</v>
      </c>
      <c r="N13" s="759"/>
      <c r="O13" s="759"/>
      <c r="P13" s="780">
        <v>180</v>
      </c>
      <c r="Q13" s="804"/>
      <c r="R13" s="759"/>
      <c r="S13" s="759"/>
      <c r="T13" s="759"/>
      <c r="U13" s="759"/>
      <c r="V13" s="780"/>
      <c r="W13" s="790"/>
      <c r="AA13" s="1"/>
    </row>
    <row r="14" spans="1:27" hidden="1">
      <c r="A14" s="778"/>
      <c r="B14" s="753"/>
      <c r="C14" s="753"/>
      <c r="D14" s="797"/>
      <c r="E14" s="772"/>
      <c r="F14" s="751"/>
      <c r="G14" s="760">
        <f>SUM(E11:G11)/G13</f>
        <v>67500</v>
      </c>
      <c r="H14" s="751"/>
      <c r="I14" s="751"/>
      <c r="J14" s="752">
        <f>SUM(H11:J11)/J13</f>
        <v>61363.63636363636</v>
      </c>
      <c r="K14" s="751"/>
      <c r="L14" s="751"/>
      <c r="M14" s="760">
        <f>SUM(K11:M11)/M13</f>
        <v>53181.818181818184</v>
      </c>
      <c r="N14" s="751"/>
      <c r="O14" s="751"/>
      <c r="P14" s="781">
        <f>SUM(N11:P11)/P13</f>
        <v>35000</v>
      </c>
      <c r="Q14" s="805"/>
      <c r="R14" s="760"/>
      <c r="S14" s="760"/>
      <c r="T14" s="760"/>
      <c r="U14" s="760"/>
      <c r="V14" s="781"/>
      <c r="W14" s="790"/>
    </row>
    <row r="15" spans="1:27" hidden="1">
      <c r="A15" s="778"/>
      <c r="B15" s="753"/>
      <c r="C15" s="753"/>
      <c r="D15" s="797"/>
      <c r="E15" s="772"/>
      <c r="F15" s="751"/>
      <c r="G15" s="751"/>
      <c r="H15" s="751"/>
      <c r="I15" s="751"/>
      <c r="J15" s="752">
        <f>J14/3</f>
        <v>20454.545454545452</v>
      </c>
      <c r="K15" s="752"/>
      <c r="L15" s="752"/>
      <c r="M15" s="752">
        <f>M14/3</f>
        <v>17727.272727272728</v>
      </c>
      <c r="N15" s="752"/>
      <c r="O15" s="752"/>
      <c r="P15" s="782">
        <f>P14/3</f>
        <v>11666.666666666666</v>
      </c>
      <c r="Q15" s="765"/>
      <c r="R15" s="752"/>
      <c r="S15" s="752"/>
      <c r="T15" s="752"/>
      <c r="U15" s="752"/>
      <c r="V15" s="782"/>
      <c r="W15" s="790"/>
    </row>
    <row r="16" spans="1:27" hidden="1">
      <c r="A16" s="778"/>
      <c r="B16" s="753"/>
      <c r="C16" s="753"/>
      <c r="D16" s="797"/>
      <c r="E16" s="772" t="s">
        <v>870</v>
      </c>
      <c r="F16" s="751"/>
      <c r="G16" s="751"/>
      <c r="H16" s="751"/>
      <c r="I16" s="751"/>
      <c r="J16" s="751"/>
      <c r="K16" s="751"/>
      <c r="L16" s="751"/>
      <c r="M16" s="751"/>
      <c r="N16" s="751"/>
      <c r="O16" s="751"/>
      <c r="P16" s="775"/>
      <c r="Q16" s="764"/>
      <c r="R16" s="751"/>
      <c r="S16" s="751"/>
      <c r="T16" s="751"/>
      <c r="U16" s="751"/>
      <c r="V16" s="775"/>
      <c r="W16" s="790"/>
    </row>
    <row r="17" spans="1:23" hidden="1">
      <c r="A17" s="778"/>
      <c r="B17" s="753"/>
      <c r="C17" s="753"/>
      <c r="D17" s="797"/>
      <c r="E17" s="772"/>
      <c r="F17" s="751"/>
      <c r="G17" s="751"/>
      <c r="H17" s="751"/>
      <c r="I17" s="751"/>
      <c r="J17" s="751"/>
      <c r="K17" s="751"/>
      <c r="L17" s="751"/>
      <c r="M17" s="751"/>
      <c r="N17" s="751"/>
      <c r="O17" s="751"/>
      <c r="P17" s="775"/>
      <c r="Q17" s="764"/>
      <c r="R17" s="751"/>
      <c r="S17" s="751"/>
      <c r="T17" s="751"/>
      <c r="U17" s="751"/>
      <c r="V17" s="775"/>
      <c r="W17" s="790"/>
    </row>
    <row r="18" spans="1:23" hidden="1">
      <c r="A18" s="778"/>
      <c r="B18" s="753"/>
      <c r="C18" s="753"/>
      <c r="D18" s="797"/>
      <c r="E18" s="772"/>
      <c r="F18" s="751"/>
      <c r="G18" s="751"/>
      <c r="H18" s="751"/>
      <c r="I18" s="751"/>
      <c r="J18" s="751"/>
      <c r="K18" s="751"/>
      <c r="L18" s="751"/>
      <c r="M18" s="751"/>
      <c r="N18" s="751"/>
      <c r="O18" s="751"/>
      <c r="P18" s="775"/>
      <c r="Q18" s="764"/>
      <c r="R18" s="751"/>
      <c r="S18" s="751"/>
      <c r="T18" s="751"/>
      <c r="U18" s="751"/>
      <c r="V18" s="775"/>
      <c r="W18" s="790"/>
    </row>
    <row r="19" spans="1:23" hidden="1">
      <c r="A19" s="778" t="s">
        <v>785</v>
      </c>
      <c r="B19" s="753" t="s">
        <v>922</v>
      </c>
      <c r="C19" s="753" t="s">
        <v>8</v>
      </c>
      <c r="D19" s="797" t="s">
        <v>17</v>
      </c>
      <c r="E19" s="772"/>
      <c r="F19" s="751"/>
      <c r="G19" s="754">
        <f>10000000</f>
        <v>10000000</v>
      </c>
      <c r="H19" s="751"/>
      <c r="I19" s="751"/>
      <c r="J19" s="751"/>
      <c r="K19" s="751"/>
      <c r="L19" s="751"/>
      <c r="M19" s="751"/>
      <c r="N19" s="751"/>
      <c r="O19" s="751"/>
      <c r="P19" s="775"/>
      <c r="Q19" s="764"/>
      <c r="R19" s="751"/>
      <c r="S19" s="751"/>
      <c r="T19" s="751"/>
      <c r="U19" s="751"/>
      <c r="V19" s="775"/>
      <c r="W19" s="791">
        <v>10000000</v>
      </c>
    </row>
    <row r="20" spans="1:23" hidden="1">
      <c r="A20" s="778" t="s">
        <v>785</v>
      </c>
      <c r="B20" s="753" t="s">
        <v>922</v>
      </c>
      <c r="C20" s="753" t="s">
        <v>8</v>
      </c>
      <c r="D20" s="797" t="s">
        <v>17</v>
      </c>
      <c r="E20" s="816"/>
      <c r="F20" s="761"/>
      <c r="G20" s="761"/>
      <c r="H20" s="761"/>
      <c r="I20" s="761"/>
      <c r="J20" s="761"/>
      <c r="K20" s="762">
        <f>$W$20/6</f>
        <v>8333333.333333333</v>
      </c>
      <c r="L20" s="762">
        <f t="shared" ref="L20:P20" si="9">$W$20/6</f>
        <v>8333333.333333333</v>
      </c>
      <c r="M20" s="762">
        <f t="shared" si="9"/>
        <v>8333333.333333333</v>
      </c>
      <c r="N20" s="762">
        <f t="shared" si="9"/>
        <v>8333333.333333333</v>
      </c>
      <c r="O20" s="762">
        <f t="shared" si="9"/>
        <v>8333333.333333333</v>
      </c>
      <c r="P20" s="783">
        <f t="shared" si="9"/>
        <v>8333333.333333333</v>
      </c>
      <c r="Q20" s="806"/>
      <c r="R20" s="762"/>
      <c r="S20" s="762"/>
      <c r="T20" s="762"/>
      <c r="U20" s="762"/>
      <c r="V20" s="783"/>
      <c r="W20" s="791">
        <v>50000000</v>
      </c>
    </row>
    <row r="21" spans="1:23" hidden="1">
      <c r="A21" s="778"/>
      <c r="B21" s="753"/>
      <c r="C21" s="753"/>
      <c r="D21" s="797"/>
      <c r="E21" s="772"/>
      <c r="F21" s="751"/>
      <c r="G21" s="751"/>
      <c r="H21" s="751"/>
      <c r="I21" s="751"/>
      <c r="J21" s="751"/>
      <c r="K21" s="751"/>
      <c r="L21" s="751"/>
      <c r="M21" s="751"/>
      <c r="N21" s="751"/>
      <c r="O21" s="751"/>
      <c r="P21" s="775"/>
      <c r="Q21" s="764"/>
      <c r="R21" s="751"/>
      <c r="S21" s="751"/>
      <c r="T21" s="751"/>
      <c r="U21" s="751"/>
      <c r="V21" s="775"/>
      <c r="W21" s="790"/>
    </row>
    <row r="22" spans="1:23" hidden="1">
      <c r="A22" s="778"/>
      <c r="B22" s="753"/>
      <c r="C22" s="753"/>
      <c r="D22" s="797"/>
      <c r="E22" s="772"/>
      <c r="F22" s="751"/>
      <c r="G22" s="751"/>
      <c r="H22" s="751"/>
      <c r="I22" s="751"/>
      <c r="J22" s="751"/>
      <c r="K22" s="751"/>
      <c r="L22" s="751"/>
      <c r="M22" s="751"/>
      <c r="N22" s="751"/>
      <c r="O22" s="751"/>
      <c r="P22" s="775"/>
      <c r="Q22" s="764"/>
      <c r="R22" s="751"/>
      <c r="S22" s="751"/>
      <c r="T22" s="751"/>
      <c r="U22" s="751"/>
      <c r="V22" s="775"/>
      <c r="W22" s="790"/>
    </row>
    <row r="23" spans="1:23" hidden="1">
      <c r="A23" s="778"/>
      <c r="B23" s="753"/>
      <c r="C23" s="753"/>
      <c r="D23" s="797"/>
      <c r="E23" s="772"/>
      <c r="F23" s="751"/>
      <c r="G23" s="751"/>
      <c r="H23" s="751"/>
      <c r="I23" s="751"/>
      <c r="J23" s="751"/>
      <c r="K23" s="751"/>
      <c r="L23" s="751"/>
      <c r="M23" s="751"/>
      <c r="N23" s="751"/>
      <c r="O23" s="751"/>
      <c r="P23" s="775"/>
      <c r="Q23" s="764"/>
      <c r="R23" s="751"/>
      <c r="S23" s="751"/>
      <c r="T23" s="751"/>
      <c r="U23" s="751"/>
      <c r="V23" s="775"/>
      <c r="W23" s="790"/>
    </row>
    <row r="24" spans="1:23" hidden="1">
      <c r="A24" s="778" t="s">
        <v>785</v>
      </c>
      <c r="B24" s="753" t="s">
        <v>19</v>
      </c>
      <c r="C24" s="753" t="s">
        <v>130</v>
      </c>
      <c r="D24" s="797" t="s">
        <v>135</v>
      </c>
      <c r="E24" s="817">
        <v>539000</v>
      </c>
      <c r="F24" s="752">
        <v>539000</v>
      </c>
      <c r="G24" s="752">
        <v>539000</v>
      </c>
      <c r="H24" s="752">
        <v>639000</v>
      </c>
      <c r="I24" s="752">
        <v>639000</v>
      </c>
      <c r="J24" s="752">
        <v>639000</v>
      </c>
      <c r="K24" s="752">
        <v>839000</v>
      </c>
      <c r="L24" s="752">
        <v>839000</v>
      </c>
      <c r="M24" s="752">
        <v>839000</v>
      </c>
      <c r="N24" s="752">
        <v>1239000</v>
      </c>
      <c r="O24" s="752">
        <v>1239000</v>
      </c>
      <c r="P24" s="782">
        <v>1239000</v>
      </c>
      <c r="Q24" s="794">
        <f>E24+F24+G24</f>
        <v>1617000</v>
      </c>
      <c r="R24" s="754">
        <f>H24+I24+J24</f>
        <v>1917000</v>
      </c>
      <c r="S24" s="754">
        <f>K24+L24+M24</f>
        <v>2517000</v>
      </c>
      <c r="T24" s="754">
        <f>N24+O24+P24</f>
        <v>3717000</v>
      </c>
      <c r="U24" s="754">
        <f>Q24+R24</f>
        <v>3534000</v>
      </c>
      <c r="V24" s="774">
        <f>S24+T24</f>
        <v>6234000</v>
      </c>
      <c r="W24" s="791">
        <f>SUM(E24:P24)</f>
        <v>9768000</v>
      </c>
    </row>
    <row r="25" spans="1:23" hidden="1">
      <c r="A25" s="778"/>
      <c r="B25" s="753"/>
      <c r="C25" s="753"/>
      <c r="D25" s="797" t="s">
        <v>1099</v>
      </c>
      <c r="E25" s="814">
        <f>E24/$W$24</f>
        <v>5.5180180180180179E-2</v>
      </c>
      <c r="F25" s="755">
        <f t="shared" ref="F25:V25" si="10">F24/$W$24</f>
        <v>5.5180180180180179E-2</v>
      </c>
      <c r="G25" s="755">
        <f t="shared" si="10"/>
        <v>5.5180180180180179E-2</v>
      </c>
      <c r="H25" s="755">
        <f t="shared" si="10"/>
        <v>6.5417690417690424E-2</v>
      </c>
      <c r="I25" s="755">
        <f t="shared" si="10"/>
        <v>6.5417690417690424E-2</v>
      </c>
      <c r="J25" s="755">
        <f t="shared" si="10"/>
        <v>6.5417690417690424E-2</v>
      </c>
      <c r="K25" s="755">
        <f t="shared" si="10"/>
        <v>8.5892710892710888E-2</v>
      </c>
      <c r="L25" s="755">
        <f t="shared" si="10"/>
        <v>8.5892710892710888E-2</v>
      </c>
      <c r="M25" s="755">
        <f t="shared" si="10"/>
        <v>8.5892710892710888E-2</v>
      </c>
      <c r="N25" s="755">
        <f t="shared" si="10"/>
        <v>0.12684275184275184</v>
      </c>
      <c r="O25" s="755">
        <f t="shared" si="10"/>
        <v>0.12684275184275184</v>
      </c>
      <c r="P25" s="779">
        <f t="shared" si="10"/>
        <v>0.12684275184275184</v>
      </c>
      <c r="Q25" s="803">
        <f t="shared" si="10"/>
        <v>0.16554054054054054</v>
      </c>
      <c r="R25" s="755">
        <f t="shared" si="10"/>
        <v>0.19625307125307126</v>
      </c>
      <c r="S25" s="755">
        <f t="shared" si="10"/>
        <v>0.25767813267813267</v>
      </c>
      <c r="T25" s="755">
        <f t="shared" si="10"/>
        <v>0.38052825552825553</v>
      </c>
      <c r="U25" s="829">
        <f t="shared" si="10"/>
        <v>0.3617936117936118</v>
      </c>
      <c r="V25" s="830">
        <f t="shared" si="10"/>
        <v>0.6382063882063882</v>
      </c>
      <c r="W25" s="790"/>
    </row>
    <row r="26" spans="1:23" hidden="1">
      <c r="A26" s="778"/>
      <c r="B26" s="753"/>
      <c r="C26" s="753"/>
      <c r="D26" s="797"/>
      <c r="E26" s="772"/>
      <c r="F26" s="751"/>
      <c r="G26" s="751"/>
      <c r="H26" s="751"/>
      <c r="I26" s="751"/>
      <c r="J26" s="751"/>
      <c r="K26" s="751"/>
      <c r="L26" s="751"/>
      <c r="M26" s="751"/>
      <c r="N26" s="751"/>
      <c r="O26" s="751"/>
      <c r="P26" s="775"/>
      <c r="Q26" s="764"/>
      <c r="R26" s="751"/>
      <c r="S26" s="751"/>
      <c r="T26" s="751"/>
      <c r="U26" s="751"/>
      <c r="V26" s="775"/>
      <c r="W26" s="790"/>
    </row>
    <row r="27" spans="1:23" hidden="1">
      <c r="A27" s="778"/>
      <c r="B27" s="753"/>
      <c r="C27" s="753"/>
      <c r="D27" s="797"/>
      <c r="E27" s="772"/>
      <c r="F27" s="751"/>
      <c r="G27" s="751"/>
      <c r="H27" s="751"/>
      <c r="I27" s="751"/>
      <c r="J27" s="751"/>
      <c r="K27" s="751"/>
      <c r="L27" s="751"/>
      <c r="M27" s="751"/>
      <c r="N27" s="751"/>
      <c r="O27" s="751"/>
      <c r="P27" s="775"/>
      <c r="Q27" s="764"/>
      <c r="R27" s="751"/>
      <c r="S27" s="751"/>
      <c r="T27" s="751"/>
      <c r="U27" s="751"/>
      <c r="V27" s="775"/>
      <c r="W27" s="790"/>
    </row>
    <row r="28" spans="1:23" hidden="1">
      <c r="A28" s="778" t="s">
        <v>785</v>
      </c>
      <c r="B28" s="753" t="s">
        <v>1100</v>
      </c>
      <c r="C28" s="753" t="s">
        <v>130</v>
      </c>
      <c r="D28" s="797" t="s">
        <v>1101</v>
      </c>
      <c r="E28" s="817">
        <v>0</v>
      </c>
      <c r="F28" s="752">
        <v>0</v>
      </c>
      <c r="G28" s="754">
        <v>0</v>
      </c>
      <c r="H28" s="752">
        <v>3000</v>
      </c>
      <c r="I28" s="752">
        <v>1000</v>
      </c>
      <c r="J28" s="752">
        <v>1000</v>
      </c>
      <c r="K28" s="752">
        <v>1000</v>
      </c>
      <c r="L28" s="752">
        <v>2000</v>
      </c>
      <c r="M28" s="752">
        <v>2000</v>
      </c>
      <c r="N28" s="752">
        <v>3000</v>
      </c>
      <c r="O28" s="752">
        <v>4000</v>
      </c>
      <c r="P28" s="782">
        <v>4289</v>
      </c>
      <c r="Q28" s="794">
        <f>E28+F28+G28</f>
        <v>0</v>
      </c>
      <c r="R28" s="754">
        <f>H28+I28+J28</f>
        <v>5000</v>
      </c>
      <c r="S28" s="754">
        <f>K28+L28+M28</f>
        <v>5000</v>
      </c>
      <c r="T28" s="754">
        <f>N28+O28+P28</f>
        <v>11289</v>
      </c>
      <c r="U28" s="754">
        <f>Q28+R28</f>
        <v>5000</v>
      </c>
      <c r="V28" s="774">
        <f>S28+T28</f>
        <v>16289</v>
      </c>
      <c r="W28" s="791">
        <f>SUM(E28:P28)</f>
        <v>21289</v>
      </c>
    </row>
    <row r="29" spans="1:23" hidden="1">
      <c r="A29" s="778"/>
      <c r="B29" s="753"/>
      <c r="C29" s="753"/>
      <c r="D29" s="797" t="s">
        <v>1099</v>
      </c>
      <c r="E29" s="814">
        <f>E28/$W$28</f>
        <v>0</v>
      </c>
      <c r="F29" s="755">
        <f t="shared" ref="F29:U29" si="11">F28/$W$28</f>
        <v>0</v>
      </c>
      <c r="G29" s="755">
        <f t="shared" si="11"/>
        <v>0</v>
      </c>
      <c r="H29" s="755">
        <f t="shared" si="11"/>
        <v>0.14091784489642539</v>
      </c>
      <c r="I29" s="755">
        <f t="shared" si="11"/>
        <v>4.6972614965475126E-2</v>
      </c>
      <c r="J29" s="755">
        <f t="shared" si="11"/>
        <v>4.6972614965475126E-2</v>
      </c>
      <c r="K29" s="755">
        <f t="shared" si="11"/>
        <v>4.6972614965475126E-2</v>
      </c>
      <c r="L29" s="755">
        <f t="shared" si="11"/>
        <v>9.3945229930950253E-2</v>
      </c>
      <c r="M29" s="755">
        <f t="shared" si="11"/>
        <v>9.3945229930950253E-2</v>
      </c>
      <c r="N29" s="755">
        <f t="shared" si="11"/>
        <v>0.14091784489642539</v>
      </c>
      <c r="O29" s="755">
        <f t="shared" si="11"/>
        <v>0.18789045986190051</v>
      </c>
      <c r="P29" s="779">
        <f t="shared" si="11"/>
        <v>0.20146554558692281</v>
      </c>
      <c r="Q29" s="803">
        <f t="shared" si="11"/>
        <v>0</v>
      </c>
      <c r="R29" s="755">
        <f t="shared" si="11"/>
        <v>0.23486307482737565</v>
      </c>
      <c r="S29" s="755">
        <f t="shared" si="11"/>
        <v>0.23486307482737565</v>
      </c>
      <c r="T29" s="755">
        <f t="shared" si="11"/>
        <v>0.53027385034524877</v>
      </c>
      <c r="U29" s="755">
        <f t="shared" si="11"/>
        <v>0.23486307482737565</v>
      </c>
      <c r="V29" s="779">
        <f>V28/$W$28</f>
        <v>0.76513692517262433</v>
      </c>
      <c r="W29" s="790"/>
    </row>
    <row r="30" spans="1:23" hidden="1">
      <c r="A30" s="778"/>
      <c r="B30" s="753"/>
      <c r="C30" s="753"/>
      <c r="D30" s="797"/>
      <c r="E30" s="772"/>
      <c r="F30" s="751"/>
      <c r="G30" s="751"/>
      <c r="H30" s="751"/>
      <c r="I30" s="751"/>
      <c r="J30" s="751"/>
      <c r="K30" s="751"/>
      <c r="L30" s="751"/>
      <c r="M30" s="751"/>
      <c r="N30" s="751"/>
      <c r="O30" s="751"/>
      <c r="P30" s="775"/>
      <c r="Q30" s="764"/>
      <c r="R30" s="751"/>
      <c r="S30" s="751"/>
      <c r="T30" s="751"/>
      <c r="U30" s="751"/>
      <c r="V30" s="775"/>
      <c r="W30" s="790"/>
    </row>
    <row r="31" spans="1:23" hidden="1">
      <c r="A31" s="778" t="s">
        <v>785</v>
      </c>
      <c r="B31" s="753" t="s">
        <v>5</v>
      </c>
      <c r="C31" s="753" t="s">
        <v>130</v>
      </c>
      <c r="D31" s="797" t="s">
        <v>1101</v>
      </c>
      <c r="E31" s="818">
        <v>0</v>
      </c>
      <c r="F31" s="763">
        <v>0</v>
      </c>
      <c r="G31" s="763">
        <v>0</v>
      </c>
      <c r="H31" s="763">
        <v>301</v>
      </c>
      <c r="I31" s="763">
        <v>578</v>
      </c>
      <c r="J31" s="763">
        <v>827</v>
      </c>
      <c r="K31" s="763">
        <v>1127</v>
      </c>
      <c r="L31" s="763">
        <v>1434</v>
      </c>
      <c r="M31" s="763">
        <v>1736</v>
      </c>
      <c r="N31" s="763">
        <v>2036</v>
      </c>
      <c r="O31" s="763">
        <v>2277</v>
      </c>
      <c r="P31" s="784">
        <v>2462</v>
      </c>
      <c r="Q31" s="766">
        <f>E31+F31+G31</f>
        <v>0</v>
      </c>
      <c r="R31" s="763">
        <f>H31+I31+J31</f>
        <v>1706</v>
      </c>
      <c r="S31" s="763">
        <f>K31+L31+M31</f>
        <v>4297</v>
      </c>
      <c r="T31" s="763">
        <f>N31+O31+P31</f>
        <v>6775</v>
      </c>
      <c r="U31" s="763">
        <f>Q31+R31</f>
        <v>1706</v>
      </c>
      <c r="V31" s="784">
        <f>S31+T31</f>
        <v>11072</v>
      </c>
      <c r="W31" s="792">
        <f>SUM(E31:P31)</f>
        <v>12778</v>
      </c>
    </row>
    <row r="32" spans="1:23" hidden="1">
      <c r="A32" s="785"/>
      <c r="B32" s="786"/>
      <c r="C32" s="786"/>
      <c r="D32" s="798" t="s">
        <v>1099</v>
      </c>
      <c r="E32" s="819">
        <f>E31/$W$31</f>
        <v>0</v>
      </c>
      <c r="F32" s="787">
        <f t="shared" ref="F32:V32" si="12">F31/$W$31</f>
        <v>0</v>
      </c>
      <c r="G32" s="787">
        <f t="shared" si="12"/>
        <v>0</v>
      </c>
      <c r="H32" s="787">
        <f t="shared" si="12"/>
        <v>2.3556112067616215E-2</v>
      </c>
      <c r="I32" s="787">
        <f t="shared" si="12"/>
        <v>4.5233995930505554E-2</v>
      </c>
      <c r="J32" s="787">
        <f t="shared" si="12"/>
        <v>6.4720613554546877E-2</v>
      </c>
      <c r="K32" s="787">
        <f t="shared" si="12"/>
        <v>8.8198466113632801E-2</v>
      </c>
      <c r="L32" s="787">
        <f t="shared" si="12"/>
        <v>0.11222413523243074</v>
      </c>
      <c r="M32" s="787">
        <f t="shared" si="12"/>
        <v>0.13585850680857725</v>
      </c>
      <c r="N32" s="787">
        <f t="shared" si="12"/>
        <v>0.15933635936766316</v>
      </c>
      <c r="O32" s="787">
        <f t="shared" si="12"/>
        <v>0.17819690092346219</v>
      </c>
      <c r="P32" s="788">
        <f t="shared" si="12"/>
        <v>0.1926749100015652</v>
      </c>
      <c r="Q32" s="807">
        <f t="shared" si="12"/>
        <v>0</v>
      </c>
      <c r="R32" s="787">
        <f t="shared" si="12"/>
        <v>0.13351072155266866</v>
      </c>
      <c r="S32" s="787">
        <f t="shared" si="12"/>
        <v>0.3362811081546408</v>
      </c>
      <c r="T32" s="787">
        <f t="shared" si="12"/>
        <v>0.53020817029269052</v>
      </c>
      <c r="U32" s="787">
        <f t="shared" si="12"/>
        <v>0.13351072155266866</v>
      </c>
      <c r="V32" s="788">
        <f t="shared" si="12"/>
        <v>0.86648927844733137</v>
      </c>
      <c r="W32" s="793"/>
    </row>
    <row r="33" spans="1:23" hidden="1"/>
    <row r="34" spans="1:23" ht="30" customHeight="1" thickBot="1">
      <c r="B34" s="990" t="s">
        <v>1189</v>
      </c>
      <c r="C34" s="990"/>
      <c r="D34" s="990"/>
    </row>
    <row r="35" spans="1:23" s="262" customFormat="1" ht="22.2" customHeight="1">
      <c r="A35" s="982" t="s">
        <v>1173</v>
      </c>
      <c r="B35" s="983" t="s">
        <v>1190</v>
      </c>
      <c r="C35" s="984"/>
      <c r="D35" s="984"/>
      <c r="E35" s="985"/>
      <c r="F35" s="985"/>
      <c r="G35" s="985"/>
      <c r="H35" s="985"/>
      <c r="I35" s="985"/>
      <c r="J35" s="985"/>
      <c r="K35" s="985"/>
      <c r="L35" s="985"/>
      <c r="M35" s="985"/>
      <c r="N35" s="985"/>
      <c r="O35" s="985"/>
      <c r="P35" s="985"/>
      <c r="Q35" s="985"/>
      <c r="R35" s="985"/>
      <c r="S35" s="985"/>
      <c r="T35" s="985"/>
      <c r="U35" s="985"/>
      <c r="V35" s="985"/>
      <c r="W35" s="986"/>
    </row>
    <row r="36" spans="1:23" ht="23.4" customHeight="1">
      <c r="A36" s="951"/>
      <c r="B36" s="963"/>
      <c r="C36" s="768"/>
      <c r="D36" s="795"/>
      <c r="E36" s="808" t="s">
        <v>100</v>
      </c>
      <c r="F36" s="769" t="s">
        <v>101</v>
      </c>
      <c r="G36" s="769" t="s">
        <v>103</v>
      </c>
      <c r="H36" s="769" t="s">
        <v>104</v>
      </c>
      <c r="I36" s="769" t="s">
        <v>105</v>
      </c>
      <c r="J36" s="769" t="s">
        <v>106</v>
      </c>
      <c r="K36" s="769" t="s">
        <v>107</v>
      </c>
      <c r="L36" s="769" t="s">
        <v>108</v>
      </c>
      <c r="M36" s="769" t="s">
        <v>109</v>
      </c>
      <c r="N36" s="769" t="s">
        <v>110</v>
      </c>
      <c r="O36" s="769" t="s">
        <v>111</v>
      </c>
      <c r="P36" s="809" t="s">
        <v>112</v>
      </c>
      <c r="Q36" s="799" t="s">
        <v>79</v>
      </c>
      <c r="R36" s="770" t="s">
        <v>80</v>
      </c>
      <c r="S36" s="770" t="s">
        <v>81</v>
      </c>
      <c r="T36" s="770" t="s">
        <v>82</v>
      </c>
      <c r="U36" s="770" t="s">
        <v>1097</v>
      </c>
      <c r="V36" s="771" t="s">
        <v>1098</v>
      </c>
      <c r="W36" s="964" t="s">
        <v>85</v>
      </c>
    </row>
    <row r="37" spans="1:23" ht="9" customHeight="1">
      <c r="A37" s="952"/>
      <c r="B37" s="965"/>
      <c r="C37" s="751"/>
      <c r="D37" s="796"/>
      <c r="E37" s="772"/>
      <c r="F37" s="751"/>
      <c r="G37" s="751"/>
      <c r="H37" s="751"/>
      <c r="I37" s="751"/>
      <c r="J37" s="751"/>
      <c r="K37" s="751"/>
      <c r="L37" s="751"/>
      <c r="M37" s="751"/>
      <c r="N37" s="751"/>
      <c r="O37" s="751"/>
      <c r="P37" s="775"/>
      <c r="Q37" s="764"/>
      <c r="R37" s="751"/>
      <c r="S37" s="751"/>
      <c r="T37" s="751"/>
      <c r="U37" s="751"/>
      <c r="V37" s="775"/>
      <c r="W37" s="966"/>
    </row>
    <row r="38" spans="1:23" ht="17.399999999999999" customHeight="1">
      <c r="A38" s="953" t="s">
        <v>785</v>
      </c>
      <c r="B38" s="967" t="s">
        <v>17</v>
      </c>
      <c r="C38" s="844" t="s">
        <v>130</v>
      </c>
      <c r="D38" s="845" t="s">
        <v>1188</v>
      </c>
      <c r="E38" s="827">
        <v>341000</v>
      </c>
      <c r="F38" s="762">
        <v>679000</v>
      </c>
      <c r="G38" s="762">
        <v>933000</v>
      </c>
      <c r="H38" s="762">
        <v>937000</v>
      </c>
      <c r="I38" s="762">
        <v>1052000</v>
      </c>
      <c r="J38" s="762">
        <v>1188000</v>
      </c>
      <c r="K38" s="762">
        <v>1417000</v>
      </c>
      <c r="L38" s="762">
        <v>1588000</v>
      </c>
      <c r="M38" s="762">
        <v>1852000</v>
      </c>
      <c r="N38" s="762">
        <v>2179000</v>
      </c>
      <c r="O38" s="762">
        <v>2691000</v>
      </c>
      <c r="P38" s="783">
        <v>3143000</v>
      </c>
      <c r="Q38" s="806">
        <f>E38+F38+G38</f>
        <v>1953000</v>
      </c>
      <c r="R38" s="762">
        <f>H38+I38+J38</f>
        <v>3177000</v>
      </c>
      <c r="S38" s="762">
        <f>K38+L38+M38</f>
        <v>4857000</v>
      </c>
      <c r="T38" s="762">
        <f>N38+O38+P38</f>
        <v>8013000</v>
      </c>
      <c r="U38" s="762">
        <f>Q38+R38</f>
        <v>5130000</v>
      </c>
      <c r="V38" s="783">
        <f>S38+T38</f>
        <v>12870000</v>
      </c>
      <c r="W38" s="968">
        <f>SUM(E38:P38)</f>
        <v>18000000</v>
      </c>
    </row>
    <row r="39" spans="1:23" ht="17.399999999999999" customHeight="1">
      <c r="A39" s="953"/>
      <c r="B39" s="967"/>
      <c r="C39" s="844"/>
      <c r="D39" s="845" t="s">
        <v>1099</v>
      </c>
      <c r="E39" s="823">
        <f>E38/$W$11</f>
        <v>1.8944444444444444E-2</v>
      </c>
      <c r="F39" s="824">
        <f t="shared" ref="F39:V39" si="13">F38/$W$11</f>
        <v>3.7722222222222219E-2</v>
      </c>
      <c r="G39" s="824">
        <f t="shared" si="13"/>
        <v>5.1833333333333335E-2</v>
      </c>
      <c r="H39" s="824">
        <f t="shared" si="13"/>
        <v>5.2055555555555556E-2</v>
      </c>
      <c r="I39" s="824">
        <f t="shared" si="13"/>
        <v>5.8444444444444445E-2</v>
      </c>
      <c r="J39" s="824">
        <f t="shared" si="13"/>
        <v>6.6000000000000003E-2</v>
      </c>
      <c r="K39" s="824">
        <f t="shared" si="13"/>
        <v>7.8722222222222221E-2</v>
      </c>
      <c r="L39" s="824">
        <f t="shared" si="13"/>
        <v>8.8222222222222216E-2</v>
      </c>
      <c r="M39" s="824">
        <f t="shared" si="13"/>
        <v>0.10288888888888889</v>
      </c>
      <c r="N39" s="824">
        <f t="shared" si="13"/>
        <v>0.12105555555555556</v>
      </c>
      <c r="O39" s="824">
        <f t="shared" si="13"/>
        <v>0.14949999999999999</v>
      </c>
      <c r="P39" s="825">
        <f t="shared" si="13"/>
        <v>0.17461111111111111</v>
      </c>
      <c r="Q39" s="826">
        <f t="shared" si="13"/>
        <v>0.1085</v>
      </c>
      <c r="R39" s="824">
        <f t="shared" si="13"/>
        <v>0.17649999999999999</v>
      </c>
      <c r="S39" s="824">
        <f t="shared" si="13"/>
        <v>0.26983333333333331</v>
      </c>
      <c r="T39" s="824">
        <f t="shared" si="13"/>
        <v>0.44516666666666665</v>
      </c>
      <c r="U39" s="831">
        <f t="shared" si="13"/>
        <v>0.28499999999999998</v>
      </c>
      <c r="V39" s="832">
        <f t="shared" si="13"/>
        <v>0.71499999999999997</v>
      </c>
      <c r="W39" s="969"/>
    </row>
    <row r="40" spans="1:23" ht="17.399999999999999" customHeight="1">
      <c r="A40" s="954"/>
      <c r="B40" s="970"/>
      <c r="C40" s="753"/>
      <c r="D40" s="797"/>
      <c r="E40" s="823"/>
      <c r="F40" s="824"/>
      <c r="G40" s="824"/>
      <c r="H40" s="824"/>
      <c r="I40" s="824"/>
      <c r="J40" s="824"/>
      <c r="K40" s="824"/>
      <c r="L40" s="824"/>
      <c r="M40" s="824"/>
      <c r="N40" s="824"/>
      <c r="O40" s="824"/>
      <c r="P40" s="825"/>
      <c r="Q40" s="826"/>
      <c r="R40" s="824"/>
      <c r="S40" s="824"/>
      <c r="T40" s="824"/>
      <c r="U40" s="831"/>
      <c r="V40" s="832"/>
      <c r="W40" s="969"/>
    </row>
    <row r="41" spans="1:23" ht="17.399999999999999" customHeight="1">
      <c r="A41" s="955" t="s">
        <v>785</v>
      </c>
      <c r="B41" s="987" t="s">
        <v>17</v>
      </c>
      <c r="C41" s="988" t="s">
        <v>130</v>
      </c>
      <c r="D41" s="989" t="s">
        <v>1076</v>
      </c>
      <c r="E41" s="827">
        <v>81000</v>
      </c>
      <c r="F41" s="762">
        <v>114000</v>
      </c>
      <c r="G41" s="762">
        <v>258000</v>
      </c>
      <c r="H41" s="762">
        <v>297000</v>
      </c>
      <c r="I41" s="762">
        <v>342000</v>
      </c>
      <c r="J41" s="762">
        <v>393000</v>
      </c>
      <c r="K41" s="762">
        <v>492000</v>
      </c>
      <c r="L41" s="762">
        <v>558000</v>
      </c>
      <c r="M41" s="762">
        <v>657000</v>
      </c>
      <c r="N41" s="762">
        <v>789000</v>
      </c>
      <c r="O41" s="762">
        <v>981000</v>
      </c>
      <c r="P41" s="783">
        <v>1167000</v>
      </c>
      <c r="Q41" s="806">
        <v>453000</v>
      </c>
      <c r="R41" s="762">
        <v>1032000</v>
      </c>
      <c r="S41" s="762">
        <v>1707000</v>
      </c>
      <c r="T41" s="762">
        <v>2937000</v>
      </c>
      <c r="U41" s="762">
        <v>1485000</v>
      </c>
      <c r="V41" s="783">
        <v>4644000</v>
      </c>
      <c r="W41" s="968">
        <f>SUM(E41:P41)</f>
        <v>6129000</v>
      </c>
    </row>
    <row r="42" spans="1:23" ht="17.399999999999999" customHeight="1">
      <c r="A42" s="955"/>
      <c r="B42" s="987"/>
      <c r="C42" s="988"/>
      <c r="D42" s="989" t="s">
        <v>1099</v>
      </c>
      <c r="E42" s="823">
        <f>E41/E38</f>
        <v>0.23753665689149561</v>
      </c>
      <c r="F42" s="823">
        <f t="shared" ref="F42:O42" si="14">F41/F38</f>
        <v>0.16789396170839468</v>
      </c>
      <c r="G42" s="823">
        <f t="shared" si="14"/>
        <v>0.27652733118971062</v>
      </c>
      <c r="H42" s="823">
        <f t="shared" si="14"/>
        <v>0.31696905016008536</v>
      </c>
      <c r="I42" s="823">
        <f t="shared" si="14"/>
        <v>0.32509505703422054</v>
      </c>
      <c r="J42" s="823">
        <f t="shared" si="14"/>
        <v>0.33080808080808083</v>
      </c>
      <c r="K42" s="823">
        <f t="shared" si="14"/>
        <v>0.34721242060691604</v>
      </c>
      <c r="L42" s="823">
        <f t="shared" si="14"/>
        <v>0.3513853904282116</v>
      </c>
      <c r="M42" s="823">
        <f t="shared" si="14"/>
        <v>0.35475161987041037</v>
      </c>
      <c r="N42" s="823">
        <f t="shared" si="14"/>
        <v>0.36209270307480496</v>
      </c>
      <c r="O42" s="823">
        <f t="shared" si="14"/>
        <v>0.36454849498327757</v>
      </c>
      <c r="P42" s="823">
        <f>P41/P38</f>
        <v>0.37130130448615972</v>
      </c>
      <c r="Q42" s="826">
        <f t="shared" ref="Q42:V42" si="15">Q41/Q38</f>
        <v>0.23195084485407066</v>
      </c>
      <c r="R42" s="824">
        <f t="shared" si="15"/>
        <v>0.32483474976392823</v>
      </c>
      <c r="S42" s="824">
        <f t="shared" si="15"/>
        <v>0.35145151327980234</v>
      </c>
      <c r="T42" s="824">
        <f t="shared" si="15"/>
        <v>0.36652938974166976</v>
      </c>
      <c r="U42" s="831">
        <f t="shared" si="15"/>
        <v>0.28947368421052633</v>
      </c>
      <c r="V42" s="832">
        <f t="shared" si="15"/>
        <v>0.36083916083916084</v>
      </c>
      <c r="W42" s="971">
        <v>0.34050000000000002</v>
      </c>
    </row>
    <row r="43" spans="1:23" ht="17.399999999999999" customHeight="1">
      <c r="A43" s="955"/>
      <c r="B43" s="987"/>
      <c r="C43" s="988"/>
      <c r="D43" s="989"/>
      <c r="E43" s="772"/>
      <c r="F43" s="751"/>
      <c r="G43" s="751"/>
      <c r="H43" s="751"/>
      <c r="I43" s="751"/>
      <c r="J43" s="751"/>
      <c r="K43" s="751"/>
      <c r="L43" s="751"/>
      <c r="M43" s="751"/>
      <c r="N43" s="751"/>
      <c r="O43" s="751"/>
      <c r="P43" s="775"/>
      <c r="Q43" s="764"/>
      <c r="R43" s="751"/>
      <c r="S43" s="751"/>
      <c r="T43" s="751"/>
      <c r="U43" s="751"/>
      <c r="V43" s="775"/>
      <c r="W43" s="969"/>
    </row>
    <row r="44" spans="1:23" ht="17.399999999999999" customHeight="1">
      <c r="A44" s="955" t="s">
        <v>785</v>
      </c>
      <c r="B44" s="987" t="s">
        <v>17</v>
      </c>
      <c r="C44" s="988" t="s">
        <v>130</v>
      </c>
      <c r="D44" s="989" t="s">
        <v>1078</v>
      </c>
      <c r="E44" s="827">
        <v>260000</v>
      </c>
      <c r="F44" s="762">
        <v>565000</v>
      </c>
      <c r="G44" s="762">
        <v>675000</v>
      </c>
      <c r="H44" s="762">
        <v>640000</v>
      </c>
      <c r="I44" s="762">
        <v>710000</v>
      </c>
      <c r="J44" s="762">
        <v>795000</v>
      </c>
      <c r="K44" s="762">
        <v>925000</v>
      </c>
      <c r="L44" s="762">
        <v>1030000</v>
      </c>
      <c r="M44" s="762">
        <v>1195000</v>
      </c>
      <c r="N44" s="762">
        <v>1390000</v>
      </c>
      <c r="O44" s="762">
        <v>1710000</v>
      </c>
      <c r="P44" s="783">
        <v>1976000</v>
      </c>
      <c r="Q44" s="806">
        <v>1500000</v>
      </c>
      <c r="R44" s="762">
        <v>2145000</v>
      </c>
      <c r="S44" s="762">
        <v>3150000</v>
      </c>
      <c r="T44" s="762">
        <v>5076000</v>
      </c>
      <c r="U44" s="762">
        <v>3645000</v>
      </c>
      <c r="V44" s="783">
        <v>8226000</v>
      </c>
      <c r="W44" s="968">
        <v>11871000</v>
      </c>
    </row>
    <row r="45" spans="1:23" ht="17.399999999999999" customHeight="1">
      <c r="A45" s="955"/>
      <c r="B45" s="987"/>
      <c r="C45" s="988"/>
      <c r="D45" s="989" t="s">
        <v>1099</v>
      </c>
      <c r="E45" s="823">
        <f>E44/E38</f>
        <v>0.76246334310850439</v>
      </c>
      <c r="F45" s="824">
        <f t="shared" ref="F45:V45" si="16">F44/F38</f>
        <v>0.83210603829160534</v>
      </c>
      <c r="G45" s="824">
        <f t="shared" si="16"/>
        <v>0.72347266881028938</v>
      </c>
      <c r="H45" s="824">
        <f t="shared" si="16"/>
        <v>0.68303094983991464</v>
      </c>
      <c r="I45" s="824">
        <f t="shared" si="16"/>
        <v>0.67490494296577952</v>
      </c>
      <c r="J45" s="824">
        <f t="shared" si="16"/>
        <v>0.66919191919191923</v>
      </c>
      <c r="K45" s="824">
        <f t="shared" si="16"/>
        <v>0.65278757939308396</v>
      </c>
      <c r="L45" s="824">
        <f t="shared" si="16"/>
        <v>0.6486146095717884</v>
      </c>
      <c r="M45" s="824">
        <f t="shared" si="16"/>
        <v>0.64524838012958963</v>
      </c>
      <c r="N45" s="824">
        <f t="shared" si="16"/>
        <v>0.63790729692519499</v>
      </c>
      <c r="O45" s="824">
        <f t="shared" si="16"/>
        <v>0.63545150501672243</v>
      </c>
      <c r="P45" s="825">
        <f t="shared" si="16"/>
        <v>0.62869869551384028</v>
      </c>
      <c r="Q45" s="826">
        <f t="shared" si="16"/>
        <v>0.76804915514592931</v>
      </c>
      <c r="R45" s="824">
        <f t="shared" si="16"/>
        <v>0.67516525023607177</v>
      </c>
      <c r="S45" s="824">
        <f t="shared" si="16"/>
        <v>0.6485484867201976</v>
      </c>
      <c r="T45" s="824">
        <f t="shared" si="16"/>
        <v>0.63347061025833018</v>
      </c>
      <c r="U45" s="831">
        <f t="shared" si="16"/>
        <v>0.71052631578947367</v>
      </c>
      <c r="V45" s="832">
        <f t="shared" si="16"/>
        <v>0.63916083916083921</v>
      </c>
      <c r="W45" s="971">
        <v>0.65949999999999998</v>
      </c>
    </row>
    <row r="46" spans="1:23" ht="17.399999999999999" customHeight="1" thickBot="1">
      <c r="A46" s="954"/>
      <c r="B46" s="972"/>
      <c r="C46" s="973"/>
      <c r="D46" s="974"/>
      <c r="E46" s="975"/>
      <c r="F46" s="976"/>
      <c r="G46" s="976"/>
      <c r="H46" s="976"/>
      <c r="I46" s="976"/>
      <c r="J46" s="976"/>
      <c r="K46" s="976"/>
      <c r="L46" s="976"/>
      <c r="M46" s="976"/>
      <c r="N46" s="976"/>
      <c r="O46" s="976"/>
      <c r="P46" s="977"/>
      <c r="Q46" s="978"/>
      <c r="R46" s="976"/>
      <c r="S46" s="976"/>
      <c r="T46" s="976"/>
      <c r="U46" s="979"/>
      <c r="V46" s="980"/>
      <c r="W46" s="981"/>
    </row>
    <row r="47" spans="1:23" ht="17.399999999999999" customHeight="1">
      <c r="A47" s="843" t="s">
        <v>785</v>
      </c>
      <c r="B47" s="956" t="s">
        <v>19</v>
      </c>
      <c r="C47" s="956" t="s">
        <v>130</v>
      </c>
      <c r="D47" s="957" t="s">
        <v>135</v>
      </c>
      <c r="E47" s="958">
        <v>155500</v>
      </c>
      <c r="F47" s="959">
        <v>219500</v>
      </c>
      <c r="G47" s="959">
        <v>315700.00000000006</v>
      </c>
      <c r="H47" s="959">
        <v>460600</v>
      </c>
      <c r="I47" s="959">
        <v>562800</v>
      </c>
      <c r="J47" s="959">
        <v>637000</v>
      </c>
      <c r="K47" s="959">
        <v>808500</v>
      </c>
      <c r="L47" s="959">
        <v>928900</v>
      </c>
      <c r="M47" s="959">
        <v>1091000</v>
      </c>
      <c r="N47" s="959">
        <v>1315800</v>
      </c>
      <c r="O47" s="959">
        <v>1514700</v>
      </c>
      <c r="P47" s="960">
        <v>1758000</v>
      </c>
      <c r="Q47" s="961">
        <f>E47+F47+G47</f>
        <v>690700</v>
      </c>
      <c r="R47" s="959">
        <f>H47+I47+J47</f>
        <v>1660400</v>
      </c>
      <c r="S47" s="959">
        <f>K47+L47+M47</f>
        <v>2828400</v>
      </c>
      <c r="T47" s="959">
        <f>N47+O47+P47</f>
        <v>4588500</v>
      </c>
      <c r="U47" s="959">
        <f>Q47+R47</f>
        <v>2351100</v>
      </c>
      <c r="V47" s="960">
        <f>S47+T47</f>
        <v>7416900</v>
      </c>
      <c r="W47" s="962">
        <f>SUM(E47:P47)</f>
        <v>9768000</v>
      </c>
    </row>
    <row r="48" spans="1:23" ht="17.399999999999999" customHeight="1">
      <c r="A48" s="843"/>
      <c r="B48" s="844"/>
      <c r="C48" s="844"/>
      <c r="D48" s="845" t="s">
        <v>1099</v>
      </c>
      <c r="E48" s="823">
        <f>E47/$W$24</f>
        <v>1.5919328419328419E-2</v>
      </c>
      <c r="F48" s="824">
        <f t="shared" ref="F48:V48" si="17">F47/$W$24</f>
        <v>2.247133497133497E-2</v>
      </c>
      <c r="G48" s="824">
        <f t="shared" si="17"/>
        <v>3.2319819819819823E-2</v>
      </c>
      <c r="H48" s="824">
        <f t="shared" si="17"/>
        <v>4.7153972153972157E-2</v>
      </c>
      <c r="I48" s="824">
        <f t="shared" si="17"/>
        <v>5.7616707616707619E-2</v>
      </c>
      <c r="J48" s="824">
        <f t="shared" si="17"/>
        <v>6.5212940212940218E-2</v>
      </c>
      <c r="K48" s="824">
        <f t="shared" si="17"/>
        <v>8.2770270270270271E-2</v>
      </c>
      <c r="L48" s="824">
        <f t="shared" si="17"/>
        <v>9.5096232596232594E-2</v>
      </c>
      <c r="M48" s="824">
        <f t="shared" si="17"/>
        <v>0.11169123669123669</v>
      </c>
      <c r="N48" s="824">
        <f t="shared" si="17"/>
        <v>0.1347051597051597</v>
      </c>
      <c r="O48" s="824">
        <f t="shared" si="17"/>
        <v>0.15506756756756757</v>
      </c>
      <c r="P48" s="825">
        <f t="shared" si="17"/>
        <v>0.17997542997542998</v>
      </c>
      <c r="Q48" s="826">
        <f t="shared" si="17"/>
        <v>7.0710483210483205E-2</v>
      </c>
      <c r="R48" s="824">
        <f>R47/$W$24</f>
        <v>0.16998361998361999</v>
      </c>
      <c r="S48" s="824">
        <f t="shared" si="17"/>
        <v>0.28955773955773956</v>
      </c>
      <c r="T48" s="824">
        <f>T47/$W$24</f>
        <v>0.46974815724815727</v>
      </c>
      <c r="U48" s="831">
        <f>U47/$W$24</f>
        <v>0.2406941031941032</v>
      </c>
      <c r="V48" s="832">
        <f t="shared" si="17"/>
        <v>0.75930589680589677</v>
      </c>
      <c r="W48" s="790"/>
    </row>
    <row r="49" spans="1:23" ht="17.399999999999999" customHeight="1">
      <c r="A49" s="778"/>
      <c r="B49" s="753"/>
      <c r="C49" s="753"/>
      <c r="D49" s="797"/>
      <c r="E49" s="772"/>
      <c r="F49" s="751"/>
      <c r="G49" s="751"/>
      <c r="H49" s="751"/>
      <c r="I49" s="751"/>
      <c r="J49" s="751"/>
      <c r="K49" s="751"/>
      <c r="L49" s="751"/>
      <c r="M49" s="751"/>
      <c r="N49" s="751"/>
      <c r="O49" s="751"/>
      <c r="P49" s="775"/>
      <c r="Q49" s="764"/>
      <c r="R49" s="751"/>
      <c r="S49" s="751"/>
      <c r="T49" s="751"/>
      <c r="U49" s="751"/>
      <c r="V49" s="775"/>
      <c r="W49" s="790"/>
    </row>
    <row r="50" spans="1:23" ht="17.399999999999999" customHeight="1">
      <c r="A50" s="851"/>
      <c r="B50" s="851"/>
      <c r="C50" s="851"/>
      <c r="D50" s="851"/>
    </row>
    <row r="51" spans="1:23" ht="14.4" thickBot="1">
      <c r="Q51" s="846" t="s">
        <v>79</v>
      </c>
      <c r="R51" s="847" t="s">
        <v>80</v>
      </c>
      <c r="S51" s="847" t="s">
        <v>81</v>
      </c>
      <c r="T51" s="847" t="s">
        <v>82</v>
      </c>
      <c r="U51" s="847" t="s">
        <v>1097</v>
      </c>
      <c r="V51" s="848" t="s">
        <v>1098</v>
      </c>
      <c r="W51" s="849" t="s">
        <v>85</v>
      </c>
    </row>
    <row r="52" spans="1:23">
      <c r="C52" s="871" t="s">
        <v>98</v>
      </c>
      <c r="D52" s="872"/>
      <c r="E52" s="872">
        <v>0</v>
      </c>
      <c r="F52" s="872">
        <v>0</v>
      </c>
      <c r="G52" s="872">
        <v>1</v>
      </c>
      <c r="H52" s="872">
        <v>1</v>
      </c>
      <c r="I52" s="872">
        <v>2</v>
      </c>
      <c r="J52" s="872">
        <v>2</v>
      </c>
      <c r="K52" s="872">
        <v>3</v>
      </c>
      <c r="L52" s="872">
        <v>4</v>
      </c>
      <c r="M52" s="872">
        <v>4</v>
      </c>
      <c r="N52" s="872">
        <v>5</v>
      </c>
      <c r="O52" s="872">
        <v>5</v>
      </c>
      <c r="P52" s="872">
        <v>6</v>
      </c>
      <c r="Q52" s="872"/>
      <c r="R52" s="872"/>
      <c r="S52" s="872"/>
      <c r="T52" s="872"/>
      <c r="U52" s="872"/>
      <c r="V52" s="872"/>
      <c r="W52" s="873"/>
    </row>
    <row r="53" spans="1:23">
      <c r="C53" s="874" t="s">
        <v>136</v>
      </c>
      <c r="E53">
        <v>2</v>
      </c>
      <c r="F53">
        <v>3</v>
      </c>
      <c r="G53">
        <v>5</v>
      </c>
      <c r="H53">
        <v>6</v>
      </c>
      <c r="I53">
        <v>8</v>
      </c>
      <c r="J53">
        <v>9</v>
      </c>
      <c r="K53">
        <v>11</v>
      </c>
      <c r="L53">
        <v>12</v>
      </c>
      <c r="M53">
        <v>15</v>
      </c>
      <c r="N53">
        <v>18</v>
      </c>
      <c r="O53">
        <v>22</v>
      </c>
      <c r="P53">
        <v>23</v>
      </c>
      <c r="W53" s="875"/>
    </row>
    <row r="54" spans="1:23">
      <c r="C54" s="874" t="s">
        <v>1178</v>
      </c>
      <c r="E54">
        <v>25</v>
      </c>
      <c r="F54">
        <v>35</v>
      </c>
      <c r="G54">
        <v>40</v>
      </c>
      <c r="H54">
        <v>46</v>
      </c>
      <c r="I54">
        <v>52</v>
      </c>
      <c r="J54">
        <v>60</v>
      </c>
      <c r="K54">
        <v>75</v>
      </c>
      <c r="L54">
        <v>85</v>
      </c>
      <c r="M54">
        <v>100</v>
      </c>
      <c r="N54">
        <v>120</v>
      </c>
      <c r="O54">
        <v>150</v>
      </c>
      <c r="P54">
        <v>180</v>
      </c>
      <c r="Q54" s="850" t="s">
        <v>79</v>
      </c>
      <c r="R54" s="850" t="s">
        <v>80</v>
      </c>
      <c r="S54" s="850" t="s">
        <v>81</v>
      </c>
      <c r="T54" s="850" t="s">
        <v>82</v>
      </c>
      <c r="U54" s="850" t="s">
        <v>1097</v>
      </c>
      <c r="V54" s="850" t="s">
        <v>1098</v>
      </c>
      <c r="W54" s="876" t="s">
        <v>85</v>
      </c>
    </row>
    <row r="55" spans="1:23" s="105" customFormat="1" ht="19.2" customHeight="1">
      <c r="C55" s="877" t="s">
        <v>1179</v>
      </c>
      <c r="E55" s="183">
        <v>409090.90909090912</v>
      </c>
      <c r="F55" s="183">
        <v>818181.81818181823</v>
      </c>
      <c r="G55" s="183">
        <v>1472727.2727272727</v>
      </c>
      <c r="H55" s="183">
        <v>1472727.2727272727</v>
      </c>
      <c r="I55" s="183">
        <v>1227272.7272727273</v>
      </c>
      <c r="J55" s="183">
        <v>981818.18181818188</v>
      </c>
      <c r="K55" s="183">
        <v>1227272.7272727273</v>
      </c>
      <c r="L55" s="183">
        <v>2454545.4545454546</v>
      </c>
      <c r="M55" s="183">
        <v>1636363.6363636365</v>
      </c>
      <c r="N55" s="183">
        <v>2454545.4545454546</v>
      </c>
      <c r="O55" s="183">
        <v>2045454.5454545456</v>
      </c>
      <c r="P55" s="183">
        <v>1800000</v>
      </c>
      <c r="Q55" s="183">
        <f>SUM(E55:G55)</f>
        <v>2700000</v>
      </c>
      <c r="R55" s="183">
        <f>SUM(H55:J55)</f>
        <v>3681818.1818181816</v>
      </c>
      <c r="S55" s="183">
        <f>SUM(K55:M55)</f>
        <v>5318181.8181818184</v>
      </c>
      <c r="T55" s="183">
        <f>SUM(N55:P55)</f>
        <v>6300000</v>
      </c>
      <c r="U55" s="183">
        <f>SUM(Q55:R55)</f>
        <v>6381818.1818181816</v>
      </c>
      <c r="V55" s="183">
        <f>SUM(S55:T55)</f>
        <v>11618181.818181818</v>
      </c>
      <c r="W55" s="895">
        <f>U55+V55</f>
        <v>18000000</v>
      </c>
    </row>
    <row r="56" spans="1:23">
      <c r="C56" s="892"/>
      <c r="D56" s="887"/>
      <c r="E56" s="887"/>
      <c r="F56" s="887"/>
      <c r="G56" s="887"/>
      <c r="H56" s="887"/>
      <c r="I56" s="887"/>
      <c r="J56" s="887"/>
      <c r="K56" s="887"/>
      <c r="L56" s="887"/>
      <c r="M56" s="887"/>
      <c r="N56" s="887"/>
      <c r="O56" s="887"/>
      <c r="P56" s="887"/>
      <c r="Q56" s="887"/>
      <c r="R56" s="887"/>
      <c r="S56" s="887"/>
      <c r="T56" s="887"/>
      <c r="U56" s="887"/>
      <c r="V56" s="887"/>
      <c r="W56" s="893"/>
    </row>
    <row r="57" spans="1:23">
      <c r="C57" s="890" t="s">
        <v>1177</v>
      </c>
      <c r="D57" s="869">
        <v>1500</v>
      </c>
      <c r="E57" s="869">
        <v>2</v>
      </c>
      <c r="F57" s="869">
        <v>2</v>
      </c>
      <c r="G57" s="869">
        <v>4</v>
      </c>
      <c r="H57" s="869">
        <v>4</v>
      </c>
      <c r="I57" s="869">
        <v>4</v>
      </c>
      <c r="J57" s="869">
        <v>4</v>
      </c>
      <c r="K57" s="869">
        <v>4</v>
      </c>
      <c r="L57" s="869">
        <v>4</v>
      </c>
      <c r="M57" s="869">
        <v>4</v>
      </c>
      <c r="N57" s="869">
        <v>4</v>
      </c>
      <c r="O57" s="869">
        <v>4</v>
      </c>
      <c r="P57" s="869">
        <v>4</v>
      </c>
      <c r="Q57" s="869"/>
      <c r="R57" s="869"/>
      <c r="S57" s="869"/>
      <c r="T57" s="869"/>
      <c r="U57" s="869"/>
      <c r="V57" s="869"/>
      <c r="W57" s="891"/>
    </row>
    <row r="58" spans="1:23">
      <c r="C58" s="874"/>
      <c r="D58" t="s">
        <v>1178</v>
      </c>
      <c r="E58" s="6">
        <f t="shared" ref="E58:P58" si="18">E57*E54*$D$57</f>
        <v>75000</v>
      </c>
      <c r="F58" s="6">
        <f t="shared" si="18"/>
        <v>105000</v>
      </c>
      <c r="G58" s="6">
        <f t="shared" si="18"/>
        <v>240000</v>
      </c>
      <c r="H58" s="6">
        <f t="shared" si="18"/>
        <v>276000</v>
      </c>
      <c r="I58" s="6">
        <f t="shared" si="18"/>
        <v>312000</v>
      </c>
      <c r="J58" s="6">
        <f t="shared" si="18"/>
        <v>360000</v>
      </c>
      <c r="K58" s="6">
        <f t="shared" si="18"/>
        <v>450000</v>
      </c>
      <c r="L58" s="6">
        <f t="shared" si="18"/>
        <v>510000</v>
      </c>
      <c r="M58" s="6">
        <f t="shared" si="18"/>
        <v>600000</v>
      </c>
      <c r="N58" s="6">
        <f t="shared" si="18"/>
        <v>720000</v>
      </c>
      <c r="O58" s="6">
        <f t="shared" si="18"/>
        <v>900000</v>
      </c>
      <c r="P58" s="6">
        <f t="shared" si="18"/>
        <v>1080000</v>
      </c>
      <c r="Q58" s="6">
        <f>SUM(E58:G58)</f>
        <v>420000</v>
      </c>
      <c r="R58" s="6">
        <f>SUM(H58:J58)</f>
        <v>948000</v>
      </c>
      <c r="S58" s="6">
        <f>SUM(K58:M58)</f>
        <v>1560000</v>
      </c>
      <c r="T58" s="6">
        <f>SUM(N58:P58)</f>
        <v>2700000</v>
      </c>
      <c r="U58" s="6">
        <f>SUM(Q58:R58)</f>
        <v>1368000</v>
      </c>
      <c r="V58" s="6">
        <f>SUM(S58:T58)</f>
        <v>4260000</v>
      </c>
      <c r="W58" s="878">
        <f>U58+V58</f>
        <v>5628000</v>
      </c>
    </row>
    <row r="59" spans="1:23">
      <c r="C59" s="874"/>
      <c r="D59" t="s">
        <v>136</v>
      </c>
      <c r="E59" s="6">
        <f t="shared" ref="E59:P59" si="19">2*E53*$D$57</f>
        <v>6000</v>
      </c>
      <c r="F59" s="6">
        <f t="shared" si="19"/>
        <v>9000</v>
      </c>
      <c r="G59" s="6">
        <f t="shared" si="19"/>
        <v>15000</v>
      </c>
      <c r="H59" s="6">
        <f t="shared" si="19"/>
        <v>18000</v>
      </c>
      <c r="I59" s="6">
        <f t="shared" si="19"/>
        <v>24000</v>
      </c>
      <c r="J59" s="6">
        <f t="shared" si="19"/>
        <v>27000</v>
      </c>
      <c r="K59" s="6">
        <f t="shared" si="19"/>
        <v>33000</v>
      </c>
      <c r="L59" s="6">
        <f t="shared" si="19"/>
        <v>36000</v>
      </c>
      <c r="M59" s="6">
        <f t="shared" si="19"/>
        <v>45000</v>
      </c>
      <c r="N59" s="6">
        <f t="shared" si="19"/>
        <v>54000</v>
      </c>
      <c r="O59" s="6">
        <f t="shared" si="19"/>
        <v>66000</v>
      </c>
      <c r="P59" s="6">
        <f t="shared" si="19"/>
        <v>69000</v>
      </c>
      <c r="Q59" s="6">
        <f>SUM(E59:G59)</f>
        <v>30000</v>
      </c>
      <c r="R59" s="6">
        <f>SUM(H59:J59)</f>
        <v>69000</v>
      </c>
      <c r="S59" s="6">
        <f>SUM(K59:M59)</f>
        <v>114000</v>
      </c>
      <c r="T59" s="6">
        <f>SUM(N59:P59)</f>
        <v>189000</v>
      </c>
      <c r="U59" s="6">
        <f>SUM(Q59:R59)</f>
        <v>99000</v>
      </c>
      <c r="V59" s="6">
        <f>SUM(S59:T59)</f>
        <v>303000</v>
      </c>
      <c r="W59" s="878">
        <f>U59+V59</f>
        <v>402000</v>
      </c>
    </row>
    <row r="60" spans="1:23">
      <c r="C60" s="874"/>
      <c r="D60" t="s">
        <v>98</v>
      </c>
      <c r="E60" s="6">
        <f t="shared" ref="E60:P60" si="20">2*E52*$D$57</f>
        <v>0</v>
      </c>
      <c r="F60" s="6">
        <f t="shared" si="20"/>
        <v>0</v>
      </c>
      <c r="G60" s="6">
        <f t="shared" si="20"/>
        <v>3000</v>
      </c>
      <c r="H60" s="6">
        <f t="shared" si="20"/>
        <v>3000</v>
      </c>
      <c r="I60" s="6">
        <f t="shared" si="20"/>
        <v>6000</v>
      </c>
      <c r="J60" s="6">
        <f t="shared" si="20"/>
        <v>6000</v>
      </c>
      <c r="K60" s="6">
        <f t="shared" si="20"/>
        <v>9000</v>
      </c>
      <c r="L60" s="6">
        <f t="shared" si="20"/>
        <v>12000</v>
      </c>
      <c r="M60" s="6">
        <f t="shared" si="20"/>
        <v>12000</v>
      </c>
      <c r="N60" s="6">
        <f t="shared" si="20"/>
        <v>15000</v>
      </c>
      <c r="O60" s="6">
        <f t="shared" si="20"/>
        <v>15000</v>
      </c>
      <c r="P60" s="6">
        <f t="shared" si="20"/>
        <v>18000</v>
      </c>
      <c r="Q60" s="6">
        <f>SUM(E60:G60)</f>
        <v>3000</v>
      </c>
      <c r="R60" s="6">
        <f>SUM(H60:J60)</f>
        <v>15000</v>
      </c>
      <c r="S60" s="6">
        <f>SUM(K60:M60)</f>
        <v>33000</v>
      </c>
      <c r="T60" s="6">
        <f>SUM(N60:P60)</f>
        <v>48000</v>
      </c>
      <c r="U60" s="6">
        <f>SUM(Q60:R60)</f>
        <v>18000</v>
      </c>
      <c r="V60" s="6">
        <f>SUM(S60:T60)</f>
        <v>81000</v>
      </c>
      <c r="W60" s="878">
        <f>U60+V60</f>
        <v>99000</v>
      </c>
    </row>
    <row r="61" spans="1:23" s="852" customFormat="1">
      <c r="C61" s="880"/>
      <c r="D61" s="855" t="s">
        <v>78</v>
      </c>
      <c r="E61" s="856">
        <f>SUM(E58:E60)</f>
        <v>81000</v>
      </c>
      <c r="F61" s="856">
        <f t="shared" ref="F61:V61" si="21">SUM(F58:F60)</f>
        <v>114000</v>
      </c>
      <c r="G61" s="856">
        <f t="shared" si="21"/>
        <v>258000</v>
      </c>
      <c r="H61" s="856">
        <f t="shared" si="21"/>
        <v>297000</v>
      </c>
      <c r="I61" s="856">
        <f t="shared" si="21"/>
        <v>342000</v>
      </c>
      <c r="J61" s="856">
        <f t="shared" si="21"/>
        <v>393000</v>
      </c>
      <c r="K61" s="856">
        <f t="shared" si="21"/>
        <v>492000</v>
      </c>
      <c r="L61" s="856">
        <f t="shared" si="21"/>
        <v>558000</v>
      </c>
      <c r="M61" s="856">
        <f t="shared" si="21"/>
        <v>657000</v>
      </c>
      <c r="N61" s="856">
        <f t="shared" si="21"/>
        <v>789000</v>
      </c>
      <c r="O61" s="856">
        <f t="shared" si="21"/>
        <v>981000</v>
      </c>
      <c r="P61" s="856">
        <f t="shared" si="21"/>
        <v>1167000</v>
      </c>
      <c r="Q61" s="856">
        <f t="shared" si="21"/>
        <v>453000</v>
      </c>
      <c r="R61" s="856">
        <f t="shared" si="21"/>
        <v>1032000</v>
      </c>
      <c r="S61" s="856">
        <f t="shared" si="21"/>
        <v>1707000</v>
      </c>
      <c r="T61" s="856">
        <f t="shared" si="21"/>
        <v>2937000</v>
      </c>
      <c r="U61" s="856">
        <f t="shared" si="21"/>
        <v>1485000</v>
      </c>
      <c r="V61" s="856">
        <f t="shared" si="21"/>
        <v>4644000</v>
      </c>
      <c r="W61" s="881">
        <f>SUM(W58:W60)</f>
        <v>6129000</v>
      </c>
    </row>
    <row r="62" spans="1:23">
      <c r="C62" s="894"/>
      <c r="D62" s="887"/>
      <c r="E62" s="888"/>
      <c r="F62" s="888"/>
      <c r="G62" s="888"/>
      <c r="H62" s="888"/>
      <c r="I62" s="888"/>
      <c r="J62" s="888"/>
      <c r="K62" s="888"/>
      <c r="L62" s="888"/>
      <c r="M62" s="888"/>
      <c r="N62" s="888"/>
      <c r="O62" s="888"/>
      <c r="P62" s="888"/>
      <c r="Q62" s="888"/>
      <c r="R62" s="888"/>
      <c r="S62" s="888"/>
      <c r="T62" s="888"/>
      <c r="U62" s="888"/>
      <c r="V62" s="888"/>
      <c r="W62" s="889"/>
    </row>
    <row r="63" spans="1:23">
      <c r="C63" s="890" t="s">
        <v>1182</v>
      </c>
      <c r="D63" s="869">
        <v>5000</v>
      </c>
      <c r="E63" s="870">
        <v>2</v>
      </c>
      <c r="F63" s="870">
        <v>2</v>
      </c>
      <c r="G63" s="870">
        <v>2</v>
      </c>
      <c r="H63" s="870">
        <v>2</v>
      </c>
      <c r="I63" s="870">
        <v>2</v>
      </c>
      <c r="J63" s="870">
        <v>2</v>
      </c>
      <c r="K63" s="870">
        <v>2</v>
      </c>
      <c r="L63" s="870">
        <v>2</v>
      </c>
      <c r="M63" s="870">
        <v>2</v>
      </c>
      <c r="N63" s="870">
        <v>2</v>
      </c>
      <c r="O63" s="870">
        <v>2</v>
      </c>
      <c r="P63" s="870">
        <v>2</v>
      </c>
      <c r="Q63" s="869"/>
      <c r="R63" s="869"/>
      <c r="S63" s="869"/>
      <c r="T63" s="869"/>
      <c r="U63" s="869"/>
      <c r="V63" s="869"/>
      <c r="W63" s="891"/>
    </row>
    <row r="64" spans="1:23">
      <c r="C64" s="874"/>
      <c r="D64" t="s">
        <v>1178</v>
      </c>
      <c r="E64" s="6">
        <f t="shared" ref="E64:P64" si="22">E63*E54*$D$63</f>
        <v>250000</v>
      </c>
      <c r="F64" s="6">
        <f t="shared" si="22"/>
        <v>350000</v>
      </c>
      <c r="G64" s="6">
        <f t="shared" si="22"/>
        <v>400000</v>
      </c>
      <c r="H64" s="6">
        <f t="shared" si="22"/>
        <v>460000</v>
      </c>
      <c r="I64" s="6">
        <f t="shared" si="22"/>
        <v>520000</v>
      </c>
      <c r="J64" s="6">
        <f t="shared" si="22"/>
        <v>600000</v>
      </c>
      <c r="K64" s="6">
        <f t="shared" si="22"/>
        <v>750000</v>
      </c>
      <c r="L64" s="6">
        <f t="shared" si="22"/>
        <v>850000</v>
      </c>
      <c r="M64" s="6">
        <f t="shared" si="22"/>
        <v>1000000</v>
      </c>
      <c r="N64" s="6">
        <f t="shared" si="22"/>
        <v>1200000</v>
      </c>
      <c r="O64" s="6">
        <f t="shared" si="22"/>
        <v>1500000</v>
      </c>
      <c r="P64" s="6">
        <f t="shared" si="22"/>
        <v>1800000</v>
      </c>
      <c r="Q64" s="6">
        <f>SUM(E64:G64)</f>
        <v>1000000</v>
      </c>
      <c r="R64" s="6">
        <f>SUM(H64:J64)</f>
        <v>1580000</v>
      </c>
      <c r="S64" s="6">
        <f>SUM(K64:M64)</f>
        <v>2600000</v>
      </c>
      <c r="T64" s="6">
        <f>SUM(N64:P64)</f>
        <v>4500000</v>
      </c>
      <c r="U64" s="6">
        <f>SUM(Q64:R64)</f>
        <v>2580000</v>
      </c>
      <c r="V64" s="6">
        <f>SUM(S64:T64)</f>
        <v>7100000</v>
      </c>
      <c r="W64" s="878">
        <f>U64+V64</f>
        <v>9680000</v>
      </c>
    </row>
    <row r="65" spans="3:24">
      <c r="C65" s="874"/>
      <c r="D65" t="s">
        <v>136</v>
      </c>
      <c r="E65" s="6">
        <f>1*E53*$D$63</f>
        <v>10000</v>
      </c>
      <c r="F65" s="6">
        <f>1*F53*$D$63</f>
        <v>15000</v>
      </c>
      <c r="G65" s="6">
        <f t="shared" ref="G65:P65" si="23">1*G53*$D$63</f>
        <v>25000</v>
      </c>
      <c r="H65" s="6">
        <f t="shared" si="23"/>
        <v>30000</v>
      </c>
      <c r="I65" s="6">
        <f t="shared" si="23"/>
        <v>40000</v>
      </c>
      <c r="J65" s="6">
        <f t="shared" si="23"/>
        <v>45000</v>
      </c>
      <c r="K65" s="6">
        <f t="shared" si="23"/>
        <v>55000</v>
      </c>
      <c r="L65" s="6">
        <f t="shared" si="23"/>
        <v>60000</v>
      </c>
      <c r="M65" s="6">
        <f t="shared" si="23"/>
        <v>75000</v>
      </c>
      <c r="N65" s="6">
        <f t="shared" si="23"/>
        <v>90000</v>
      </c>
      <c r="O65" s="6">
        <f t="shared" si="23"/>
        <v>110000</v>
      </c>
      <c r="P65" s="6">
        <f t="shared" si="23"/>
        <v>115000</v>
      </c>
      <c r="Q65" s="6">
        <f>SUM(E65:G65)</f>
        <v>50000</v>
      </c>
      <c r="R65" s="6">
        <f>SUM(H65:J65)</f>
        <v>115000</v>
      </c>
      <c r="S65" s="6">
        <f>SUM(K65:M65)</f>
        <v>190000</v>
      </c>
      <c r="T65" s="6">
        <f>SUM(N65:P65)</f>
        <v>315000</v>
      </c>
      <c r="U65" s="6">
        <f>SUM(Q65:R65)</f>
        <v>165000</v>
      </c>
      <c r="V65" s="6">
        <f>SUM(S65:T65)</f>
        <v>505000</v>
      </c>
      <c r="W65" s="878">
        <f t="shared" ref="W65" si="24">U65+V65</f>
        <v>670000</v>
      </c>
    </row>
    <row r="66" spans="3:24" s="852" customFormat="1">
      <c r="C66" s="880"/>
      <c r="D66" s="855" t="s">
        <v>78</v>
      </c>
      <c r="E66" s="856">
        <f>SUM(E64:E65)</f>
        <v>260000</v>
      </c>
      <c r="F66" s="856">
        <f t="shared" ref="F66:V66" si="25">SUM(F64:F65)</f>
        <v>365000</v>
      </c>
      <c r="G66" s="856">
        <f t="shared" si="25"/>
        <v>425000</v>
      </c>
      <c r="H66" s="856">
        <f t="shared" si="25"/>
        <v>490000</v>
      </c>
      <c r="I66" s="856">
        <f t="shared" si="25"/>
        <v>560000</v>
      </c>
      <c r="J66" s="856">
        <f t="shared" si="25"/>
        <v>645000</v>
      </c>
      <c r="K66" s="856">
        <f t="shared" si="25"/>
        <v>805000</v>
      </c>
      <c r="L66" s="856">
        <f t="shared" si="25"/>
        <v>910000</v>
      </c>
      <c r="M66" s="856">
        <f t="shared" si="25"/>
        <v>1075000</v>
      </c>
      <c r="N66" s="856">
        <f t="shared" si="25"/>
        <v>1290000</v>
      </c>
      <c r="O66" s="856">
        <f t="shared" si="25"/>
        <v>1610000</v>
      </c>
      <c r="P66" s="856">
        <f t="shared" si="25"/>
        <v>1915000</v>
      </c>
      <c r="Q66" s="856">
        <f t="shared" si="25"/>
        <v>1050000</v>
      </c>
      <c r="R66" s="856">
        <f t="shared" si="25"/>
        <v>1695000</v>
      </c>
      <c r="S66" s="856">
        <f t="shared" si="25"/>
        <v>2790000</v>
      </c>
      <c r="T66" s="856">
        <f t="shared" si="25"/>
        <v>4815000</v>
      </c>
      <c r="U66" s="856">
        <f t="shared" si="25"/>
        <v>2745000</v>
      </c>
      <c r="V66" s="856">
        <f t="shared" si="25"/>
        <v>7605000</v>
      </c>
      <c r="W66" s="881">
        <f>SUM(W64:W65)</f>
        <v>10350000</v>
      </c>
    </row>
    <row r="67" spans="3:24">
      <c r="C67" s="894"/>
      <c r="D67" s="887"/>
      <c r="E67" s="887"/>
      <c r="F67" s="887"/>
      <c r="G67" s="887"/>
      <c r="H67" s="887"/>
      <c r="I67" s="887"/>
      <c r="J67" s="887"/>
      <c r="K67" s="887"/>
      <c r="L67" s="887"/>
      <c r="M67" s="887"/>
      <c r="N67" s="887"/>
      <c r="O67" s="887"/>
      <c r="P67" s="887"/>
      <c r="Q67" s="887"/>
      <c r="R67" s="887"/>
      <c r="S67" s="887"/>
      <c r="T67" s="887"/>
      <c r="U67" s="887"/>
      <c r="V67" s="887"/>
      <c r="W67" s="889"/>
    </row>
    <row r="68" spans="3:24" s="852" customFormat="1">
      <c r="C68" s="879" t="s">
        <v>1186</v>
      </c>
      <c r="E68" s="852">
        <v>0</v>
      </c>
      <c r="F68" s="857">
        <v>200000</v>
      </c>
      <c r="G68" s="857">
        <v>250000</v>
      </c>
      <c r="H68" s="857">
        <v>150000</v>
      </c>
      <c r="I68" s="857">
        <v>150000</v>
      </c>
      <c r="J68" s="857">
        <v>150000</v>
      </c>
      <c r="K68" s="857">
        <v>120000</v>
      </c>
      <c r="L68" s="857">
        <v>120000</v>
      </c>
      <c r="M68" s="857">
        <v>120000</v>
      </c>
      <c r="N68" s="857">
        <v>100000</v>
      </c>
      <c r="O68" s="857">
        <v>100000</v>
      </c>
      <c r="P68" s="857">
        <v>61000</v>
      </c>
      <c r="Q68" s="856">
        <f>SUM(E68:G68)</f>
        <v>450000</v>
      </c>
      <c r="R68" s="856">
        <f>SUM(H68:J68)</f>
        <v>450000</v>
      </c>
      <c r="S68" s="856">
        <f>SUM(K68:M68)</f>
        <v>360000</v>
      </c>
      <c r="T68" s="856">
        <f>SUM(N68:P68)</f>
        <v>261000</v>
      </c>
      <c r="U68" s="856">
        <f>SUM(Q68:R68)</f>
        <v>900000</v>
      </c>
      <c r="V68" s="856">
        <f>SUM(S68:T68)</f>
        <v>621000</v>
      </c>
      <c r="W68" s="881">
        <f t="shared" ref="W68" si="26">U68+V68</f>
        <v>1521000</v>
      </c>
    </row>
    <row r="69" spans="3:24" s="852" customFormat="1" ht="16.2" customHeight="1" thickBot="1">
      <c r="C69" s="882"/>
      <c r="D69" s="883"/>
      <c r="E69" s="883"/>
      <c r="F69" s="884"/>
      <c r="G69" s="884"/>
      <c r="H69" s="884"/>
      <c r="I69" s="884"/>
      <c r="J69" s="884"/>
      <c r="K69" s="884"/>
      <c r="L69" s="884"/>
      <c r="M69" s="884"/>
      <c r="N69" s="884"/>
      <c r="O69" s="884"/>
      <c r="P69" s="884"/>
      <c r="Q69" s="885"/>
      <c r="R69" s="885"/>
      <c r="S69" s="885"/>
      <c r="T69" s="885"/>
      <c r="U69" s="885"/>
      <c r="V69" s="885"/>
      <c r="W69" s="886"/>
    </row>
    <row r="70" spans="3:24" ht="14.4" thickBot="1">
      <c r="W70" s="183"/>
      <c r="X70" s="6"/>
    </row>
    <row r="71" spans="3:24" s="853" customFormat="1">
      <c r="C71" s="867" t="s">
        <v>1180</v>
      </c>
      <c r="D71" s="862" t="s">
        <v>78</v>
      </c>
      <c r="E71" s="863">
        <f t="shared" ref="E71:V71" si="27">SUM(E61+E66+E68)</f>
        <v>341000</v>
      </c>
      <c r="F71" s="863">
        <f t="shared" si="27"/>
        <v>679000</v>
      </c>
      <c r="G71" s="863">
        <f t="shared" si="27"/>
        <v>933000</v>
      </c>
      <c r="H71" s="863">
        <f t="shared" si="27"/>
        <v>937000</v>
      </c>
      <c r="I71" s="863">
        <f t="shared" si="27"/>
        <v>1052000</v>
      </c>
      <c r="J71" s="863">
        <f t="shared" si="27"/>
        <v>1188000</v>
      </c>
      <c r="K71" s="863">
        <f t="shared" si="27"/>
        <v>1417000</v>
      </c>
      <c r="L71" s="863">
        <f t="shared" si="27"/>
        <v>1588000</v>
      </c>
      <c r="M71" s="863">
        <f t="shared" si="27"/>
        <v>1852000</v>
      </c>
      <c r="N71" s="863">
        <f t="shared" si="27"/>
        <v>2179000</v>
      </c>
      <c r="O71" s="863">
        <f t="shared" si="27"/>
        <v>2691000</v>
      </c>
      <c r="P71" s="863">
        <f>SUM(P61+P66+P68)</f>
        <v>3143000</v>
      </c>
      <c r="Q71" s="863">
        <f t="shared" si="27"/>
        <v>1953000</v>
      </c>
      <c r="R71" s="863">
        <f t="shared" si="27"/>
        <v>3177000</v>
      </c>
      <c r="S71" s="863">
        <f t="shared" si="27"/>
        <v>4857000</v>
      </c>
      <c r="T71" s="863">
        <f t="shared" si="27"/>
        <v>8013000</v>
      </c>
      <c r="U71" s="863">
        <f t="shared" si="27"/>
        <v>5130000</v>
      </c>
      <c r="V71" s="863">
        <f t="shared" si="27"/>
        <v>12870000</v>
      </c>
      <c r="W71" s="864">
        <f>SUM(W61+W66+W68)</f>
        <v>18000000</v>
      </c>
    </row>
    <row r="72" spans="3:24">
      <c r="C72" s="866"/>
      <c r="W72" s="854"/>
    </row>
    <row r="73" spans="3:24">
      <c r="C73" s="866" t="s">
        <v>1185</v>
      </c>
      <c r="D73" s="855" t="s">
        <v>1076</v>
      </c>
      <c r="E73" s="856">
        <f>E61</f>
        <v>81000</v>
      </c>
      <c r="F73" s="856">
        <f t="shared" ref="F73:W73" si="28">F61</f>
        <v>114000</v>
      </c>
      <c r="G73" s="856">
        <f t="shared" si="28"/>
        <v>258000</v>
      </c>
      <c r="H73" s="856">
        <f t="shared" si="28"/>
        <v>297000</v>
      </c>
      <c r="I73" s="856">
        <f t="shared" si="28"/>
        <v>342000</v>
      </c>
      <c r="J73" s="856">
        <f t="shared" si="28"/>
        <v>393000</v>
      </c>
      <c r="K73" s="856">
        <f t="shared" si="28"/>
        <v>492000</v>
      </c>
      <c r="L73" s="856">
        <f t="shared" si="28"/>
        <v>558000</v>
      </c>
      <c r="M73" s="856">
        <f t="shared" si="28"/>
        <v>657000</v>
      </c>
      <c r="N73" s="856">
        <f t="shared" si="28"/>
        <v>789000</v>
      </c>
      <c r="O73" s="856">
        <f t="shared" si="28"/>
        <v>981000</v>
      </c>
      <c r="P73" s="856">
        <f t="shared" si="28"/>
        <v>1167000</v>
      </c>
      <c r="Q73" s="856">
        <f t="shared" si="28"/>
        <v>453000</v>
      </c>
      <c r="R73" s="856">
        <f t="shared" si="28"/>
        <v>1032000</v>
      </c>
      <c r="S73" s="856">
        <f t="shared" si="28"/>
        <v>1707000</v>
      </c>
      <c r="T73" s="856">
        <f t="shared" si="28"/>
        <v>2937000</v>
      </c>
      <c r="U73" s="856">
        <f t="shared" si="28"/>
        <v>1485000</v>
      </c>
      <c r="V73" s="856">
        <f t="shared" si="28"/>
        <v>4644000</v>
      </c>
      <c r="W73" s="865">
        <f t="shared" si="28"/>
        <v>6129000</v>
      </c>
    </row>
    <row r="74" spans="3:24">
      <c r="C74" s="866"/>
      <c r="D74" s="852" t="s">
        <v>856</v>
      </c>
      <c r="E74" s="896">
        <f>E73/E71</f>
        <v>0.23753665689149561</v>
      </c>
      <c r="F74" s="896">
        <f t="shared" ref="F74:W74" si="29">F73/F71</f>
        <v>0.16789396170839468</v>
      </c>
      <c r="G74" s="896">
        <f t="shared" si="29"/>
        <v>0.27652733118971062</v>
      </c>
      <c r="H74" s="896">
        <f t="shared" si="29"/>
        <v>0.31696905016008536</v>
      </c>
      <c r="I74" s="896">
        <f t="shared" si="29"/>
        <v>0.32509505703422054</v>
      </c>
      <c r="J74" s="896">
        <f t="shared" si="29"/>
        <v>0.33080808080808083</v>
      </c>
      <c r="K74" s="896">
        <f t="shared" si="29"/>
        <v>0.34721242060691604</v>
      </c>
      <c r="L74" s="896">
        <f t="shared" si="29"/>
        <v>0.3513853904282116</v>
      </c>
      <c r="M74" s="896">
        <f t="shared" si="29"/>
        <v>0.35475161987041037</v>
      </c>
      <c r="N74" s="896">
        <f t="shared" si="29"/>
        <v>0.36209270307480496</v>
      </c>
      <c r="O74" s="896">
        <f t="shared" si="29"/>
        <v>0.36454849498327757</v>
      </c>
      <c r="P74" s="896">
        <f t="shared" si="29"/>
        <v>0.37130130448615972</v>
      </c>
      <c r="Q74" s="896">
        <f t="shared" si="29"/>
        <v>0.23195084485407066</v>
      </c>
      <c r="R74" s="896">
        <f t="shared" si="29"/>
        <v>0.32483474976392823</v>
      </c>
      <c r="S74" s="896">
        <f t="shared" si="29"/>
        <v>0.35145151327980234</v>
      </c>
      <c r="T74" s="896">
        <f t="shared" si="29"/>
        <v>0.36652938974166976</v>
      </c>
      <c r="U74" s="896">
        <f t="shared" si="29"/>
        <v>0.28947368421052633</v>
      </c>
      <c r="V74" s="896">
        <f t="shared" si="29"/>
        <v>0.36083916083916084</v>
      </c>
      <c r="W74" s="897">
        <f t="shared" si="29"/>
        <v>0.34050000000000002</v>
      </c>
    </row>
    <row r="75" spans="3:24">
      <c r="C75" s="866"/>
      <c r="D75" s="855" t="s">
        <v>1078</v>
      </c>
      <c r="E75" s="860">
        <f>E66+E68</f>
        <v>260000</v>
      </c>
      <c r="F75" s="860">
        <f t="shared" ref="F75:W75" si="30">F66+F68</f>
        <v>565000</v>
      </c>
      <c r="G75" s="860">
        <f t="shared" si="30"/>
        <v>675000</v>
      </c>
      <c r="H75" s="860">
        <f t="shared" si="30"/>
        <v>640000</v>
      </c>
      <c r="I75" s="860">
        <f t="shared" si="30"/>
        <v>710000</v>
      </c>
      <c r="J75" s="860">
        <f t="shared" si="30"/>
        <v>795000</v>
      </c>
      <c r="K75" s="860">
        <f t="shared" si="30"/>
        <v>925000</v>
      </c>
      <c r="L75" s="860">
        <f t="shared" si="30"/>
        <v>1030000</v>
      </c>
      <c r="M75" s="860">
        <f t="shared" si="30"/>
        <v>1195000</v>
      </c>
      <c r="N75" s="860">
        <f t="shared" si="30"/>
        <v>1390000</v>
      </c>
      <c r="O75" s="860">
        <f t="shared" si="30"/>
        <v>1710000</v>
      </c>
      <c r="P75" s="860">
        <f t="shared" si="30"/>
        <v>1976000</v>
      </c>
      <c r="Q75" s="860">
        <f t="shared" si="30"/>
        <v>1500000</v>
      </c>
      <c r="R75" s="860">
        <f t="shared" si="30"/>
        <v>2145000</v>
      </c>
      <c r="S75" s="860">
        <f t="shared" si="30"/>
        <v>3150000</v>
      </c>
      <c r="T75" s="860">
        <f t="shared" si="30"/>
        <v>5076000</v>
      </c>
      <c r="U75" s="860">
        <f t="shared" si="30"/>
        <v>3645000</v>
      </c>
      <c r="V75" s="860">
        <f t="shared" si="30"/>
        <v>8226000</v>
      </c>
      <c r="W75" s="861">
        <f t="shared" si="30"/>
        <v>11871000</v>
      </c>
    </row>
    <row r="76" spans="3:24">
      <c r="C76" s="866"/>
      <c r="D76" s="852" t="s">
        <v>856</v>
      </c>
      <c r="E76" s="896">
        <f>E75/E71</f>
        <v>0.76246334310850439</v>
      </c>
      <c r="F76" s="896">
        <f t="shared" ref="F76:W76" si="31">F75/F71</f>
        <v>0.83210603829160534</v>
      </c>
      <c r="G76" s="896">
        <f t="shared" si="31"/>
        <v>0.72347266881028938</v>
      </c>
      <c r="H76" s="896">
        <f t="shared" si="31"/>
        <v>0.68303094983991464</v>
      </c>
      <c r="I76" s="896">
        <f t="shared" si="31"/>
        <v>0.67490494296577952</v>
      </c>
      <c r="J76" s="896">
        <f t="shared" si="31"/>
        <v>0.66919191919191923</v>
      </c>
      <c r="K76" s="896">
        <f t="shared" si="31"/>
        <v>0.65278757939308396</v>
      </c>
      <c r="L76" s="896">
        <f t="shared" si="31"/>
        <v>0.6486146095717884</v>
      </c>
      <c r="M76" s="896">
        <f t="shared" si="31"/>
        <v>0.64524838012958963</v>
      </c>
      <c r="N76" s="896">
        <f t="shared" si="31"/>
        <v>0.63790729692519499</v>
      </c>
      <c r="O76" s="896">
        <f t="shared" si="31"/>
        <v>0.63545150501672243</v>
      </c>
      <c r="P76" s="896">
        <f t="shared" si="31"/>
        <v>0.62869869551384028</v>
      </c>
      <c r="Q76" s="896">
        <f t="shared" si="31"/>
        <v>0.76804915514592931</v>
      </c>
      <c r="R76" s="896">
        <f t="shared" si="31"/>
        <v>0.67516525023607177</v>
      </c>
      <c r="S76" s="896">
        <f t="shared" si="31"/>
        <v>0.6485484867201976</v>
      </c>
      <c r="T76" s="896">
        <f t="shared" si="31"/>
        <v>0.63347061025833018</v>
      </c>
      <c r="U76" s="896">
        <f t="shared" si="31"/>
        <v>0.71052631578947367</v>
      </c>
      <c r="V76" s="896">
        <f t="shared" si="31"/>
        <v>0.63916083916083921</v>
      </c>
      <c r="W76" s="897">
        <f t="shared" si="31"/>
        <v>0.65949999999999998</v>
      </c>
    </row>
    <row r="77" spans="3:24" ht="14.4" thickBot="1">
      <c r="C77" s="868"/>
      <c r="D77" s="858"/>
      <c r="E77" s="858"/>
      <c r="F77" s="858"/>
      <c r="G77" s="858"/>
      <c r="H77" s="858"/>
      <c r="I77" s="858"/>
      <c r="J77" s="858"/>
      <c r="K77" s="858"/>
      <c r="L77" s="858"/>
      <c r="M77" s="858"/>
      <c r="N77" s="858"/>
      <c r="O77" s="858"/>
      <c r="P77" s="858"/>
      <c r="Q77" s="858"/>
      <c r="R77" s="858"/>
      <c r="S77" s="858"/>
      <c r="T77" s="858"/>
      <c r="U77" s="858"/>
      <c r="V77" s="858"/>
      <c r="W77" s="859"/>
    </row>
    <row r="79" spans="3:24" ht="14.4" thickBot="1"/>
    <row r="80" spans="3:24" s="262" customFormat="1" ht="16.8" customHeight="1">
      <c r="C80" s="906"/>
      <c r="D80" s="907"/>
      <c r="E80" s="907"/>
      <c r="F80" s="907"/>
      <c r="G80" s="908" t="s">
        <v>79</v>
      </c>
      <c r="H80" s="909"/>
      <c r="I80" s="909"/>
      <c r="J80" s="908" t="s">
        <v>80</v>
      </c>
      <c r="K80" s="909"/>
      <c r="L80" s="909"/>
      <c r="M80" s="908" t="s">
        <v>81</v>
      </c>
      <c r="N80" s="909"/>
      <c r="O80" s="909"/>
      <c r="P80" s="908" t="s">
        <v>82</v>
      </c>
      <c r="Q80" s="907"/>
      <c r="R80" s="907"/>
      <c r="S80" s="907"/>
      <c r="T80" s="907"/>
      <c r="U80" s="907"/>
      <c r="V80" s="907"/>
      <c r="W80" s="910"/>
    </row>
    <row r="81" spans="3:23" s="105" customFormat="1" ht="15.6" customHeight="1">
      <c r="C81" s="901" t="s">
        <v>1183</v>
      </c>
      <c r="D81" s="105" t="s">
        <v>78</v>
      </c>
      <c r="G81" s="903">
        <f>SUM(E71:G71)</f>
        <v>1953000</v>
      </c>
      <c r="H81" s="904"/>
      <c r="I81" s="904"/>
      <c r="J81" s="903">
        <f>SUM(H71:J71)</f>
        <v>3177000</v>
      </c>
      <c r="K81" s="904"/>
      <c r="L81" s="904"/>
      <c r="M81" s="903">
        <f>SUM(K71:M71)</f>
        <v>4857000</v>
      </c>
      <c r="N81" s="904"/>
      <c r="O81" s="904"/>
      <c r="P81" s="903">
        <f>SUM(N71:P71)</f>
        <v>8013000</v>
      </c>
      <c r="W81" s="902">
        <f>SUM(G81:P81)</f>
        <v>18000000</v>
      </c>
    </row>
    <row r="82" spans="3:23" ht="15.6" customHeight="1">
      <c r="C82" s="898"/>
      <c r="D82" t="s">
        <v>1181</v>
      </c>
      <c r="G82" s="899">
        <f>G81/$W$71</f>
        <v>0.1085</v>
      </c>
      <c r="H82" s="549"/>
      <c r="I82" s="549"/>
      <c r="J82" s="899">
        <f>J81/$W$71</f>
        <v>0.17649999999999999</v>
      </c>
      <c r="K82" s="549"/>
      <c r="L82" s="549"/>
      <c r="M82" s="899">
        <f>M81/$W$71</f>
        <v>0.26983333333333331</v>
      </c>
      <c r="N82" s="549"/>
      <c r="O82" s="549"/>
      <c r="P82" s="899">
        <f>P81/$W$71</f>
        <v>0.44516666666666665</v>
      </c>
      <c r="W82" s="900">
        <f>SUM(G82:P82)</f>
        <v>1</v>
      </c>
    </row>
    <row r="83" spans="3:23" ht="15.6" customHeight="1">
      <c r="C83" s="898"/>
      <c r="W83" s="854"/>
    </row>
    <row r="84" spans="3:23" ht="15.6" customHeight="1">
      <c r="C84" s="901" t="s">
        <v>1187</v>
      </c>
      <c r="G84" s="6">
        <f>SUM(E61:G61)</f>
        <v>453000</v>
      </c>
      <c r="H84" s="115">
        <f>G84/$G$81</f>
        <v>0.23195084485407066</v>
      </c>
      <c r="J84" s="6">
        <f>SUM(H61:J61)</f>
        <v>1032000</v>
      </c>
      <c r="K84" s="115">
        <f>J84/$J$81</f>
        <v>0.32483474976392823</v>
      </c>
      <c r="M84" s="6">
        <f>SUM(K61:M61)</f>
        <v>1707000</v>
      </c>
      <c r="N84" s="115">
        <f>M84/$M$81</f>
        <v>0.35145151327980234</v>
      </c>
      <c r="P84" s="6">
        <f>SUM(N61:P61)</f>
        <v>2937000</v>
      </c>
      <c r="Q84" s="115">
        <f>P84/$P$81</f>
        <v>0.36652938974166976</v>
      </c>
      <c r="W84" s="902">
        <f>SUM(G84:P84)</f>
        <v>6129000.908237108</v>
      </c>
    </row>
    <row r="85" spans="3:23" ht="15.6" customHeight="1">
      <c r="C85" s="901" t="s">
        <v>1184</v>
      </c>
      <c r="G85" s="6">
        <f>SUM(E66:G66)</f>
        <v>1050000</v>
      </c>
      <c r="H85" s="115">
        <f t="shared" ref="H85:H86" si="32">G85/$G$81</f>
        <v>0.5376344086021505</v>
      </c>
      <c r="J85" s="6">
        <f>SUM(H66:J66)</f>
        <v>1695000</v>
      </c>
      <c r="K85" s="115">
        <f>J85/$J$81</f>
        <v>0.53352219074598684</v>
      </c>
      <c r="M85" s="6">
        <f>SUM(K66:M66)</f>
        <v>2790000</v>
      </c>
      <c r="N85" s="115">
        <f>M85/$M$81</f>
        <v>0.57442865966646073</v>
      </c>
      <c r="P85" s="6">
        <f>SUM(N66:P66)</f>
        <v>4815000</v>
      </c>
      <c r="Q85" s="115">
        <f t="shared" ref="Q85:Q86" si="33">P85/$P$81</f>
        <v>0.60089853987270681</v>
      </c>
      <c r="W85" s="902">
        <f>SUM(G85:P85)</f>
        <v>10350001.645585258</v>
      </c>
    </row>
    <row r="86" spans="3:23">
      <c r="C86" s="901" t="s">
        <v>1186</v>
      </c>
      <c r="G86" s="6">
        <f>SUM(E68:G68)</f>
        <v>450000</v>
      </c>
      <c r="H86" s="115">
        <f t="shared" si="32"/>
        <v>0.2304147465437788</v>
      </c>
      <c r="J86" s="6">
        <f>SUM(H68:J68)</f>
        <v>450000</v>
      </c>
      <c r="K86" s="115">
        <f t="shared" ref="K86" si="34">J86/$J$81</f>
        <v>0.14164305949008499</v>
      </c>
      <c r="M86" s="6">
        <f>SUM(K68:M68)</f>
        <v>360000</v>
      </c>
      <c r="N86" s="115">
        <f t="shared" ref="N86" si="35">M86/$M$81</f>
        <v>7.4119827053736875E-2</v>
      </c>
      <c r="P86" s="6">
        <f>SUM(N68:P68)</f>
        <v>261000</v>
      </c>
      <c r="Q86" s="115">
        <f t="shared" si="33"/>
        <v>3.2572070385623361E-2</v>
      </c>
      <c r="W86" s="902">
        <f>SUM(G86:P86)</f>
        <v>1521000.446177633</v>
      </c>
    </row>
    <row r="87" spans="3:23" ht="14.4" thickBot="1">
      <c r="C87" s="905"/>
      <c r="D87" s="858"/>
      <c r="E87" s="858"/>
      <c r="F87" s="858"/>
      <c r="G87" s="858"/>
      <c r="H87" s="858"/>
      <c r="I87" s="858"/>
      <c r="J87" s="858"/>
      <c r="K87" s="858"/>
      <c r="L87" s="858"/>
      <c r="M87" s="858"/>
      <c r="N87" s="858"/>
      <c r="O87" s="858"/>
      <c r="P87" s="858"/>
      <c r="Q87" s="858"/>
      <c r="R87" s="858"/>
      <c r="S87" s="858"/>
      <c r="T87" s="858"/>
      <c r="U87" s="858"/>
      <c r="V87" s="858"/>
      <c r="W87" s="859"/>
    </row>
  </sheetData>
  <mergeCells count="1">
    <mergeCell ref="B34:D34"/>
  </mergeCells>
  <phoneticPr fontId="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F214D-9FEB-4A92-A3B0-B33DE0F1377A}">
  <sheetPr>
    <tabColor rgb="FFC00000"/>
  </sheetPr>
  <dimension ref="A5:T57"/>
  <sheetViews>
    <sheetView zoomScale="85" zoomScaleNormal="85" workbookViewId="0">
      <selection activeCell="E65" sqref="E65"/>
    </sheetView>
  </sheetViews>
  <sheetFormatPr defaultRowHeight="13.8"/>
  <cols>
    <col min="1" max="1" width="15" customWidth="1"/>
    <col min="3" max="3" width="9.44140625" bestFit="1" customWidth="1"/>
    <col min="4" max="4" width="13.77734375" bestFit="1" customWidth="1"/>
    <col min="5" max="7" width="12.77734375" bestFit="1" customWidth="1"/>
    <col min="8" max="8" width="13.77734375" bestFit="1" customWidth="1"/>
    <col min="9" max="9" width="12.5546875" bestFit="1" customWidth="1"/>
    <col min="10" max="10" width="13.77734375" bestFit="1" customWidth="1"/>
    <col min="11" max="15" width="12.5546875" bestFit="1" customWidth="1"/>
    <col min="16" max="16" width="11.109375" bestFit="1" customWidth="1"/>
  </cols>
  <sheetData>
    <row r="5" spans="1:20">
      <c r="C5" t="s">
        <v>96</v>
      </c>
      <c r="D5" t="s">
        <v>126</v>
      </c>
      <c r="F5" t="s">
        <v>95</v>
      </c>
      <c r="G5" t="s">
        <v>126</v>
      </c>
      <c r="I5" t="s">
        <v>130</v>
      </c>
      <c r="J5" t="s">
        <v>126</v>
      </c>
      <c r="L5" t="s">
        <v>990</v>
      </c>
      <c r="M5" t="s">
        <v>989</v>
      </c>
      <c r="N5" t="s">
        <v>126</v>
      </c>
      <c r="R5" s="549" t="s">
        <v>943</v>
      </c>
      <c r="S5" s="549" t="s">
        <v>944</v>
      </c>
      <c r="T5" t="s">
        <v>1077</v>
      </c>
    </row>
    <row r="6" spans="1:20">
      <c r="A6" t="s">
        <v>96</v>
      </c>
      <c r="B6" t="s">
        <v>98</v>
      </c>
      <c r="C6" t="s">
        <v>97</v>
      </c>
      <c r="D6">
        <v>22000</v>
      </c>
      <c r="E6" t="s">
        <v>95</v>
      </c>
      <c r="F6" t="s">
        <v>97</v>
      </c>
      <c r="H6" t="s">
        <v>130</v>
      </c>
      <c r="I6" t="s">
        <v>97</v>
      </c>
      <c r="J6">
        <v>22000</v>
      </c>
      <c r="L6" t="s">
        <v>8</v>
      </c>
      <c r="M6" t="s">
        <v>98</v>
      </c>
      <c r="N6">
        <v>22000</v>
      </c>
      <c r="Q6" s="549" t="s">
        <v>137</v>
      </c>
      <c r="R6">
        <v>2</v>
      </c>
      <c r="S6">
        <v>1500</v>
      </c>
      <c r="T6">
        <f>S6*R6</f>
        <v>3000</v>
      </c>
    </row>
    <row r="7" spans="1:20">
      <c r="A7" t="s">
        <v>96</v>
      </c>
      <c r="C7" t="s">
        <v>127</v>
      </c>
      <c r="D7">
        <v>9000</v>
      </c>
      <c r="E7" t="s">
        <v>95</v>
      </c>
      <c r="F7" t="s">
        <v>127</v>
      </c>
      <c r="G7">
        <v>8000</v>
      </c>
      <c r="H7" t="s">
        <v>130</v>
      </c>
      <c r="I7" t="s">
        <v>127</v>
      </c>
      <c r="J7">
        <v>9000</v>
      </c>
      <c r="L7" t="s">
        <v>8</v>
      </c>
      <c r="M7" t="s">
        <v>136</v>
      </c>
      <c r="N7">
        <v>9000</v>
      </c>
      <c r="Q7" s="549" t="s">
        <v>136</v>
      </c>
      <c r="R7">
        <v>2</v>
      </c>
      <c r="S7">
        <v>1500</v>
      </c>
      <c r="T7">
        <f t="shared" ref="T7:T9" si="0">S7*R7</f>
        <v>3000</v>
      </c>
    </row>
    <row r="8" spans="1:20">
      <c r="A8" t="s">
        <v>96</v>
      </c>
      <c r="B8" t="s">
        <v>136</v>
      </c>
      <c r="C8" t="s">
        <v>128</v>
      </c>
      <c r="D8">
        <v>11000</v>
      </c>
      <c r="E8" t="s">
        <v>95</v>
      </c>
      <c r="F8" t="s">
        <v>128</v>
      </c>
      <c r="G8">
        <v>10000</v>
      </c>
      <c r="H8" t="s">
        <v>130</v>
      </c>
      <c r="I8" t="s">
        <v>128</v>
      </c>
      <c r="J8">
        <v>11000</v>
      </c>
      <c r="L8" t="s">
        <v>8</v>
      </c>
      <c r="M8" t="s">
        <v>942</v>
      </c>
      <c r="N8">
        <v>9000</v>
      </c>
      <c r="Q8" s="549" t="s">
        <v>942</v>
      </c>
      <c r="R8">
        <v>2</v>
      </c>
      <c r="S8">
        <v>1500</v>
      </c>
      <c r="T8">
        <f t="shared" si="0"/>
        <v>3000</v>
      </c>
    </row>
    <row r="9" spans="1:20">
      <c r="A9" t="s">
        <v>96</v>
      </c>
      <c r="B9" t="s">
        <v>137</v>
      </c>
      <c r="C9" t="s">
        <v>94</v>
      </c>
      <c r="D9">
        <v>5000</v>
      </c>
      <c r="E9" t="s">
        <v>95</v>
      </c>
      <c r="F9" t="s">
        <v>94</v>
      </c>
      <c r="G9">
        <v>5000</v>
      </c>
      <c r="H9" t="s">
        <v>130</v>
      </c>
      <c r="I9" t="s">
        <v>94</v>
      </c>
      <c r="J9">
        <v>5000</v>
      </c>
      <c r="L9" t="s">
        <v>8</v>
      </c>
      <c r="M9" t="s">
        <v>137</v>
      </c>
      <c r="N9">
        <v>5000</v>
      </c>
      <c r="Q9" s="549" t="s">
        <v>98</v>
      </c>
      <c r="R9">
        <v>1</v>
      </c>
      <c r="S9">
        <v>1500</v>
      </c>
      <c r="T9">
        <f t="shared" si="0"/>
        <v>1500</v>
      </c>
    </row>
    <row r="10" spans="1:20">
      <c r="L10" t="s">
        <v>95</v>
      </c>
      <c r="M10" t="s">
        <v>98</v>
      </c>
      <c r="Q10" s="549"/>
    </row>
    <row r="11" spans="1:20" ht="14.4" thickBot="1">
      <c r="C11" s="158"/>
      <c r="D11" s="158"/>
      <c r="E11" s="158"/>
      <c r="F11" s="158"/>
      <c r="G11" s="158"/>
      <c r="L11" t="s">
        <v>95</v>
      </c>
      <c r="M11" t="s">
        <v>136</v>
      </c>
      <c r="N11">
        <v>8000</v>
      </c>
    </row>
    <row r="12" spans="1:20">
      <c r="C12" s="225" t="s">
        <v>42</v>
      </c>
      <c r="D12" s="226" t="s">
        <v>79</v>
      </c>
      <c r="E12" s="226" t="s">
        <v>80</v>
      </c>
      <c r="F12" s="226" t="s">
        <v>81</v>
      </c>
      <c r="G12" s="226" t="s">
        <v>82</v>
      </c>
      <c r="H12" s="227" t="s">
        <v>85</v>
      </c>
      <c r="L12" t="s">
        <v>95</v>
      </c>
      <c r="M12" t="s">
        <v>942</v>
      </c>
      <c r="N12">
        <v>8000</v>
      </c>
    </row>
    <row r="13" spans="1:20">
      <c r="C13" s="162" t="s">
        <v>131</v>
      </c>
      <c r="D13" s="160">
        <v>10</v>
      </c>
      <c r="E13" s="160">
        <v>10</v>
      </c>
      <c r="F13" s="160">
        <v>10</v>
      </c>
      <c r="G13" s="160">
        <v>10</v>
      </c>
      <c r="H13" s="37">
        <f>G13</f>
        <v>10</v>
      </c>
      <c r="L13" t="s">
        <v>95</v>
      </c>
      <c r="M13" t="s">
        <v>137</v>
      </c>
      <c r="N13">
        <v>5000</v>
      </c>
    </row>
    <row r="14" spans="1:20">
      <c r="C14" s="162" t="s">
        <v>136</v>
      </c>
      <c r="D14" s="160">
        <v>27</v>
      </c>
      <c r="E14" s="160">
        <v>27</v>
      </c>
      <c r="F14" s="160">
        <v>27</v>
      </c>
      <c r="G14" s="160">
        <v>27</v>
      </c>
      <c r="H14" s="37">
        <f>G14</f>
        <v>27</v>
      </c>
      <c r="L14" t="s">
        <v>130</v>
      </c>
      <c r="M14" t="s">
        <v>98</v>
      </c>
      <c r="N14">
        <v>22000</v>
      </c>
    </row>
    <row r="15" spans="1:20">
      <c r="C15" s="162" t="s">
        <v>94</v>
      </c>
      <c r="D15" s="160">
        <v>127</v>
      </c>
      <c r="E15" s="160">
        <v>127</v>
      </c>
      <c r="F15" s="160">
        <v>127</v>
      </c>
      <c r="G15" s="160">
        <v>127</v>
      </c>
      <c r="H15" s="37">
        <f>G15</f>
        <v>127</v>
      </c>
      <c r="L15" t="s">
        <v>130</v>
      </c>
      <c r="M15" t="s">
        <v>136</v>
      </c>
      <c r="N15">
        <v>9000</v>
      </c>
    </row>
    <row r="16" spans="1:20" ht="14.4" thickBot="1">
      <c r="C16" s="165" t="s">
        <v>132</v>
      </c>
      <c r="D16" s="166">
        <f>SUM(D13:D15)</f>
        <v>164</v>
      </c>
      <c r="E16" s="166">
        <f t="shared" ref="E16:G16" si="1">SUM(E13:E15)</f>
        <v>164</v>
      </c>
      <c r="F16" s="166">
        <f t="shared" si="1"/>
        <v>164</v>
      </c>
      <c r="G16" s="166">
        <f t="shared" si="1"/>
        <v>164</v>
      </c>
      <c r="H16" s="39">
        <f>G16</f>
        <v>164</v>
      </c>
      <c r="L16" t="s">
        <v>130</v>
      </c>
      <c r="M16" t="s">
        <v>942</v>
      </c>
      <c r="N16">
        <v>9000</v>
      </c>
    </row>
    <row r="17" spans="1:14">
      <c r="L17" t="s">
        <v>130</v>
      </c>
      <c r="M17" t="s">
        <v>137</v>
      </c>
      <c r="N17">
        <v>5000</v>
      </c>
    </row>
    <row r="18" spans="1:14">
      <c r="A18" t="s">
        <v>136</v>
      </c>
      <c r="B18" t="s">
        <v>19</v>
      </c>
      <c r="C18" s="158" t="s">
        <v>131</v>
      </c>
      <c r="D18" s="1">
        <f>SUMIFS($G$6:$G$9,$B$6:$B$9,$A18)*D13*3</f>
        <v>300000</v>
      </c>
      <c r="E18" s="1">
        <f t="shared" ref="E18:G18" si="2">SUMIFS($G$6:$G$9,$B$6:$B$9,$A18)*E13*3</f>
        <v>300000</v>
      </c>
      <c r="F18" s="1">
        <f t="shared" si="2"/>
        <v>300000</v>
      </c>
      <c r="G18" s="1">
        <f t="shared" si="2"/>
        <v>300000</v>
      </c>
      <c r="H18" s="1">
        <f>SUM(D18:G18)</f>
        <v>1200000</v>
      </c>
      <c r="L18" t="s">
        <v>130</v>
      </c>
      <c r="M18" t="s">
        <v>991</v>
      </c>
      <c r="N18">
        <v>22000</v>
      </c>
    </row>
    <row r="19" spans="1:14">
      <c r="A19" t="s">
        <v>136</v>
      </c>
      <c r="B19" t="s">
        <v>19</v>
      </c>
      <c r="C19" s="158" t="s">
        <v>136</v>
      </c>
      <c r="D19" s="1">
        <f t="shared" ref="D19:G19" si="3">SUMIFS($G$6:$G$9,$B$6:$B$9,$A19)*D14*3</f>
        <v>810000</v>
      </c>
      <c r="E19" s="1">
        <f t="shared" si="3"/>
        <v>810000</v>
      </c>
      <c r="F19" s="1">
        <f t="shared" si="3"/>
        <v>810000</v>
      </c>
      <c r="G19" s="1">
        <f t="shared" si="3"/>
        <v>810000</v>
      </c>
      <c r="H19" s="1">
        <f>SUM(D19:G19)</f>
        <v>3240000</v>
      </c>
    </row>
    <row r="20" spans="1:14">
      <c r="A20" t="s">
        <v>137</v>
      </c>
      <c r="B20" t="s">
        <v>19</v>
      </c>
      <c r="C20" s="158" t="s">
        <v>94</v>
      </c>
      <c r="D20" s="1">
        <f t="shared" ref="D20:G20" si="4">SUMIFS($G$6:$G$9,$B$6:$B$9,$A20)*D15*3</f>
        <v>1905000</v>
      </c>
      <c r="E20" s="1">
        <f t="shared" si="4"/>
        <v>1905000</v>
      </c>
      <c r="F20" s="1">
        <f t="shared" si="4"/>
        <v>1905000</v>
      </c>
      <c r="G20" s="1">
        <f t="shared" si="4"/>
        <v>1905000</v>
      </c>
      <c r="H20" s="1">
        <f>SUM(D20:G20)</f>
        <v>7620000</v>
      </c>
      <c r="J20" s="4">
        <v>2025</v>
      </c>
      <c r="K20" s="4" t="s">
        <v>139</v>
      </c>
      <c r="L20" s="4"/>
    </row>
    <row r="21" spans="1:14">
      <c r="C21" s="158" t="s">
        <v>138</v>
      </c>
      <c r="D21" s="6">
        <f>SUM(D18:D20)</f>
        <v>3015000</v>
      </c>
      <c r="E21" s="6">
        <f t="shared" ref="E21:G21" si="5">SUM(E18:E20)</f>
        <v>3015000</v>
      </c>
      <c r="F21" s="6">
        <f t="shared" si="5"/>
        <v>3015000</v>
      </c>
      <c r="G21" s="6">
        <f t="shared" si="5"/>
        <v>3015000</v>
      </c>
      <c r="H21" s="189">
        <f>SUM(D21:G21)</f>
        <v>12060000</v>
      </c>
      <c r="J21" s="1">
        <v>9226693</v>
      </c>
      <c r="K21" s="9">
        <f>H21/J21-1</f>
        <v>0.30707719439673564</v>
      </c>
    </row>
    <row r="22" spans="1:14" ht="14.4" thickBot="1">
      <c r="C22" s="158"/>
      <c r="D22" s="158"/>
      <c r="E22" s="158"/>
      <c r="F22" s="158"/>
      <c r="G22" s="158"/>
    </row>
    <row r="23" spans="1:14">
      <c r="C23" s="225" t="s">
        <v>8</v>
      </c>
      <c r="D23" s="226" t="s">
        <v>79</v>
      </c>
      <c r="E23" s="226" t="s">
        <v>80</v>
      </c>
      <c r="F23" s="226" t="s">
        <v>81</v>
      </c>
      <c r="G23" s="226" t="s">
        <v>82</v>
      </c>
      <c r="H23" s="227" t="s">
        <v>85</v>
      </c>
    </row>
    <row r="24" spans="1:14">
      <c r="C24" s="229" t="s">
        <v>98</v>
      </c>
      <c r="D24" s="228">
        <v>10</v>
      </c>
      <c r="E24" s="228">
        <v>10</v>
      </c>
      <c r="F24" s="228">
        <v>10</v>
      </c>
      <c r="G24" s="228">
        <v>10</v>
      </c>
      <c r="H24" s="37">
        <f t="shared" ref="H24:H27" si="6">G24</f>
        <v>10</v>
      </c>
    </row>
    <row r="25" spans="1:14">
      <c r="C25" s="162" t="s">
        <v>131</v>
      </c>
      <c r="D25" s="160">
        <v>10</v>
      </c>
      <c r="E25" s="160">
        <v>10</v>
      </c>
      <c r="F25" s="160">
        <v>10</v>
      </c>
      <c r="G25" s="160">
        <v>10</v>
      </c>
      <c r="H25" s="37">
        <f t="shared" si="6"/>
        <v>10</v>
      </c>
    </row>
    <row r="26" spans="1:14">
      <c r="C26" s="162" t="s">
        <v>136</v>
      </c>
      <c r="D26" s="160">
        <v>32</v>
      </c>
      <c r="E26" s="160">
        <v>35</v>
      </c>
      <c r="F26" s="160">
        <v>38</v>
      </c>
      <c r="G26" s="160">
        <v>38</v>
      </c>
      <c r="H26" s="37">
        <f t="shared" si="6"/>
        <v>38</v>
      </c>
    </row>
    <row r="27" spans="1:14">
      <c r="C27" s="162" t="s">
        <v>94</v>
      </c>
      <c r="D27" s="160">
        <v>203</v>
      </c>
      <c r="E27" s="160">
        <v>228</v>
      </c>
      <c r="F27" s="160">
        <v>245</v>
      </c>
      <c r="G27" s="160">
        <v>251</v>
      </c>
      <c r="H27" s="37">
        <f t="shared" si="6"/>
        <v>251</v>
      </c>
    </row>
    <row r="28" spans="1:14" ht="14.4" thickBot="1">
      <c r="C28" s="165" t="s">
        <v>132</v>
      </c>
      <c r="D28" s="166">
        <f t="shared" ref="D28:G28" si="7">SUM(D24:D27)</f>
        <v>255</v>
      </c>
      <c r="E28" s="166">
        <f t="shared" si="7"/>
        <v>283</v>
      </c>
      <c r="F28" s="166">
        <f t="shared" si="7"/>
        <v>303</v>
      </c>
      <c r="G28" s="166">
        <f t="shared" si="7"/>
        <v>309</v>
      </c>
      <c r="H28" s="39">
        <f>SUM(H24:H27)</f>
        <v>309</v>
      </c>
    </row>
    <row r="29" spans="1:14">
      <c r="C29" s="159"/>
      <c r="D29" s="159"/>
      <c r="E29" s="159"/>
      <c r="F29" s="159"/>
      <c r="G29" s="159"/>
    </row>
    <row r="30" spans="1:14">
      <c r="A30" t="s">
        <v>98</v>
      </c>
      <c r="B30" t="s">
        <v>19</v>
      </c>
      <c r="C30" s="188" t="s">
        <v>98</v>
      </c>
      <c r="D30" s="1">
        <f>SUMIFS($D$6:$D$9,$B$6:$B$9,$A30)*D24*3</f>
        <v>660000</v>
      </c>
      <c r="E30" s="1">
        <f t="shared" ref="E30:G30" si="8">SUMIFS($D$6:$D$9,$B$6:$B$9,$A30)*E24*3</f>
        <v>660000</v>
      </c>
      <c r="F30" s="1">
        <f t="shared" si="8"/>
        <v>660000</v>
      </c>
      <c r="G30" s="1">
        <f t="shared" si="8"/>
        <v>660000</v>
      </c>
      <c r="H30" s="1">
        <f t="shared" ref="H30:H33" si="9">SUM(D30:G30)</f>
        <v>2640000</v>
      </c>
    </row>
    <row r="31" spans="1:14">
      <c r="A31" t="s">
        <v>136</v>
      </c>
      <c r="B31" t="s">
        <v>19</v>
      </c>
      <c r="C31" s="158" t="s">
        <v>131</v>
      </c>
      <c r="D31" s="1">
        <f t="shared" ref="D31:G33" si="10">SUMIFS($D$6:$D$9,$B$6:$B$9,$A31)*D25*3</f>
        <v>330000</v>
      </c>
      <c r="E31" s="1">
        <f t="shared" si="10"/>
        <v>330000</v>
      </c>
      <c r="F31" s="1">
        <f t="shared" si="10"/>
        <v>330000</v>
      </c>
      <c r="G31" s="1">
        <f t="shared" si="10"/>
        <v>330000</v>
      </c>
      <c r="H31" s="1">
        <f t="shared" si="9"/>
        <v>1320000</v>
      </c>
    </row>
    <row r="32" spans="1:14">
      <c r="A32" t="s">
        <v>136</v>
      </c>
      <c r="B32" t="s">
        <v>19</v>
      </c>
      <c r="C32" s="158" t="s">
        <v>136</v>
      </c>
      <c r="D32" s="1">
        <f t="shared" si="10"/>
        <v>1056000</v>
      </c>
      <c r="E32" s="1">
        <f t="shared" si="10"/>
        <v>1155000</v>
      </c>
      <c r="F32" s="1">
        <f t="shared" si="10"/>
        <v>1254000</v>
      </c>
      <c r="G32" s="1">
        <f t="shared" si="10"/>
        <v>1254000</v>
      </c>
      <c r="H32" s="1">
        <f t="shared" si="9"/>
        <v>4719000</v>
      </c>
    </row>
    <row r="33" spans="1:16">
      <c r="A33" t="s">
        <v>137</v>
      </c>
      <c r="B33" t="s">
        <v>19</v>
      </c>
      <c r="C33" s="158" t="s">
        <v>94</v>
      </c>
      <c r="D33" s="1">
        <f t="shared" si="10"/>
        <v>3045000</v>
      </c>
      <c r="E33" s="1">
        <f t="shared" si="10"/>
        <v>3420000</v>
      </c>
      <c r="F33" s="1">
        <f t="shared" si="10"/>
        <v>3675000</v>
      </c>
      <c r="G33" s="1">
        <f t="shared" si="10"/>
        <v>3765000</v>
      </c>
      <c r="H33" s="1">
        <f t="shared" si="9"/>
        <v>13905000</v>
      </c>
      <c r="J33" s="4">
        <v>2025</v>
      </c>
    </row>
    <row r="34" spans="1:16">
      <c r="C34" s="159" t="s">
        <v>132</v>
      </c>
      <c r="D34" s="1">
        <f>SUM(D30:D33)</f>
        <v>5091000</v>
      </c>
      <c r="E34" s="1">
        <f t="shared" ref="E34:H34" si="11">SUM(E30:E33)</f>
        <v>5565000</v>
      </c>
      <c r="F34" s="1">
        <f t="shared" si="11"/>
        <v>5919000</v>
      </c>
      <c r="G34" s="1">
        <f t="shared" si="11"/>
        <v>6009000</v>
      </c>
      <c r="H34" s="189">
        <f t="shared" si="11"/>
        <v>22584000</v>
      </c>
      <c r="J34" s="1">
        <v>14603195</v>
      </c>
      <c r="K34" s="9">
        <f>H34/J34-1</f>
        <v>0.54651088340599441</v>
      </c>
    </row>
    <row r="35" spans="1:16" ht="14.4" thickBot="1"/>
    <row r="36" spans="1:16">
      <c r="C36" s="225" t="s">
        <v>130</v>
      </c>
      <c r="D36" s="226" t="s">
        <v>79</v>
      </c>
      <c r="E36" s="226" t="s">
        <v>80</v>
      </c>
      <c r="F36" s="226" t="s">
        <v>81</v>
      </c>
      <c r="G36" s="226" t="s">
        <v>82</v>
      </c>
      <c r="H36" s="227" t="s">
        <v>85</v>
      </c>
    </row>
    <row r="37" spans="1:16">
      <c r="C37" s="229" t="s">
        <v>134</v>
      </c>
      <c r="D37" s="230">
        <v>6</v>
      </c>
      <c r="E37" s="230">
        <v>6</v>
      </c>
      <c r="F37" s="230">
        <v>6</v>
      </c>
      <c r="G37" s="230">
        <v>6</v>
      </c>
      <c r="H37" s="232">
        <f>G37</f>
        <v>6</v>
      </c>
    </row>
    <row r="38" spans="1:16">
      <c r="C38" s="162" t="s">
        <v>131</v>
      </c>
      <c r="D38" s="231">
        <v>5</v>
      </c>
      <c r="E38" s="231">
        <v>5</v>
      </c>
      <c r="F38" s="231">
        <v>5</v>
      </c>
      <c r="G38" s="231">
        <v>5</v>
      </c>
      <c r="H38" s="232">
        <f>G38</f>
        <v>5</v>
      </c>
    </row>
    <row r="39" spans="1:16">
      <c r="C39" s="162" t="s">
        <v>136</v>
      </c>
      <c r="D39" s="231">
        <v>23</v>
      </c>
      <c r="E39" s="231">
        <v>23</v>
      </c>
      <c r="F39" s="231">
        <v>23</v>
      </c>
      <c r="G39" s="231">
        <v>23</v>
      </c>
      <c r="H39" s="232">
        <f>G39</f>
        <v>23</v>
      </c>
    </row>
    <row r="40" spans="1:16">
      <c r="C40" s="162" t="s">
        <v>94</v>
      </c>
      <c r="D40" s="231">
        <v>60</v>
      </c>
      <c r="E40" s="231">
        <v>120</v>
      </c>
      <c r="F40" s="231">
        <v>150</v>
      </c>
      <c r="G40" s="231">
        <v>180</v>
      </c>
      <c r="H40" s="232">
        <f>G40</f>
        <v>180</v>
      </c>
    </row>
    <row r="41" spans="1:16" ht="14.4" thickBot="1">
      <c r="C41" s="165" t="s">
        <v>132</v>
      </c>
      <c r="D41" s="233">
        <f>SUM(D37:D40)</f>
        <v>94</v>
      </c>
      <c r="E41" s="233">
        <f t="shared" ref="E41:G41" si="12">SUM(E37:E40)</f>
        <v>154</v>
      </c>
      <c r="F41" s="233">
        <f t="shared" si="12"/>
        <v>184</v>
      </c>
      <c r="G41" s="233">
        <f t="shared" si="12"/>
        <v>214</v>
      </c>
      <c r="H41" s="234">
        <f>G41</f>
        <v>214</v>
      </c>
    </row>
    <row r="43" spans="1:16">
      <c r="A43" t="s">
        <v>98</v>
      </c>
      <c r="B43" t="s">
        <v>19</v>
      </c>
      <c r="C43" s="188" t="s">
        <v>134</v>
      </c>
      <c r="D43" s="1">
        <f>SUMIFS($J$6:$J$9,$B$6:$B$9,$A43)*D37*3</f>
        <v>396000</v>
      </c>
      <c r="E43" s="1">
        <f t="shared" ref="E43:G43" si="13">SUMIFS($J$6:$J$9,$B$6:$B$9,$A43)*E37*3</f>
        <v>396000</v>
      </c>
      <c r="F43" s="1">
        <f t="shared" si="13"/>
        <v>396000</v>
      </c>
      <c r="G43" s="1">
        <f t="shared" si="13"/>
        <v>396000</v>
      </c>
      <c r="H43" s="1">
        <f>SUM(D43:G43)</f>
        <v>1584000</v>
      </c>
    </row>
    <row r="44" spans="1:16">
      <c r="A44" t="s">
        <v>136</v>
      </c>
      <c r="B44" t="s">
        <v>19</v>
      </c>
      <c r="C44" s="158" t="s">
        <v>131</v>
      </c>
      <c r="D44" s="1">
        <f t="shared" ref="D44:G46" si="14">SUMIFS($J$6:$J$9,$B$6:$B$9,$A44)*D38*3</f>
        <v>165000</v>
      </c>
      <c r="E44" s="1">
        <f t="shared" si="14"/>
        <v>165000</v>
      </c>
      <c r="F44" s="1">
        <f t="shared" si="14"/>
        <v>165000</v>
      </c>
      <c r="G44" s="1">
        <f t="shared" si="14"/>
        <v>165000</v>
      </c>
      <c r="H44" s="1">
        <f>SUM(D44:G44)</f>
        <v>660000</v>
      </c>
    </row>
    <row r="45" spans="1:16">
      <c r="A45" t="s">
        <v>136</v>
      </c>
      <c r="B45" t="s">
        <v>19</v>
      </c>
      <c r="C45" s="158" t="s">
        <v>136</v>
      </c>
      <c r="D45" s="1">
        <f t="shared" si="14"/>
        <v>759000</v>
      </c>
      <c r="E45" s="1">
        <f t="shared" si="14"/>
        <v>759000</v>
      </c>
      <c r="F45" s="1">
        <f t="shared" si="14"/>
        <v>759000</v>
      </c>
      <c r="G45" s="1">
        <f t="shared" si="14"/>
        <v>759000</v>
      </c>
      <c r="H45" s="1">
        <f>SUM(D45:G45)</f>
        <v>3036000</v>
      </c>
    </row>
    <row r="46" spans="1:16">
      <c r="A46" t="s">
        <v>137</v>
      </c>
      <c r="B46" t="s">
        <v>19</v>
      </c>
      <c r="C46" s="158" t="s">
        <v>94</v>
      </c>
      <c r="D46" s="1">
        <f t="shared" si="14"/>
        <v>900000</v>
      </c>
      <c r="E46" s="1">
        <f t="shared" si="14"/>
        <v>1800000</v>
      </c>
      <c r="F46" s="1">
        <f t="shared" si="14"/>
        <v>2250000</v>
      </c>
      <c r="G46" s="1">
        <f t="shared" si="14"/>
        <v>2700000</v>
      </c>
      <c r="H46" s="189">
        <f>SUM(D46:G46)</f>
        <v>7650000</v>
      </c>
    </row>
    <row r="48" spans="1:16">
      <c r="D48" t="s">
        <v>100</v>
      </c>
      <c r="E48" t="s">
        <v>101</v>
      </c>
      <c r="F48" t="s">
        <v>102</v>
      </c>
      <c r="G48" t="s">
        <v>104</v>
      </c>
      <c r="H48" t="s">
        <v>105</v>
      </c>
      <c r="I48" t="s">
        <v>106</v>
      </c>
      <c r="J48" t="s">
        <v>107</v>
      </c>
      <c r="K48" t="s">
        <v>108</v>
      </c>
      <c r="L48" t="s">
        <v>109</v>
      </c>
      <c r="M48" t="s">
        <v>110</v>
      </c>
      <c r="N48" t="s">
        <v>111</v>
      </c>
      <c r="O48" t="s">
        <v>112</v>
      </c>
      <c r="P48" t="s">
        <v>85</v>
      </c>
    </row>
    <row r="49" spans="1:17" s="502" customFormat="1">
      <c r="A49" s="502" t="s">
        <v>722</v>
      </c>
      <c r="B49" s="502" t="s">
        <v>19</v>
      </c>
      <c r="C49" s="503" t="s">
        <v>42</v>
      </c>
      <c r="D49" s="504">
        <f>$D$21/3</f>
        <v>1005000</v>
      </c>
      <c r="E49" s="504">
        <f>$D$21/3</f>
        <v>1005000</v>
      </c>
      <c r="F49" s="504">
        <f>$D$21/3</f>
        <v>1005000</v>
      </c>
      <c r="G49" s="504">
        <f>$E$21/3</f>
        <v>1005000</v>
      </c>
      <c r="H49" s="504">
        <f t="shared" ref="H49:I49" si="15">$E$21/3</f>
        <v>1005000</v>
      </c>
      <c r="I49" s="504">
        <f t="shared" si="15"/>
        <v>1005000</v>
      </c>
      <c r="J49" s="504">
        <f>$F$21/3</f>
        <v>1005000</v>
      </c>
      <c r="K49" s="504">
        <f t="shared" ref="K49:L49" si="16">$F$21/3</f>
        <v>1005000</v>
      </c>
      <c r="L49" s="504">
        <f t="shared" si="16"/>
        <v>1005000</v>
      </c>
      <c r="M49" s="504">
        <f>$G$21/3</f>
        <v>1005000</v>
      </c>
      <c r="N49" s="504">
        <f t="shared" ref="N49:O49" si="17">$G$21/3</f>
        <v>1005000</v>
      </c>
      <c r="O49" s="504">
        <f t="shared" si="17"/>
        <v>1005000</v>
      </c>
      <c r="P49" s="505">
        <f>SUM(D49:O49)</f>
        <v>12060000</v>
      </c>
    </row>
    <row r="50" spans="1:17">
      <c r="A50" t="s">
        <v>722</v>
      </c>
      <c r="B50" t="s">
        <v>19</v>
      </c>
      <c r="C50" s="158" t="s">
        <v>8</v>
      </c>
      <c r="D50" s="1">
        <f>$D$34/3</f>
        <v>1697000</v>
      </c>
      <c r="E50" s="1">
        <f>$D$34/3</f>
        <v>1697000</v>
      </c>
      <c r="F50" s="1">
        <f>$D$34/3</f>
        <v>1697000</v>
      </c>
      <c r="G50" s="1">
        <f>$E$34/3</f>
        <v>1855000</v>
      </c>
      <c r="H50" s="1">
        <f>$E$34/3</f>
        <v>1855000</v>
      </c>
      <c r="I50" s="1">
        <f>$E$34/3</f>
        <v>1855000</v>
      </c>
      <c r="J50" s="1">
        <f>$F$34/3</f>
        <v>1973000</v>
      </c>
      <c r="K50" s="1">
        <f>$F$34/3</f>
        <v>1973000</v>
      </c>
      <c r="L50" s="1">
        <f>$F$34/3</f>
        <v>1973000</v>
      </c>
      <c r="M50" s="1">
        <f>$G$34/3</f>
        <v>2003000</v>
      </c>
      <c r="N50" s="1">
        <f>$G$34/3</f>
        <v>2003000</v>
      </c>
      <c r="O50" s="1">
        <f>$G$34/3</f>
        <v>2003000</v>
      </c>
      <c r="P50" s="6">
        <f>SUM(D50:O50)</f>
        <v>22584000</v>
      </c>
    </row>
    <row r="51" spans="1:17" s="502" customFormat="1">
      <c r="A51" s="502" t="s">
        <v>722</v>
      </c>
      <c r="B51" s="502" t="s">
        <v>19</v>
      </c>
      <c r="C51" s="503" t="s">
        <v>130</v>
      </c>
      <c r="D51" s="504">
        <f>$D$46/3</f>
        <v>300000</v>
      </c>
      <c r="E51" s="504">
        <f>$D$46/3</f>
        <v>300000</v>
      </c>
      <c r="F51" s="504">
        <f>$D$46/3</f>
        <v>300000</v>
      </c>
      <c r="G51" s="504">
        <f>$E$46/3</f>
        <v>600000</v>
      </c>
      <c r="H51" s="504">
        <f>$E$46/3</f>
        <v>600000</v>
      </c>
      <c r="I51" s="504">
        <f>$E$46/3</f>
        <v>600000</v>
      </c>
      <c r="J51" s="504">
        <f>$F$46/3</f>
        <v>750000</v>
      </c>
      <c r="K51" s="504">
        <f>$F$46/3</f>
        <v>750000</v>
      </c>
      <c r="L51" s="504">
        <f>$F$46/3</f>
        <v>750000</v>
      </c>
      <c r="M51" s="504">
        <f>$G$46/3</f>
        <v>900000</v>
      </c>
      <c r="N51" s="504">
        <f>$G$46/3</f>
        <v>900000</v>
      </c>
      <c r="O51" s="504">
        <f>$G$46/3</f>
        <v>900000</v>
      </c>
      <c r="P51" s="505">
        <f>SUM(D51:O51)</f>
        <v>7650000</v>
      </c>
    </row>
    <row r="53" spans="1:17" s="502" customFormat="1">
      <c r="A53" s="502" t="s">
        <v>857</v>
      </c>
      <c r="B53" s="502" t="s">
        <v>19</v>
      </c>
      <c r="C53" s="503" t="s">
        <v>8</v>
      </c>
      <c r="D53" s="504">
        <f t="shared" ref="D53:O53" si="18">D50*$Q$53</f>
        <v>2035456.9717499116</v>
      </c>
      <c r="E53" s="504">
        <f t="shared" si="18"/>
        <v>2035456.9717499116</v>
      </c>
      <c r="F53" s="504">
        <f t="shared" si="18"/>
        <v>2035456.9717499116</v>
      </c>
      <c r="G53" s="504">
        <f t="shared" si="18"/>
        <v>2224969.1706517888</v>
      </c>
      <c r="H53" s="504">
        <f t="shared" si="18"/>
        <v>2224969.1706517888</v>
      </c>
      <c r="I53" s="504">
        <f t="shared" si="18"/>
        <v>2224969.1706517888</v>
      </c>
      <c r="J53" s="504">
        <f t="shared" si="18"/>
        <v>2366503.5976797733</v>
      </c>
      <c r="K53" s="504">
        <f t="shared" si="18"/>
        <v>2366503.5976797733</v>
      </c>
      <c r="L53" s="504">
        <f t="shared" si="18"/>
        <v>2366503.5976797733</v>
      </c>
      <c r="M53" s="504">
        <f t="shared" si="18"/>
        <v>2402486.9265851933</v>
      </c>
      <c r="N53" s="504">
        <f t="shared" si="18"/>
        <v>2402486.9265851933</v>
      </c>
      <c r="O53" s="504">
        <f t="shared" si="18"/>
        <v>2402486.9265851933</v>
      </c>
      <c r="P53" s="505">
        <f>SUM(D53:O53)</f>
        <v>27088250.000000004</v>
      </c>
      <c r="Q53" s="502">
        <v>1.1994442968473256</v>
      </c>
    </row>
    <row r="54" spans="1:17">
      <c r="A54" t="s">
        <v>857</v>
      </c>
      <c r="B54" t="s">
        <v>19</v>
      </c>
      <c r="C54" s="158" t="s">
        <v>130</v>
      </c>
    </row>
    <row r="57" spans="1:17">
      <c r="H57" s="6"/>
    </row>
  </sheetData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4970A-C119-4D88-8EB1-DB37DA4C54D7}">
  <sheetPr>
    <tabColor rgb="FF0070C0"/>
  </sheetPr>
  <dimension ref="A1:EG48"/>
  <sheetViews>
    <sheetView zoomScale="80" zoomScaleNormal="80" workbookViewId="0">
      <pane xSplit="3" ySplit="25" topLeftCell="D26" activePane="bottomRight" state="frozen"/>
      <selection pane="topRight" activeCell="D1" sqref="D1"/>
      <selection pane="bottomLeft" activeCell="A27" sqref="A27"/>
      <selection pane="bottomRight" activeCell="I53" sqref="I53"/>
    </sheetView>
  </sheetViews>
  <sheetFormatPr defaultRowHeight="15.6" outlineLevelCol="1"/>
  <cols>
    <col min="1" max="1" width="15.6640625" style="694" customWidth="1"/>
    <col min="2" max="2" width="14.5546875" style="694" customWidth="1"/>
    <col min="3" max="3" width="12.44140625" style="694" customWidth="1"/>
    <col min="4" max="15" width="10" style="694" customWidth="1" outlineLevel="1"/>
    <col min="16" max="16" width="10.6640625" style="694" bestFit="1" customWidth="1"/>
    <col min="17" max="18" width="11.21875" style="694" bestFit="1" customWidth="1"/>
    <col min="19" max="22" width="11.109375" style="694" customWidth="1"/>
    <col min="23" max="23" width="7.77734375" style="694" bestFit="1" customWidth="1"/>
    <col min="24" max="24" width="13.109375" style="694" customWidth="1"/>
    <col min="25" max="25" width="11" style="694" customWidth="1"/>
    <col min="26" max="36" width="9" style="694" bestFit="1" customWidth="1"/>
    <col min="37" max="37" width="15.88671875" style="694" hidden="1" customWidth="1"/>
    <col min="38" max="42" width="14.33203125" style="694" hidden="1" customWidth="1"/>
    <col min="43" max="43" width="3" style="694" customWidth="1"/>
    <col min="44" max="44" width="6" style="694" hidden="1" customWidth="1"/>
    <col min="45" max="45" width="12.77734375" style="694" hidden="1" customWidth="1"/>
    <col min="46" max="46" width="13.5546875" style="694" hidden="1" customWidth="1"/>
    <col min="47" max="58" width="12.5546875" style="694" hidden="1" customWidth="1"/>
    <col min="59" max="65" width="13.6640625" style="694" hidden="1" customWidth="1"/>
    <col min="66" max="68" width="10" style="694" hidden="1" customWidth="1"/>
    <col min="69" max="70" width="0" style="694" hidden="1" customWidth="1"/>
    <col min="71" max="71" width="13.21875" style="694" hidden="1" customWidth="1"/>
    <col min="72" max="72" width="17" style="694" hidden="1" customWidth="1"/>
    <col min="73" max="78" width="0" style="694" hidden="1" customWidth="1"/>
    <col min="79" max="84" width="12.5546875" style="694" hidden="1" customWidth="1"/>
    <col min="85" max="85" width="13.6640625" style="694" hidden="1" customWidth="1"/>
    <col min="86" max="86" width="0" style="694" hidden="1" customWidth="1"/>
    <col min="87" max="87" width="12.5546875" style="694" hidden="1" customWidth="1"/>
    <col min="88" max="90" width="0" style="694" hidden="1" customWidth="1"/>
    <col min="91" max="91" width="10.33203125" style="694" customWidth="1"/>
    <col min="92" max="93" width="11.109375" style="694" bestFit="1" customWidth="1"/>
    <col min="94" max="96" width="13" style="694" bestFit="1" customWidth="1"/>
    <col min="97" max="97" width="11.109375" style="694" bestFit="1" customWidth="1"/>
    <col min="98" max="103" width="13" style="694" bestFit="1" customWidth="1"/>
    <col min="104" max="110" width="13.77734375" style="694" customWidth="1"/>
    <col min="111" max="111" width="10.5546875" style="694" bestFit="1" customWidth="1"/>
    <col min="112" max="113" width="9" style="694" bestFit="1" customWidth="1"/>
    <col min="114" max="114" width="3" style="694" customWidth="1"/>
    <col min="115" max="115" width="14.21875" style="694" bestFit="1" customWidth="1"/>
    <col min="116" max="124" width="12.33203125" style="694" bestFit="1" customWidth="1"/>
    <col min="125" max="127" width="14" style="694" bestFit="1" customWidth="1"/>
    <col min="128" max="130" width="13.88671875" style="694" bestFit="1" customWidth="1"/>
    <col min="131" max="134" width="13.88671875" style="694" customWidth="1"/>
    <col min="135" max="137" width="9" style="694" bestFit="1" customWidth="1"/>
    <col min="138" max="16384" width="8.88671875" style="694"/>
  </cols>
  <sheetData>
    <row r="1" spans="1:137" s="681" customFormat="1"/>
    <row r="2" spans="1:137" s="669" customFormat="1" ht="36.6" customHeight="1">
      <c r="A2" s="663" t="s">
        <v>1165</v>
      </c>
      <c r="B2" s="663" t="s">
        <v>1166</v>
      </c>
      <c r="C2" s="663" t="s">
        <v>1164</v>
      </c>
      <c r="D2" s="664" t="s">
        <v>100</v>
      </c>
      <c r="E2" s="664" t="s">
        <v>101</v>
      </c>
      <c r="F2" s="664" t="s">
        <v>102</v>
      </c>
      <c r="G2" s="664" t="s">
        <v>104</v>
      </c>
      <c r="H2" s="664" t="s">
        <v>105</v>
      </c>
      <c r="I2" s="664" t="s">
        <v>106</v>
      </c>
      <c r="J2" s="664" t="s">
        <v>107</v>
      </c>
      <c r="K2" s="664" t="s">
        <v>108</v>
      </c>
      <c r="L2" s="664" t="s">
        <v>109</v>
      </c>
      <c r="M2" s="664" t="s">
        <v>110</v>
      </c>
      <c r="N2" s="664" t="s">
        <v>111</v>
      </c>
      <c r="O2" s="664" t="s">
        <v>112</v>
      </c>
      <c r="P2" s="745" t="s">
        <v>85</v>
      </c>
      <c r="Q2" s="745" t="s">
        <v>923</v>
      </c>
      <c r="R2" s="745" t="s">
        <v>124</v>
      </c>
      <c r="S2" s="745" t="s">
        <v>79</v>
      </c>
      <c r="T2" s="745" t="s">
        <v>80</v>
      </c>
      <c r="U2" s="745" t="s">
        <v>81</v>
      </c>
      <c r="V2" s="745" t="s">
        <v>82</v>
      </c>
      <c r="W2" s="665" t="s">
        <v>924</v>
      </c>
      <c r="X2" s="663" t="s">
        <v>1170</v>
      </c>
      <c r="Y2" s="664" t="s">
        <v>100</v>
      </c>
      <c r="Z2" s="664" t="s">
        <v>101</v>
      </c>
      <c r="AA2" s="664" t="s">
        <v>102</v>
      </c>
      <c r="AB2" s="664" t="s">
        <v>104</v>
      </c>
      <c r="AC2" s="664" t="s">
        <v>105</v>
      </c>
      <c r="AD2" s="664" t="s">
        <v>106</v>
      </c>
      <c r="AE2" s="664" t="s">
        <v>107</v>
      </c>
      <c r="AF2" s="664" t="s">
        <v>108</v>
      </c>
      <c r="AG2" s="664" t="s">
        <v>109</v>
      </c>
      <c r="AH2" s="664" t="s">
        <v>110</v>
      </c>
      <c r="AI2" s="664" t="s">
        <v>111</v>
      </c>
      <c r="AJ2" s="664" t="s">
        <v>112</v>
      </c>
      <c r="AK2" s="665" t="s">
        <v>925</v>
      </c>
      <c r="AL2" s="665" t="s">
        <v>937</v>
      </c>
      <c r="AM2" s="665" t="s">
        <v>938</v>
      </c>
      <c r="AN2" s="665" t="s">
        <v>79</v>
      </c>
      <c r="AO2" s="665" t="s">
        <v>80</v>
      </c>
      <c r="AP2" s="665" t="s">
        <v>81</v>
      </c>
      <c r="AQ2" s="665"/>
      <c r="AR2" s="665"/>
      <c r="AS2" s="666"/>
      <c r="AT2" s="667" t="s">
        <v>932</v>
      </c>
      <c r="AU2" s="668" t="s">
        <v>100</v>
      </c>
      <c r="AV2" s="668" t="s">
        <v>101</v>
      </c>
      <c r="AW2" s="668" t="s">
        <v>102</v>
      </c>
      <c r="AX2" s="668" t="s">
        <v>104</v>
      </c>
      <c r="AY2" s="668" t="s">
        <v>105</v>
      </c>
      <c r="AZ2" s="668" t="s">
        <v>106</v>
      </c>
      <c r="BA2" s="668" t="s">
        <v>107</v>
      </c>
      <c r="BB2" s="668" t="s">
        <v>108</v>
      </c>
      <c r="BC2" s="668" t="s">
        <v>109</v>
      </c>
      <c r="BD2" s="668" t="s">
        <v>110</v>
      </c>
      <c r="BE2" s="668" t="s">
        <v>111</v>
      </c>
      <c r="BF2" s="668" t="s">
        <v>112</v>
      </c>
      <c r="BG2" s="668" t="s">
        <v>85</v>
      </c>
      <c r="BH2" s="665" t="s">
        <v>923</v>
      </c>
      <c r="BI2" s="665" t="s">
        <v>124</v>
      </c>
      <c r="BJ2" s="665" t="s">
        <v>79</v>
      </c>
      <c r="BK2" s="665" t="s">
        <v>80</v>
      </c>
      <c r="BL2" s="665" t="s">
        <v>81</v>
      </c>
      <c r="BM2" s="665" t="s">
        <v>82</v>
      </c>
      <c r="BN2" s="665" t="s">
        <v>929</v>
      </c>
      <c r="BO2" s="665" t="s">
        <v>927</v>
      </c>
      <c r="BP2" s="665" t="s">
        <v>928</v>
      </c>
      <c r="BQ2" s="665" t="s">
        <v>941</v>
      </c>
      <c r="BR2" s="665"/>
      <c r="BT2" s="670" t="s">
        <v>933</v>
      </c>
      <c r="BU2" s="665" t="s">
        <v>100</v>
      </c>
      <c r="BV2" s="665" t="s">
        <v>101</v>
      </c>
      <c r="BW2" s="665" t="s">
        <v>102</v>
      </c>
      <c r="BX2" s="665" t="s">
        <v>104</v>
      </c>
      <c r="BY2" s="665" t="s">
        <v>105</v>
      </c>
      <c r="BZ2" s="665" t="s">
        <v>106</v>
      </c>
      <c r="CA2" s="665" t="s">
        <v>107</v>
      </c>
      <c r="CB2" s="665" t="s">
        <v>108</v>
      </c>
      <c r="CC2" s="665" t="s">
        <v>109</v>
      </c>
      <c r="CD2" s="665" t="s">
        <v>110</v>
      </c>
      <c r="CE2" s="665" t="s">
        <v>111</v>
      </c>
      <c r="CF2" s="665" t="s">
        <v>112</v>
      </c>
      <c r="CG2" s="665" t="s">
        <v>85</v>
      </c>
      <c r="CH2" s="665" t="s">
        <v>923</v>
      </c>
      <c r="CI2" s="665" t="s">
        <v>124</v>
      </c>
      <c r="CJ2" s="665" t="s">
        <v>929</v>
      </c>
      <c r="CK2" s="665" t="s">
        <v>927</v>
      </c>
      <c r="CL2" s="665" t="s">
        <v>928</v>
      </c>
      <c r="CM2" s="663" t="s">
        <v>935</v>
      </c>
      <c r="CN2" s="664" t="s">
        <v>100</v>
      </c>
      <c r="CO2" s="664" t="s">
        <v>101</v>
      </c>
      <c r="CP2" s="664" t="s">
        <v>102</v>
      </c>
      <c r="CQ2" s="664" t="s">
        <v>104</v>
      </c>
      <c r="CR2" s="664" t="s">
        <v>105</v>
      </c>
      <c r="CS2" s="664" t="s">
        <v>106</v>
      </c>
      <c r="CT2" s="664" t="s">
        <v>107</v>
      </c>
      <c r="CU2" s="664" t="s">
        <v>108</v>
      </c>
      <c r="CV2" s="664" t="s">
        <v>109</v>
      </c>
      <c r="CW2" s="664" t="s">
        <v>110</v>
      </c>
      <c r="CX2" s="664" t="s">
        <v>111</v>
      </c>
      <c r="CY2" s="664" t="s">
        <v>112</v>
      </c>
      <c r="CZ2" s="745" t="s">
        <v>85</v>
      </c>
      <c r="DA2" s="745" t="s">
        <v>923</v>
      </c>
      <c r="DB2" s="745" t="s">
        <v>124</v>
      </c>
      <c r="DC2" s="745" t="s">
        <v>79</v>
      </c>
      <c r="DD2" s="745" t="s">
        <v>80</v>
      </c>
      <c r="DE2" s="745" t="s">
        <v>81</v>
      </c>
      <c r="DF2" s="745" t="s">
        <v>82</v>
      </c>
      <c r="DG2" s="744" t="s">
        <v>936</v>
      </c>
      <c r="DH2" s="744" t="s">
        <v>927</v>
      </c>
      <c r="DI2" s="744" t="s">
        <v>928</v>
      </c>
      <c r="DK2" s="663" t="s">
        <v>1096</v>
      </c>
      <c r="DL2" s="664" t="s">
        <v>100</v>
      </c>
      <c r="DM2" s="664" t="s">
        <v>101</v>
      </c>
      <c r="DN2" s="664" t="s">
        <v>102</v>
      </c>
      <c r="DO2" s="664" t="s">
        <v>104</v>
      </c>
      <c r="DP2" s="664" t="s">
        <v>105</v>
      </c>
      <c r="DQ2" s="664" t="s">
        <v>106</v>
      </c>
      <c r="DR2" s="664" t="s">
        <v>107</v>
      </c>
      <c r="DS2" s="664" t="s">
        <v>108</v>
      </c>
      <c r="DT2" s="664" t="s">
        <v>109</v>
      </c>
      <c r="DU2" s="664" t="s">
        <v>110</v>
      </c>
      <c r="DV2" s="664" t="s">
        <v>111</v>
      </c>
      <c r="DW2" s="664" t="s">
        <v>112</v>
      </c>
      <c r="DX2" s="745" t="s">
        <v>85</v>
      </c>
      <c r="DY2" s="745" t="s">
        <v>923</v>
      </c>
      <c r="DZ2" s="745" t="s">
        <v>124</v>
      </c>
      <c r="EA2" s="745" t="s">
        <v>79</v>
      </c>
      <c r="EB2" s="745" t="s">
        <v>80</v>
      </c>
      <c r="EC2" s="745" t="s">
        <v>81</v>
      </c>
      <c r="ED2" s="745" t="s">
        <v>82</v>
      </c>
      <c r="EE2" s="744" t="s">
        <v>936</v>
      </c>
      <c r="EF2" s="744" t="s">
        <v>927</v>
      </c>
      <c r="EG2" s="744" t="s">
        <v>928</v>
      </c>
    </row>
    <row r="3" spans="1:137" s="681" customFormat="1" hidden="1">
      <c r="A3" s="671"/>
      <c r="B3" s="662" t="s">
        <v>861</v>
      </c>
      <c r="C3" s="671" t="s">
        <v>8</v>
      </c>
      <c r="D3" s="671">
        <v>1228</v>
      </c>
      <c r="E3" s="671">
        <v>1228</v>
      </c>
      <c r="F3" s="671">
        <v>1227</v>
      </c>
      <c r="G3" s="671">
        <v>1935</v>
      </c>
      <c r="H3" s="671">
        <v>1935</v>
      </c>
      <c r="I3" s="671">
        <v>1935</v>
      </c>
      <c r="J3" s="672">
        <v>1875</v>
      </c>
      <c r="K3" s="672">
        <v>1875</v>
      </c>
      <c r="L3" s="672">
        <v>1876</v>
      </c>
      <c r="M3" s="672">
        <v>2317</v>
      </c>
      <c r="N3" s="672">
        <v>2317</v>
      </c>
      <c r="O3" s="672">
        <v>2316</v>
      </c>
      <c r="P3" s="746">
        <f>SUM(D3:O3)</f>
        <v>22064</v>
      </c>
      <c r="Q3" s="746">
        <f>SUM(D3:I3)</f>
        <v>9488</v>
      </c>
      <c r="R3" s="746">
        <f>SUM(J3:O3)</f>
        <v>12576</v>
      </c>
      <c r="S3" s="746">
        <f>SUM(D3:F3)</f>
        <v>3683</v>
      </c>
      <c r="T3" s="746">
        <f>SUM(G3:I3)</f>
        <v>5805</v>
      </c>
      <c r="U3" s="746">
        <f>SUM(J3:L3)</f>
        <v>5626</v>
      </c>
      <c r="V3" s="746">
        <f>SUM(M3:O3)</f>
        <v>6950</v>
      </c>
      <c r="W3" s="673">
        <f>SUM(Q3:R3)-P3</f>
        <v>0</v>
      </c>
      <c r="X3" s="671" t="s">
        <v>8</v>
      </c>
      <c r="Y3" s="674">
        <f t="shared" ref="Y3:Y13" si="0">D3/$Q3</f>
        <v>0.12942664418212479</v>
      </c>
      <c r="Z3" s="674">
        <f t="shared" ref="Z3:Z13" si="1">E3/$Q3</f>
        <v>0.12942664418212479</v>
      </c>
      <c r="AA3" s="674">
        <f t="shared" ref="AA3:AA13" si="2">F3/$Q3</f>
        <v>0.12932124789207419</v>
      </c>
      <c r="AB3" s="674">
        <f t="shared" ref="AB3:AB13" si="3">G3/$Q3</f>
        <v>0.20394182124789206</v>
      </c>
      <c r="AC3" s="674">
        <f t="shared" ref="AC3:AC13" si="4">H3/$Q3</f>
        <v>0.20394182124789206</v>
      </c>
      <c r="AD3" s="674">
        <f t="shared" ref="AD3:AD13" si="5">I3/$Q3</f>
        <v>0.20394182124789206</v>
      </c>
      <c r="AE3" s="675">
        <f t="shared" ref="AE3:AE13" si="6">J3/$R3</f>
        <v>0.14909351145038169</v>
      </c>
      <c r="AF3" s="675">
        <f t="shared" ref="AF3:AF13" si="7">K3/$R3</f>
        <v>0.14909351145038169</v>
      </c>
      <c r="AG3" s="675">
        <f t="shared" ref="AG3:AG13" si="8">L3/$R3</f>
        <v>0.14917302798982188</v>
      </c>
      <c r="AH3" s="675">
        <f t="shared" ref="AH3:AH13" si="9">M3/$R3</f>
        <v>0.18423982188295165</v>
      </c>
      <c r="AI3" s="675">
        <f t="shared" ref="AI3:AI13" si="10">N3/$R3</f>
        <v>0.18423982188295165</v>
      </c>
      <c r="AJ3" s="675">
        <f t="shared" ref="AJ3:AJ13" si="11">O3/$R3</f>
        <v>0.18416030534351144</v>
      </c>
      <c r="AK3" s="676">
        <f t="shared" ref="AK3:AK13" si="12">P3/$P$13</f>
        <v>4.6944680851063833E-2</v>
      </c>
      <c r="AL3" s="676">
        <f t="shared" ref="AL3:AL13" si="13">Q3/$Q$13</f>
        <v>4.694659132517244E-2</v>
      </c>
      <c r="AM3" s="676">
        <f t="shared" ref="AM3:AM13" si="14">R3/$R$13</f>
        <v>4.6943239591187694E-2</v>
      </c>
      <c r="AN3" s="676"/>
      <c r="AO3" s="676"/>
      <c r="AP3" s="676"/>
      <c r="AQ3" s="676"/>
      <c r="AR3" s="676"/>
      <c r="AS3" s="547" t="s">
        <v>861</v>
      </c>
      <c r="AT3" s="677" t="s">
        <v>8</v>
      </c>
      <c r="AU3" s="678">
        <f t="shared" ref="AU3:AZ3" si="15">Y3*$BH3</f>
        <v>0</v>
      </c>
      <c r="AV3" s="678">
        <f t="shared" si="15"/>
        <v>0</v>
      </c>
      <c r="AW3" s="678">
        <f t="shared" si="15"/>
        <v>0</v>
      </c>
      <c r="AX3" s="678">
        <f t="shared" si="15"/>
        <v>0</v>
      </c>
      <c r="AY3" s="678">
        <f t="shared" si="15"/>
        <v>0</v>
      </c>
      <c r="AZ3" s="678">
        <f t="shared" si="15"/>
        <v>0</v>
      </c>
      <c r="BA3" s="678">
        <f t="shared" ref="BA3:BF3" si="16">AE3*$BI3</f>
        <v>0</v>
      </c>
      <c r="BB3" s="678">
        <f t="shared" si="16"/>
        <v>0</v>
      </c>
      <c r="BC3" s="678">
        <f t="shared" si="16"/>
        <v>0</v>
      </c>
      <c r="BD3" s="678">
        <f t="shared" si="16"/>
        <v>0</v>
      </c>
      <c r="BE3" s="678">
        <f t="shared" si="16"/>
        <v>0</v>
      </c>
      <c r="BF3" s="678">
        <f t="shared" si="16"/>
        <v>0</v>
      </c>
      <c r="BG3" s="678">
        <f>AK3*'Velsipity Sales - 费用 Phasing'!$W$8</f>
        <v>0</v>
      </c>
      <c r="BH3" s="679">
        <f>BG3*50%</f>
        <v>0</v>
      </c>
      <c r="BI3" s="673">
        <f>BG3*50%</f>
        <v>0</v>
      </c>
      <c r="BJ3" s="679">
        <f>SUM(AU3:AW3)</f>
        <v>0</v>
      </c>
      <c r="BK3" s="673">
        <f>SUM(AX3:AZ3)</f>
        <v>0</v>
      </c>
      <c r="BL3" s="673">
        <f>SUM(BA3:BC3)</f>
        <v>0</v>
      </c>
      <c r="BM3" s="673">
        <f>SUM(BD3:BF3)</f>
        <v>0</v>
      </c>
      <c r="BN3" s="680">
        <f>SUM(AU3:BF3)-BG3</f>
        <v>0</v>
      </c>
      <c r="BO3" s="680">
        <f>SUM(AU3:AZ3)-BH3</f>
        <v>0</v>
      </c>
      <c r="BP3" s="680">
        <f>SUM(BA3:BF3)-BI3</f>
        <v>0</v>
      </c>
      <c r="BS3" s="508" t="s">
        <v>861</v>
      </c>
      <c r="BT3" s="681" t="s">
        <v>8</v>
      </c>
      <c r="CA3" s="673">
        <f t="shared" ref="CA3:CF3" si="17">$CI3*AE3</f>
        <v>0</v>
      </c>
      <c r="CB3" s="673">
        <f t="shared" si="17"/>
        <v>0</v>
      </c>
      <c r="CC3" s="673">
        <f t="shared" si="17"/>
        <v>0</v>
      </c>
      <c r="CD3" s="673">
        <f t="shared" si="17"/>
        <v>0</v>
      </c>
      <c r="CE3" s="673">
        <f t="shared" si="17"/>
        <v>0</v>
      </c>
      <c r="CF3" s="673">
        <f t="shared" si="17"/>
        <v>0</v>
      </c>
      <c r="CG3" s="673">
        <f>SUM(BU3:CF3)</f>
        <v>0</v>
      </c>
      <c r="CI3" s="673">
        <f>$CI$13*$AK3</f>
        <v>0</v>
      </c>
      <c r="CJ3" s="680">
        <f>SUM(BU3:CF3)-CG3</f>
        <v>0</v>
      </c>
      <c r="CK3" s="680">
        <f>SUM(BU3:BZ3)-CH3</f>
        <v>0</v>
      </c>
      <c r="CL3" s="680">
        <f>SUM(CA3:CF3)-CI3</f>
        <v>0</v>
      </c>
      <c r="CM3" s="682" t="s">
        <v>8</v>
      </c>
      <c r="CN3" s="683">
        <f t="shared" ref="CN3:CN12" si="18">SUM(AU3,BU3)</f>
        <v>0</v>
      </c>
      <c r="CO3" s="683">
        <f t="shared" ref="CO3:CO12" si="19">SUM(AV3,BV3)</f>
        <v>0</v>
      </c>
      <c r="CP3" s="683">
        <f t="shared" ref="CP3:CP12" si="20">SUM(AW3,BW3)</f>
        <v>0</v>
      </c>
      <c r="CQ3" s="683">
        <f t="shared" ref="CQ3:CQ12" si="21">SUM(AX3,BX3)</f>
        <v>0</v>
      </c>
      <c r="CR3" s="683">
        <f t="shared" ref="CR3:CR12" si="22">SUM(AY3,BY3)</f>
        <v>0</v>
      </c>
      <c r="CS3" s="683">
        <f t="shared" ref="CS3:CS12" si="23">SUM(AZ3,BZ3)</f>
        <v>0</v>
      </c>
      <c r="CT3" s="683">
        <f t="shared" ref="CT3:CT12" si="24">SUM(BA3,CA3)</f>
        <v>0</v>
      </c>
      <c r="CU3" s="683">
        <f t="shared" ref="CU3:CU12" si="25">SUM(BB3,CB3)</f>
        <v>0</v>
      </c>
      <c r="CV3" s="683">
        <f t="shared" ref="CV3:CV12" si="26">SUM(BC3,CC3)</f>
        <v>0</v>
      </c>
      <c r="CW3" s="683">
        <f t="shared" ref="CW3:CW12" si="27">SUM(BD3,CD3)</f>
        <v>0</v>
      </c>
      <c r="CX3" s="683">
        <f t="shared" ref="CX3:CX12" si="28">SUM(BE3,CE3)</f>
        <v>0</v>
      </c>
      <c r="CY3" s="683">
        <f t="shared" ref="CY3:CY12" si="29">SUM(BF3,CF3)</f>
        <v>0</v>
      </c>
      <c r="CZ3" s="683">
        <f>SUM(CN3:CY3)</f>
        <v>0</v>
      </c>
      <c r="DA3" s="683">
        <f>SUM(CN3:CS3)</f>
        <v>0</v>
      </c>
      <c r="DB3" s="683">
        <f>SUM(CT3:CY3)</f>
        <v>0</v>
      </c>
      <c r="DC3" s="683"/>
      <c r="DD3" s="683"/>
      <c r="DE3" s="683"/>
      <c r="DF3" s="683"/>
      <c r="DG3" s="684">
        <f>SUM(CN3:CY3)-CZ3</f>
        <v>0</v>
      </c>
      <c r="DH3" s="684">
        <f>SUM(CN3:CS3)-DA3</f>
        <v>0</v>
      </c>
      <c r="DI3" s="684">
        <f>SUM(CT3:CY3)-DB3</f>
        <v>0</v>
      </c>
      <c r="DK3" s="682" t="s">
        <v>8</v>
      </c>
      <c r="DL3" s="683"/>
      <c r="DM3" s="683"/>
      <c r="DN3" s="683"/>
      <c r="DO3" s="683"/>
      <c r="DP3" s="683"/>
      <c r="DQ3" s="683"/>
      <c r="DR3" s="683"/>
      <c r="DS3" s="683"/>
      <c r="DT3" s="683"/>
      <c r="DU3" s="683"/>
      <c r="DV3" s="683"/>
      <c r="DW3" s="683"/>
      <c r="DX3" s="683">
        <f>SUM(DL3:DW3)</f>
        <v>0</v>
      </c>
      <c r="DY3" s="683">
        <f>SUM(DL3:DQ3)</f>
        <v>0</v>
      </c>
      <c r="DZ3" s="683">
        <f>SUM(DR3:DW3)</f>
        <v>0</v>
      </c>
      <c r="EA3" s="683"/>
      <c r="EB3" s="683"/>
      <c r="EC3" s="683"/>
      <c r="ED3" s="683"/>
      <c r="EE3" s="684">
        <f>SUM(DL3:DW3)-DX3</f>
        <v>0</v>
      </c>
      <c r="EF3" s="684">
        <f>SUM(DL3:DQ3)-DY3</f>
        <v>0</v>
      </c>
      <c r="EG3" s="684">
        <f>SUM(DR3:DW3)-DZ3</f>
        <v>0</v>
      </c>
    </row>
    <row r="4" spans="1:137" s="681" customFormat="1" hidden="1">
      <c r="A4" s="671"/>
      <c r="B4" s="662" t="s">
        <v>862</v>
      </c>
      <c r="C4" s="671" t="s">
        <v>8</v>
      </c>
      <c r="D4" s="671">
        <v>1414</v>
      </c>
      <c r="E4" s="671">
        <v>1414</v>
      </c>
      <c r="F4" s="671">
        <v>1414</v>
      </c>
      <c r="G4" s="671">
        <v>2503</v>
      </c>
      <c r="H4" s="671">
        <v>2503</v>
      </c>
      <c r="I4" s="671">
        <v>2504</v>
      </c>
      <c r="J4" s="672">
        <v>2323</v>
      </c>
      <c r="K4" s="672">
        <v>2323</v>
      </c>
      <c r="L4" s="672">
        <v>2323</v>
      </c>
      <c r="M4" s="672">
        <v>2870</v>
      </c>
      <c r="N4" s="672">
        <v>2870</v>
      </c>
      <c r="O4" s="672">
        <v>2869</v>
      </c>
      <c r="P4" s="746">
        <f t="shared" ref="P4:P12" si="30">SUM(D4:O4)</f>
        <v>27330</v>
      </c>
      <c r="Q4" s="746">
        <f t="shared" ref="Q4:Q13" si="31">SUM(D4:I4)</f>
        <v>11752</v>
      </c>
      <c r="R4" s="746">
        <f t="shared" ref="R4:R13" si="32">SUM(J4:O4)</f>
        <v>15578</v>
      </c>
      <c r="S4" s="746">
        <f t="shared" ref="S4:S13" si="33">SUM(D4:F4)</f>
        <v>4242</v>
      </c>
      <c r="T4" s="746">
        <f t="shared" ref="T4:T13" si="34">SUM(G4:I4)</f>
        <v>7510</v>
      </c>
      <c r="U4" s="746">
        <f t="shared" ref="U4:U13" si="35">SUM(J4:L4)</f>
        <v>6969</v>
      </c>
      <c r="V4" s="746">
        <f t="shared" ref="V4:V13" si="36">SUM(M4:O4)</f>
        <v>8609</v>
      </c>
      <c r="W4" s="673">
        <f t="shared" ref="W4:W13" si="37">SUM(Q4:R4)-P4</f>
        <v>0</v>
      </c>
      <c r="X4" s="671" t="s">
        <v>8</v>
      </c>
      <c r="Y4" s="674">
        <f t="shared" si="0"/>
        <v>0.12031994554118448</v>
      </c>
      <c r="Z4" s="674">
        <f t="shared" si="1"/>
        <v>0.12031994554118448</v>
      </c>
      <c r="AA4" s="674">
        <f t="shared" si="2"/>
        <v>0.12031994554118448</v>
      </c>
      <c r="AB4" s="674">
        <f t="shared" si="3"/>
        <v>0.21298502382573178</v>
      </c>
      <c r="AC4" s="674">
        <f t="shared" si="4"/>
        <v>0.21298502382573178</v>
      </c>
      <c r="AD4" s="674">
        <f t="shared" si="5"/>
        <v>0.21307011572498299</v>
      </c>
      <c r="AE4" s="675">
        <f t="shared" si="6"/>
        <v>0.14912055462832199</v>
      </c>
      <c r="AF4" s="675">
        <f t="shared" si="7"/>
        <v>0.14912055462832199</v>
      </c>
      <c r="AG4" s="675">
        <f t="shared" si="8"/>
        <v>0.14912055462832199</v>
      </c>
      <c r="AH4" s="675">
        <f t="shared" si="9"/>
        <v>0.18423417640261908</v>
      </c>
      <c r="AI4" s="675">
        <f t="shared" si="10"/>
        <v>0.18423417640261908</v>
      </c>
      <c r="AJ4" s="675">
        <f t="shared" si="11"/>
        <v>0.18416998330979586</v>
      </c>
      <c r="AK4" s="676">
        <f t="shared" si="12"/>
        <v>5.8148936170212766E-2</v>
      </c>
      <c r="AL4" s="676">
        <f t="shared" si="13"/>
        <v>5.8148855528396555E-2</v>
      </c>
      <c r="AM4" s="676">
        <f t="shared" si="14"/>
        <v>5.8148997006323304E-2</v>
      </c>
      <c r="AN4" s="676"/>
      <c r="AO4" s="676"/>
      <c r="AP4" s="676"/>
      <c r="AQ4" s="676"/>
      <c r="AR4" s="676"/>
      <c r="AS4" s="547" t="s">
        <v>862</v>
      </c>
      <c r="AT4" s="677" t="s">
        <v>8</v>
      </c>
      <c r="AU4" s="678">
        <f t="shared" ref="AU4:AU12" si="38">Y4*$BH4</f>
        <v>0</v>
      </c>
      <c r="AV4" s="678">
        <f t="shared" ref="AV4:AV12" si="39">Z4*$BH4</f>
        <v>0</v>
      </c>
      <c r="AW4" s="678">
        <f t="shared" ref="AW4:AW12" si="40">AA4*$BH4</f>
        <v>0</v>
      </c>
      <c r="AX4" s="678">
        <f t="shared" ref="AX4:AX12" si="41">AB4*$BH4</f>
        <v>0</v>
      </c>
      <c r="AY4" s="678">
        <f t="shared" ref="AY4:AY12" si="42">AC4*$BH4</f>
        <v>0</v>
      </c>
      <c r="AZ4" s="678">
        <f t="shared" ref="AZ4:AZ12" si="43">AD4*$BH4</f>
        <v>0</v>
      </c>
      <c r="BA4" s="678">
        <f t="shared" ref="BA4:BA12" si="44">AE4*$BI4</f>
        <v>0</v>
      </c>
      <c r="BB4" s="678">
        <f t="shared" ref="BB4:BB12" si="45">AF4*$BI4</f>
        <v>0</v>
      </c>
      <c r="BC4" s="678">
        <f t="shared" ref="BC4:BC12" si="46">AG4*$BI4</f>
        <v>0</v>
      </c>
      <c r="BD4" s="678">
        <f t="shared" ref="BD4:BD12" si="47">AH4*$BI4</f>
        <v>0</v>
      </c>
      <c r="BE4" s="678">
        <f t="shared" ref="BE4:BE12" si="48">AI4*$BI4</f>
        <v>0</v>
      </c>
      <c r="BF4" s="678">
        <f t="shared" ref="BF4:BF12" si="49">AJ4*$BI4</f>
        <v>0</v>
      </c>
      <c r="BG4" s="678">
        <f>AK4*'Velsipity Sales - 费用 Phasing'!$W$8</f>
        <v>0</v>
      </c>
      <c r="BH4" s="679">
        <f t="shared" ref="BH4:BH13" si="50">BG4*50%</f>
        <v>0</v>
      </c>
      <c r="BI4" s="673">
        <f t="shared" ref="BI4:BI12" si="51">BG4*50%</f>
        <v>0</v>
      </c>
      <c r="BJ4" s="679">
        <f t="shared" ref="BJ4:BJ13" si="52">SUM(AU4:AW4)</f>
        <v>0</v>
      </c>
      <c r="BK4" s="673">
        <f t="shared" ref="BK4:BK13" si="53">SUM(AX4:AZ4)</f>
        <v>0</v>
      </c>
      <c r="BL4" s="673">
        <f t="shared" ref="BL4:BL13" si="54">SUM(BA4:BC4)</f>
        <v>0</v>
      </c>
      <c r="BM4" s="673">
        <f t="shared" ref="BM4:BM13" si="55">SUM(BD4:BF4)</f>
        <v>0</v>
      </c>
      <c r="BN4" s="680">
        <f t="shared" ref="BN4:BN13" si="56">SUM(AU4:BF4)-BG4</f>
        <v>0</v>
      </c>
      <c r="BO4" s="680">
        <f t="shared" ref="BO4:BO13" si="57">SUM(AU4:AZ4)-BH4</f>
        <v>0</v>
      </c>
      <c r="BP4" s="680">
        <f t="shared" ref="BP4:BP13" si="58">SUM(BA4:BF4)-BI4</f>
        <v>0</v>
      </c>
      <c r="BS4" s="508" t="s">
        <v>862</v>
      </c>
      <c r="BT4" s="681" t="s">
        <v>8</v>
      </c>
      <c r="CA4" s="673">
        <f t="shared" ref="CA4:CA13" si="59">$CI4*AE4</f>
        <v>0</v>
      </c>
      <c r="CB4" s="673">
        <f t="shared" ref="CB4:CB13" si="60">$CI4*AF4</f>
        <v>0</v>
      </c>
      <c r="CC4" s="673">
        <f t="shared" ref="CC4:CC13" si="61">$CI4*AG4</f>
        <v>0</v>
      </c>
      <c r="CD4" s="673">
        <f t="shared" ref="CD4:CD13" si="62">$CI4*AH4</f>
        <v>0</v>
      </c>
      <c r="CE4" s="673">
        <f t="shared" ref="CE4:CE13" si="63">$CI4*AI4</f>
        <v>0</v>
      </c>
      <c r="CF4" s="673">
        <f t="shared" ref="CF4:CF13" si="64">$CI4*AJ4</f>
        <v>0</v>
      </c>
      <c r="CG4" s="673">
        <f t="shared" ref="CG4:CG12" si="65">SUM(BU4:CF4)</f>
        <v>0</v>
      </c>
      <c r="CI4" s="673">
        <f t="shared" ref="CI4:CI12" si="66">$CI$13*$AK4</f>
        <v>0</v>
      </c>
      <c r="CJ4" s="680">
        <f t="shared" ref="CJ4:CJ13" si="67">SUM(BU4:CF4)-CG4</f>
        <v>0</v>
      </c>
      <c r="CK4" s="680">
        <f t="shared" ref="CK4:CK13" si="68">SUM(BU4:BZ4)-CH4</f>
        <v>0</v>
      </c>
      <c r="CL4" s="680">
        <f t="shared" ref="CL4:CL13" si="69">SUM(CA4:CF4)-CI4</f>
        <v>0</v>
      </c>
      <c r="CM4" s="682" t="s">
        <v>8</v>
      </c>
      <c r="CN4" s="683">
        <f t="shared" si="18"/>
        <v>0</v>
      </c>
      <c r="CO4" s="683">
        <f t="shared" si="19"/>
        <v>0</v>
      </c>
      <c r="CP4" s="683">
        <f t="shared" si="20"/>
        <v>0</v>
      </c>
      <c r="CQ4" s="683">
        <f t="shared" si="21"/>
        <v>0</v>
      </c>
      <c r="CR4" s="683">
        <f t="shared" si="22"/>
        <v>0</v>
      </c>
      <c r="CS4" s="683">
        <f t="shared" si="23"/>
        <v>0</v>
      </c>
      <c r="CT4" s="683">
        <f t="shared" si="24"/>
        <v>0</v>
      </c>
      <c r="CU4" s="683">
        <f t="shared" si="25"/>
        <v>0</v>
      </c>
      <c r="CV4" s="683">
        <f t="shared" si="26"/>
        <v>0</v>
      </c>
      <c r="CW4" s="683">
        <f t="shared" si="27"/>
        <v>0</v>
      </c>
      <c r="CX4" s="683">
        <f t="shared" si="28"/>
        <v>0</v>
      </c>
      <c r="CY4" s="683">
        <f t="shared" si="29"/>
        <v>0</v>
      </c>
      <c r="CZ4" s="683">
        <f t="shared" ref="CZ4:CZ12" si="70">SUM(CN4:CY4)</f>
        <v>0</v>
      </c>
      <c r="DA4" s="683">
        <f t="shared" ref="DA4:DA13" si="71">SUM(CN4:CS4)</f>
        <v>0</v>
      </c>
      <c r="DB4" s="683">
        <f t="shared" ref="DB4:DB13" si="72">SUM(CT4:CY4)</f>
        <v>0</v>
      </c>
      <c r="DC4" s="683"/>
      <c r="DD4" s="683"/>
      <c r="DE4" s="683"/>
      <c r="DF4" s="683"/>
      <c r="DG4" s="684">
        <f t="shared" ref="DG4:DG12" si="73">SUM(CN4:CY4)-CZ4</f>
        <v>0</v>
      </c>
      <c r="DH4" s="684">
        <f t="shared" ref="DH4:DH13" si="74">SUM(CN4:CS4)-DA4</f>
        <v>0</v>
      </c>
      <c r="DI4" s="684">
        <f t="shared" ref="DI4:DI13" si="75">SUM(CT4:CY4)-DB4</f>
        <v>0</v>
      </c>
      <c r="DK4" s="682" t="s">
        <v>8</v>
      </c>
      <c r="DL4" s="683"/>
      <c r="DM4" s="683"/>
      <c r="DN4" s="683"/>
      <c r="DO4" s="683"/>
      <c r="DP4" s="683"/>
      <c r="DQ4" s="683"/>
      <c r="DR4" s="683"/>
      <c r="DS4" s="683"/>
      <c r="DT4" s="683"/>
      <c r="DU4" s="683"/>
      <c r="DV4" s="683"/>
      <c r="DW4" s="683"/>
      <c r="DX4" s="683">
        <f t="shared" ref="DX4:DX12" si="76">SUM(DL4:DW4)</f>
        <v>0</v>
      </c>
      <c r="DY4" s="683">
        <f t="shared" ref="DY4:DY13" si="77">SUM(DL4:DQ4)</f>
        <v>0</v>
      </c>
      <c r="DZ4" s="683">
        <f t="shared" ref="DZ4:DZ13" si="78">SUM(DR4:DW4)</f>
        <v>0</v>
      </c>
      <c r="EA4" s="683"/>
      <c r="EB4" s="683"/>
      <c r="EC4" s="683"/>
      <c r="ED4" s="683"/>
      <c r="EE4" s="684">
        <f t="shared" ref="EE4:EE12" si="79">SUM(DL4:DW4)-DX4</f>
        <v>0</v>
      </c>
      <c r="EF4" s="684">
        <f t="shared" ref="EF4:EF13" si="80">SUM(DL4:DQ4)-DY4</f>
        <v>0</v>
      </c>
      <c r="EG4" s="684">
        <f t="shared" ref="EG4:EG13" si="81">SUM(DR4:DW4)-DZ4</f>
        <v>0</v>
      </c>
    </row>
    <row r="5" spans="1:137" s="681" customFormat="1" hidden="1">
      <c r="A5" s="671"/>
      <c r="B5" s="662" t="s">
        <v>863</v>
      </c>
      <c r="C5" s="671" t="s">
        <v>8</v>
      </c>
      <c r="D5" s="671">
        <v>2505</v>
      </c>
      <c r="E5" s="671">
        <v>2505</v>
      </c>
      <c r="F5" s="671">
        <v>2506</v>
      </c>
      <c r="G5" s="671">
        <v>2591</v>
      </c>
      <c r="H5" s="671">
        <v>2591</v>
      </c>
      <c r="I5" s="671">
        <v>2591</v>
      </c>
      <c r="J5" s="672">
        <v>3022</v>
      </c>
      <c r="K5" s="672">
        <v>3022</v>
      </c>
      <c r="L5" s="672">
        <v>3023</v>
      </c>
      <c r="M5" s="672">
        <v>3733</v>
      </c>
      <c r="N5" s="672">
        <v>3733</v>
      </c>
      <c r="O5" s="672">
        <v>3734</v>
      </c>
      <c r="P5" s="746">
        <f t="shared" si="30"/>
        <v>35556</v>
      </c>
      <c r="Q5" s="746">
        <f t="shared" si="31"/>
        <v>15289</v>
      </c>
      <c r="R5" s="746">
        <f t="shared" si="32"/>
        <v>20267</v>
      </c>
      <c r="S5" s="746">
        <f t="shared" si="33"/>
        <v>7516</v>
      </c>
      <c r="T5" s="746">
        <f t="shared" si="34"/>
        <v>7773</v>
      </c>
      <c r="U5" s="746">
        <f t="shared" si="35"/>
        <v>9067</v>
      </c>
      <c r="V5" s="746">
        <f t="shared" si="36"/>
        <v>11200</v>
      </c>
      <c r="W5" s="673">
        <f t="shared" si="37"/>
        <v>0</v>
      </c>
      <c r="X5" s="671" t="s">
        <v>8</v>
      </c>
      <c r="Y5" s="674">
        <f t="shared" si="0"/>
        <v>0.16384328602263065</v>
      </c>
      <c r="Z5" s="674">
        <f t="shared" si="1"/>
        <v>0.16384328602263065</v>
      </c>
      <c r="AA5" s="674">
        <f t="shared" si="2"/>
        <v>0.16390869252403689</v>
      </c>
      <c r="AB5" s="674">
        <f t="shared" si="3"/>
        <v>0.16946824514356726</v>
      </c>
      <c r="AC5" s="674">
        <f t="shared" si="4"/>
        <v>0.16946824514356726</v>
      </c>
      <c r="AD5" s="674">
        <f t="shared" si="5"/>
        <v>0.16946824514356726</v>
      </c>
      <c r="AE5" s="675">
        <f t="shared" si="6"/>
        <v>0.14910938964819659</v>
      </c>
      <c r="AF5" s="675">
        <f t="shared" si="7"/>
        <v>0.14910938964819659</v>
      </c>
      <c r="AG5" s="675">
        <f t="shared" si="8"/>
        <v>0.1491587309419253</v>
      </c>
      <c r="AH5" s="675">
        <f t="shared" si="9"/>
        <v>0.18419104948931761</v>
      </c>
      <c r="AI5" s="675">
        <f t="shared" si="10"/>
        <v>0.18419104948931761</v>
      </c>
      <c r="AJ5" s="675">
        <f t="shared" si="11"/>
        <v>0.18424039078304633</v>
      </c>
      <c r="AK5" s="676">
        <f t="shared" si="12"/>
        <v>7.565106382978723E-2</v>
      </c>
      <c r="AL5" s="676">
        <f t="shared" si="13"/>
        <v>7.5649919347656136E-2</v>
      </c>
      <c r="AM5" s="676">
        <f t="shared" si="14"/>
        <v>7.5651927226033783E-2</v>
      </c>
      <c r="AN5" s="676"/>
      <c r="AO5" s="676"/>
      <c r="AP5" s="676"/>
      <c r="AQ5" s="676"/>
      <c r="AR5" s="676"/>
      <c r="AS5" s="547" t="s">
        <v>863</v>
      </c>
      <c r="AT5" s="677" t="s">
        <v>8</v>
      </c>
      <c r="AU5" s="678">
        <f t="shared" si="38"/>
        <v>0</v>
      </c>
      <c r="AV5" s="678">
        <f t="shared" si="39"/>
        <v>0</v>
      </c>
      <c r="AW5" s="678">
        <f t="shared" si="40"/>
        <v>0</v>
      </c>
      <c r="AX5" s="678">
        <f t="shared" si="41"/>
        <v>0</v>
      </c>
      <c r="AY5" s="678">
        <f t="shared" si="42"/>
        <v>0</v>
      </c>
      <c r="AZ5" s="678">
        <f t="shared" si="43"/>
        <v>0</v>
      </c>
      <c r="BA5" s="678">
        <f t="shared" si="44"/>
        <v>0</v>
      </c>
      <c r="BB5" s="678">
        <f t="shared" si="45"/>
        <v>0</v>
      </c>
      <c r="BC5" s="678">
        <f t="shared" si="46"/>
        <v>0</v>
      </c>
      <c r="BD5" s="678">
        <f t="shared" si="47"/>
        <v>0</v>
      </c>
      <c r="BE5" s="678">
        <f t="shared" si="48"/>
        <v>0</v>
      </c>
      <c r="BF5" s="678">
        <f t="shared" si="49"/>
        <v>0</v>
      </c>
      <c r="BG5" s="678">
        <f>AK5*'Velsipity Sales - 费用 Phasing'!$W$8</f>
        <v>0</v>
      </c>
      <c r="BH5" s="679">
        <f t="shared" si="50"/>
        <v>0</v>
      </c>
      <c r="BI5" s="673">
        <f t="shared" si="51"/>
        <v>0</v>
      </c>
      <c r="BJ5" s="679">
        <f t="shared" si="52"/>
        <v>0</v>
      </c>
      <c r="BK5" s="673">
        <f t="shared" si="53"/>
        <v>0</v>
      </c>
      <c r="BL5" s="673">
        <f t="shared" si="54"/>
        <v>0</v>
      </c>
      <c r="BM5" s="673">
        <f t="shared" si="55"/>
        <v>0</v>
      </c>
      <c r="BN5" s="680">
        <f t="shared" si="56"/>
        <v>0</v>
      </c>
      <c r="BO5" s="680">
        <f t="shared" si="57"/>
        <v>0</v>
      </c>
      <c r="BP5" s="680">
        <f t="shared" si="58"/>
        <v>0</v>
      </c>
      <c r="BS5" s="508" t="s">
        <v>863</v>
      </c>
      <c r="BT5" s="681" t="s">
        <v>8</v>
      </c>
      <c r="CA5" s="673">
        <f t="shared" si="59"/>
        <v>0</v>
      </c>
      <c r="CB5" s="673">
        <f t="shared" si="60"/>
        <v>0</v>
      </c>
      <c r="CC5" s="673">
        <f t="shared" si="61"/>
        <v>0</v>
      </c>
      <c r="CD5" s="673">
        <f t="shared" si="62"/>
        <v>0</v>
      </c>
      <c r="CE5" s="673">
        <f t="shared" si="63"/>
        <v>0</v>
      </c>
      <c r="CF5" s="673">
        <f t="shared" si="64"/>
        <v>0</v>
      </c>
      <c r="CG5" s="673">
        <f t="shared" si="65"/>
        <v>0</v>
      </c>
      <c r="CI5" s="673">
        <f t="shared" si="66"/>
        <v>0</v>
      </c>
      <c r="CJ5" s="680">
        <f t="shared" si="67"/>
        <v>0</v>
      </c>
      <c r="CK5" s="680">
        <f t="shared" si="68"/>
        <v>0</v>
      </c>
      <c r="CL5" s="680">
        <f t="shared" si="69"/>
        <v>0</v>
      </c>
      <c r="CM5" s="682" t="s">
        <v>8</v>
      </c>
      <c r="CN5" s="683">
        <f t="shared" si="18"/>
        <v>0</v>
      </c>
      <c r="CO5" s="683">
        <f t="shared" si="19"/>
        <v>0</v>
      </c>
      <c r="CP5" s="683">
        <f t="shared" si="20"/>
        <v>0</v>
      </c>
      <c r="CQ5" s="683">
        <f t="shared" si="21"/>
        <v>0</v>
      </c>
      <c r="CR5" s="683">
        <f t="shared" si="22"/>
        <v>0</v>
      </c>
      <c r="CS5" s="683">
        <f t="shared" si="23"/>
        <v>0</v>
      </c>
      <c r="CT5" s="683">
        <f t="shared" si="24"/>
        <v>0</v>
      </c>
      <c r="CU5" s="683">
        <f t="shared" si="25"/>
        <v>0</v>
      </c>
      <c r="CV5" s="683">
        <f t="shared" si="26"/>
        <v>0</v>
      </c>
      <c r="CW5" s="683">
        <f t="shared" si="27"/>
        <v>0</v>
      </c>
      <c r="CX5" s="683">
        <f t="shared" si="28"/>
        <v>0</v>
      </c>
      <c r="CY5" s="683">
        <f t="shared" si="29"/>
        <v>0</v>
      </c>
      <c r="CZ5" s="683">
        <f t="shared" si="70"/>
        <v>0</v>
      </c>
      <c r="DA5" s="683">
        <f t="shared" si="71"/>
        <v>0</v>
      </c>
      <c r="DB5" s="683">
        <f t="shared" si="72"/>
        <v>0</v>
      </c>
      <c r="DC5" s="683"/>
      <c r="DD5" s="683"/>
      <c r="DE5" s="683"/>
      <c r="DF5" s="683"/>
      <c r="DG5" s="684">
        <f t="shared" si="73"/>
        <v>0</v>
      </c>
      <c r="DH5" s="684">
        <f t="shared" si="74"/>
        <v>0</v>
      </c>
      <c r="DI5" s="684">
        <f t="shared" si="75"/>
        <v>0</v>
      </c>
      <c r="DK5" s="682" t="s">
        <v>8</v>
      </c>
      <c r="DL5" s="683"/>
      <c r="DM5" s="683"/>
      <c r="DN5" s="683"/>
      <c r="DO5" s="683"/>
      <c r="DP5" s="683"/>
      <c r="DQ5" s="683"/>
      <c r="DR5" s="683"/>
      <c r="DS5" s="683"/>
      <c r="DT5" s="683"/>
      <c r="DU5" s="683"/>
      <c r="DV5" s="683"/>
      <c r="DW5" s="683"/>
      <c r="DX5" s="683">
        <f t="shared" si="76"/>
        <v>0</v>
      </c>
      <c r="DY5" s="683">
        <f t="shared" si="77"/>
        <v>0</v>
      </c>
      <c r="DZ5" s="683">
        <f t="shared" si="78"/>
        <v>0</v>
      </c>
      <c r="EA5" s="683"/>
      <c r="EB5" s="683"/>
      <c r="EC5" s="683"/>
      <c r="ED5" s="683"/>
      <c r="EE5" s="684">
        <f t="shared" si="79"/>
        <v>0</v>
      </c>
      <c r="EF5" s="684">
        <f t="shared" si="80"/>
        <v>0</v>
      </c>
      <c r="EG5" s="684">
        <f t="shared" si="81"/>
        <v>0</v>
      </c>
    </row>
    <row r="6" spans="1:137" s="681" customFormat="1" hidden="1">
      <c r="A6" s="671"/>
      <c r="B6" s="662" t="s">
        <v>864</v>
      </c>
      <c r="C6" s="671" t="s">
        <v>8</v>
      </c>
      <c r="D6" s="671">
        <v>2233</v>
      </c>
      <c r="E6" s="671">
        <v>2233</v>
      </c>
      <c r="F6" s="671">
        <v>2234</v>
      </c>
      <c r="G6" s="671">
        <v>2569</v>
      </c>
      <c r="H6" s="671">
        <v>2569</v>
      </c>
      <c r="I6" s="671">
        <v>2568</v>
      </c>
      <c r="J6" s="672">
        <v>2848</v>
      </c>
      <c r="K6" s="672">
        <v>2848</v>
      </c>
      <c r="L6" s="672">
        <v>2847</v>
      </c>
      <c r="M6" s="672">
        <v>3518</v>
      </c>
      <c r="N6" s="672">
        <v>3518</v>
      </c>
      <c r="O6" s="672">
        <v>3517</v>
      </c>
      <c r="P6" s="672">
        <f t="shared" si="30"/>
        <v>33502</v>
      </c>
      <c r="Q6" s="672">
        <f t="shared" si="31"/>
        <v>14406</v>
      </c>
      <c r="R6" s="672">
        <f t="shared" si="32"/>
        <v>19096</v>
      </c>
      <c r="S6" s="672">
        <f t="shared" si="33"/>
        <v>6700</v>
      </c>
      <c r="T6" s="672">
        <f t="shared" si="34"/>
        <v>7706</v>
      </c>
      <c r="U6" s="672">
        <f t="shared" si="35"/>
        <v>8543</v>
      </c>
      <c r="V6" s="672">
        <f t="shared" si="36"/>
        <v>10553</v>
      </c>
      <c r="W6" s="673">
        <f t="shared" si="37"/>
        <v>0</v>
      </c>
      <c r="X6" s="671" t="s">
        <v>8</v>
      </c>
      <c r="Y6" s="674">
        <f t="shared" si="0"/>
        <v>0.15500485908649175</v>
      </c>
      <c r="Z6" s="674">
        <f t="shared" si="1"/>
        <v>0.15500485908649175</v>
      </c>
      <c r="AA6" s="674">
        <f t="shared" si="2"/>
        <v>0.15507427460780229</v>
      </c>
      <c r="AB6" s="674">
        <f t="shared" si="3"/>
        <v>0.17832847424684159</v>
      </c>
      <c r="AC6" s="674">
        <f t="shared" si="4"/>
        <v>0.17832847424684159</v>
      </c>
      <c r="AD6" s="674">
        <f t="shared" si="5"/>
        <v>0.17825905872553102</v>
      </c>
      <c r="AE6" s="675">
        <f t="shared" si="6"/>
        <v>0.14914118139924593</v>
      </c>
      <c r="AF6" s="675">
        <f t="shared" si="7"/>
        <v>0.14914118139924593</v>
      </c>
      <c r="AG6" s="675">
        <f t="shared" si="8"/>
        <v>0.14908881441139504</v>
      </c>
      <c r="AH6" s="675">
        <f t="shared" si="9"/>
        <v>0.18422706325932131</v>
      </c>
      <c r="AI6" s="675">
        <f t="shared" si="10"/>
        <v>0.18422706325932131</v>
      </c>
      <c r="AJ6" s="675">
        <f t="shared" si="11"/>
        <v>0.18417469627147046</v>
      </c>
      <c r="AK6" s="676">
        <f t="shared" si="12"/>
        <v>7.1280851063829781E-2</v>
      </c>
      <c r="AL6" s="676">
        <f t="shared" si="13"/>
        <v>7.128083838853648E-2</v>
      </c>
      <c r="AM6" s="676">
        <f t="shared" si="14"/>
        <v>7.1280860626059178E-2</v>
      </c>
      <c r="AN6" s="676"/>
      <c r="AO6" s="676"/>
      <c r="AP6" s="676"/>
      <c r="AQ6" s="676"/>
      <c r="AR6" s="676"/>
      <c r="AS6" s="547" t="s">
        <v>864</v>
      </c>
      <c r="AT6" s="677" t="s">
        <v>8</v>
      </c>
      <c r="AU6" s="678">
        <f t="shared" si="38"/>
        <v>0</v>
      </c>
      <c r="AV6" s="678">
        <f t="shared" si="39"/>
        <v>0</v>
      </c>
      <c r="AW6" s="678">
        <f t="shared" si="40"/>
        <v>0</v>
      </c>
      <c r="AX6" s="678">
        <f t="shared" si="41"/>
        <v>0</v>
      </c>
      <c r="AY6" s="678">
        <f t="shared" si="42"/>
        <v>0</v>
      </c>
      <c r="AZ6" s="678">
        <f t="shared" si="43"/>
        <v>0</v>
      </c>
      <c r="BA6" s="678">
        <f t="shared" si="44"/>
        <v>0</v>
      </c>
      <c r="BB6" s="678">
        <f t="shared" si="45"/>
        <v>0</v>
      </c>
      <c r="BC6" s="678">
        <f t="shared" si="46"/>
        <v>0</v>
      </c>
      <c r="BD6" s="678">
        <f t="shared" si="47"/>
        <v>0</v>
      </c>
      <c r="BE6" s="678">
        <f t="shared" si="48"/>
        <v>0</v>
      </c>
      <c r="BF6" s="678">
        <f t="shared" si="49"/>
        <v>0</v>
      </c>
      <c r="BG6" s="678">
        <f>AK6*'Velsipity Sales - 费用 Phasing'!$W$8</f>
        <v>0</v>
      </c>
      <c r="BH6" s="679">
        <f t="shared" si="50"/>
        <v>0</v>
      </c>
      <c r="BI6" s="673">
        <f t="shared" si="51"/>
        <v>0</v>
      </c>
      <c r="BJ6" s="679">
        <f t="shared" si="52"/>
        <v>0</v>
      </c>
      <c r="BK6" s="673">
        <f t="shared" si="53"/>
        <v>0</v>
      </c>
      <c r="BL6" s="673">
        <f t="shared" si="54"/>
        <v>0</v>
      </c>
      <c r="BM6" s="673">
        <f t="shared" si="55"/>
        <v>0</v>
      </c>
      <c r="BN6" s="680">
        <f t="shared" si="56"/>
        <v>0</v>
      </c>
      <c r="BO6" s="680">
        <f t="shared" si="57"/>
        <v>0</v>
      </c>
      <c r="BP6" s="680">
        <f t="shared" si="58"/>
        <v>0</v>
      </c>
      <c r="BS6" s="508" t="s">
        <v>864</v>
      </c>
      <c r="BT6" s="681" t="s">
        <v>8</v>
      </c>
      <c r="CA6" s="673">
        <f t="shared" si="59"/>
        <v>0</v>
      </c>
      <c r="CB6" s="673">
        <f t="shared" si="60"/>
        <v>0</v>
      </c>
      <c r="CC6" s="673">
        <f t="shared" si="61"/>
        <v>0</v>
      </c>
      <c r="CD6" s="673">
        <f t="shared" si="62"/>
        <v>0</v>
      </c>
      <c r="CE6" s="673">
        <f t="shared" si="63"/>
        <v>0</v>
      </c>
      <c r="CF6" s="673">
        <f t="shared" si="64"/>
        <v>0</v>
      </c>
      <c r="CG6" s="673">
        <f t="shared" si="65"/>
        <v>0</v>
      </c>
      <c r="CI6" s="673">
        <f t="shared" si="66"/>
        <v>0</v>
      </c>
      <c r="CJ6" s="680">
        <f t="shared" si="67"/>
        <v>0</v>
      </c>
      <c r="CK6" s="680">
        <f t="shared" si="68"/>
        <v>0</v>
      </c>
      <c r="CL6" s="680">
        <f t="shared" si="69"/>
        <v>0</v>
      </c>
      <c r="CM6" s="682" t="s">
        <v>8</v>
      </c>
      <c r="CN6" s="683">
        <f t="shared" si="18"/>
        <v>0</v>
      </c>
      <c r="CO6" s="683">
        <f t="shared" si="19"/>
        <v>0</v>
      </c>
      <c r="CP6" s="683">
        <f t="shared" si="20"/>
        <v>0</v>
      </c>
      <c r="CQ6" s="683">
        <f t="shared" si="21"/>
        <v>0</v>
      </c>
      <c r="CR6" s="683">
        <f t="shared" si="22"/>
        <v>0</v>
      </c>
      <c r="CS6" s="683">
        <f t="shared" si="23"/>
        <v>0</v>
      </c>
      <c r="CT6" s="683">
        <f t="shared" si="24"/>
        <v>0</v>
      </c>
      <c r="CU6" s="683">
        <f t="shared" si="25"/>
        <v>0</v>
      </c>
      <c r="CV6" s="683">
        <f t="shared" si="26"/>
        <v>0</v>
      </c>
      <c r="CW6" s="683">
        <f t="shared" si="27"/>
        <v>0</v>
      </c>
      <c r="CX6" s="683">
        <f t="shared" si="28"/>
        <v>0</v>
      </c>
      <c r="CY6" s="683">
        <f t="shared" si="29"/>
        <v>0</v>
      </c>
      <c r="CZ6" s="683">
        <f t="shared" si="70"/>
        <v>0</v>
      </c>
      <c r="DA6" s="683">
        <f t="shared" si="71"/>
        <v>0</v>
      </c>
      <c r="DB6" s="683">
        <f t="shared" si="72"/>
        <v>0</v>
      </c>
      <c r="DC6" s="683"/>
      <c r="DD6" s="683"/>
      <c r="DE6" s="683"/>
      <c r="DF6" s="683"/>
      <c r="DG6" s="684">
        <f t="shared" si="73"/>
        <v>0</v>
      </c>
      <c r="DH6" s="684">
        <f t="shared" si="74"/>
        <v>0</v>
      </c>
      <c r="DI6" s="684">
        <f t="shared" si="75"/>
        <v>0</v>
      </c>
      <c r="DK6" s="682" t="s">
        <v>8</v>
      </c>
      <c r="DL6" s="683"/>
      <c r="DM6" s="683"/>
      <c r="DN6" s="683"/>
      <c r="DO6" s="683"/>
      <c r="DP6" s="683"/>
      <c r="DQ6" s="683"/>
      <c r="DR6" s="683"/>
      <c r="DS6" s="683"/>
      <c r="DT6" s="683"/>
      <c r="DU6" s="683"/>
      <c r="DV6" s="683"/>
      <c r="DW6" s="683"/>
      <c r="DX6" s="683">
        <f t="shared" si="76"/>
        <v>0</v>
      </c>
      <c r="DY6" s="683">
        <f t="shared" si="77"/>
        <v>0</v>
      </c>
      <c r="DZ6" s="683">
        <f t="shared" si="78"/>
        <v>0</v>
      </c>
      <c r="EA6" s="683"/>
      <c r="EB6" s="683"/>
      <c r="EC6" s="683"/>
      <c r="ED6" s="683"/>
      <c r="EE6" s="684">
        <f t="shared" si="79"/>
        <v>0</v>
      </c>
      <c r="EF6" s="684">
        <f t="shared" si="80"/>
        <v>0</v>
      </c>
      <c r="EG6" s="684">
        <f t="shared" si="81"/>
        <v>0</v>
      </c>
    </row>
    <row r="7" spans="1:137" s="681" customFormat="1" hidden="1">
      <c r="A7" s="671"/>
      <c r="B7" s="662" t="s">
        <v>865</v>
      </c>
      <c r="C7" s="671" t="s">
        <v>8</v>
      </c>
      <c r="D7" s="671">
        <v>2080</v>
      </c>
      <c r="E7" s="671">
        <v>2080</v>
      </c>
      <c r="F7" s="671">
        <v>2080</v>
      </c>
      <c r="G7" s="671">
        <v>2627</v>
      </c>
      <c r="H7" s="671">
        <v>2627</v>
      </c>
      <c r="I7" s="671">
        <v>2627</v>
      </c>
      <c r="J7" s="672">
        <v>2791</v>
      </c>
      <c r="K7" s="672">
        <v>2791</v>
      </c>
      <c r="L7" s="672">
        <v>2792</v>
      </c>
      <c r="M7" s="672">
        <v>3448</v>
      </c>
      <c r="N7" s="672">
        <v>3448</v>
      </c>
      <c r="O7" s="672">
        <v>3449</v>
      </c>
      <c r="P7" s="672">
        <f t="shared" si="30"/>
        <v>32840</v>
      </c>
      <c r="Q7" s="672">
        <f t="shared" si="31"/>
        <v>14121</v>
      </c>
      <c r="R7" s="672">
        <f t="shared" si="32"/>
        <v>18719</v>
      </c>
      <c r="S7" s="672">
        <f t="shared" si="33"/>
        <v>6240</v>
      </c>
      <c r="T7" s="672">
        <f t="shared" si="34"/>
        <v>7881</v>
      </c>
      <c r="U7" s="672">
        <f t="shared" si="35"/>
        <v>8374</v>
      </c>
      <c r="V7" s="672">
        <f t="shared" si="36"/>
        <v>10345</v>
      </c>
      <c r="W7" s="673">
        <f t="shared" si="37"/>
        <v>0</v>
      </c>
      <c r="X7" s="671" t="s">
        <v>8</v>
      </c>
      <c r="Y7" s="674">
        <f t="shared" si="0"/>
        <v>0.14729834997521421</v>
      </c>
      <c r="Z7" s="674">
        <f t="shared" si="1"/>
        <v>0.14729834997521421</v>
      </c>
      <c r="AA7" s="674">
        <f t="shared" si="2"/>
        <v>0.14729834997521421</v>
      </c>
      <c r="AB7" s="674">
        <f t="shared" si="3"/>
        <v>0.1860349833581191</v>
      </c>
      <c r="AC7" s="674">
        <f t="shared" si="4"/>
        <v>0.1860349833581191</v>
      </c>
      <c r="AD7" s="674">
        <f t="shared" si="5"/>
        <v>0.1860349833581191</v>
      </c>
      <c r="AE7" s="675">
        <f t="shared" si="6"/>
        <v>0.14909984507719429</v>
      </c>
      <c r="AF7" s="675">
        <f t="shared" si="7"/>
        <v>0.14909984507719429</v>
      </c>
      <c r="AG7" s="675">
        <f t="shared" si="8"/>
        <v>0.1491532667343341</v>
      </c>
      <c r="AH7" s="675">
        <f t="shared" si="9"/>
        <v>0.18419787381804584</v>
      </c>
      <c r="AI7" s="675">
        <f t="shared" si="10"/>
        <v>0.18419787381804584</v>
      </c>
      <c r="AJ7" s="675">
        <f t="shared" si="11"/>
        <v>0.18425129547518565</v>
      </c>
      <c r="AK7" s="676">
        <f t="shared" si="12"/>
        <v>6.987234042553192E-2</v>
      </c>
      <c r="AL7" s="676">
        <f t="shared" si="13"/>
        <v>6.9870659370021085E-2</v>
      </c>
      <c r="AM7" s="676">
        <f t="shared" si="14"/>
        <v>6.9873608612233018E-2</v>
      </c>
      <c r="AN7" s="676"/>
      <c r="AO7" s="676"/>
      <c r="AP7" s="676"/>
      <c r="AQ7" s="676"/>
      <c r="AR7" s="676"/>
      <c r="AS7" s="547" t="s">
        <v>865</v>
      </c>
      <c r="AT7" s="677" t="s">
        <v>8</v>
      </c>
      <c r="AU7" s="678">
        <f t="shared" si="38"/>
        <v>0</v>
      </c>
      <c r="AV7" s="678">
        <f t="shared" si="39"/>
        <v>0</v>
      </c>
      <c r="AW7" s="678">
        <f t="shared" si="40"/>
        <v>0</v>
      </c>
      <c r="AX7" s="678">
        <f t="shared" si="41"/>
        <v>0</v>
      </c>
      <c r="AY7" s="678">
        <f t="shared" si="42"/>
        <v>0</v>
      </c>
      <c r="AZ7" s="678">
        <f t="shared" si="43"/>
        <v>0</v>
      </c>
      <c r="BA7" s="678">
        <f t="shared" si="44"/>
        <v>0</v>
      </c>
      <c r="BB7" s="678">
        <f t="shared" si="45"/>
        <v>0</v>
      </c>
      <c r="BC7" s="678">
        <f t="shared" si="46"/>
        <v>0</v>
      </c>
      <c r="BD7" s="678">
        <f t="shared" si="47"/>
        <v>0</v>
      </c>
      <c r="BE7" s="678">
        <f t="shared" si="48"/>
        <v>0</v>
      </c>
      <c r="BF7" s="678">
        <f t="shared" si="49"/>
        <v>0</v>
      </c>
      <c r="BG7" s="678">
        <f>AK7*'Velsipity Sales - 费用 Phasing'!$W$8</f>
        <v>0</v>
      </c>
      <c r="BH7" s="679">
        <f t="shared" si="50"/>
        <v>0</v>
      </c>
      <c r="BI7" s="673">
        <f t="shared" si="51"/>
        <v>0</v>
      </c>
      <c r="BJ7" s="679">
        <f t="shared" si="52"/>
        <v>0</v>
      </c>
      <c r="BK7" s="673">
        <f t="shared" si="53"/>
        <v>0</v>
      </c>
      <c r="BL7" s="673">
        <f t="shared" si="54"/>
        <v>0</v>
      </c>
      <c r="BM7" s="673">
        <f t="shared" si="55"/>
        <v>0</v>
      </c>
      <c r="BN7" s="680">
        <f t="shared" si="56"/>
        <v>0</v>
      </c>
      <c r="BO7" s="680">
        <f t="shared" si="57"/>
        <v>0</v>
      </c>
      <c r="BP7" s="680">
        <f t="shared" si="58"/>
        <v>0</v>
      </c>
      <c r="BS7" s="508" t="s">
        <v>865</v>
      </c>
      <c r="BT7" s="681" t="s">
        <v>8</v>
      </c>
      <c r="CA7" s="673">
        <f t="shared" si="59"/>
        <v>0</v>
      </c>
      <c r="CB7" s="673">
        <f t="shared" si="60"/>
        <v>0</v>
      </c>
      <c r="CC7" s="673">
        <f t="shared" si="61"/>
        <v>0</v>
      </c>
      <c r="CD7" s="673">
        <f t="shared" si="62"/>
        <v>0</v>
      </c>
      <c r="CE7" s="673">
        <f t="shared" si="63"/>
        <v>0</v>
      </c>
      <c r="CF7" s="673">
        <f t="shared" si="64"/>
        <v>0</v>
      </c>
      <c r="CG7" s="673">
        <f t="shared" si="65"/>
        <v>0</v>
      </c>
      <c r="CI7" s="673">
        <f t="shared" si="66"/>
        <v>0</v>
      </c>
      <c r="CJ7" s="680">
        <f t="shared" si="67"/>
        <v>0</v>
      </c>
      <c r="CK7" s="680">
        <f t="shared" si="68"/>
        <v>0</v>
      </c>
      <c r="CL7" s="680">
        <f t="shared" si="69"/>
        <v>0</v>
      </c>
      <c r="CM7" s="682" t="s">
        <v>8</v>
      </c>
      <c r="CN7" s="683">
        <f t="shared" si="18"/>
        <v>0</v>
      </c>
      <c r="CO7" s="683">
        <f t="shared" si="19"/>
        <v>0</v>
      </c>
      <c r="CP7" s="683">
        <f t="shared" si="20"/>
        <v>0</v>
      </c>
      <c r="CQ7" s="683">
        <f t="shared" si="21"/>
        <v>0</v>
      </c>
      <c r="CR7" s="683">
        <f t="shared" si="22"/>
        <v>0</v>
      </c>
      <c r="CS7" s="683">
        <f t="shared" si="23"/>
        <v>0</v>
      </c>
      <c r="CT7" s="683">
        <f t="shared" si="24"/>
        <v>0</v>
      </c>
      <c r="CU7" s="683">
        <f t="shared" si="25"/>
        <v>0</v>
      </c>
      <c r="CV7" s="683">
        <f t="shared" si="26"/>
        <v>0</v>
      </c>
      <c r="CW7" s="683">
        <f t="shared" si="27"/>
        <v>0</v>
      </c>
      <c r="CX7" s="683">
        <f t="shared" si="28"/>
        <v>0</v>
      </c>
      <c r="CY7" s="683">
        <f t="shared" si="29"/>
        <v>0</v>
      </c>
      <c r="CZ7" s="683">
        <f t="shared" si="70"/>
        <v>0</v>
      </c>
      <c r="DA7" s="683">
        <f t="shared" si="71"/>
        <v>0</v>
      </c>
      <c r="DB7" s="683">
        <f t="shared" si="72"/>
        <v>0</v>
      </c>
      <c r="DC7" s="683"/>
      <c r="DD7" s="683"/>
      <c r="DE7" s="683"/>
      <c r="DF7" s="683"/>
      <c r="DG7" s="684">
        <f t="shared" si="73"/>
        <v>0</v>
      </c>
      <c r="DH7" s="684">
        <f t="shared" si="74"/>
        <v>0</v>
      </c>
      <c r="DI7" s="684">
        <f t="shared" si="75"/>
        <v>0</v>
      </c>
      <c r="DK7" s="682" t="s">
        <v>8</v>
      </c>
      <c r="DL7" s="683"/>
      <c r="DM7" s="683"/>
      <c r="DN7" s="683"/>
      <c r="DO7" s="683"/>
      <c r="DP7" s="683"/>
      <c r="DQ7" s="683"/>
      <c r="DR7" s="683"/>
      <c r="DS7" s="683"/>
      <c r="DT7" s="683"/>
      <c r="DU7" s="683"/>
      <c r="DV7" s="683"/>
      <c r="DW7" s="683"/>
      <c r="DX7" s="683">
        <f t="shared" si="76"/>
        <v>0</v>
      </c>
      <c r="DY7" s="683">
        <f t="shared" si="77"/>
        <v>0</v>
      </c>
      <c r="DZ7" s="683">
        <f t="shared" si="78"/>
        <v>0</v>
      </c>
      <c r="EA7" s="683"/>
      <c r="EB7" s="683"/>
      <c r="EC7" s="683"/>
      <c r="ED7" s="683"/>
      <c r="EE7" s="684">
        <f t="shared" si="79"/>
        <v>0</v>
      </c>
      <c r="EF7" s="684">
        <f t="shared" si="80"/>
        <v>0</v>
      </c>
      <c r="EG7" s="684">
        <f t="shared" si="81"/>
        <v>0</v>
      </c>
    </row>
    <row r="8" spans="1:137" s="681" customFormat="1" hidden="1">
      <c r="A8" s="671"/>
      <c r="B8" s="662" t="s">
        <v>866</v>
      </c>
      <c r="C8" s="671" t="s">
        <v>8</v>
      </c>
      <c r="D8" s="671">
        <v>3843</v>
      </c>
      <c r="E8" s="671">
        <v>3843</v>
      </c>
      <c r="F8" s="671">
        <v>3844</v>
      </c>
      <c r="G8" s="671">
        <v>3775</v>
      </c>
      <c r="H8" s="671">
        <v>3775</v>
      </c>
      <c r="I8" s="671">
        <v>3774</v>
      </c>
      <c r="J8" s="672">
        <v>4518</v>
      </c>
      <c r="K8" s="672">
        <v>4518</v>
      </c>
      <c r="L8" s="672">
        <v>4517</v>
      </c>
      <c r="M8" s="672">
        <v>5581</v>
      </c>
      <c r="N8" s="672">
        <v>5581</v>
      </c>
      <c r="O8" s="672">
        <v>5580</v>
      </c>
      <c r="P8" s="672">
        <f t="shared" si="30"/>
        <v>53149</v>
      </c>
      <c r="Q8" s="672">
        <f t="shared" si="31"/>
        <v>22854</v>
      </c>
      <c r="R8" s="672">
        <f t="shared" si="32"/>
        <v>30295</v>
      </c>
      <c r="S8" s="672">
        <f t="shared" si="33"/>
        <v>11530</v>
      </c>
      <c r="T8" s="672">
        <f t="shared" si="34"/>
        <v>11324</v>
      </c>
      <c r="U8" s="672">
        <f t="shared" si="35"/>
        <v>13553</v>
      </c>
      <c r="V8" s="672">
        <f t="shared" si="36"/>
        <v>16742</v>
      </c>
      <c r="W8" s="673">
        <f t="shared" si="37"/>
        <v>0</v>
      </c>
      <c r="X8" s="671" t="s">
        <v>8</v>
      </c>
      <c r="Y8" s="674">
        <f t="shared" si="0"/>
        <v>0.16815437122604357</v>
      </c>
      <c r="Z8" s="674">
        <f t="shared" si="1"/>
        <v>0.16815437122604357</v>
      </c>
      <c r="AA8" s="674">
        <f t="shared" si="2"/>
        <v>0.16819812724249583</v>
      </c>
      <c r="AB8" s="674">
        <f t="shared" si="3"/>
        <v>0.16517896210728975</v>
      </c>
      <c r="AC8" s="674">
        <f t="shared" si="4"/>
        <v>0.16517896210728975</v>
      </c>
      <c r="AD8" s="674">
        <f t="shared" si="5"/>
        <v>0.16513520609083748</v>
      </c>
      <c r="AE8" s="675">
        <f t="shared" si="6"/>
        <v>0.14913352038290148</v>
      </c>
      <c r="AF8" s="675">
        <f t="shared" si="7"/>
        <v>0.14913352038290148</v>
      </c>
      <c r="AG8" s="675">
        <f t="shared" si="8"/>
        <v>0.14910051163558344</v>
      </c>
      <c r="AH8" s="675">
        <f t="shared" si="9"/>
        <v>0.18422181878197721</v>
      </c>
      <c r="AI8" s="675">
        <f t="shared" si="10"/>
        <v>0.18422181878197721</v>
      </c>
      <c r="AJ8" s="675">
        <f t="shared" si="11"/>
        <v>0.18418881003465917</v>
      </c>
      <c r="AK8" s="676">
        <f t="shared" si="12"/>
        <v>0.11308297872340425</v>
      </c>
      <c r="AL8" s="676">
        <f t="shared" si="13"/>
        <v>0.11308151329526675</v>
      </c>
      <c r="AM8" s="676">
        <f t="shared" si="14"/>
        <v>0.11308408424101711</v>
      </c>
      <c r="AN8" s="676"/>
      <c r="AO8" s="676"/>
      <c r="AP8" s="676"/>
      <c r="AQ8" s="676"/>
      <c r="AR8" s="676"/>
      <c r="AS8" s="547" t="s">
        <v>866</v>
      </c>
      <c r="AT8" s="677" t="s">
        <v>8</v>
      </c>
      <c r="AU8" s="678">
        <f t="shared" si="38"/>
        <v>0</v>
      </c>
      <c r="AV8" s="678">
        <f t="shared" si="39"/>
        <v>0</v>
      </c>
      <c r="AW8" s="678">
        <f t="shared" si="40"/>
        <v>0</v>
      </c>
      <c r="AX8" s="678">
        <f t="shared" si="41"/>
        <v>0</v>
      </c>
      <c r="AY8" s="678">
        <f t="shared" si="42"/>
        <v>0</v>
      </c>
      <c r="AZ8" s="678">
        <f t="shared" si="43"/>
        <v>0</v>
      </c>
      <c r="BA8" s="678">
        <f t="shared" si="44"/>
        <v>0</v>
      </c>
      <c r="BB8" s="678">
        <f t="shared" si="45"/>
        <v>0</v>
      </c>
      <c r="BC8" s="678">
        <f t="shared" si="46"/>
        <v>0</v>
      </c>
      <c r="BD8" s="678">
        <f t="shared" si="47"/>
        <v>0</v>
      </c>
      <c r="BE8" s="678">
        <f t="shared" si="48"/>
        <v>0</v>
      </c>
      <c r="BF8" s="678">
        <f t="shared" si="49"/>
        <v>0</v>
      </c>
      <c r="BG8" s="678">
        <f>AK8*'Velsipity Sales - 费用 Phasing'!$W$8</f>
        <v>0</v>
      </c>
      <c r="BH8" s="679">
        <f t="shared" si="50"/>
        <v>0</v>
      </c>
      <c r="BI8" s="673">
        <f t="shared" si="51"/>
        <v>0</v>
      </c>
      <c r="BJ8" s="679">
        <f t="shared" si="52"/>
        <v>0</v>
      </c>
      <c r="BK8" s="673">
        <f t="shared" si="53"/>
        <v>0</v>
      </c>
      <c r="BL8" s="673">
        <f t="shared" si="54"/>
        <v>0</v>
      </c>
      <c r="BM8" s="673">
        <f t="shared" si="55"/>
        <v>0</v>
      </c>
      <c r="BN8" s="680">
        <f t="shared" si="56"/>
        <v>0</v>
      </c>
      <c r="BO8" s="680">
        <f t="shared" si="57"/>
        <v>0</v>
      </c>
      <c r="BP8" s="680">
        <f t="shared" si="58"/>
        <v>0</v>
      </c>
      <c r="BS8" s="508" t="s">
        <v>866</v>
      </c>
      <c r="BT8" s="681" t="s">
        <v>8</v>
      </c>
      <c r="CA8" s="673">
        <f t="shared" si="59"/>
        <v>0</v>
      </c>
      <c r="CB8" s="673">
        <f t="shared" si="60"/>
        <v>0</v>
      </c>
      <c r="CC8" s="673">
        <f t="shared" si="61"/>
        <v>0</v>
      </c>
      <c r="CD8" s="673">
        <f t="shared" si="62"/>
        <v>0</v>
      </c>
      <c r="CE8" s="673">
        <f t="shared" si="63"/>
        <v>0</v>
      </c>
      <c r="CF8" s="673">
        <f t="shared" si="64"/>
        <v>0</v>
      </c>
      <c r="CG8" s="673">
        <f t="shared" si="65"/>
        <v>0</v>
      </c>
      <c r="CI8" s="673">
        <f t="shared" si="66"/>
        <v>0</v>
      </c>
      <c r="CJ8" s="680">
        <f t="shared" si="67"/>
        <v>0</v>
      </c>
      <c r="CK8" s="680">
        <f t="shared" si="68"/>
        <v>0</v>
      </c>
      <c r="CL8" s="680">
        <f t="shared" si="69"/>
        <v>0</v>
      </c>
      <c r="CM8" s="682" t="s">
        <v>8</v>
      </c>
      <c r="CN8" s="683">
        <f t="shared" si="18"/>
        <v>0</v>
      </c>
      <c r="CO8" s="683">
        <f t="shared" si="19"/>
        <v>0</v>
      </c>
      <c r="CP8" s="683">
        <f t="shared" si="20"/>
        <v>0</v>
      </c>
      <c r="CQ8" s="683">
        <f t="shared" si="21"/>
        <v>0</v>
      </c>
      <c r="CR8" s="683">
        <f t="shared" si="22"/>
        <v>0</v>
      </c>
      <c r="CS8" s="683">
        <f t="shared" si="23"/>
        <v>0</v>
      </c>
      <c r="CT8" s="683">
        <f t="shared" si="24"/>
        <v>0</v>
      </c>
      <c r="CU8" s="683">
        <f t="shared" si="25"/>
        <v>0</v>
      </c>
      <c r="CV8" s="683">
        <f t="shared" si="26"/>
        <v>0</v>
      </c>
      <c r="CW8" s="683">
        <f t="shared" si="27"/>
        <v>0</v>
      </c>
      <c r="CX8" s="683">
        <f t="shared" si="28"/>
        <v>0</v>
      </c>
      <c r="CY8" s="683">
        <f t="shared" si="29"/>
        <v>0</v>
      </c>
      <c r="CZ8" s="683">
        <f t="shared" si="70"/>
        <v>0</v>
      </c>
      <c r="DA8" s="683">
        <f t="shared" si="71"/>
        <v>0</v>
      </c>
      <c r="DB8" s="683">
        <f t="shared" si="72"/>
        <v>0</v>
      </c>
      <c r="DC8" s="683"/>
      <c r="DD8" s="683"/>
      <c r="DE8" s="683"/>
      <c r="DF8" s="683"/>
      <c r="DG8" s="684">
        <f t="shared" si="73"/>
        <v>0</v>
      </c>
      <c r="DH8" s="684">
        <f t="shared" si="74"/>
        <v>0</v>
      </c>
      <c r="DI8" s="684">
        <f t="shared" si="75"/>
        <v>0</v>
      </c>
      <c r="DK8" s="682" t="s">
        <v>8</v>
      </c>
      <c r="DL8" s="683"/>
      <c r="DM8" s="683"/>
      <c r="DN8" s="683"/>
      <c r="DO8" s="683"/>
      <c r="DP8" s="683"/>
      <c r="DQ8" s="683"/>
      <c r="DR8" s="683"/>
      <c r="DS8" s="683"/>
      <c r="DT8" s="683"/>
      <c r="DU8" s="683"/>
      <c r="DV8" s="683"/>
      <c r="DW8" s="683"/>
      <c r="DX8" s="683">
        <f t="shared" si="76"/>
        <v>0</v>
      </c>
      <c r="DY8" s="683">
        <f t="shared" si="77"/>
        <v>0</v>
      </c>
      <c r="DZ8" s="683">
        <f t="shared" si="78"/>
        <v>0</v>
      </c>
      <c r="EA8" s="683"/>
      <c r="EB8" s="683"/>
      <c r="EC8" s="683"/>
      <c r="ED8" s="683"/>
      <c r="EE8" s="684">
        <f t="shared" si="79"/>
        <v>0</v>
      </c>
      <c r="EF8" s="684">
        <f t="shared" si="80"/>
        <v>0</v>
      </c>
      <c r="EG8" s="684">
        <f t="shared" si="81"/>
        <v>0</v>
      </c>
    </row>
    <row r="9" spans="1:137" s="681" customFormat="1" hidden="1">
      <c r="A9" s="671"/>
      <c r="B9" s="662" t="s">
        <v>867</v>
      </c>
      <c r="C9" s="671" t="s">
        <v>8</v>
      </c>
      <c r="D9" s="671">
        <v>3345</v>
      </c>
      <c r="E9" s="671">
        <v>3345</v>
      </c>
      <c r="F9" s="671">
        <v>3344</v>
      </c>
      <c r="G9" s="671">
        <v>3866</v>
      </c>
      <c r="H9" s="671">
        <v>3866</v>
      </c>
      <c r="I9" s="671">
        <v>3867</v>
      </c>
      <c r="J9" s="672">
        <v>4276</v>
      </c>
      <c r="K9" s="672">
        <v>4276</v>
      </c>
      <c r="L9" s="672">
        <v>4277</v>
      </c>
      <c r="M9" s="672">
        <v>5282</v>
      </c>
      <c r="N9" s="672">
        <v>5282</v>
      </c>
      <c r="O9" s="672">
        <v>5283</v>
      </c>
      <c r="P9" s="672">
        <f t="shared" si="30"/>
        <v>50309</v>
      </c>
      <c r="Q9" s="672">
        <f t="shared" si="31"/>
        <v>21633</v>
      </c>
      <c r="R9" s="672">
        <f t="shared" si="32"/>
        <v>28676</v>
      </c>
      <c r="S9" s="672">
        <f t="shared" si="33"/>
        <v>10034</v>
      </c>
      <c r="T9" s="672">
        <f t="shared" si="34"/>
        <v>11599</v>
      </c>
      <c r="U9" s="672">
        <f t="shared" si="35"/>
        <v>12829</v>
      </c>
      <c r="V9" s="672">
        <f t="shared" si="36"/>
        <v>15847</v>
      </c>
      <c r="W9" s="673">
        <f t="shared" si="37"/>
        <v>0</v>
      </c>
      <c r="X9" s="671" t="s">
        <v>8</v>
      </c>
      <c r="Y9" s="674">
        <f t="shared" si="0"/>
        <v>0.15462487865760643</v>
      </c>
      <c r="Z9" s="674">
        <f t="shared" si="1"/>
        <v>0.15462487865760643</v>
      </c>
      <c r="AA9" s="674">
        <f t="shared" si="2"/>
        <v>0.15457865298386725</v>
      </c>
      <c r="AB9" s="674">
        <f t="shared" si="3"/>
        <v>0.17870845467572691</v>
      </c>
      <c r="AC9" s="674">
        <f t="shared" si="4"/>
        <v>0.17870845467572691</v>
      </c>
      <c r="AD9" s="674">
        <f t="shared" si="5"/>
        <v>0.17875468034946609</v>
      </c>
      <c r="AE9" s="675">
        <f t="shared" si="6"/>
        <v>0.14911424187473846</v>
      </c>
      <c r="AF9" s="675">
        <f t="shared" si="7"/>
        <v>0.14911424187473846</v>
      </c>
      <c r="AG9" s="675">
        <f t="shared" si="8"/>
        <v>0.14914911424187474</v>
      </c>
      <c r="AH9" s="675">
        <f t="shared" si="9"/>
        <v>0.18419584321383736</v>
      </c>
      <c r="AI9" s="675">
        <f t="shared" si="10"/>
        <v>0.18419584321383736</v>
      </c>
      <c r="AJ9" s="675">
        <f t="shared" si="11"/>
        <v>0.18423071558097365</v>
      </c>
      <c r="AK9" s="676">
        <f t="shared" si="12"/>
        <v>0.1070404255319149</v>
      </c>
      <c r="AL9" s="676">
        <f t="shared" si="13"/>
        <v>0.10704000950015338</v>
      </c>
      <c r="AM9" s="676">
        <f t="shared" si="14"/>
        <v>0.10704073938588567</v>
      </c>
      <c r="AN9" s="676"/>
      <c r="AO9" s="676"/>
      <c r="AP9" s="676"/>
      <c r="AQ9" s="676"/>
      <c r="AR9" s="676"/>
      <c r="AS9" s="547" t="s">
        <v>867</v>
      </c>
      <c r="AT9" s="677" t="s">
        <v>8</v>
      </c>
      <c r="AU9" s="678">
        <f t="shared" si="38"/>
        <v>0</v>
      </c>
      <c r="AV9" s="678">
        <f t="shared" si="39"/>
        <v>0</v>
      </c>
      <c r="AW9" s="678">
        <f t="shared" si="40"/>
        <v>0</v>
      </c>
      <c r="AX9" s="678">
        <f t="shared" si="41"/>
        <v>0</v>
      </c>
      <c r="AY9" s="678">
        <f t="shared" si="42"/>
        <v>0</v>
      </c>
      <c r="AZ9" s="678">
        <f t="shared" si="43"/>
        <v>0</v>
      </c>
      <c r="BA9" s="678">
        <f t="shared" si="44"/>
        <v>0</v>
      </c>
      <c r="BB9" s="678">
        <f t="shared" si="45"/>
        <v>0</v>
      </c>
      <c r="BC9" s="678">
        <f t="shared" si="46"/>
        <v>0</v>
      </c>
      <c r="BD9" s="678">
        <f t="shared" si="47"/>
        <v>0</v>
      </c>
      <c r="BE9" s="678">
        <f t="shared" si="48"/>
        <v>0</v>
      </c>
      <c r="BF9" s="678">
        <f t="shared" si="49"/>
        <v>0</v>
      </c>
      <c r="BG9" s="678">
        <f>AK9*'Velsipity Sales - 费用 Phasing'!$W$8</f>
        <v>0</v>
      </c>
      <c r="BH9" s="679">
        <f t="shared" si="50"/>
        <v>0</v>
      </c>
      <c r="BI9" s="673">
        <f t="shared" si="51"/>
        <v>0</v>
      </c>
      <c r="BJ9" s="679">
        <f t="shared" si="52"/>
        <v>0</v>
      </c>
      <c r="BK9" s="673">
        <f t="shared" si="53"/>
        <v>0</v>
      </c>
      <c r="BL9" s="673">
        <f t="shared" si="54"/>
        <v>0</v>
      </c>
      <c r="BM9" s="673">
        <f t="shared" si="55"/>
        <v>0</v>
      </c>
      <c r="BN9" s="680">
        <f t="shared" si="56"/>
        <v>0</v>
      </c>
      <c r="BO9" s="680">
        <f t="shared" si="57"/>
        <v>0</v>
      </c>
      <c r="BP9" s="680">
        <f t="shared" si="58"/>
        <v>0</v>
      </c>
      <c r="BS9" s="508" t="s">
        <v>867</v>
      </c>
      <c r="BT9" s="681" t="s">
        <v>8</v>
      </c>
      <c r="CA9" s="673">
        <f t="shared" si="59"/>
        <v>0</v>
      </c>
      <c r="CB9" s="673">
        <f t="shared" si="60"/>
        <v>0</v>
      </c>
      <c r="CC9" s="673">
        <f t="shared" si="61"/>
        <v>0</v>
      </c>
      <c r="CD9" s="673">
        <f t="shared" si="62"/>
        <v>0</v>
      </c>
      <c r="CE9" s="673">
        <f t="shared" si="63"/>
        <v>0</v>
      </c>
      <c r="CF9" s="673">
        <f t="shared" si="64"/>
        <v>0</v>
      </c>
      <c r="CG9" s="673">
        <f t="shared" si="65"/>
        <v>0</v>
      </c>
      <c r="CI9" s="673">
        <f t="shared" si="66"/>
        <v>0</v>
      </c>
      <c r="CJ9" s="680">
        <f t="shared" si="67"/>
        <v>0</v>
      </c>
      <c r="CK9" s="680">
        <f t="shared" si="68"/>
        <v>0</v>
      </c>
      <c r="CL9" s="680">
        <f t="shared" si="69"/>
        <v>0</v>
      </c>
      <c r="CM9" s="682" t="s">
        <v>8</v>
      </c>
      <c r="CN9" s="683">
        <f t="shared" si="18"/>
        <v>0</v>
      </c>
      <c r="CO9" s="683">
        <f t="shared" si="19"/>
        <v>0</v>
      </c>
      <c r="CP9" s="683">
        <f t="shared" si="20"/>
        <v>0</v>
      </c>
      <c r="CQ9" s="683">
        <f t="shared" si="21"/>
        <v>0</v>
      </c>
      <c r="CR9" s="683">
        <f t="shared" si="22"/>
        <v>0</v>
      </c>
      <c r="CS9" s="683">
        <f t="shared" si="23"/>
        <v>0</v>
      </c>
      <c r="CT9" s="683">
        <f t="shared" si="24"/>
        <v>0</v>
      </c>
      <c r="CU9" s="683">
        <f t="shared" si="25"/>
        <v>0</v>
      </c>
      <c r="CV9" s="683">
        <f t="shared" si="26"/>
        <v>0</v>
      </c>
      <c r="CW9" s="683">
        <f t="shared" si="27"/>
        <v>0</v>
      </c>
      <c r="CX9" s="683">
        <f t="shared" si="28"/>
        <v>0</v>
      </c>
      <c r="CY9" s="683">
        <f t="shared" si="29"/>
        <v>0</v>
      </c>
      <c r="CZ9" s="683">
        <f t="shared" si="70"/>
        <v>0</v>
      </c>
      <c r="DA9" s="683">
        <f t="shared" si="71"/>
        <v>0</v>
      </c>
      <c r="DB9" s="683">
        <f t="shared" si="72"/>
        <v>0</v>
      </c>
      <c r="DC9" s="683"/>
      <c r="DD9" s="683"/>
      <c r="DE9" s="683"/>
      <c r="DF9" s="683"/>
      <c r="DG9" s="684">
        <f t="shared" si="73"/>
        <v>0</v>
      </c>
      <c r="DH9" s="684">
        <f t="shared" si="74"/>
        <v>0</v>
      </c>
      <c r="DI9" s="684">
        <f t="shared" si="75"/>
        <v>0</v>
      </c>
      <c r="DK9" s="682" t="s">
        <v>8</v>
      </c>
      <c r="DL9" s="683"/>
      <c r="DM9" s="683"/>
      <c r="DN9" s="683"/>
      <c r="DO9" s="683"/>
      <c r="DP9" s="683"/>
      <c r="DQ9" s="683"/>
      <c r="DR9" s="683"/>
      <c r="DS9" s="683"/>
      <c r="DT9" s="683"/>
      <c r="DU9" s="683"/>
      <c r="DV9" s="683"/>
      <c r="DW9" s="683"/>
      <c r="DX9" s="683">
        <f t="shared" si="76"/>
        <v>0</v>
      </c>
      <c r="DY9" s="683">
        <f t="shared" si="77"/>
        <v>0</v>
      </c>
      <c r="DZ9" s="683">
        <f t="shared" si="78"/>
        <v>0</v>
      </c>
      <c r="EA9" s="683"/>
      <c r="EB9" s="683"/>
      <c r="EC9" s="683"/>
      <c r="ED9" s="683"/>
      <c r="EE9" s="684">
        <f t="shared" si="79"/>
        <v>0</v>
      </c>
      <c r="EF9" s="684">
        <f t="shared" si="80"/>
        <v>0</v>
      </c>
      <c r="EG9" s="684">
        <f t="shared" si="81"/>
        <v>0</v>
      </c>
    </row>
    <row r="10" spans="1:137" s="681" customFormat="1" hidden="1">
      <c r="A10" s="671"/>
      <c r="B10" s="662" t="s">
        <v>847</v>
      </c>
      <c r="C10" s="671" t="s">
        <v>8</v>
      </c>
      <c r="D10" s="671">
        <v>4191</v>
      </c>
      <c r="E10" s="671">
        <v>4191</v>
      </c>
      <c r="F10" s="671">
        <v>4191</v>
      </c>
      <c r="G10" s="671">
        <v>5253</v>
      </c>
      <c r="H10" s="671">
        <v>5253</v>
      </c>
      <c r="I10" s="671">
        <v>5254</v>
      </c>
      <c r="J10" s="672">
        <v>5601</v>
      </c>
      <c r="K10" s="672">
        <v>5601</v>
      </c>
      <c r="L10" s="672">
        <v>5600</v>
      </c>
      <c r="M10" s="672">
        <v>6918</v>
      </c>
      <c r="N10" s="672">
        <v>6918</v>
      </c>
      <c r="O10" s="672">
        <v>6919</v>
      </c>
      <c r="P10" s="672">
        <f t="shared" si="30"/>
        <v>65890</v>
      </c>
      <c r="Q10" s="672">
        <f t="shared" si="31"/>
        <v>28333</v>
      </c>
      <c r="R10" s="672">
        <f t="shared" si="32"/>
        <v>37557</v>
      </c>
      <c r="S10" s="672">
        <f t="shared" si="33"/>
        <v>12573</v>
      </c>
      <c r="T10" s="672">
        <f t="shared" si="34"/>
        <v>15760</v>
      </c>
      <c r="U10" s="672">
        <f t="shared" si="35"/>
        <v>16802</v>
      </c>
      <c r="V10" s="672">
        <f t="shared" si="36"/>
        <v>20755</v>
      </c>
      <c r="W10" s="673">
        <f t="shared" si="37"/>
        <v>0</v>
      </c>
      <c r="X10" s="671" t="s">
        <v>8</v>
      </c>
      <c r="Y10" s="674">
        <f t="shared" si="0"/>
        <v>0.14791938728690926</v>
      </c>
      <c r="Z10" s="674">
        <f t="shared" si="1"/>
        <v>0.14791938728690926</v>
      </c>
      <c r="AA10" s="674">
        <f t="shared" si="2"/>
        <v>0.14791938728690926</v>
      </c>
      <c r="AB10" s="674">
        <f t="shared" si="3"/>
        <v>0.18540218120213178</v>
      </c>
      <c r="AC10" s="674">
        <f t="shared" si="4"/>
        <v>0.18540218120213178</v>
      </c>
      <c r="AD10" s="674">
        <f t="shared" si="5"/>
        <v>0.18543747573500866</v>
      </c>
      <c r="AE10" s="675">
        <f t="shared" si="6"/>
        <v>0.14913331735761642</v>
      </c>
      <c r="AF10" s="675">
        <f t="shared" si="7"/>
        <v>0.14913331735761642</v>
      </c>
      <c r="AG10" s="675">
        <f t="shared" si="8"/>
        <v>0.14910669116276593</v>
      </c>
      <c r="AH10" s="675">
        <f t="shared" si="9"/>
        <v>0.18420001597571692</v>
      </c>
      <c r="AI10" s="675">
        <f t="shared" si="10"/>
        <v>0.18420001597571692</v>
      </c>
      <c r="AJ10" s="675">
        <f t="shared" si="11"/>
        <v>0.18422664217056742</v>
      </c>
      <c r="AK10" s="676">
        <f t="shared" si="12"/>
        <v>0.14019148936170212</v>
      </c>
      <c r="AL10" s="676">
        <f t="shared" si="13"/>
        <v>0.14019158642665586</v>
      </c>
      <c r="AM10" s="676">
        <f t="shared" si="14"/>
        <v>0.14019141613599206</v>
      </c>
      <c r="AN10" s="676"/>
      <c r="AO10" s="676"/>
      <c r="AP10" s="676"/>
      <c r="AQ10" s="676"/>
      <c r="AR10" s="676"/>
      <c r="AS10" s="547" t="s">
        <v>847</v>
      </c>
      <c r="AT10" s="677" t="s">
        <v>8</v>
      </c>
      <c r="AU10" s="678">
        <f t="shared" si="38"/>
        <v>0</v>
      </c>
      <c r="AV10" s="678">
        <f t="shared" si="39"/>
        <v>0</v>
      </c>
      <c r="AW10" s="678">
        <f t="shared" si="40"/>
        <v>0</v>
      </c>
      <c r="AX10" s="678">
        <f t="shared" si="41"/>
        <v>0</v>
      </c>
      <c r="AY10" s="678">
        <f t="shared" si="42"/>
        <v>0</v>
      </c>
      <c r="AZ10" s="678">
        <f t="shared" si="43"/>
        <v>0</v>
      </c>
      <c r="BA10" s="678">
        <f t="shared" si="44"/>
        <v>0</v>
      </c>
      <c r="BB10" s="678">
        <f t="shared" si="45"/>
        <v>0</v>
      </c>
      <c r="BC10" s="678">
        <f t="shared" si="46"/>
        <v>0</v>
      </c>
      <c r="BD10" s="678">
        <f t="shared" si="47"/>
        <v>0</v>
      </c>
      <c r="BE10" s="678">
        <f t="shared" si="48"/>
        <v>0</v>
      </c>
      <c r="BF10" s="678">
        <f t="shared" si="49"/>
        <v>0</v>
      </c>
      <c r="BG10" s="678">
        <f>AK10*'Velsipity Sales - 费用 Phasing'!$W$8</f>
        <v>0</v>
      </c>
      <c r="BH10" s="679">
        <f t="shared" si="50"/>
        <v>0</v>
      </c>
      <c r="BI10" s="673">
        <f t="shared" si="51"/>
        <v>0</v>
      </c>
      <c r="BJ10" s="679">
        <f t="shared" si="52"/>
        <v>0</v>
      </c>
      <c r="BK10" s="673">
        <f t="shared" si="53"/>
        <v>0</v>
      </c>
      <c r="BL10" s="673">
        <f t="shared" si="54"/>
        <v>0</v>
      </c>
      <c r="BM10" s="673">
        <f t="shared" si="55"/>
        <v>0</v>
      </c>
      <c r="BN10" s="680">
        <f t="shared" si="56"/>
        <v>0</v>
      </c>
      <c r="BO10" s="680">
        <f t="shared" si="57"/>
        <v>0</v>
      </c>
      <c r="BP10" s="680">
        <f t="shared" si="58"/>
        <v>0</v>
      </c>
      <c r="BS10" s="508" t="s">
        <v>847</v>
      </c>
      <c r="BT10" s="681" t="s">
        <v>8</v>
      </c>
      <c r="CA10" s="673">
        <f t="shared" si="59"/>
        <v>0</v>
      </c>
      <c r="CB10" s="673">
        <f t="shared" si="60"/>
        <v>0</v>
      </c>
      <c r="CC10" s="673">
        <f t="shared" si="61"/>
        <v>0</v>
      </c>
      <c r="CD10" s="673">
        <f t="shared" si="62"/>
        <v>0</v>
      </c>
      <c r="CE10" s="673">
        <f t="shared" si="63"/>
        <v>0</v>
      </c>
      <c r="CF10" s="673">
        <f t="shared" si="64"/>
        <v>0</v>
      </c>
      <c r="CG10" s="673">
        <f t="shared" si="65"/>
        <v>0</v>
      </c>
      <c r="CI10" s="673">
        <f t="shared" si="66"/>
        <v>0</v>
      </c>
      <c r="CJ10" s="680">
        <f t="shared" si="67"/>
        <v>0</v>
      </c>
      <c r="CK10" s="680">
        <f t="shared" si="68"/>
        <v>0</v>
      </c>
      <c r="CL10" s="680">
        <f t="shared" si="69"/>
        <v>0</v>
      </c>
      <c r="CM10" s="682" t="s">
        <v>8</v>
      </c>
      <c r="CN10" s="683">
        <f t="shared" si="18"/>
        <v>0</v>
      </c>
      <c r="CO10" s="683">
        <f t="shared" si="19"/>
        <v>0</v>
      </c>
      <c r="CP10" s="683">
        <f t="shared" si="20"/>
        <v>0</v>
      </c>
      <c r="CQ10" s="683">
        <f t="shared" si="21"/>
        <v>0</v>
      </c>
      <c r="CR10" s="683">
        <f t="shared" si="22"/>
        <v>0</v>
      </c>
      <c r="CS10" s="683">
        <f t="shared" si="23"/>
        <v>0</v>
      </c>
      <c r="CT10" s="683">
        <f t="shared" si="24"/>
        <v>0</v>
      </c>
      <c r="CU10" s="683">
        <f t="shared" si="25"/>
        <v>0</v>
      </c>
      <c r="CV10" s="683">
        <f t="shared" si="26"/>
        <v>0</v>
      </c>
      <c r="CW10" s="683">
        <f t="shared" si="27"/>
        <v>0</v>
      </c>
      <c r="CX10" s="683">
        <f t="shared" si="28"/>
        <v>0</v>
      </c>
      <c r="CY10" s="683">
        <f t="shared" si="29"/>
        <v>0</v>
      </c>
      <c r="CZ10" s="683">
        <f t="shared" si="70"/>
        <v>0</v>
      </c>
      <c r="DA10" s="683">
        <f t="shared" si="71"/>
        <v>0</v>
      </c>
      <c r="DB10" s="683">
        <f t="shared" si="72"/>
        <v>0</v>
      </c>
      <c r="DC10" s="683"/>
      <c r="DD10" s="683"/>
      <c r="DE10" s="683"/>
      <c r="DF10" s="683"/>
      <c r="DG10" s="684">
        <f t="shared" si="73"/>
        <v>0</v>
      </c>
      <c r="DH10" s="684">
        <f t="shared" si="74"/>
        <v>0</v>
      </c>
      <c r="DI10" s="684">
        <f t="shared" si="75"/>
        <v>0</v>
      </c>
      <c r="DK10" s="682" t="s">
        <v>8</v>
      </c>
      <c r="DL10" s="683"/>
      <c r="DM10" s="683"/>
      <c r="DN10" s="683"/>
      <c r="DO10" s="683"/>
      <c r="DP10" s="683"/>
      <c r="DQ10" s="683"/>
      <c r="DR10" s="683"/>
      <c r="DS10" s="683"/>
      <c r="DT10" s="683"/>
      <c r="DU10" s="683"/>
      <c r="DV10" s="683"/>
      <c r="DW10" s="683"/>
      <c r="DX10" s="683">
        <f t="shared" si="76"/>
        <v>0</v>
      </c>
      <c r="DY10" s="683">
        <f t="shared" si="77"/>
        <v>0</v>
      </c>
      <c r="DZ10" s="683">
        <f t="shared" si="78"/>
        <v>0</v>
      </c>
      <c r="EA10" s="683"/>
      <c r="EB10" s="683"/>
      <c r="EC10" s="683"/>
      <c r="ED10" s="683"/>
      <c r="EE10" s="684">
        <f t="shared" si="79"/>
        <v>0</v>
      </c>
      <c r="EF10" s="684">
        <f t="shared" si="80"/>
        <v>0</v>
      </c>
      <c r="EG10" s="684">
        <f t="shared" si="81"/>
        <v>0</v>
      </c>
    </row>
    <row r="11" spans="1:137" s="681" customFormat="1" hidden="1">
      <c r="A11" s="671"/>
      <c r="B11" s="662" t="s">
        <v>868</v>
      </c>
      <c r="C11" s="671" t="s">
        <v>8</v>
      </c>
      <c r="D11" s="671">
        <v>4848</v>
      </c>
      <c r="E11" s="671">
        <v>4848</v>
      </c>
      <c r="F11" s="671">
        <v>4847</v>
      </c>
      <c r="G11" s="671">
        <v>5489</v>
      </c>
      <c r="H11" s="671">
        <v>5489</v>
      </c>
      <c r="I11" s="671">
        <v>5489</v>
      </c>
      <c r="J11" s="672">
        <v>6130</v>
      </c>
      <c r="K11" s="672">
        <v>6130</v>
      </c>
      <c r="L11" s="672">
        <v>6130</v>
      </c>
      <c r="M11" s="672">
        <v>7572</v>
      </c>
      <c r="N11" s="672">
        <v>7572</v>
      </c>
      <c r="O11" s="672">
        <v>7572</v>
      </c>
      <c r="P11" s="672">
        <f t="shared" si="30"/>
        <v>72116</v>
      </c>
      <c r="Q11" s="672">
        <f t="shared" si="31"/>
        <v>31010</v>
      </c>
      <c r="R11" s="672">
        <f t="shared" si="32"/>
        <v>41106</v>
      </c>
      <c r="S11" s="672">
        <f t="shared" si="33"/>
        <v>14543</v>
      </c>
      <c r="T11" s="672">
        <f t="shared" si="34"/>
        <v>16467</v>
      </c>
      <c r="U11" s="672">
        <f t="shared" si="35"/>
        <v>18390</v>
      </c>
      <c r="V11" s="672">
        <f t="shared" si="36"/>
        <v>22716</v>
      </c>
      <c r="W11" s="673">
        <f t="shared" si="37"/>
        <v>0</v>
      </c>
      <c r="X11" s="671" t="s">
        <v>8</v>
      </c>
      <c r="Y11" s="674">
        <f t="shared" si="0"/>
        <v>0.15633666559174461</v>
      </c>
      <c r="Z11" s="674">
        <f t="shared" si="1"/>
        <v>0.15633666559174461</v>
      </c>
      <c r="AA11" s="674">
        <f t="shared" si="2"/>
        <v>0.1563044179297001</v>
      </c>
      <c r="AB11" s="674">
        <f t="shared" si="3"/>
        <v>0.17700741696227024</v>
      </c>
      <c r="AC11" s="674">
        <f t="shared" si="4"/>
        <v>0.17700741696227024</v>
      </c>
      <c r="AD11" s="674">
        <f t="shared" si="5"/>
        <v>0.17700741696227024</v>
      </c>
      <c r="AE11" s="675">
        <f t="shared" si="6"/>
        <v>0.14912664817788157</v>
      </c>
      <c r="AF11" s="675">
        <f t="shared" si="7"/>
        <v>0.14912664817788157</v>
      </c>
      <c r="AG11" s="675">
        <f t="shared" si="8"/>
        <v>0.14912664817788157</v>
      </c>
      <c r="AH11" s="675">
        <f t="shared" si="9"/>
        <v>0.18420668515545177</v>
      </c>
      <c r="AI11" s="675">
        <f t="shared" si="10"/>
        <v>0.18420668515545177</v>
      </c>
      <c r="AJ11" s="675">
        <f t="shared" si="11"/>
        <v>0.18420668515545177</v>
      </c>
      <c r="AK11" s="676">
        <f t="shared" si="12"/>
        <v>0.15343829787234042</v>
      </c>
      <c r="AL11" s="676">
        <f t="shared" si="13"/>
        <v>0.15343737320758824</v>
      </c>
      <c r="AM11" s="676">
        <f t="shared" si="14"/>
        <v>0.15343899543856243</v>
      </c>
      <c r="AN11" s="676"/>
      <c r="AO11" s="676"/>
      <c r="AP11" s="676"/>
      <c r="AQ11" s="676"/>
      <c r="AR11" s="676"/>
      <c r="AS11" s="547" t="s">
        <v>868</v>
      </c>
      <c r="AT11" s="677" t="s">
        <v>8</v>
      </c>
      <c r="AU11" s="678">
        <f t="shared" si="38"/>
        <v>0</v>
      </c>
      <c r="AV11" s="678">
        <f t="shared" si="39"/>
        <v>0</v>
      </c>
      <c r="AW11" s="678">
        <f t="shared" si="40"/>
        <v>0</v>
      </c>
      <c r="AX11" s="678">
        <f t="shared" si="41"/>
        <v>0</v>
      </c>
      <c r="AY11" s="678">
        <f t="shared" si="42"/>
        <v>0</v>
      </c>
      <c r="AZ11" s="678">
        <f t="shared" si="43"/>
        <v>0</v>
      </c>
      <c r="BA11" s="678">
        <f t="shared" si="44"/>
        <v>0</v>
      </c>
      <c r="BB11" s="678">
        <f t="shared" si="45"/>
        <v>0</v>
      </c>
      <c r="BC11" s="678">
        <f t="shared" si="46"/>
        <v>0</v>
      </c>
      <c r="BD11" s="678">
        <f t="shared" si="47"/>
        <v>0</v>
      </c>
      <c r="BE11" s="678">
        <f t="shared" si="48"/>
        <v>0</v>
      </c>
      <c r="BF11" s="678">
        <f t="shared" si="49"/>
        <v>0</v>
      </c>
      <c r="BG11" s="678">
        <f>AK11*'Velsipity Sales - 费用 Phasing'!$W$8</f>
        <v>0</v>
      </c>
      <c r="BH11" s="679">
        <f t="shared" si="50"/>
        <v>0</v>
      </c>
      <c r="BI11" s="673">
        <f t="shared" si="51"/>
        <v>0</v>
      </c>
      <c r="BJ11" s="679">
        <f t="shared" si="52"/>
        <v>0</v>
      </c>
      <c r="BK11" s="673">
        <f t="shared" si="53"/>
        <v>0</v>
      </c>
      <c r="BL11" s="673">
        <f t="shared" si="54"/>
        <v>0</v>
      </c>
      <c r="BM11" s="673">
        <f t="shared" si="55"/>
        <v>0</v>
      </c>
      <c r="BN11" s="680">
        <f t="shared" si="56"/>
        <v>0</v>
      </c>
      <c r="BO11" s="680">
        <f t="shared" si="57"/>
        <v>0</v>
      </c>
      <c r="BP11" s="680">
        <f t="shared" si="58"/>
        <v>0</v>
      </c>
      <c r="BS11" s="508" t="s">
        <v>868</v>
      </c>
      <c r="BT11" s="681" t="s">
        <v>8</v>
      </c>
      <c r="CA11" s="673">
        <f t="shared" si="59"/>
        <v>0</v>
      </c>
      <c r="CB11" s="673">
        <f t="shared" si="60"/>
        <v>0</v>
      </c>
      <c r="CC11" s="673">
        <f t="shared" si="61"/>
        <v>0</v>
      </c>
      <c r="CD11" s="673">
        <f t="shared" si="62"/>
        <v>0</v>
      </c>
      <c r="CE11" s="673">
        <f t="shared" si="63"/>
        <v>0</v>
      </c>
      <c r="CF11" s="673">
        <f t="shared" si="64"/>
        <v>0</v>
      </c>
      <c r="CG11" s="673">
        <f t="shared" si="65"/>
        <v>0</v>
      </c>
      <c r="CI11" s="673">
        <f t="shared" si="66"/>
        <v>0</v>
      </c>
      <c r="CJ11" s="680">
        <f t="shared" si="67"/>
        <v>0</v>
      </c>
      <c r="CK11" s="680">
        <f t="shared" si="68"/>
        <v>0</v>
      </c>
      <c r="CL11" s="680">
        <f t="shared" si="69"/>
        <v>0</v>
      </c>
      <c r="CM11" s="682" t="s">
        <v>8</v>
      </c>
      <c r="CN11" s="683">
        <f t="shared" si="18"/>
        <v>0</v>
      </c>
      <c r="CO11" s="683">
        <f t="shared" si="19"/>
        <v>0</v>
      </c>
      <c r="CP11" s="683">
        <f t="shared" si="20"/>
        <v>0</v>
      </c>
      <c r="CQ11" s="683">
        <f t="shared" si="21"/>
        <v>0</v>
      </c>
      <c r="CR11" s="683">
        <f t="shared" si="22"/>
        <v>0</v>
      </c>
      <c r="CS11" s="683">
        <f t="shared" si="23"/>
        <v>0</v>
      </c>
      <c r="CT11" s="683">
        <f t="shared" si="24"/>
        <v>0</v>
      </c>
      <c r="CU11" s="683">
        <f t="shared" si="25"/>
        <v>0</v>
      </c>
      <c r="CV11" s="683">
        <f t="shared" si="26"/>
        <v>0</v>
      </c>
      <c r="CW11" s="683">
        <f t="shared" si="27"/>
        <v>0</v>
      </c>
      <c r="CX11" s="683">
        <f t="shared" si="28"/>
        <v>0</v>
      </c>
      <c r="CY11" s="683">
        <f t="shared" si="29"/>
        <v>0</v>
      </c>
      <c r="CZ11" s="683">
        <f t="shared" si="70"/>
        <v>0</v>
      </c>
      <c r="DA11" s="683">
        <f t="shared" si="71"/>
        <v>0</v>
      </c>
      <c r="DB11" s="683">
        <f t="shared" si="72"/>
        <v>0</v>
      </c>
      <c r="DC11" s="683"/>
      <c r="DD11" s="683"/>
      <c r="DE11" s="683"/>
      <c r="DF11" s="683"/>
      <c r="DG11" s="684">
        <f t="shared" si="73"/>
        <v>0</v>
      </c>
      <c r="DH11" s="684">
        <f t="shared" si="74"/>
        <v>0</v>
      </c>
      <c r="DI11" s="684">
        <f t="shared" si="75"/>
        <v>0</v>
      </c>
      <c r="DK11" s="682" t="s">
        <v>8</v>
      </c>
      <c r="DL11" s="683"/>
      <c r="DM11" s="683"/>
      <c r="DN11" s="683"/>
      <c r="DO11" s="683"/>
      <c r="DP11" s="683"/>
      <c r="DQ11" s="683"/>
      <c r="DR11" s="683"/>
      <c r="DS11" s="683"/>
      <c r="DT11" s="683"/>
      <c r="DU11" s="683"/>
      <c r="DV11" s="683"/>
      <c r="DW11" s="683"/>
      <c r="DX11" s="683">
        <f t="shared" si="76"/>
        <v>0</v>
      </c>
      <c r="DY11" s="683">
        <f t="shared" si="77"/>
        <v>0</v>
      </c>
      <c r="DZ11" s="683">
        <f t="shared" si="78"/>
        <v>0</v>
      </c>
      <c r="EA11" s="683"/>
      <c r="EB11" s="683"/>
      <c r="EC11" s="683"/>
      <c r="ED11" s="683"/>
      <c r="EE11" s="684">
        <f t="shared" si="79"/>
        <v>0</v>
      </c>
      <c r="EF11" s="684">
        <f t="shared" si="80"/>
        <v>0</v>
      </c>
      <c r="EG11" s="684">
        <f t="shared" si="81"/>
        <v>0</v>
      </c>
    </row>
    <row r="12" spans="1:137" s="681" customFormat="1" hidden="1">
      <c r="A12" s="671"/>
      <c r="B12" s="662" t="s">
        <v>850</v>
      </c>
      <c r="C12" s="671" t="s">
        <v>8</v>
      </c>
      <c r="D12" s="671">
        <v>4429</v>
      </c>
      <c r="E12" s="671">
        <v>4429</v>
      </c>
      <c r="F12" s="671">
        <v>4428</v>
      </c>
      <c r="G12" s="671">
        <v>6643</v>
      </c>
      <c r="H12" s="671">
        <v>6643</v>
      </c>
      <c r="I12" s="671">
        <v>6644</v>
      </c>
      <c r="J12" s="672">
        <v>6566</v>
      </c>
      <c r="K12" s="672">
        <v>6566</v>
      </c>
      <c r="L12" s="672">
        <v>6566</v>
      </c>
      <c r="M12" s="672">
        <v>8110</v>
      </c>
      <c r="N12" s="672">
        <v>8110</v>
      </c>
      <c r="O12" s="672">
        <v>8110</v>
      </c>
      <c r="P12" s="672">
        <f t="shared" si="30"/>
        <v>77244</v>
      </c>
      <c r="Q12" s="672">
        <f t="shared" si="31"/>
        <v>33216</v>
      </c>
      <c r="R12" s="672">
        <f t="shared" si="32"/>
        <v>44028</v>
      </c>
      <c r="S12" s="672">
        <f t="shared" si="33"/>
        <v>13286</v>
      </c>
      <c r="T12" s="672">
        <f t="shared" si="34"/>
        <v>19930</v>
      </c>
      <c r="U12" s="672">
        <f t="shared" si="35"/>
        <v>19698</v>
      </c>
      <c r="V12" s="672">
        <f t="shared" si="36"/>
        <v>24330</v>
      </c>
      <c r="W12" s="673">
        <f t="shared" si="37"/>
        <v>0</v>
      </c>
      <c r="X12" s="671" t="s">
        <v>8</v>
      </c>
      <c r="Y12" s="674">
        <f t="shared" si="0"/>
        <v>0.13333935452793835</v>
      </c>
      <c r="Z12" s="674">
        <f t="shared" si="1"/>
        <v>0.13333935452793835</v>
      </c>
      <c r="AA12" s="674">
        <f t="shared" si="2"/>
        <v>0.1333092485549133</v>
      </c>
      <c r="AB12" s="674">
        <f t="shared" si="3"/>
        <v>0.19999397880539499</v>
      </c>
      <c r="AC12" s="674">
        <f t="shared" si="4"/>
        <v>0.19999397880539499</v>
      </c>
      <c r="AD12" s="674">
        <f t="shared" si="5"/>
        <v>0.20002408477842004</v>
      </c>
      <c r="AE12" s="675">
        <f t="shared" si="6"/>
        <v>0.14913237030980286</v>
      </c>
      <c r="AF12" s="675">
        <f t="shared" si="7"/>
        <v>0.14913237030980286</v>
      </c>
      <c r="AG12" s="675">
        <f t="shared" si="8"/>
        <v>0.14913237030980286</v>
      </c>
      <c r="AH12" s="675">
        <f t="shared" si="9"/>
        <v>0.18420096302353048</v>
      </c>
      <c r="AI12" s="675">
        <f t="shared" si="10"/>
        <v>0.18420096302353048</v>
      </c>
      <c r="AJ12" s="675">
        <f t="shared" si="11"/>
        <v>0.18420096302353048</v>
      </c>
      <c r="AK12" s="676">
        <f t="shared" si="12"/>
        <v>0.16434893617021276</v>
      </c>
      <c r="AL12" s="676">
        <f t="shared" si="13"/>
        <v>0.1643526536105531</v>
      </c>
      <c r="AM12" s="676">
        <f t="shared" si="14"/>
        <v>0.16434613173670576</v>
      </c>
      <c r="AN12" s="676"/>
      <c r="AO12" s="676"/>
      <c r="AP12" s="676"/>
      <c r="AQ12" s="676"/>
      <c r="AR12" s="676"/>
      <c r="AS12" s="547" t="s">
        <v>850</v>
      </c>
      <c r="AT12" s="677" t="s">
        <v>8</v>
      </c>
      <c r="AU12" s="678">
        <f t="shared" si="38"/>
        <v>0</v>
      </c>
      <c r="AV12" s="678">
        <f t="shared" si="39"/>
        <v>0</v>
      </c>
      <c r="AW12" s="678">
        <f t="shared" si="40"/>
        <v>0</v>
      </c>
      <c r="AX12" s="678">
        <f t="shared" si="41"/>
        <v>0</v>
      </c>
      <c r="AY12" s="678">
        <f t="shared" si="42"/>
        <v>0</v>
      </c>
      <c r="AZ12" s="678">
        <f t="shared" si="43"/>
        <v>0</v>
      </c>
      <c r="BA12" s="678">
        <f t="shared" si="44"/>
        <v>0</v>
      </c>
      <c r="BB12" s="678">
        <f t="shared" si="45"/>
        <v>0</v>
      </c>
      <c r="BC12" s="678">
        <f t="shared" si="46"/>
        <v>0</v>
      </c>
      <c r="BD12" s="678">
        <f t="shared" si="47"/>
        <v>0</v>
      </c>
      <c r="BE12" s="678">
        <f t="shared" si="48"/>
        <v>0</v>
      </c>
      <c r="BF12" s="678">
        <f t="shared" si="49"/>
        <v>0</v>
      </c>
      <c r="BG12" s="678">
        <f>AK12*'Velsipity Sales - 费用 Phasing'!$W$8</f>
        <v>0</v>
      </c>
      <c r="BH12" s="679">
        <f t="shared" si="50"/>
        <v>0</v>
      </c>
      <c r="BI12" s="673">
        <f t="shared" si="51"/>
        <v>0</v>
      </c>
      <c r="BJ12" s="679">
        <f t="shared" si="52"/>
        <v>0</v>
      </c>
      <c r="BK12" s="673">
        <f t="shared" si="53"/>
        <v>0</v>
      </c>
      <c r="BL12" s="673">
        <f t="shared" si="54"/>
        <v>0</v>
      </c>
      <c r="BM12" s="673">
        <f t="shared" si="55"/>
        <v>0</v>
      </c>
      <c r="BN12" s="680">
        <f t="shared" si="56"/>
        <v>0</v>
      </c>
      <c r="BO12" s="680">
        <f t="shared" si="57"/>
        <v>0</v>
      </c>
      <c r="BP12" s="680">
        <f t="shared" si="58"/>
        <v>0</v>
      </c>
      <c r="BS12" s="508" t="s">
        <v>850</v>
      </c>
      <c r="BT12" s="681" t="s">
        <v>8</v>
      </c>
      <c r="CA12" s="673">
        <f t="shared" si="59"/>
        <v>0</v>
      </c>
      <c r="CB12" s="673">
        <f t="shared" si="60"/>
        <v>0</v>
      </c>
      <c r="CC12" s="673">
        <f t="shared" si="61"/>
        <v>0</v>
      </c>
      <c r="CD12" s="673">
        <f t="shared" si="62"/>
        <v>0</v>
      </c>
      <c r="CE12" s="673">
        <f t="shared" si="63"/>
        <v>0</v>
      </c>
      <c r="CF12" s="673">
        <f t="shared" si="64"/>
        <v>0</v>
      </c>
      <c r="CG12" s="673">
        <f t="shared" si="65"/>
        <v>0</v>
      </c>
      <c r="CI12" s="673">
        <f t="shared" si="66"/>
        <v>0</v>
      </c>
      <c r="CJ12" s="680">
        <f t="shared" si="67"/>
        <v>0</v>
      </c>
      <c r="CK12" s="680">
        <f t="shared" si="68"/>
        <v>0</v>
      </c>
      <c r="CL12" s="680">
        <f t="shared" si="69"/>
        <v>0</v>
      </c>
      <c r="CM12" s="682" t="s">
        <v>8</v>
      </c>
      <c r="CN12" s="683">
        <f t="shared" si="18"/>
        <v>0</v>
      </c>
      <c r="CO12" s="683">
        <f t="shared" si="19"/>
        <v>0</v>
      </c>
      <c r="CP12" s="683">
        <f t="shared" si="20"/>
        <v>0</v>
      </c>
      <c r="CQ12" s="683">
        <f t="shared" si="21"/>
        <v>0</v>
      </c>
      <c r="CR12" s="683">
        <f t="shared" si="22"/>
        <v>0</v>
      </c>
      <c r="CS12" s="683">
        <f t="shared" si="23"/>
        <v>0</v>
      </c>
      <c r="CT12" s="683">
        <f t="shared" si="24"/>
        <v>0</v>
      </c>
      <c r="CU12" s="683">
        <f t="shared" si="25"/>
        <v>0</v>
      </c>
      <c r="CV12" s="683">
        <f t="shared" si="26"/>
        <v>0</v>
      </c>
      <c r="CW12" s="683">
        <f t="shared" si="27"/>
        <v>0</v>
      </c>
      <c r="CX12" s="683">
        <f t="shared" si="28"/>
        <v>0</v>
      </c>
      <c r="CY12" s="683">
        <f t="shared" si="29"/>
        <v>0</v>
      </c>
      <c r="CZ12" s="683">
        <f t="shared" si="70"/>
        <v>0</v>
      </c>
      <c r="DA12" s="683">
        <f t="shared" si="71"/>
        <v>0</v>
      </c>
      <c r="DB12" s="683">
        <f t="shared" si="72"/>
        <v>0</v>
      </c>
      <c r="DC12" s="683"/>
      <c r="DD12" s="683"/>
      <c r="DE12" s="683"/>
      <c r="DF12" s="683"/>
      <c r="DG12" s="684">
        <f t="shared" si="73"/>
        <v>0</v>
      </c>
      <c r="DH12" s="684">
        <f t="shared" si="74"/>
        <v>0</v>
      </c>
      <c r="DI12" s="684">
        <f t="shared" si="75"/>
        <v>0</v>
      </c>
      <c r="DK12" s="682" t="s">
        <v>8</v>
      </c>
      <c r="DL12" s="683"/>
      <c r="DM12" s="683"/>
      <c r="DN12" s="683"/>
      <c r="DO12" s="683"/>
      <c r="DP12" s="683"/>
      <c r="DQ12" s="683"/>
      <c r="DR12" s="683"/>
      <c r="DS12" s="683"/>
      <c r="DT12" s="683"/>
      <c r="DU12" s="683"/>
      <c r="DV12" s="683"/>
      <c r="DW12" s="683"/>
      <c r="DX12" s="683">
        <f t="shared" si="76"/>
        <v>0</v>
      </c>
      <c r="DY12" s="683">
        <f t="shared" si="77"/>
        <v>0</v>
      </c>
      <c r="DZ12" s="683">
        <f t="shared" si="78"/>
        <v>0</v>
      </c>
      <c r="EA12" s="683"/>
      <c r="EB12" s="683"/>
      <c r="EC12" s="683"/>
      <c r="ED12" s="683"/>
      <c r="EE12" s="684">
        <f t="shared" si="79"/>
        <v>0</v>
      </c>
      <c r="EF12" s="684">
        <f t="shared" si="80"/>
        <v>0</v>
      </c>
      <c r="EG12" s="684">
        <f t="shared" si="81"/>
        <v>0</v>
      </c>
    </row>
    <row r="13" spans="1:137" s="681" customFormat="1" hidden="1">
      <c r="A13" s="671"/>
      <c r="B13" s="662" t="s">
        <v>78</v>
      </c>
      <c r="C13" s="671" t="s">
        <v>8</v>
      </c>
      <c r="D13" s="672">
        <f>SUM(D3:D12)</f>
        <v>30116</v>
      </c>
      <c r="E13" s="672">
        <f t="shared" ref="E13:O13" si="82">SUM(E3:E12)</f>
        <v>30116</v>
      </c>
      <c r="F13" s="672">
        <f t="shared" si="82"/>
        <v>30115</v>
      </c>
      <c r="G13" s="672">
        <f t="shared" si="82"/>
        <v>37251</v>
      </c>
      <c r="H13" s="672">
        <f t="shared" si="82"/>
        <v>37251</v>
      </c>
      <c r="I13" s="672">
        <f t="shared" si="82"/>
        <v>37253</v>
      </c>
      <c r="J13" s="672">
        <f t="shared" si="82"/>
        <v>39950</v>
      </c>
      <c r="K13" s="672">
        <f t="shared" si="82"/>
        <v>39950</v>
      </c>
      <c r="L13" s="672">
        <f t="shared" si="82"/>
        <v>39951</v>
      </c>
      <c r="M13" s="672">
        <f t="shared" si="82"/>
        <v>49349</v>
      </c>
      <c r="N13" s="672">
        <f t="shared" si="82"/>
        <v>49349</v>
      </c>
      <c r="O13" s="672">
        <f t="shared" si="82"/>
        <v>49349</v>
      </c>
      <c r="P13" s="685">
        <f>SUM(P3:P12)</f>
        <v>470000</v>
      </c>
      <c r="Q13" s="672">
        <f t="shared" si="31"/>
        <v>202102</v>
      </c>
      <c r="R13" s="672">
        <f t="shared" si="32"/>
        <v>267898</v>
      </c>
      <c r="S13" s="672">
        <f t="shared" si="33"/>
        <v>90347</v>
      </c>
      <c r="T13" s="672">
        <f t="shared" si="34"/>
        <v>111755</v>
      </c>
      <c r="U13" s="672">
        <f t="shared" si="35"/>
        <v>119851</v>
      </c>
      <c r="V13" s="672">
        <f t="shared" si="36"/>
        <v>148047</v>
      </c>
      <c r="W13" s="673">
        <f t="shared" si="37"/>
        <v>0</v>
      </c>
      <c r="X13" s="671" t="s">
        <v>8</v>
      </c>
      <c r="Y13" s="674">
        <f t="shared" si="0"/>
        <v>0.14901386428635047</v>
      </c>
      <c r="Z13" s="674">
        <f t="shared" si="1"/>
        <v>0.14901386428635047</v>
      </c>
      <c r="AA13" s="674">
        <f t="shared" si="2"/>
        <v>0.14900891628979426</v>
      </c>
      <c r="AB13" s="674">
        <f t="shared" si="3"/>
        <v>0.18431781971479747</v>
      </c>
      <c r="AC13" s="674">
        <f t="shared" si="4"/>
        <v>0.18431781971479747</v>
      </c>
      <c r="AD13" s="674">
        <f t="shared" si="5"/>
        <v>0.18432771570790987</v>
      </c>
      <c r="AE13" s="675">
        <f t="shared" si="6"/>
        <v>0.14912392029802388</v>
      </c>
      <c r="AF13" s="675">
        <f t="shared" si="7"/>
        <v>0.14912392029802388</v>
      </c>
      <c r="AG13" s="675">
        <f t="shared" si="8"/>
        <v>0.14912765306198628</v>
      </c>
      <c r="AH13" s="675">
        <f t="shared" si="9"/>
        <v>0.18420816878065532</v>
      </c>
      <c r="AI13" s="675">
        <f t="shared" si="10"/>
        <v>0.18420816878065532</v>
      </c>
      <c r="AJ13" s="675">
        <f t="shared" si="11"/>
        <v>0.18420816878065532</v>
      </c>
      <c r="AK13" s="686">
        <f t="shared" si="12"/>
        <v>1</v>
      </c>
      <c r="AL13" s="676">
        <f t="shared" si="13"/>
        <v>1</v>
      </c>
      <c r="AM13" s="676">
        <f t="shared" si="14"/>
        <v>1</v>
      </c>
      <c r="AN13" s="676"/>
      <c r="AO13" s="676"/>
      <c r="AP13" s="676"/>
      <c r="AQ13" s="676"/>
      <c r="AR13" s="676"/>
      <c r="AS13" s="547" t="s">
        <v>78</v>
      </c>
      <c r="AT13" s="677" t="s">
        <v>8</v>
      </c>
      <c r="AU13" s="678">
        <f>SUM(AU3:AU12)</f>
        <v>0</v>
      </c>
      <c r="AV13" s="678">
        <f t="shared" ref="AV13:BF13" si="83">SUM(AV3:AV12)</f>
        <v>0</v>
      </c>
      <c r="AW13" s="678">
        <f t="shared" si="83"/>
        <v>0</v>
      </c>
      <c r="AX13" s="678">
        <f t="shared" si="83"/>
        <v>0</v>
      </c>
      <c r="AY13" s="678">
        <f t="shared" si="83"/>
        <v>0</v>
      </c>
      <c r="AZ13" s="678">
        <f t="shared" si="83"/>
        <v>0</v>
      </c>
      <c r="BA13" s="678">
        <f t="shared" si="83"/>
        <v>0</v>
      </c>
      <c r="BB13" s="678">
        <f t="shared" si="83"/>
        <v>0</v>
      </c>
      <c r="BC13" s="678">
        <f t="shared" si="83"/>
        <v>0</v>
      </c>
      <c r="BD13" s="678">
        <f t="shared" si="83"/>
        <v>0</v>
      </c>
      <c r="BE13" s="678">
        <f t="shared" si="83"/>
        <v>0</v>
      </c>
      <c r="BF13" s="678">
        <f t="shared" si="83"/>
        <v>0</v>
      </c>
      <c r="BG13" s="678">
        <f>AK13*'Velsipity Sales - 费用 Phasing'!$W$8</f>
        <v>0</v>
      </c>
      <c r="BH13" s="673">
        <f t="shared" si="50"/>
        <v>0</v>
      </c>
      <c r="BI13" s="673">
        <f t="shared" ref="BI13" si="84">BG13*50%</f>
        <v>0</v>
      </c>
      <c r="BJ13" s="673">
        <f t="shared" si="52"/>
        <v>0</v>
      </c>
      <c r="BK13" s="673">
        <f t="shared" si="53"/>
        <v>0</v>
      </c>
      <c r="BL13" s="673">
        <f t="shared" si="54"/>
        <v>0</v>
      </c>
      <c r="BM13" s="673">
        <f t="shared" si="55"/>
        <v>0</v>
      </c>
      <c r="BN13" s="680">
        <f t="shared" si="56"/>
        <v>0</v>
      </c>
      <c r="BO13" s="680">
        <f t="shared" si="57"/>
        <v>0</v>
      </c>
      <c r="BP13" s="680">
        <f t="shared" si="58"/>
        <v>0</v>
      </c>
      <c r="BS13" s="508" t="s">
        <v>78</v>
      </c>
      <c r="BT13" s="681" t="s">
        <v>8</v>
      </c>
      <c r="CA13" s="673">
        <f t="shared" si="59"/>
        <v>0</v>
      </c>
      <c r="CB13" s="673">
        <f t="shared" si="60"/>
        <v>0</v>
      </c>
      <c r="CC13" s="673">
        <f t="shared" si="61"/>
        <v>0</v>
      </c>
      <c r="CD13" s="673">
        <f t="shared" si="62"/>
        <v>0</v>
      </c>
      <c r="CE13" s="673">
        <f t="shared" si="63"/>
        <v>0</v>
      </c>
      <c r="CF13" s="673">
        <f t="shared" si="64"/>
        <v>0</v>
      </c>
      <c r="CG13" s="673"/>
      <c r="CI13" s="680">
        <f>CG13</f>
        <v>0</v>
      </c>
      <c r="CJ13" s="680">
        <f t="shared" si="67"/>
        <v>0</v>
      </c>
      <c r="CK13" s="680">
        <f t="shared" si="68"/>
        <v>0</v>
      </c>
      <c r="CL13" s="680">
        <f t="shared" si="69"/>
        <v>0</v>
      </c>
      <c r="CM13" s="682" t="s">
        <v>8</v>
      </c>
      <c r="CN13" s="683">
        <f>SUM(CN3:CN12)</f>
        <v>0</v>
      </c>
      <c r="CO13" s="683">
        <f t="shared" ref="CO13:CY13" si="85">SUM(CO3:CO12)</f>
        <v>0</v>
      </c>
      <c r="CP13" s="683">
        <f t="shared" si="85"/>
        <v>0</v>
      </c>
      <c r="CQ13" s="683">
        <f t="shared" si="85"/>
        <v>0</v>
      </c>
      <c r="CR13" s="683">
        <f t="shared" si="85"/>
        <v>0</v>
      </c>
      <c r="CS13" s="683">
        <f t="shared" si="85"/>
        <v>0</v>
      </c>
      <c r="CT13" s="683">
        <f t="shared" si="85"/>
        <v>0</v>
      </c>
      <c r="CU13" s="683">
        <f t="shared" si="85"/>
        <v>0</v>
      </c>
      <c r="CV13" s="683">
        <f t="shared" si="85"/>
        <v>0</v>
      </c>
      <c r="CW13" s="683">
        <f t="shared" si="85"/>
        <v>0</v>
      </c>
      <c r="CX13" s="683">
        <f t="shared" si="85"/>
        <v>0</v>
      </c>
      <c r="CY13" s="683">
        <f t="shared" si="85"/>
        <v>0</v>
      </c>
      <c r="CZ13" s="687">
        <f>SUM(CN13:CY13)</f>
        <v>0</v>
      </c>
      <c r="DA13" s="683">
        <f t="shared" si="71"/>
        <v>0</v>
      </c>
      <c r="DB13" s="683">
        <f t="shared" si="72"/>
        <v>0</v>
      </c>
      <c r="DC13" s="683"/>
      <c r="DD13" s="683"/>
      <c r="DE13" s="683"/>
      <c r="DF13" s="683"/>
      <c r="DG13" s="688">
        <f>CZ13-'Velsipity Sales - 费用 Phasing'!W8</f>
        <v>0</v>
      </c>
      <c r="DH13" s="684">
        <f t="shared" si="74"/>
        <v>0</v>
      </c>
      <c r="DI13" s="684">
        <f t="shared" si="75"/>
        <v>0</v>
      </c>
      <c r="DK13" s="682" t="s">
        <v>8</v>
      </c>
      <c r="DL13" s="683">
        <f>SUM(DL3:DL12)</f>
        <v>0</v>
      </c>
      <c r="DM13" s="683">
        <f t="shared" ref="DM13:DW13" si="86">SUM(DM3:DM12)</f>
        <v>0</v>
      </c>
      <c r="DN13" s="683">
        <f t="shared" si="86"/>
        <v>0</v>
      </c>
      <c r="DO13" s="683">
        <f t="shared" si="86"/>
        <v>0</v>
      </c>
      <c r="DP13" s="683">
        <f t="shared" si="86"/>
        <v>0</v>
      </c>
      <c r="DQ13" s="683">
        <f t="shared" si="86"/>
        <v>0</v>
      </c>
      <c r="DR13" s="683">
        <f t="shared" si="86"/>
        <v>0</v>
      </c>
      <c r="DS13" s="683">
        <f t="shared" si="86"/>
        <v>0</v>
      </c>
      <c r="DT13" s="683">
        <f t="shared" si="86"/>
        <v>0</v>
      </c>
      <c r="DU13" s="683">
        <f t="shared" si="86"/>
        <v>0</v>
      </c>
      <c r="DV13" s="683">
        <f t="shared" si="86"/>
        <v>0</v>
      </c>
      <c r="DW13" s="683">
        <f t="shared" si="86"/>
        <v>0</v>
      </c>
      <c r="DX13" s="687">
        <f>SUM(DL13:DW13)</f>
        <v>0</v>
      </c>
      <c r="DY13" s="683">
        <f t="shared" si="77"/>
        <v>0</v>
      </c>
      <c r="DZ13" s="683">
        <f t="shared" si="78"/>
        <v>0</v>
      </c>
      <c r="EA13" s="683"/>
      <c r="EB13" s="683"/>
      <c r="EC13" s="683"/>
      <c r="ED13" s="683"/>
      <c r="EE13" s="688">
        <f>DX13-'Velsipity Sales - 费用 Phasing'!AR8</f>
        <v>0</v>
      </c>
      <c r="EF13" s="684">
        <f t="shared" si="80"/>
        <v>0</v>
      </c>
      <c r="EG13" s="684">
        <f t="shared" si="81"/>
        <v>0</v>
      </c>
    </row>
    <row r="14" spans="1:137" s="681" customFormat="1" hidden="1">
      <c r="A14" s="671"/>
      <c r="B14" s="671"/>
      <c r="C14" s="671"/>
      <c r="D14" s="671"/>
      <c r="E14" s="671"/>
      <c r="F14" s="671"/>
      <c r="G14" s="671"/>
      <c r="H14" s="671"/>
      <c r="I14" s="671"/>
      <c r="J14" s="671"/>
      <c r="K14" s="671"/>
      <c r="L14" s="671"/>
      <c r="M14" s="671"/>
      <c r="N14" s="671"/>
      <c r="O14" s="671"/>
      <c r="P14" s="671"/>
      <c r="Q14" s="672"/>
      <c r="R14" s="672"/>
      <c r="S14" s="672"/>
      <c r="T14" s="672"/>
      <c r="U14" s="672"/>
      <c r="V14" s="672"/>
      <c r="W14" s="673"/>
      <c r="X14" s="671" t="s">
        <v>926</v>
      </c>
      <c r="Y14" s="675"/>
      <c r="Z14" s="675"/>
      <c r="AA14" s="675"/>
      <c r="AB14" s="675"/>
      <c r="AC14" s="675"/>
      <c r="AD14" s="675"/>
      <c r="AE14" s="675"/>
      <c r="AF14" s="675"/>
      <c r="AG14" s="675"/>
      <c r="AH14" s="675"/>
      <c r="AI14" s="675"/>
      <c r="AJ14" s="675"/>
      <c r="AK14" s="681" t="s">
        <v>940</v>
      </c>
      <c r="AL14" s="681" t="s">
        <v>939</v>
      </c>
      <c r="AS14" s="677"/>
      <c r="AT14" s="677"/>
      <c r="AU14" s="689">
        <f>SUM(AU3:AU12)-AU13</f>
        <v>0</v>
      </c>
      <c r="AV14" s="689">
        <f t="shared" ref="AV14:BG14" si="87">SUM(AV3:AV12)-AV13</f>
        <v>0</v>
      </c>
      <c r="AW14" s="689">
        <f t="shared" si="87"/>
        <v>0</v>
      </c>
      <c r="AX14" s="689">
        <f t="shared" si="87"/>
        <v>0</v>
      </c>
      <c r="AY14" s="689">
        <f t="shared" si="87"/>
        <v>0</v>
      </c>
      <c r="AZ14" s="689">
        <f t="shared" si="87"/>
        <v>0</v>
      </c>
      <c r="BA14" s="689">
        <f t="shared" si="87"/>
        <v>0</v>
      </c>
      <c r="BB14" s="689">
        <f t="shared" si="87"/>
        <v>0</v>
      </c>
      <c r="BC14" s="689">
        <f t="shared" si="87"/>
        <v>0</v>
      </c>
      <c r="BD14" s="689">
        <f t="shared" si="87"/>
        <v>0</v>
      </c>
      <c r="BE14" s="689">
        <f t="shared" si="87"/>
        <v>0</v>
      </c>
      <c r="BF14" s="689">
        <f t="shared" si="87"/>
        <v>0</v>
      </c>
      <c r="BG14" s="689">
        <f t="shared" si="87"/>
        <v>0</v>
      </c>
      <c r="BH14" s="690">
        <f t="shared" ref="BH14" si="88">SUM(BH3:BH12)-BH13</f>
        <v>0</v>
      </c>
      <c r="BI14" s="690">
        <f t="shared" ref="BI14" si="89">SUM(BI3:BI12)-BI13</f>
        <v>0</v>
      </c>
      <c r="BJ14" s="690"/>
      <c r="BK14" s="690"/>
      <c r="BL14" s="690"/>
      <c r="BM14" s="690"/>
      <c r="CA14" s="690">
        <f>SUM(CA3:CA12)-CA13</f>
        <v>0</v>
      </c>
      <c r="CB14" s="690">
        <f t="shared" ref="CB14:CI14" si="90">SUM(CB3:CB12)-CB13</f>
        <v>0</v>
      </c>
      <c r="CC14" s="690">
        <f t="shared" si="90"/>
        <v>0</v>
      </c>
      <c r="CD14" s="690">
        <f t="shared" si="90"/>
        <v>0</v>
      </c>
      <c r="CE14" s="690">
        <f t="shared" si="90"/>
        <v>0</v>
      </c>
      <c r="CF14" s="690">
        <f t="shared" si="90"/>
        <v>0</v>
      </c>
      <c r="CG14" s="690">
        <f t="shared" si="90"/>
        <v>0</v>
      </c>
      <c r="CI14" s="690">
        <f t="shared" si="90"/>
        <v>0</v>
      </c>
      <c r="CJ14" s="680"/>
      <c r="CK14" s="680"/>
      <c r="CL14" s="680"/>
      <c r="CM14" s="682"/>
      <c r="CN14" s="683">
        <f>SUM(CN3:CN12)-CN13</f>
        <v>0</v>
      </c>
      <c r="CO14" s="683">
        <f t="shared" ref="CO14:DB14" si="91">SUM(CO3:CO12)-CO13</f>
        <v>0</v>
      </c>
      <c r="CP14" s="683">
        <f t="shared" si="91"/>
        <v>0</v>
      </c>
      <c r="CQ14" s="683">
        <f t="shared" si="91"/>
        <v>0</v>
      </c>
      <c r="CR14" s="683">
        <f t="shared" si="91"/>
        <v>0</v>
      </c>
      <c r="CS14" s="683">
        <f t="shared" si="91"/>
        <v>0</v>
      </c>
      <c r="CT14" s="683">
        <f t="shared" si="91"/>
        <v>0</v>
      </c>
      <c r="CU14" s="683">
        <f t="shared" si="91"/>
        <v>0</v>
      </c>
      <c r="CV14" s="683">
        <f t="shared" si="91"/>
        <v>0</v>
      </c>
      <c r="CW14" s="683">
        <f t="shared" si="91"/>
        <v>0</v>
      </c>
      <c r="CX14" s="683">
        <f t="shared" si="91"/>
        <v>0</v>
      </c>
      <c r="CY14" s="683">
        <f t="shared" si="91"/>
        <v>0</v>
      </c>
      <c r="CZ14" s="683">
        <f t="shared" si="91"/>
        <v>0</v>
      </c>
      <c r="DA14" s="683">
        <f t="shared" si="91"/>
        <v>0</v>
      </c>
      <c r="DB14" s="683">
        <f t="shared" si="91"/>
        <v>0</v>
      </c>
      <c r="DC14" s="683"/>
      <c r="DD14" s="683"/>
      <c r="DE14" s="683"/>
      <c r="DF14" s="683"/>
      <c r="DG14" s="682"/>
      <c r="DH14" s="682"/>
      <c r="DI14" s="682"/>
      <c r="DK14" s="682"/>
      <c r="DL14" s="683">
        <f>SUM(DL3:DL12)-DL13</f>
        <v>0</v>
      </c>
      <c r="DM14" s="683">
        <f t="shared" ref="DM14:DZ14" si="92">SUM(DM3:DM12)-DM13</f>
        <v>0</v>
      </c>
      <c r="DN14" s="683">
        <f t="shared" si="92"/>
        <v>0</v>
      </c>
      <c r="DO14" s="683">
        <f t="shared" si="92"/>
        <v>0</v>
      </c>
      <c r="DP14" s="683">
        <f t="shared" si="92"/>
        <v>0</v>
      </c>
      <c r="DQ14" s="683">
        <f t="shared" si="92"/>
        <v>0</v>
      </c>
      <c r="DR14" s="683">
        <f t="shared" si="92"/>
        <v>0</v>
      </c>
      <c r="DS14" s="683">
        <f t="shared" si="92"/>
        <v>0</v>
      </c>
      <c r="DT14" s="683">
        <f t="shared" si="92"/>
        <v>0</v>
      </c>
      <c r="DU14" s="683">
        <f t="shared" si="92"/>
        <v>0</v>
      </c>
      <c r="DV14" s="683">
        <f t="shared" si="92"/>
        <v>0</v>
      </c>
      <c r="DW14" s="683">
        <f t="shared" si="92"/>
        <v>0</v>
      </c>
      <c r="DX14" s="683">
        <f t="shared" si="92"/>
        <v>0</v>
      </c>
      <c r="DY14" s="683">
        <f t="shared" si="92"/>
        <v>0</v>
      </c>
      <c r="DZ14" s="683">
        <f t="shared" si="92"/>
        <v>0</v>
      </c>
      <c r="EA14" s="683"/>
      <c r="EB14" s="683"/>
      <c r="EC14" s="683"/>
      <c r="ED14" s="683"/>
      <c r="EE14" s="682"/>
      <c r="EF14" s="682"/>
      <c r="EG14" s="682"/>
    </row>
    <row r="15" spans="1:137" s="681" customFormat="1" hidden="1">
      <c r="A15" s="671"/>
      <c r="B15" s="662" t="s">
        <v>861</v>
      </c>
      <c r="C15" s="671" t="s">
        <v>42</v>
      </c>
      <c r="D15" s="672">
        <v>2591</v>
      </c>
      <c r="E15" s="672">
        <v>2591</v>
      </c>
      <c r="F15" s="672">
        <v>2591</v>
      </c>
      <c r="G15" s="672">
        <v>2786</v>
      </c>
      <c r="H15" s="672">
        <v>2786</v>
      </c>
      <c r="I15" s="672">
        <v>2787</v>
      </c>
      <c r="J15" s="672">
        <v>2715</v>
      </c>
      <c r="K15" s="672">
        <v>2715</v>
      </c>
      <c r="L15" s="672">
        <v>2716</v>
      </c>
      <c r="M15" s="672">
        <v>2945</v>
      </c>
      <c r="N15" s="672">
        <v>2945</v>
      </c>
      <c r="O15" s="672">
        <v>2944</v>
      </c>
      <c r="P15" s="685">
        <f>SUM(D15:O15)</f>
        <v>33112</v>
      </c>
      <c r="Q15" s="672">
        <f t="shared" ref="Q15:Q25" si="93">SUM(D15:I15)</f>
        <v>16132</v>
      </c>
      <c r="R15" s="672">
        <f t="shared" ref="R15:R25" si="94">SUM(J15:O15)</f>
        <v>16980</v>
      </c>
      <c r="S15" s="672">
        <f t="shared" ref="S15:S25" si="95">SUM(D15:F15)</f>
        <v>7773</v>
      </c>
      <c r="T15" s="672">
        <f t="shared" ref="T15:T25" si="96">SUM(G15:I15)</f>
        <v>8359</v>
      </c>
      <c r="U15" s="672">
        <f t="shared" ref="U15:U25" si="97">SUM(J15:L15)</f>
        <v>8146</v>
      </c>
      <c r="V15" s="672">
        <f t="shared" ref="V15:V25" si="98">SUM(M15:O15)</f>
        <v>8834</v>
      </c>
      <c r="W15" s="673">
        <f t="shared" ref="W15:W25" si="99">SUM(Q15:R15)-P15</f>
        <v>0</v>
      </c>
      <c r="X15" s="671" t="s">
        <v>42</v>
      </c>
      <c r="Y15" s="675">
        <f t="shared" ref="Y15:Y25" si="100">D15/$P15</f>
        <v>7.8249577192558595E-2</v>
      </c>
      <c r="Z15" s="675">
        <f t="shared" ref="Z15:Z25" si="101">E15/$P15</f>
        <v>7.8249577192558595E-2</v>
      </c>
      <c r="AA15" s="675">
        <f t="shared" ref="AA15:AA25" si="102">F15/$P15</f>
        <v>7.8249577192558595E-2</v>
      </c>
      <c r="AB15" s="675">
        <f t="shared" ref="AB15:AB25" si="103">G15/$P15</f>
        <v>8.4138680840782798E-2</v>
      </c>
      <c r="AC15" s="675">
        <f t="shared" ref="AC15:AC25" si="104">H15/$P15</f>
        <v>8.4138680840782798E-2</v>
      </c>
      <c r="AD15" s="675">
        <f t="shared" ref="AD15:AD25" si="105">I15/$P15</f>
        <v>8.4168881372312154E-2</v>
      </c>
      <c r="AE15" s="675">
        <f t="shared" ref="AE15:AE25" si="106">J15/$P15</f>
        <v>8.1994443102198597E-2</v>
      </c>
      <c r="AF15" s="675">
        <f t="shared" ref="AF15:AF25" si="107">K15/$P15</f>
        <v>8.1994443102198597E-2</v>
      </c>
      <c r="AG15" s="675">
        <f t="shared" ref="AG15:AG25" si="108">L15/$P15</f>
        <v>8.2024643633727953E-2</v>
      </c>
      <c r="AH15" s="675">
        <f t="shared" ref="AH15:AH25" si="109">M15/$P15</f>
        <v>8.8940565353950229E-2</v>
      </c>
      <c r="AI15" s="675">
        <f t="shared" ref="AI15:AI25" si="110">N15/$P15</f>
        <v>8.8940565353950229E-2</v>
      </c>
      <c r="AJ15" s="675">
        <f t="shared" ref="AJ15:AJ25" si="111">O15/$P15</f>
        <v>8.8910364822420873E-2</v>
      </c>
      <c r="AK15" s="686">
        <f t="shared" ref="AK15:AK25" si="112">P15/$P$25</f>
        <v>0.13912605042016807</v>
      </c>
      <c r="AN15" s="691">
        <f t="shared" ref="AN15:AN25" si="113">S15/S$25</f>
        <v>0.13946103057269987</v>
      </c>
      <c r="AO15" s="691">
        <f t="shared" ref="AO15:AO25" si="114">T15/T$25</f>
        <v>0.13882153651974624</v>
      </c>
      <c r="AP15" s="691">
        <f t="shared" ref="AP15:AP25" si="115">U15/U$25</f>
        <v>0.1391241972947124</v>
      </c>
      <c r="AQ15" s="691">
        <f t="shared" ref="AQ15:AQ25" si="116">V15/V$25</f>
        <v>0.13912249204699362</v>
      </c>
      <c r="AR15" s="691"/>
      <c r="AS15" s="547" t="s">
        <v>861</v>
      </c>
      <c r="AT15" s="677" t="s">
        <v>42</v>
      </c>
      <c r="AU15" s="678">
        <f>$BJ15/3</f>
        <v>0</v>
      </c>
      <c r="AV15" s="678">
        <f t="shared" ref="AV15:AW24" si="117">$BJ15/3</f>
        <v>0</v>
      </c>
      <c r="AW15" s="678">
        <f t="shared" si="117"/>
        <v>0</v>
      </c>
      <c r="AX15" s="678">
        <f>$BK15/3</f>
        <v>0</v>
      </c>
      <c r="AY15" s="678">
        <f t="shared" ref="AY15:AZ24" si="118">$BK15/3</f>
        <v>0</v>
      </c>
      <c r="AZ15" s="678">
        <f t="shared" si="118"/>
        <v>0</v>
      </c>
      <c r="BA15" s="678">
        <f>$BL15/3</f>
        <v>0</v>
      </c>
      <c r="BB15" s="678">
        <f t="shared" ref="BB15:BC24" si="119">$BL15/3</f>
        <v>0</v>
      </c>
      <c r="BC15" s="678">
        <f t="shared" si="119"/>
        <v>0</v>
      </c>
      <c r="BD15" s="678">
        <f>$BM15/3</f>
        <v>0</v>
      </c>
      <c r="BE15" s="678">
        <f t="shared" ref="BE15:BF24" si="120">$BM15/3</f>
        <v>0</v>
      </c>
      <c r="BF15" s="678">
        <f t="shared" si="120"/>
        <v>0</v>
      </c>
      <c r="BG15" s="678">
        <f>SUM(AU15:BF15)</f>
        <v>0</v>
      </c>
      <c r="BH15" s="673">
        <f>SUM(AU15:AZ15)</f>
        <v>0</v>
      </c>
      <c r="BI15" s="673">
        <f>SUM(BA15:BF15)</f>
        <v>0</v>
      </c>
      <c r="BJ15" s="679">
        <f>BJ$25*AN15</f>
        <v>0</v>
      </c>
      <c r="BK15" s="673">
        <f>BK$25*AO15</f>
        <v>0</v>
      </c>
      <c r="BL15" s="673">
        <f>BL$25*AP15</f>
        <v>0</v>
      </c>
      <c r="BM15" s="673">
        <f>BM$25*AQ15</f>
        <v>0</v>
      </c>
      <c r="BN15" s="680">
        <f t="shared" ref="BN15:BN25" si="121">SUM(AU15:BF15)-BG15</f>
        <v>0</v>
      </c>
      <c r="BO15" s="680">
        <f t="shared" ref="BO15:BO25" si="122">SUM(AU15:AZ15)-BH15</f>
        <v>0</v>
      </c>
      <c r="BP15" s="680">
        <f t="shared" ref="BP15:BP25" si="123">SUM(BA15:BF15)-BI15</f>
        <v>0</v>
      </c>
      <c r="BQ15" s="680">
        <f>SUM(BJ15:BM15)-BG15</f>
        <v>0</v>
      </c>
      <c r="BR15" s="680"/>
      <c r="BS15" s="508" t="s">
        <v>861</v>
      </c>
      <c r="BT15" s="681" t="s">
        <v>42</v>
      </c>
      <c r="CM15" s="682" t="s">
        <v>42</v>
      </c>
      <c r="CN15" s="683">
        <f t="shared" ref="CN15:CN24" si="124">SUM(AU15,BU15)</f>
        <v>0</v>
      </c>
      <c r="CO15" s="683">
        <f t="shared" ref="CO15:CO24" si="125">SUM(AV15,BV15)</f>
        <v>0</v>
      </c>
      <c r="CP15" s="683">
        <f t="shared" ref="CP15:CP24" si="126">SUM(AW15,BW15)</f>
        <v>0</v>
      </c>
      <c r="CQ15" s="683">
        <f t="shared" ref="CQ15:CQ24" si="127">SUM(AX15,BX15)</f>
        <v>0</v>
      </c>
      <c r="CR15" s="683">
        <f t="shared" ref="CR15:CR24" si="128">SUM(AY15,BY15)</f>
        <v>0</v>
      </c>
      <c r="CS15" s="683">
        <f t="shared" ref="CS15:CS24" si="129">SUM(AZ15,BZ15)</f>
        <v>0</v>
      </c>
      <c r="CT15" s="683">
        <f t="shared" ref="CT15:CT24" si="130">SUM(BA15,CA15)</f>
        <v>0</v>
      </c>
      <c r="CU15" s="683">
        <f t="shared" ref="CU15:CU24" si="131">SUM(BB15,CB15)</f>
        <v>0</v>
      </c>
      <c r="CV15" s="683">
        <f t="shared" ref="CV15:CV24" si="132">SUM(BC15,CC15)</f>
        <v>0</v>
      </c>
      <c r="CW15" s="683">
        <f t="shared" ref="CW15:CW24" si="133">SUM(BD15,CD15)</f>
        <v>0</v>
      </c>
      <c r="CX15" s="683">
        <f t="shared" ref="CX15:CX24" si="134">SUM(BE15,CE15)</f>
        <v>0</v>
      </c>
      <c r="CY15" s="683">
        <f t="shared" ref="CY15:CY24" si="135">SUM(BF15,CF15)</f>
        <v>0</v>
      </c>
      <c r="CZ15" s="683">
        <f t="shared" ref="CZ15:CZ24" si="136">SUM(CN15:CY15)</f>
        <v>0</v>
      </c>
      <c r="DA15" s="683">
        <f t="shared" ref="DA15:DA25" si="137">SUM(CN15:CS15)</f>
        <v>0</v>
      </c>
      <c r="DB15" s="683">
        <f t="shared" ref="DB15:DB25" si="138">SUM(CT15:CY15)</f>
        <v>0</v>
      </c>
      <c r="DC15" s="683"/>
      <c r="DD15" s="683"/>
      <c r="DE15" s="683"/>
      <c r="DF15" s="683"/>
      <c r="DG15" s="684">
        <f t="shared" ref="DG15:DG24" si="139">SUM(CN15:CY15)-CZ15</f>
        <v>0</v>
      </c>
      <c r="DH15" s="684">
        <f t="shared" ref="DH15:DH25" si="140">SUM(CN15:CS15)-DA15</f>
        <v>0</v>
      </c>
      <c r="DI15" s="684">
        <f t="shared" ref="DI15:DI25" si="141">SUM(CT15:CY15)-DB15</f>
        <v>0</v>
      </c>
      <c r="DK15" s="682" t="s">
        <v>42</v>
      </c>
      <c r="DL15" s="683"/>
      <c r="DM15" s="683"/>
      <c r="DN15" s="683"/>
      <c r="DO15" s="683"/>
      <c r="DP15" s="683"/>
      <c r="DQ15" s="683"/>
      <c r="DR15" s="683"/>
      <c r="DS15" s="683"/>
      <c r="DT15" s="683"/>
      <c r="DU15" s="683"/>
      <c r="DV15" s="683"/>
      <c r="DW15" s="683"/>
      <c r="DX15" s="683">
        <f t="shared" ref="DX15:DX24" si="142">SUM(DL15:DW15)</f>
        <v>0</v>
      </c>
      <c r="DY15" s="683">
        <f t="shared" ref="DY15:DY25" si="143">SUM(DL15:DQ15)</f>
        <v>0</v>
      </c>
      <c r="DZ15" s="683">
        <f t="shared" ref="DZ15:DZ25" si="144">SUM(DR15:DW15)</f>
        <v>0</v>
      </c>
      <c r="EA15" s="683"/>
      <c r="EB15" s="683"/>
      <c r="EC15" s="683"/>
      <c r="ED15" s="683"/>
      <c r="EE15" s="684">
        <f t="shared" ref="EE15:EE24" si="145">SUM(DL15:DW15)-DX15</f>
        <v>0</v>
      </c>
      <c r="EF15" s="684">
        <f t="shared" ref="EF15:EF25" si="146">SUM(DL15:DQ15)-DY15</f>
        <v>0</v>
      </c>
      <c r="EG15" s="684">
        <f t="shared" ref="EG15:EG40" si="147">SUM(DR15:DW15)-DZ15</f>
        <v>0</v>
      </c>
    </row>
    <row r="16" spans="1:137" s="681" customFormat="1" hidden="1">
      <c r="A16" s="671"/>
      <c r="B16" s="662" t="s">
        <v>862</v>
      </c>
      <c r="C16" s="671" t="s">
        <v>42</v>
      </c>
      <c r="D16" s="672">
        <v>1498</v>
      </c>
      <c r="E16" s="672">
        <v>1498</v>
      </c>
      <c r="F16" s="672">
        <v>1497</v>
      </c>
      <c r="G16" s="672">
        <v>1230</v>
      </c>
      <c r="H16" s="672">
        <v>1230</v>
      </c>
      <c r="I16" s="672">
        <v>1229</v>
      </c>
      <c r="J16" s="672">
        <v>1377</v>
      </c>
      <c r="K16" s="672">
        <v>1377</v>
      </c>
      <c r="L16" s="672">
        <v>1378</v>
      </c>
      <c r="M16" s="672">
        <v>1494</v>
      </c>
      <c r="N16" s="672">
        <v>1494</v>
      </c>
      <c r="O16" s="672">
        <v>1493</v>
      </c>
      <c r="P16" s="685">
        <f t="shared" ref="P16:P24" si="148">SUM(D16:O16)</f>
        <v>16795</v>
      </c>
      <c r="Q16" s="672">
        <f t="shared" si="93"/>
        <v>8182</v>
      </c>
      <c r="R16" s="672">
        <f t="shared" si="94"/>
        <v>8613</v>
      </c>
      <c r="S16" s="672">
        <f t="shared" si="95"/>
        <v>4493</v>
      </c>
      <c r="T16" s="672">
        <f t="shared" si="96"/>
        <v>3689</v>
      </c>
      <c r="U16" s="672">
        <f t="shared" si="97"/>
        <v>4132</v>
      </c>
      <c r="V16" s="672">
        <f t="shared" si="98"/>
        <v>4481</v>
      </c>
      <c r="W16" s="673">
        <f t="shared" si="99"/>
        <v>0</v>
      </c>
      <c r="X16" s="671" t="s">
        <v>42</v>
      </c>
      <c r="Y16" s="675">
        <f t="shared" si="100"/>
        <v>8.9193212265555225E-2</v>
      </c>
      <c r="Z16" s="675">
        <f t="shared" si="101"/>
        <v>8.9193212265555225E-2</v>
      </c>
      <c r="AA16" s="675">
        <f t="shared" si="102"/>
        <v>8.91336707353379E-2</v>
      </c>
      <c r="AB16" s="675">
        <f t="shared" si="103"/>
        <v>7.32360821673117E-2</v>
      </c>
      <c r="AC16" s="675">
        <f t="shared" si="104"/>
        <v>7.32360821673117E-2</v>
      </c>
      <c r="AD16" s="675">
        <f t="shared" si="105"/>
        <v>7.3176540637094376E-2</v>
      </c>
      <c r="AE16" s="675">
        <f t="shared" si="106"/>
        <v>8.1988687109258704E-2</v>
      </c>
      <c r="AF16" s="675">
        <f t="shared" si="107"/>
        <v>8.1988687109258704E-2</v>
      </c>
      <c r="AG16" s="675">
        <f t="shared" si="108"/>
        <v>8.2048228639476029E-2</v>
      </c>
      <c r="AH16" s="675">
        <f t="shared" si="109"/>
        <v>8.8955046144685912E-2</v>
      </c>
      <c r="AI16" s="675">
        <f t="shared" si="110"/>
        <v>8.8955046144685912E-2</v>
      </c>
      <c r="AJ16" s="675">
        <f t="shared" si="111"/>
        <v>8.8895504614468587E-2</v>
      </c>
      <c r="AK16" s="686">
        <f t="shared" si="112"/>
        <v>7.0567226890756299E-2</v>
      </c>
      <c r="AN16" s="691">
        <f t="shared" si="113"/>
        <v>8.0612171666427437E-2</v>
      </c>
      <c r="AO16" s="691">
        <f t="shared" si="114"/>
        <v>6.1264822134387352E-2</v>
      </c>
      <c r="AP16" s="691">
        <f t="shared" si="115"/>
        <v>7.0569749965842324E-2</v>
      </c>
      <c r="AQ16" s="691">
        <f t="shared" si="116"/>
        <v>7.0569151784308171E-2</v>
      </c>
      <c r="AR16" s="691"/>
      <c r="AS16" s="547" t="s">
        <v>862</v>
      </c>
      <c r="AT16" s="677" t="s">
        <v>42</v>
      </c>
      <c r="AU16" s="678">
        <f t="shared" ref="AU16:AU24" si="149">$BJ16/3</f>
        <v>0</v>
      </c>
      <c r="AV16" s="678">
        <f t="shared" si="117"/>
        <v>0</v>
      </c>
      <c r="AW16" s="678">
        <f t="shared" si="117"/>
        <v>0</v>
      </c>
      <c r="AX16" s="678">
        <f t="shared" ref="AX16:AX24" si="150">$BK16/3</f>
        <v>0</v>
      </c>
      <c r="AY16" s="678">
        <f t="shared" si="118"/>
        <v>0</v>
      </c>
      <c r="AZ16" s="678">
        <f t="shared" si="118"/>
        <v>0</v>
      </c>
      <c r="BA16" s="678">
        <f t="shared" ref="BA16:BA24" si="151">$BL16/3</f>
        <v>0</v>
      </c>
      <c r="BB16" s="678">
        <f t="shared" si="119"/>
        <v>0</v>
      </c>
      <c r="BC16" s="678">
        <f t="shared" si="119"/>
        <v>0</v>
      </c>
      <c r="BD16" s="678">
        <f t="shared" ref="BD16:BD24" si="152">$BM16/3</f>
        <v>0</v>
      </c>
      <c r="BE16" s="678">
        <f t="shared" si="120"/>
        <v>0</v>
      </c>
      <c r="BF16" s="678">
        <f t="shared" si="120"/>
        <v>0</v>
      </c>
      <c r="BG16" s="678">
        <f t="shared" ref="BG16:BG24" si="153">SUM(AU16:BF16)</f>
        <v>0</v>
      </c>
      <c r="BH16" s="673">
        <f t="shared" ref="BH16:BH25" si="154">SUM(AU16:AZ16)</f>
        <v>0</v>
      </c>
      <c r="BI16" s="673">
        <f t="shared" ref="BI16:BI25" si="155">SUM(BA16:BF16)</f>
        <v>0</v>
      </c>
      <c r="BJ16" s="679">
        <f t="shared" ref="BJ16:BJ24" si="156">BJ$25*AN16</f>
        <v>0</v>
      </c>
      <c r="BK16" s="673">
        <f t="shared" ref="BK16:BK24" si="157">BK$25*AO16</f>
        <v>0</v>
      </c>
      <c r="BL16" s="673">
        <f t="shared" ref="BL16:BL24" si="158">BL$25*AP16</f>
        <v>0</v>
      </c>
      <c r="BM16" s="673">
        <f t="shared" ref="BM16:BM24" si="159">BM$25*AQ16</f>
        <v>0</v>
      </c>
      <c r="BN16" s="680">
        <f t="shared" si="121"/>
        <v>0</v>
      </c>
      <c r="BO16" s="680">
        <f t="shared" si="122"/>
        <v>0</v>
      </c>
      <c r="BP16" s="680">
        <f t="shared" si="123"/>
        <v>0</v>
      </c>
      <c r="BQ16" s="680">
        <f t="shared" ref="BQ16:BQ24" si="160">SUM(BJ16:BM16)-BG16</f>
        <v>0</v>
      </c>
      <c r="BR16" s="680"/>
      <c r="BS16" s="508" t="s">
        <v>862</v>
      </c>
      <c r="BT16" s="681" t="s">
        <v>42</v>
      </c>
      <c r="CM16" s="682" t="s">
        <v>42</v>
      </c>
      <c r="CN16" s="683">
        <f t="shared" si="124"/>
        <v>0</v>
      </c>
      <c r="CO16" s="683">
        <f t="shared" si="125"/>
        <v>0</v>
      </c>
      <c r="CP16" s="683">
        <f t="shared" si="126"/>
        <v>0</v>
      </c>
      <c r="CQ16" s="683">
        <f t="shared" si="127"/>
        <v>0</v>
      </c>
      <c r="CR16" s="683">
        <f t="shared" si="128"/>
        <v>0</v>
      </c>
      <c r="CS16" s="683">
        <f t="shared" si="129"/>
        <v>0</v>
      </c>
      <c r="CT16" s="683">
        <f t="shared" si="130"/>
        <v>0</v>
      </c>
      <c r="CU16" s="683">
        <f t="shared" si="131"/>
        <v>0</v>
      </c>
      <c r="CV16" s="683">
        <f t="shared" si="132"/>
        <v>0</v>
      </c>
      <c r="CW16" s="683">
        <f t="shared" si="133"/>
        <v>0</v>
      </c>
      <c r="CX16" s="683">
        <f t="shared" si="134"/>
        <v>0</v>
      </c>
      <c r="CY16" s="683">
        <f t="shared" si="135"/>
        <v>0</v>
      </c>
      <c r="CZ16" s="683">
        <f t="shared" si="136"/>
        <v>0</v>
      </c>
      <c r="DA16" s="683">
        <f t="shared" si="137"/>
        <v>0</v>
      </c>
      <c r="DB16" s="683">
        <f t="shared" si="138"/>
        <v>0</v>
      </c>
      <c r="DC16" s="683"/>
      <c r="DD16" s="683"/>
      <c r="DE16" s="683"/>
      <c r="DF16" s="683"/>
      <c r="DG16" s="684">
        <f t="shared" si="139"/>
        <v>0</v>
      </c>
      <c r="DH16" s="684">
        <f t="shared" si="140"/>
        <v>0</v>
      </c>
      <c r="DI16" s="684">
        <f t="shared" si="141"/>
        <v>0</v>
      </c>
      <c r="DK16" s="682" t="s">
        <v>42</v>
      </c>
      <c r="DL16" s="683"/>
      <c r="DM16" s="683"/>
      <c r="DN16" s="683"/>
      <c r="DO16" s="683"/>
      <c r="DP16" s="683"/>
      <c r="DQ16" s="683"/>
      <c r="DR16" s="683"/>
      <c r="DS16" s="683"/>
      <c r="DT16" s="683"/>
      <c r="DU16" s="683"/>
      <c r="DV16" s="683"/>
      <c r="DW16" s="683"/>
      <c r="DX16" s="683">
        <f t="shared" si="142"/>
        <v>0</v>
      </c>
      <c r="DY16" s="683">
        <f t="shared" si="143"/>
        <v>0</v>
      </c>
      <c r="DZ16" s="683">
        <f t="shared" si="144"/>
        <v>0</v>
      </c>
      <c r="EA16" s="683"/>
      <c r="EB16" s="683"/>
      <c r="EC16" s="683"/>
      <c r="ED16" s="683"/>
      <c r="EE16" s="684">
        <f t="shared" si="145"/>
        <v>0</v>
      </c>
      <c r="EF16" s="684">
        <f t="shared" si="146"/>
        <v>0</v>
      </c>
      <c r="EG16" s="684">
        <f t="shared" si="147"/>
        <v>0</v>
      </c>
    </row>
    <row r="17" spans="1:137" s="681" customFormat="1" hidden="1">
      <c r="A17" s="671"/>
      <c r="B17" s="662" t="s">
        <v>863</v>
      </c>
      <c r="C17" s="671" t="s">
        <v>42</v>
      </c>
      <c r="D17" s="672">
        <v>1694</v>
      </c>
      <c r="E17" s="672">
        <v>1694</v>
      </c>
      <c r="F17" s="672">
        <v>1695</v>
      </c>
      <c r="G17" s="672">
        <v>2529</v>
      </c>
      <c r="H17" s="672">
        <v>2529</v>
      </c>
      <c r="I17" s="672">
        <v>2530</v>
      </c>
      <c r="J17" s="672">
        <v>2133</v>
      </c>
      <c r="K17" s="672">
        <v>2133</v>
      </c>
      <c r="L17" s="672">
        <v>2132</v>
      </c>
      <c r="M17" s="672">
        <v>2313</v>
      </c>
      <c r="N17" s="672">
        <v>2313</v>
      </c>
      <c r="O17" s="672">
        <v>2313</v>
      </c>
      <c r="P17" s="685">
        <f t="shared" si="148"/>
        <v>26008</v>
      </c>
      <c r="Q17" s="672">
        <f t="shared" si="93"/>
        <v>12671</v>
      </c>
      <c r="R17" s="672">
        <f t="shared" si="94"/>
        <v>13337</v>
      </c>
      <c r="S17" s="672">
        <f t="shared" si="95"/>
        <v>5083</v>
      </c>
      <c r="T17" s="672">
        <f t="shared" si="96"/>
        <v>7588</v>
      </c>
      <c r="U17" s="672">
        <f t="shared" si="97"/>
        <v>6398</v>
      </c>
      <c r="V17" s="672">
        <f t="shared" si="98"/>
        <v>6939</v>
      </c>
      <c r="W17" s="673">
        <f t="shared" si="99"/>
        <v>0</v>
      </c>
      <c r="X17" s="671" t="s">
        <v>42</v>
      </c>
      <c r="Y17" s="675">
        <f t="shared" si="100"/>
        <v>6.5133804983082133E-2</v>
      </c>
      <c r="Z17" s="675">
        <f t="shared" si="101"/>
        <v>6.5133804983082133E-2</v>
      </c>
      <c r="AA17" s="675">
        <f t="shared" si="102"/>
        <v>6.5172254690864351E-2</v>
      </c>
      <c r="AB17" s="675">
        <f t="shared" si="103"/>
        <v>9.7239310981236546E-2</v>
      </c>
      <c r="AC17" s="675">
        <f t="shared" si="104"/>
        <v>9.7239310981236546E-2</v>
      </c>
      <c r="AD17" s="675">
        <f t="shared" si="105"/>
        <v>9.7277760689018763E-2</v>
      </c>
      <c r="AE17" s="675">
        <f t="shared" si="106"/>
        <v>8.2013226699477082E-2</v>
      </c>
      <c r="AF17" s="675">
        <f t="shared" si="107"/>
        <v>8.2013226699477082E-2</v>
      </c>
      <c r="AG17" s="675">
        <f t="shared" si="108"/>
        <v>8.1974776991694864E-2</v>
      </c>
      <c r="AH17" s="675">
        <f t="shared" si="109"/>
        <v>8.8934174100276833E-2</v>
      </c>
      <c r="AI17" s="675">
        <f t="shared" si="110"/>
        <v>8.8934174100276833E-2</v>
      </c>
      <c r="AJ17" s="675">
        <f t="shared" si="111"/>
        <v>8.8934174100276833E-2</v>
      </c>
      <c r="AK17" s="686">
        <f t="shared" si="112"/>
        <v>0.10927731092436975</v>
      </c>
      <c r="AN17" s="691">
        <f t="shared" si="113"/>
        <v>9.1197789579445965E-2</v>
      </c>
      <c r="AO17" s="691">
        <f t="shared" si="114"/>
        <v>0.12601720530109278</v>
      </c>
      <c r="AP17" s="691">
        <f t="shared" si="115"/>
        <v>0.10927039213007242</v>
      </c>
      <c r="AQ17" s="691">
        <f t="shared" si="116"/>
        <v>0.10927903241046961</v>
      </c>
      <c r="AR17" s="691"/>
      <c r="AS17" s="547" t="s">
        <v>863</v>
      </c>
      <c r="AT17" s="677" t="s">
        <v>42</v>
      </c>
      <c r="AU17" s="678">
        <f t="shared" si="149"/>
        <v>0</v>
      </c>
      <c r="AV17" s="678">
        <f t="shared" si="117"/>
        <v>0</v>
      </c>
      <c r="AW17" s="678">
        <f t="shared" si="117"/>
        <v>0</v>
      </c>
      <c r="AX17" s="678">
        <f t="shared" si="150"/>
        <v>0</v>
      </c>
      <c r="AY17" s="678">
        <f t="shared" si="118"/>
        <v>0</v>
      </c>
      <c r="AZ17" s="678">
        <f t="shared" si="118"/>
        <v>0</v>
      </c>
      <c r="BA17" s="678">
        <f t="shared" si="151"/>
        <v>0</v>
      </c>
      <c r="BB17" s="678">
        <f t="shared" si="119"/>
        <v>0</v>
      </c>
      <c r="BC17" s="678">
        <f t="shared" si="119"/>
        <v>0</v>
      </c>
      <c r="BD17" s="678">
        <f t="shared" si="152"/>
        <v>0</v>
      </c>
      <c r="BE17" s="678">
        <f t="shared" si="120"/>
        <v>0</v>
      </c>
      <c r="BF17" s="678">
        <f t="shared" si="120"/>
        <v>0</v>
      </c>
      <c r="BG17" s="678">
        <f t="shared" si="153"/>
        <v>0</v>
      </c>
      <c r="BH17" s="673">
        <f t="shared" si="154"/>
        <v>0</v>
      </c>
      <c r="BI17" s="673">
        <f t="shared" si="155"/>
        <v>0</v>
      </c>
      <c r="BJ17" s="679">
        <f t="shared" si="156"/>
        <v>0</v>
      </c>
      <c r="BK17" s="673">
        <f t="shared" si="157"/>
        <v>0</v>
      </c>
      <c r="BL17" s="673">
        <f t="shared" si="158"/>
        <v>0</v>
      </c>
      <c r="BM17" s="673">
        <f t="shared" si="159"/>
        <v>0</v>
      </c>
      <c r="BN17" s="680">
        <f t="shared" si="121"/>
        <v>0</v>
      </c>
      <c r="BO17" s="680">
        <f t="shared" si="122"/>
        <v>0</v>
      </c>
      <c r="BP17" s="680">
        <f t="shared" si="123"/>
        <v>0</v>
      </c>
      <c r="BQ17" s="680">
        <f t="shared" si="160"/>
        <v>0</v>
      </c>
      <c r="BR17" s="680"/>
      <c r="BS17" s="508" t="s">
        <v>863</v>
      </c>
      <c r="BT17" s="681" t="s">
        <v>42</v>
      </c>
      <c r="CM17" s="682" t="s">
        <v>42</v>
      </c>
      <c r="CN17" s="683">
        <f t="shared" si="124"/>
        <v>0</v>
      </c>
      <c r="CO17" s="683">
        <f t="shared" si="125"/>
        <v>0</v>
      </c>
      <c r="CP17" s="683">
        <f t="shared" si="126"/>
        <v>0</v>
      </c>
      <c r="CQ17" s="683">
        <f t="shared" si="127"/>
        <v>0</v>
      </c>
      <c r="CR17" s="683">
        <f t="shared" si="128"/>
        <v>0</v>
      </c>
      <c r="CS17" s="683">
        <f t="shared" si="129"/>
        <v>0</v>
      </c>
      <c r="CT17" s="683">
        <f t="shared" si="130"/>
        <v>0</v>
      </c>
      <c r="CU17" s="683">
        <f t="shared" si="131"/>
        <v>0</v>
      </c>
      <c r="CV17" s="683">
        <f t="shared" si="132"/>
        <v>0</v>
      </c>
      <c r="CW17" s="683">
        <f t="shared" si="133"/>
        <v>0</v>
      </c>
      <c r="CX17" s="683">
        <f t="shared" si="134"/>
        <v>0</v>
      </c>
      <c r="CY17" s="683">
        <f t="shared" si="135"/>
        <v>0</v>
      </c>
      <c r="CZ17" s="683">
        <f t="shared" si="136"/>
        <v>0</v>
      </c>
      <c r="DA17" s="683">
        <f t="shared" si="137"/>
        <v>0</v>
      </c>
      <c r="DB17" s="683">
        <f t="shared" si="138"/>
        <v>0</v>
      </c>
      <c r="DC17" s="683"/>
      <c r="DD17" s="683"/>
      <c r="DE17" s="683"/>
      <c r="DF17" s="683"/>
      <c r="DG17" s="684">
        <f t="shared" si="139"/>
        <v>0</v>
      </c>
      <c r="DH17" s="684">
        <f t="shared" si="140"/>
        <v>0</v>
      </c>
      <c r="DI17" s="684">
        <f t="shared" si="141"/>
        <v>0</v>
      </c>
      <c r="DK17" s="682" t="s">
        <v>42</v>
      </c>
      <c r="DL17" s="683"/>
      <c r="DM17" s="683"/>
      <c r="DN17" s="683"/>
      <c r="DO17" s="683"/>
      <c r="DP17" s="683"/>
      <c r="DQ17" s="683"/>
      <c r="DR17" s="683"/>
      <c r="DS17" s="683"/>
      <c r="DT17" s="683"/>
      <c r="DU17" s="683"/>
      <c r="DV17" s="683"/>
      <c r="DW17" s="683"/>
      <c r="DX17" s="683">
        <f t="shared" si="142"/>
        <v>0</v>
      </c>
      <c r="DY17" s="683">
        <f t="shared" si="143"/>
        <v>0</v>
      </c>
      <c r="DZ17" s="683">
        <f t="shared" si="144"/>
        <v>0</v>
      </c>
      <c r="EA17" s="683"/>
      <c r="EB17" s="683"/>
      <c r="EC17" s="683"/>
      <c r="ED17" s="683"/>
      <c r="EE17" s="684">
        <f t="shared" si="145"/>
        <v>0</v>
      </c>
      <c r="EF17" s="684">
        <f t="shared" si="146"/>
        <v>0</v>
      </c>
      <c r="EG17" s="684">
        <f t="shared" si="147"/>
        <v>0</v>
      </c>
    </row>
    <row r="18" spans="1:137" s="681" customFormat="1" hidden="1">
      <c r="A18" s="671"/>
      <c r="B18" s="662" t="s">
        <v>864</v>
      </c>
      <c r="C18" s="671" t="s">
        <v>42</v>
      </c>
      <c r="D18" s="672">
        <v>1366</v>
      </c>
      <c r="E18" s="672">
        <v>1366</v>
      </c>
      <c r="F18" s="672">
        <v>1366</v>
      </c>
      <c r="G18" s="672">
        <v>1023</v>
      </c>
      <c r="H18" s="672">
        <v>1023</v>
      </c>
      <c r="I18" s="672">
        <v>1024</v>
      </c>
      <c r="J18" s="672">
        <v>1207</v>
      </c>
      <c r="K18" s="672">
        <v>1207</v>
      </c>
      <c r="L18" s="672">
        <v>1206</v>
      </c>
      <c r="M18" s="672">
        <v>1308</v>
      </c>
      <c r="N18" s="672">
        <v>1308</v>
      </c>
      <c r="O18" s="672">
        <v>1309</v>
      </c>
      <c r="P18" s="685">
        <f t="shared" si="148"/>
        <v>14713</v>
      </c>
      <c r="Q18" s="672">
        <f t="shared" si="93"/>
        <v>7168</v>
      </c>
      <c r="R18" s="672">
        <f t="shared" si="94"/>
        <v>7545</v>
      </c>
      <c r="S18" s="672">
        <f t="shared" si="95"/>
        <v>4098</v>
      </c>
      <c r="T18" s="672">
        <f t="shared" si="96"/>
        <v>3070</v>
      </c>
      <c r="U18" s="672">
        <f t="shared" si="97"/>
        <v>3620</v>
      </c>
      <c r="V18" s="672">
        <f t="shared" si="98"/>
        <v>3925</v>
      </c>
      <c r="W18" s="673">
        <f t="shared" si="99"/>
        <v>0</v>
      </c>
      <c r="X18" s="671" t="s">
        <v>42</v>
      </c>
      <c r="Y18" s="675">
        <f t="shared" si="100"/>
        <v>9.2843063957044794E-2</v>
      </c>
      <c r="Z18" s="675">
        <f t="shared" si="101"/>
        <v>9.2843063957044794E-2</v>
      </c>
      <c r="AA18" s="675">
        <f t="shared" si="102"/>
        <v>9.2843063957044794E-2</v>
      </c>
      <c r="AB18" s="675">
        <f t="shared" si="103"/>
        <v>6.9530347311901039E-2</v>
      </c>
      <c r="AC18" s="675">
        <f t="shared" si="104"/>
        <v>6.9530347311901039E-2</v>
      </c>
      <c r="AD18" s="675">
        <f t="shared" si="105"/>
        <v>6.9598314415822746E-2</v>
      </c>
      <c r="AE18" s="675">
        <f t="shared" si="106"/>
        <v>8.2036294433494195E-2</v>
      </c>
      <c r="AF18" s="675">
        <f t="shared" si="107"/>
        <v>8.2036294433494195E-2</v>
      </c>
      <c r="AG18" s="675">
        <f t="shared" si="108"/>
        <v>8.1968327329572488E-2</v>
      </c>
      <c r="AH18" s="675">
        <f t="shared" si="109"/>
        <v>8.8900971929586084E-2</v>
      </c>
      <c r="AI18" s="675">
        <f t="shared" si="110"/>
        <v>8.8900971929586084E-2</v>
      </c>
      <c r="AJ18" s="675">
        <f t="shared" si="111"/>
        <v>8.8968939033507777E-2</v>
      </c>
      <c r="AK18" s="686">
        <f t="shared" si="112"/>
        <v>6.1819327731092437E-2</v>
      </c>
      <c r="AN18" s="691">
        <f t="shared" si="113"/>
        <v>7.3525190182287925E-2</v>
      </c>
      <c r="AO18" s="691">
        <f t="shared" si="114"/>
        <v>5.0984820805792676E-2</v>
      </c>
      <c r="AP18" s="691">
        <f t="shared" si="115"/>
        <v>6.1825385981691489E-2</v>
      </c>
      <c r="AQ18" s="691">
        <f t="shared" si="116"/>
        <v>6.1812970487259443E-2</v>
      </c>
      <c r="AR18" s="691"/>
      <c r="AS18" s="547" t="s">
        <v>864</v>
      </c>
      <c r="AT18" s="677" t="s">
        <v>42</v>
      </c>
      <c r="AU18" s="678">
        <f t="shared" si="149"/>
        <v>0</v>
      </c>
      <c r="AV18" s="678">
        <f t="shared" si="117"/>
        <v>0</v>
      </c>
      <c r="AW18" s="678">
        <f t="shared" si="117"/>
        <v>0</v>
      </c>
      <c r="AX18" s="678">
        <f t="shared" si="150"/>
        <v>0</v>
      </c>
      <c r="AY18" s="678">
        <f t="shared" si="118"/>
        <v>0</v>
      </c>
      <c r="AZ18" s="678">
        <f t="shared" si="118"/>
        <v>0</v>
      </c>
      <c r="BA18" s="678">
        <f t="shared" si="151"/>
        <v>0</v>
      </c>
      <c r="BB18" s="678">
        <f t="shared" si="119"/>
        <v>0</v>
      </c>
      <c r="BC18" s="678">
        <f t="shared" si="119"/>
        <v>0</v>
      </c>
      <c r="BD18" s="678">
        <f t="shared" si="152"/>
        <v>0</v>
      </c>
      <c r="BE18" s="678">
        <f t="shared" si="120"/>
        <v>0</v>
      </c>
      <c r="BF18" s="678">
        <f t="shared" si="120"/>
        <v>0</v>
      </c>
      <c r="BG18" s="678">
        <f t="shared" si="153"/>
        <v>0</v>
      </c>
      <c r="BH18" s="673">
        <f t="shared" si="154"/>
        <v>0</v>
      </c>
      <c r="BI18" s="673">
        <f t="shared" si="155"/>
        <v>0</v>
      </c>
      <c r="BJ18" s="679">
        <f t="shared" si="156"/>
        <v>0</v>
      </c>
      <c r="BK18" s="673">
        <f t="shared" si="157"/>
        <v>0</v>
      </c>
      <c r="BL18" s="673">
        <f t="shared" si="158"/>
        <v>0</v>
      </c>
      <c r="BM18" s="673">
        <f t="shared" si="159"/>
        <v>0</v>
      </c>
      <c r="BN18" s="680">
        <f t="shared" si="121"/>
        <v>0</v>
      </c>
      <c r="BO18" s="680">
        <f t="shared" si="122"/>
        <v>0</v>
      </c>
      <c r="BP18" s="680">
        <f t="shared" si="123"/>
        <v>0</v>
      </c>
      <c r="BQ18" s="680">
        <f t="shared" si="160"/>
        <v>0</v>
      </c>
      <c r="BR18" s="680"/>
      <c r="BS18" s="508" t="s">
        <v>864</v>
      </c>
      <c r="BT18" s="681" t="s">
        <v>42</v>
      </c>
      <c r="CM18" s="682" t="s">
        <v>42</v>
      </c>
      <c r="CN18" s="683">
        <f t="shared" si="124"/>
        <v>0</v>
      </c>
      <c r="CO18" s="683">
        <f t="shared" si="125"/>
        <v>0</v>
      </c>
      <c r="CP18" s="683">
        <f t="shared" si="126"/>
        <v>0</v>
      </c>
      <c r="CQ18" s="683">
        <f t="shared" si="127"/>
        <v>0</v>
      </c>
      <c r="CR18" s="683">
        <f t="shared" si="128"/>
        <v>0</v>
      </c>
      <c r="CS18" s="683">
        <f t="shared" si="129"/>
        <v>0</v>
      </c>
      <c r="CT18" s="683">
        <f t="shared" si="130"/>
        <v>0</v>
      </c>
      <c r="CU18" s="683">
        <f t="shared" si="131"/>
        <v>0</v>
      </c>
      <c r="CV18" s="683">
        <f t="shared" si="132"/>
        <v>0</v>
      </c>
      <c r="CW18" s="683">
        <f t="shared" si="133"/>
        <v>0</v>
      </c>
      <c r="CX18" s="683">
        <f t="shared" si="134"/>
        <v>0</v>
      </c>
      <c r="CY18" s="683">
        <f t="shared" si="135"/>
        <v>0</v>
      </c>
      <c r="CZ18" s="683">
        <f t="shared" si="136"/>
        <v>0</v>
      </c>
      <c r="DA18" s="683">
        <f t="shared" si="137"/>
        <v>0</v>
      </c>
      <c r="DB18" s="683">
        <f t="shared" si="138"/>
        <v>0</v>
      </c>
      <c r="DC18" s="683"/>
      <c r="DD18" s="683"/>
      <c r="DE18" s="683"/>
      <c r="DF18" s="683"/>
      <c r="DG18" s="684">
        <f t="shared" si="139"/>
        <v>0</v>
      </c>
      <c r="DH18" s="684">
        <f t="shared" si="140"/>
        <v>0</v>
      </c>
      <c r="DI18" s="684">
        <f t="shared" si="141"/>
        <v>0</v>
      </c>
      <c r="DK18" s="682" t="s">
        <v>42</v>
      </c>
      <c r="DL18" s="683"/>
      <c r="DM18" s="683"/>
      <c r="DN18" s="683"/>
      <c r="DO18" s="683"/>
      <c r="DP18" s="683"/>
      <c r="DQ18" s="683"/>
      <c r="DR18" s="683"/>
      <c r="DS18" s="683"/>
      <c r="DT18" s="683"/>
      <c r="DU18" s="683"/>
      <c r="DV18" s="683"/>
      <c r="DW18" s="683"/>
      <c r="DX18" s="683">
        <f t="shared" si="142"/>
        <v>0</v>
      </c>
      <c r="DY18" s="683">
        <f t="shared" si="143"/>
        <v>0</v>
      </c>
      <c r="DZ18" s="683">
        <f t="shared" si="144"/>
        <v>0</v>
      </c>
      <c r="EA18" s="683"/>
      <c r="EB18" s="683"/>
      <c r="EC18" s="683"/>
      <c r="ED18" s="683"/>
      <c r="EE18" s="684">
        <f t="shared" si="145"/>
        <v>0</v>
      </c>
      <c r="EF18" s="684">
        <f t="shared" si="146"/>
        <v>0</v>
      </c>
      <c r="EG18" s="684">
        <f t="shared" si="147"/>
        <v>0</v>
      </c>
    </row>
    <row r="19" spans="1:137" s="681" customFormat="1" hidden="1">
      <c r="A19" s="671"/>
      <c r="B19" s="662" t="s">
        <v>865</v>
      </c>
      <c r="C19" s="671" t="s">
        <v>42</v>
      </c>
      <c r="D19" s="672">
        <v>1695</v>
      </c>
      <c r="E19" s="672">
        <v>1695</v>
      </c>
      <c r="F19" s="672">
        <v>1695</v>
      </c>
      <c r="G19" s="672">
        <v>1983</v>
      </c>
      <c r="H19" s="672">
        <v>1983</v>
      </c>
      <c r="I19" s="672">
        <v>1983</v>
      </c>
      <c r="J19" s="672">
        <v>1857</v>
      </c>
      <c r="K19" s="672">
        <v>1857</v>
      </c>
      <c r="L19" s="672">
        <v>1858</v>
      </c>
      <c r="M19" s="672">
        <v>2014</v>
      </c>
      <c r="N19" s="672">
        <v>2014</v>
      </c>
      <c r="O19" s="672">
        <v>2015</v>
      </c>
      <c r="P19" s="685">
        <f t="shared" si="148"/>
        <v>22649</v>
      </c>
      <c r="Q19" s="672">
        <f t="shared" si="93"/>
        <v>11034</v>
      </c>
      <c r="R19" s="672">
        <f t="shared" si="94"/>
        <v>11615</v>
      </c>
      <c r="S19" s="672">
        <f t="shared" si="95"/>
        <v>5085</v>
      </c>
      <c r="T19" s="672">
        <f t="shared" si="96"/>
        <v>5949</v>
      </c>
      <c r="U19" s="672">
        <f t="shared" si="97"/>
        <v>5572</v>
      </c>
      <c r="V19" s="672">
        <f t="shared" si="98"/>
        <v>6043</v>
      </c>
      <c r="W19" s="673">
        <f t="shared" si="99"/>
        <v>0</v>
      </c>
      <c r="X19" s="671" t="s">
        <v>42</v>
      </c>
      <c r="Y19" s="675">
        <f t="shared" si="100"/>
        <v>7.4837741180626083E-2</v>
      </c>
      <c r="Z19" s="675">
        <f t="shared" si="101"/>
        <v>7.4837741180626083E-2</v>
      </c>
      <c r="AA19" s="675">
        <f t="shared" si="102"/>
        <v>7.4837741180626083E-2</v>
      </c>
      <c r="AB19" s="675">
        <f t="shared" si="103"/>
        <v>8.7553534372378478E-2</v>
      </c>
      <c r="AC19" s="675">
        <f t="shared" si="104"/>
        <v>8.7553534372378478E-2</v>
      </c>
      <c r="AD19" s="675">
        <f t="shared" si="105"/>
        <v>8.7553534372378478E-2</v>
      </c>
      <c r="AE19" s="675">
        <f t="shared" si="106"/>
        <v>8.19903748509868E-2</v>
      </c>
      <c r="AF19" s="675">
        <f t="shared" si="107"/>
        <v>8.19903748509868E-2</v>
      </c>
      <c r="AG19" s="675">
        <f t="shared" si="108"/>
        <v>8.2034526910680389E-2</v>
      </c>
      <c r="AH19" s="675">
        <f t="shared" si="109"/>
        <v>8.8922248222879599E-2</v>
      </c>
      <c r="AI19" s="675">
        <f t="shared" si="110"/>
        <v>8.8922248222879599E-2</v>
      </c>
      <c r="AJ19" s="675">
        <f t="shared" si="111"/>
        <v>8.8966400282573188E-2</v>
      </c>
      <c r="AK19" s="686">
        <f t="shared" si="112"/>
        <v>9.5163865546218487E-2</v>
      </c>
      <c r="AN19" s="691">
        <f t="shared" si="113"/>
        <v>9.123367302999856E-2</v>
      </c>
      <c r="AO19" s="691">
        <f t="shared" si="114"/>
        <v>9.8797621815524622E-2</v>
      </c>
      <c r="AP19" s="691">
        <f t="shared" si="115"/>
        <v>9.5163273671266563E-2</v>
      </c>
      <c r="AQ19" s="691">
        <f t="shared" si="116"/>
        <v>9.5168351759110523E-2</v>
      </c>
      <c r="AR19" s="691"/>
      <c r="AS19" s="547" t="s">
        <v>865</v>
      </c>
      <c r="AT19" s="677" t="s">
        <v>42</v>
      </c>
      <c r="AU19" s="678">
        <f t="shared" si="149"/>
        <v>0</v>
      </c>
      <c r="AV19" s="678">
        <f t="shared" si="117"/>
        <v>0</v>
      </c>
      <c r="AW19" s="678">
        <f t="shared" si="117"/>
        <v>0</v>
      </c>
      <c r="AX19" s="678">
        <f t="shared" si="150"/>
        <v>0</v>
      </c>
      <c r="AY19" s="678">
        <f t="shared" si="118"/>
        <v>0</v>
      </c>
      <c r="AZ19" s="678">
        <f t="shared" si="118"/>
        <v>0</v>
      </c>
      <c r="BA19" s="678">
        <f t="shared" si="151"/>
        <v>0</v>
      </c>
      <c r="BB19" s="678">
        <f t="shared" si="119"/>
        <v>0</v>
      </c>
      <c r="BC19" s="678">
        <f t="shared" si="119"/>
        <v>0</v>
      </c>
      <c r="BD19" s="678">
        <f t="shared" si="152"/>
        <v>0</v>
      </c>
      <c r="BE19" s="678">
        <f t="shared" si="120"/>
        <v>0</v>
      </c>
      <c r="BF19" s="678">
        <f t="shared" si="120"/>
        <v>0</v>
      </c>
      <c r="BG19" s="678">
        <f t="shared" si="153"/>
        <v>0</v>
      </c>
      <c r="BH19" s="673">
        <f t="shared" si="154"/>
        <v>0</v>
      </c>
      <c r="BI19" s="673">
        <f t="shared" si="155"/>
        <v>0</v>
      </c>
      <c r="BJ19" s="679">
        <f t="shared" si="156"/>
        <v>0</v>
      </c>
      <c r="BK19" s="673">
        <f t="shared" si="157"/>
        <v>0</v>
      </c>
      <c r="BL19" s="673">
        <f t="shared" si="158"/>
        <v>0</v>
      </c>
      <c r="BM19" s="673">
        <f t="shared" si="159"/>
        <v>0</v>
      </c>
      <c r="BN19" s="680">
        <f t="shared" si="121"/>
        <v>0</v>
      </c>
      <c r="BO19" s="680">
        <f t="shared" si="122"/>
        <v>0</v>
      </c>
      <c r="BP19" s="680">
        <f t="shared" si="123"/>
        <v>0</v>
      </c>
      <c r="BQ19" s="680">
        <f t="shared" si="160"/>
        <v>0</v>
      </c>
      <c r="BR19" s="680"/>
      <c r="BS19" s="508" t="s">
        <v>865</v>
      </c>
      <c r="BT19" s="681" t="s">
        <v>42</v>
      </c>
      <c r="CM19" s="682" t="s">
        <v>42</v>
      </c>
      <c r="CN19" s="683">
        <f t="shared" si="124"/>
        <v>0</v>
      </c>
      <c r="CO19" s="683">
        <f t="shared" si="125"/>
        <v>0</v>
      </c>
      <c r="CP19" s="683">
        <f t="shared" si="126"/>
        <v>0</v>
      </c>
      <c r="CQ19" s="683">
        <f t="shared" si="127"/>
        <v>0</v>
      </c>
      <c r="CR19" s="683">
        <f t="shared" si="128"/>
        <v>0</v>
      </c>
      <c r="CS19" s="683">
        <f t="shared" si="129"/>
        <v>0</v>
      </c>
      <c r="CT19" s="683">
        <f t="shared" si="130"/>
        <v>0</v>
      </c>
      <c r="CU19" s="683">
        <f t="shared" si="131"/>
        <v>0</v>
      </c>
      <c r="CV19" s="683">
        <f t="shared" si="132"/>
        <v>0</v>
      </c>
      <c r="CW19" s="683">
        <f t="shared" si="133"/>
        <v>0</v>
      </c>
      <c r="CX19" s="683">
        <f t="shared" si="134"/>
        <v>0</v>
      </c>
      <c r="CY19" s="683">
        <f t="shared" si="135"/>
        <v>0</v>
      </c>
      <c r="CZ19" s="683">
        <f t="shared" si="136"/>
        <v>0</v>
      </c>
      <c r="DA19" s="683">
        <f t="shared" si="137"/>
        <v>0</v>
      </c>
      <c r="DB19" s="683">
        <f t="shared" si="138"/>
        <v>0</v>
      </c>
      <c r="DC19" s="683"/>
      <c r="DD19" s="683"/>
      <c r="DE19" s="683"/>
      <c r="DF19" s="683"/>
      <c r="DG19" s="684">
        <f t="shared" si="139"/>
        <v>0</v>
      </c>
      <c r="DH19" s="684">
        <f t="shared" si="140"/>
        <v>0</v>
      </c>
      <c r="DI19" s="684">
        <f t="shared" si="141"/>
        <v>0</v>
      </c>
      <c r="DK19" s="682" t="s">
        <v>42</v>
      </c>
      <c r="DL19" s="683"/>
      <c r="DM19" s="683"/>
      <c r="DN19" s="683"/>
      <c r="DO19" s="683"/>
      <c r="DP19" s="683"/>
      <c r="DQ19" s="683"/>
      <c r="DR19" s="683"/>
      <c r="DS19" s="683"/>
      <c r="DT19" s="683"/>
      <c r="DU19" s="683"/>
      <c r="DV19" s="683"/>
      <c r="DW19" s="683"/>
      <c r="DX19" s="683">
        <f t="shared" si="142"/>
        <v>0</v>
      </c>
      <c r="DY19" s="683">
        <f t="shared" si="143"/>
        <v>0</v>
      </c>
      <c r="DZ19" s="683">
        <f t="shared" si="144"/>
        <v>0</v>
      </c>
      <c r="EA19" s="683"/>
      <c r="EB19" s="683"/>
      <c r="EC19" s="683"/>
      <c r="ED19" s="683"/>
      <c r="EE19" s="684">
        <f t="shared" si="145"/>
        <v>0</v>
      </c>
      <c r="EF19" s="684">
        <f t="shared" si="146"/>
        <v>0</v>
      </c>
      <c r="EG19" s="684">
        <f t="shared" si="147"/>
        <v>0</v>
      </c>
    </row>
    <row r="20" spans="1:137" s="681" customFormat="1" hidden="1">
      <c r="A20" s="671"/>
      <c r="B20" s="662" t="s">
        <v>866</v>
      </c>
      <c r="C20" s="671" t="s">
        <v>42</v>
      </c>
      <c r="D20" s="672">
        <v>1434</v>
      </c>
      <c r="E20" s="672">
        <v>1434</v>
      </c>
      <c r="F20" s="672">
        <v>1433</v>
      </c>
      <c r="G20" s="672">
        <v>1914</v>
      </c>
      <c r="H20" s="672">
        <v>1914</v>
      </c>
      <c r="I20" s="672">
        <v>1913</v>
      </c>
      <c r="J20" s="672">
        <v>1690</v>
      </c>
      <c r="K20" s="672">
        <v>1690</v>
      </c>
      <c r="L20" s="672">
        <v>1691</v>
      </c>
      <c r="M20" s="672">
        <v>1833</v>
      </c>
      <c r="N20" s="672">
        <v>1833</v>
      </c>
      <c r="O20" s="672">
        <v>1833</v>
      </c>
      <c r="P20" s="685">
        <f t="shared" si="148"/>
        <v>20612</v>
      </c>
      <c r="Q20" s="672">
        <f t="shared" si="93"/>
        <v>10042</v>
      </c>
      <c r="R20" s="672">
        <f t="shared" si="94"/>
        <v>10570</v>
      </c>
      <c r="S20" s="672">
        <f t="shared" si="95"/>
        <v>4301</v>
      </c>
      <c r="T20" s="672">
        <f t="shared" si="96"/>
        <v>5741</v>
      </c>
      <c r="U20" s="672">
        <f t="shared" si="97"/>
        <v>5071</v>
      </c>
      <c r="V20" s="672">
        <f t="shared" si="98"/>
        <v>5499</v>
      </c>
      <c r="W20" s="673">
        <f t="shared" si="99"/>
        <v>0</v>
      </c>
      <c r="X20" s="671" t="s">
        <v>42</v>
      </c>
      <c r="Y20" s="675">
        <f t="shared" si="100"/>
        <v>6.9571123617310299E-2</v>
      </c>
      <c r="Z20" s="675">
        <f t="shared" si="101"/>
        <v>6.9571123617310299E-2</v>
      </c>
      <c r="AA20" s="675">
        <f t="shared" si="102"/>
        <v>6.9522608189404228E-2</v>
      </c>
      <c r="AB20" s="675">
        <f t="shared" si="103"/>
        <v>9.2858529012225882E-2</v>
      </c>
      <c r="AC20" s="675">
        <f t="shared" si="104"/>
        <v>9.2858529012225882E-2</v>
      </c>
      <c r="AD20" s="675">
        <f t="shared" si="105"/>
        <v>9.2810013584319812E-2</v>
      </c>
      <c r="AE20" s="675">
        <f t="shared" si="106"/>
        <v>8.1991073161265277E-2</v>
      </c>
      <c r="AF20" s="675">
        <f t="shared" si="107"/>
        <v>8.1991073161265277E-2</v>
      </c>
      <c r="AG20" s="675">
        <f t="shared" si="108"/>
        <v>8.2039588589171361E-2</v>
      </c>
      <c r="AH20" s="675">
        <f t="shared" si="109"/>
        <v>8.8928779351833881E-2</v>
      </c>
      <c r="AI20" s="675">
        <f t="shared" si="110"/>
        <v>8.8928779351833881E-2</v>
      </c>
      <c r="AJ20" s="675">
        <f t="shared" si="111"/>
        <v>8.8928779351833881E-2</v>
      </c>
      <c r="AK20" s="686">
        <f t="shared" si="112"/>
        <v>8.6605042016806716E-2</v>
      </c>
      <c r="AN20" s="691">
        <f t="shared" si="113"/>
        <v>7.7167360413377351E-2</v>
      </c>
      <c r="AO20" s="691">
        <f t="shared" si="114"/>
        <v>9.5343275650181025E-2</v>
      </c>
      <c r="AP20" s="691">
        <f t="shared" si="115"/>
        <v>8.6606776882087719E-2</v>
      </c>
      <c r="AQ20" s="691">
        <f t="shared" si="116"/>
        <v>8.6601152792213934E-2</v>
      </c>
      <c r="AR20" s="691"/>
      <c r="AS20" s="547" t="s">
        <v>866</v>
      </c>
      <c r="AT20" s="677" t="s">
        <v>42</v>
      </c>
      <c r="AU20" s="678">
        <f t="shared" si="149"/>
        <v>0</v>
      </c>
      <c r="AV20" s="678">
        <f t="shared" si="117"/>
        <v>0</v>
      </c>
      <c r="AW20" s="678">
        <f t="shared" si="117"/>
        <v>0</v>
      </c>
      <c r="AX20" s="678">
        <f t="shared" si="150"/>
        <v>0</v>
      </c>
      <c r="AY20" s="678">
        <f t="shared" si="118"/>
        <v>0</v>
      </c>
      <c r="AZ20" s="678">
        <f t="shared" si="118"/>
        <v>0</v>
      </c>
      <c r="BA20" s="678">
        <f t="shared" si="151"/>
        <v>0</v>
      </c>
      <c r="BB20" s="678">
        <f t="shared" si="119"/>
        <v>0</v>
      </c>
      <c r="BC20" s="678">
        <f t="shared" si="119"/>
        <v>0</v>
      </c>
      <c r="BD20" s="678">
        <f t="shared" si="152"/>
        <v>0</v>
      </c>
      <c r="BE20" s="678">
        <f t="shared" si="120"/>
        <v>0</v>
      </c>
      <c r="BF20" s="678">
        <f t="shared" si="120"/>
        <v>0</v>
      </c>
      <c r="BG20" s="678">
        <f t="shared" si="153"/>
        <v>0</v>
      </c>
      <c r="BH20" s="673">
        <f t="shared" si="154"/>
        <v>0</v>
      </c>
      <c r="BI20" s="673">
        <f t="shared" si="155"/>
        <v>0</v>
      </c>
      <c r="BJ20" s="679">
        <f t="shared" si="156"/>
        <v>0</v>
      </c>
      <c r="BK20" s="673">
        <f t="shared" si="157"/>
        <v>0</v>
      </c>
      <c r="BL20" s="673">
        <f t="shared" si="158"/>
        <v>0</v>
      </c>
      <c r="BM20" s="673">
        <f t="shared" si="159"/>
        <v>0</v>
      </c>
      <c r="BN20" s="680">
        <f t="shared" si="121"/>
        <v>0</v>
      </c>
      <c r="BO20" s="680">
        <f t="shared" si="122"/>
        <v>0</v>
      </c>
      <c r="BP20" s="680">
        <f t="shared" si="123"/>
        <v>0</v>
      </c>
      <c r="BQ20" s="680">
        <f t="shared" si="160"/>
        <v>0</v>
      </c>
      <c r="BR20" s="680"/>
      <c r="BS20" s="508" t="s">
        <v>866</v>
      </c>
      <c r="BT20" s="681" t="s">
        <v>42</v>
      </c>
      <c r="CM20" s="682" t="s">
        <v>42</v>
      </c>
      <c r="CN20" s="683">
        <f t="shared" si="124"/>
        <v>0</v>
      </c>
      <c r="CO20" s="683">
        <f t="shared" si="125"/>
        <v>0</v>
      </c>
      <c r="CP20" s="683">
        <f t="shared" si="126"/>
        <v>0</v>
      </c>
      <c r="CQ20" s="683">
        <f t="shared" si="127"/>
        <v>0</v>
      </c>
      <c r="CR20" s="683">
        <f t="shared" si="128"/>
        <v>0</v>
      </c>
      <c r="CS20" s="683">
        <f t="shared" si="129"/>
        <v>0</v>
      </c>
      <c r="CT20" s="683">
        <f t="shared" si="130"/>
        <v>0</v>
      </c>
      <c r="CU20" s="683">
        <f t="shared" si="131"/>
        <v>0</v>
      </c>
      <c r="CV20" s="683">
        <f t="shared" si="132"/>
        <v>0</v>
      </c>
      <c r="CW20" s="683">
        <f t="shared" si="133"/>
        <v>0</v>
      </c>
      <c r="CX20" s="683">
        <f t="shared" si="134"/>
        <v>0</v>
      </c>
      <c r="CY20" s="683">
        <f t="shared" si="135"/>
        <v>0</v>
      </c>
      <c r="CZ20" s="683">
        <f t="shared" si="136"/>
        <v>0</v>
      </c>
      <c r="DA20" s="683">
        <f t="shared" si="137"/>
        <v>0</v>
      </c>
      <c r="DB20" s="683">
        <f t="shared" si="138"/>
        <v>0</v>
      </c>
      <c r="DC20" s="683"/>
      <c r="DD20" s="683"/>
      <c r="DE20" s="683"/>
      <c r="DF20" s="683"/>
      <c r="DG20" s="684">
        <f t="shared" si="139"/>
        <v>0</v>
      </c>
      <c r="DH20" s="684">
        <f t="shared" si="140"/>
        <v>0</v>
      </c>
      <c r="DI20" s="684">
        <f t="shared" si="141"/>
        <v>0</v>
      </c>
      <c r="DK20" s="682" t="s">
        <v>42</v>
      </c>
      <c r="DL20" s="683"/>
      <c r="DM20" s="683"/>
      <c r="DN20" s="683"/>
      <c r="DO20" s="683"/>
      <c r="DP20" s="683"/>
      <c r="DQ20" s="683"/>
      <c r="DR20" s="683"/>
      <c r="DS20" s="683"/>
      <c r="DT20" s="683"/>
      <c r="DU20" s="683"/>
      <c r="DV20" s="683"/>
      <c r="DW20" s="683"/>
      <c r="DX20" s="683">
        <f t="shared" si="142"/>
        <v>0</v>
      </c>
      <c r="DY20" s="683">
        <f t="shared" si="143"/>
        <v>0</v>
      </c>
      <c r="DZ20" s="683">
        <f t="shared" si="144"/>
        <v>0</v>
      </c>
      <c r="EA20" s="683"/>
      <c r="EB20" s="683"/>
      <c r="EC20" s="683"/>
      <c r="ED20" s="683"/>
      <c r="EE20" s="684">
        <f t="shared" si="145"/>
        <v>0</v>
      </c>
      <c r="EF20" s="684">
        <f t="shared" si="146"/>
        <v>0</v>
      </c>
      <c r="EG20" s="684">
        <f t="shared" si="147"/>
        <v>0</v>
      </c>
    </row>
    <row r="21" spans="1:137" s="681" customFormat="1" hidden="1">
      <c r="A21" s="671"/>
      <c r="B21" s="662" t="s">
        <v>867</v>
      </c>
      <c r="C21" s="671" t="s">
        <v>42</v>
      </c>
      <c r="D21" s="672">
        <v>1681</v>
      </c>
      <c r="E21" s="672">
        <v>1681</v>
      </c>
      <c r="F21" s="672">
        <v>1682</v>
      </c>
      <c r="G21" s="672">
        <v>1866</v>
      </c>
      <c r="H21" s="672">
        <v>1866</v>
      </c>
      <c r="I21" s="672">
        <v>1867</v>
      </c>
      <c r="J21" s="672">
        <v>1792</v>
      </c>
      <c r="K21" s="672">
        <v>1792</v>
      </c>
      <c r="L21" s="672">
        <v>1791</v>
      </c>
      <c r="M21" s="672">
        <v>1943</v>
      </c>
      <c r="N21" s="672">
        <v>1943</v>
      </c>
      <c r="O21" s="672">
        <v>1943</v>
      </c>
      <c r="P21" s="685">
        <f t="shared" si="148"/>
        <v>21847</v>
      </c>
      <c r="Q21" s="672">
        <f t="shared" si="93"/>
        <v>10643</v>
      </c>
      <c r="R21" s="672">
        <f t="shared" si="94"/>
        <v>11204</v>
      </c>
      <c r="S21" s="672">
        <f t="shared" si="95"/>
        <v>5044</v>
      </c>
      <c r="T21" s="672">
        <f t="shared" si="96"/>
        <v>5599</v>
      </c>
      <c r="U21" s="672">
        <f t="shared" si="97"/>
        <v>5375</v>
      </c>
      <c r="V21" s="672">
        <f t="shared" si="98"/>
        <v>5829</v>
      </c>
      <c r="W21" s="673">
        <f t="shared" si="99"/>
        <v>0</v>
      </c>
      <c r="X21" s="671" t="s">
        <v>42</v>
      </c>
      <c r="Y21" s="675">
        <f t="shared" si="100"/>
        <v>7.6944202865381978E-2</v>
      </c>
      <c r="Z21" s="675">
        <f t="shared" si="101"/>
        <v>7.6944202865381978E-2</v>
      </c>
      <c r="AA21" s="675">
        <f t="shared" si="102"/>
        <v>7.6989975740376249E-2</v>
      </c>
      <c r="AB21" s="675">
        <f t="shared" si="103"/>
        <v>8.541218473932348E-2</v>
      </c>
      <c r="AC21" s="675">
        <f t="shared" si="104"/>
        <v>8.541218473932348E-2</v>
      </c>
      <c r="AD21" s="675">
        <f t="shared" si="105"/>
        <v>8.5457957614317751E-2</v>
      </c>
      <c r="AE21" s="675">
        <f t="shared" si="106"/>
        <v>8.2024991989746873E-2</v>
      </c>
      <c r="AF21" s="675">
        <f t="shared" si="107"/>
        <v>8.2024991989746873E-2</v>
      </c>
      <c r="AG21" s="675">
        <f t="shared" si="108"/>
        <v>8.1979219114752602E-2</v>
      </c>
      <c r="AH21" s="675">
        <f t="shared" si="109"/>
        <v>8.8936696113882913E-2</v>
      </c>
      <c r="AI21" s="675">
        <f t="shared" si="110"/>
        <v>8.8936696113882913E-2</v>
      </c>
      <c r="AJ21" s="675">
        <f t="shared" si="111"/>
        <v>8.8936696113882913E-2</v>
      </c>
      <c r="AK21" s="686">
        <f t="shared" si="112"/>
        <v>9.1794117647058818E-2</v>
      </c>
      <c r="AN21" s="691">
        <f t="shared" si="113"/>
        <v>9.0498062293670162E-2</v>
      </c>
      <c r="AO21" s="691">
        <f t="shared" si="114"/>
        <v>9.2985020094994514E-2</v>
      </c>
      <c r="AP21" s="691">
        <f t="shared" si="115"/>
        <v>9.1798742997677277E-2</v>
      </c>
      <c r="AQ21" s="691">
        <f t="shared" si="116"/>
        <v>9.1798166871397524E-2</v>
      </c>
      <c r="AR21" s="691"/>
      <c r="AS21" s="547" t="s">
        <v>867</v>
      </c>
      <c r="AT21" s="677" t="s">
        <v>42</v>
      </c>
      <c r="AU21" s="678">
        <f t="shared" si="149"/>
        <v>0</v>
      </c>
      <c r="AV21" s="678">
        <f t="shared" si="117"/>
        <v>0</v>
      </c>
      <c r="AW21" s="678">
        <f t="shared" si="117"/>
        <v>0</v>
      </c>
      <c r="AX21" s="678">
        <f t="shared" si="150"/>
        <v>0</v>
      </c>
      <c r="AY21" s="678">
        <f t="shared" si="118"/>
        <v>0</v>
      </c>
      <c r="AZ21" s="678">
        <f t="shared" si="118"/>
        <v>0</v>
      </c>
      <c r="BA21" s="678">
        <f t="shared" si="151"/>
        <v>0</v>
      </c>
      <c r="BB21" s="678">
        <f t="shared" si="119"/>
        <v>0</v>
      </c>
      <c r="BC21" s="678">
        <f t="shared" si="119"/>
        <v>0</v>
      </c>
      <c r="BD21" s="678">
        <f t="shared" si="152"/>
        <v>0</v>
      </c>
      <c r="BE21" s="678">
        <f t="shared" si="120"/>
        <v>0</v>
      </c>
      <c r="BF21" s="678">
        <f t="shared" si="120"/>
        <v>0</v>
      </c>
      <c r="BG21" s="678">
        <f t="shared" si="153"/>
        <v>0</v>
      </c>
      <c r="BH21" s="673">
        <f t="shared" si="154"/>
        <v>0</v>
      </c>
      <c r="BI21" s="673">
        <f t="shared" si="155"/>
        <v>0</v>
      </c>
      <c r="BJ21" s="679">
        <f t="shared" si="156"/>
        <v>0</v>
      </c>
      <c r="BK21" s="673">
        <f t="shared" si="157"/>
        <v>0</v>
      </c>
      <c r="BL21" s="673">
        <f t="shared" si="158"/>
        <v>0</v>
      </c>
      <c r="BM21" s="673">
        <f t="shared" si="159"/>
        <v>0</v>
      </c>
      <c r="BN21" s="680">
        <f t="shared" si="121"/>
        <v>0</v>
      </c>
      <c r="BO21" s="680">
        <f t="shared" si="122"/>
        <v>0</v>
      </c>
      <c r="BP21" s="680">
        <f t="shared" si="123"/>
        <v>0</v>
      </c>
      <c r="BQ21" s="680">
        <f t="shared" si="160"/>
        <v>0</v>
      </c>
      <c r="BR21" s="680"/>
      <c r="BS21" s="508" t="s">
        <v>867</v>
      </c>
      <c r="BT21" s="681" t="s">
        <v>42</v>
      </c>
      <c r="CM21" s="682" t="s">
        <v>42</v>
      </c>
      <c r="CN21" s="683">
        <f t="shared" si="124"/>
        <v>0</v>
      </c>
      <c r="CO21" s="683">
        <f t="shared" si="125"/>
        <v>0</v>
      </c>
      <c r="CP21" s="683">
        <f t="shared" si="126"/>
        <v>0</v>
      </c>
      <c r="CQ21" s="683">
        <f t="shared" si="127"/>
        <v>0</v>
      </c>
      <c r="CR21" s="683">
        <f t="shared" si="128"/>
        <v>0</v>
      </c>
      <c r="CS21" s="683">
        <f t="shared" si="129"/>
        <v>0</v>
      </c>
      <c r="CT21" s="683">
        <f t="shared" si="130"/>
        <v>0</v>
      </c>
      <c r="CU21" s="683">
        <f t="shared" si="131"/>
        <v>0</v>
      </c>
      <c r="CV21" s="683">
        <f t="shared" si="132"/>
        <v>0</v>
      </c>
      <c r="CW21" s="683">
        <f t="shared" si="133"/>
        <v>0</v>
      </c>
      <c r="CX21" s="683">
        <f t="shared" si="134"/>
        <v>0</v>
      </c>
      <c r="CY21" s="683">
        <f t="shared" si="135"/>
        <v>0</v>
      </c>
      <c r="CZ21" s="683">
        <f t="shared" si="136"/>
        <v>0</v>
      </c>
      <c r="DA21" s="683">
        <f t="shared" si="137"/>
        <v>0</v>
      </c>
      <c r="DB21" s="683">
        <f t="shared" si="138"/>
        <v>0</v>
      </c>
      <c r="DC21" s="683"/>
      <c r="DD21" s="683"/>
      <c r="DE21" s="683"/>
      <c r="DF21" s="683"/>
      <c r="DG21" s="684">
        <f t="shared" si="139"/>
        <v>0</v>
      </c>
      <c r="DH21" s="684">
        <f t="shared" si="140"/>
        <v>0</v>
      </c>
      <c r="DI21" s="684">
        <f t="shared" si="141"/>
        <v>0</v>
      </c>
      <c r="DK21" s="682" t="s">
        <v>42</v>
      </c>
      <c r="DL21" s="683"/>
      <c r="DM21" s="683"/>
      <c r="DN21" s="683"/>
      <c r="DO21" s="683"/>
      <c r="DP21" s="683"/>
      <c r="DQ21" s="683"/>
      <c r="DR21" s="683"/>
      <c r="DS21" s="683"/>
      <c r="DT21" s="683"/>
      <c r="DU21" s="683"/>
      <c r="DV21" s="683"/>
      <c r="DW21" s="683"/>
      <c r="DX21" s="683">
        <f t="shared" si="142"/>
        <v>0</v>
      </c>
      <c r="DY21" s="683">
        <f t="shared" si="143"/>
        <v>0</v>
      </c>
      <c r="DZ21" s="683">
        <f t="shared" si="144"/>
        <v>0</v>
      </c>
      <c r="EA21" s="683"/>
      <c r="EB21" s="683"/>
      <c r="EC21" s="683"/>
      <c r="ED21" s="683"/>
      <c r="EE21" s="684">
        <f t="shared" si="145"/>
        <v>0</v>
      </c>
      <c r="EF21" s="684">
        <f t="shared" si="146"/>
        <v>0</v>
      </c>
      <c r="EG21" s="684">
        <f t="shared" si="147"/>
        <v>0</v>
      </c>
    </row>
    <row r="22" spans="1:137" s="681" customFormat="1" hidden="1">
      <c r="A22" s="671"/>
      <c r="B22" s="662" t="s">
        <v>847</v>
      </c>
      <c r="C22" s="671" t="s">
        <v>42</v>
      </c>
      <c r="D22" s="672">
        <v>2096</v>
      </c>
      <c r="E22" s="672">
        <v>2096</v>
      </c>
      <c r="F22" s="672">
        <v>2096</v>
      </c>
      <c r="G22" s="672">
        <v>2199</v>
      </c>
      <c r="H22" s="672">
        <v>2199</v>
      </c>
      <c r="I22" s="672">
        <v>2199</v>
      </c>
      <c r="J22" s="672">
        <v>2169</v>
      </c>
      <c r="K22" s="672">
        <v>2169</v>
      </c>
      <c r="L22" s="672">
        <v>2168</v>
      </c>
      <c r="M22" s="672">
        <v>2352</v>
      </c>
      <c r="N22" s="672">
        <v>2352</v>
      </c>
      <c r="O22" s="672">
        <v>2352</v>
      </c>
      <c r="P22" s="685">
        <f t="shared" si="148"/>
        <v>26447</v>
      </c>
      <c r="Q22" s="672">
        <f t="shared" si="93"/>
        <v>12885</v>
      </c>
      <c r="R22" s="672">
        <f t="shared" si="94"/>
        <v>13562</v>
      </c>
      <c r="S22" s="672">
        <f t="shared" si="95"/>
        <v>6288</v>
      </c>
      <c r="T22" s="672">
        <f t="shared" si="96"/>
        <v>6597</v>
      </c>
      <c r="U22" s="672">
        <f t="shared" si="97"/>
        <v>6506</v>
      </c>
      <c r="V22" s="672">
        <f t="shared" si="98"/>
        <v>7056</v>
      </c>
      <c r="W22" s="673">
        <f t="shared" si="99"/>
        <v>0</v>
      </c>
      <c r="X22" s="671" t="s">
        <v>42</v>
      </c>
      <c r="Y22" s="675">
        <f t="shared" si="100"/>
        <v>7.9252845313268039E-2</v>
      </c>
      <c r="Z22" s="675">
        <f t="shared" si="101"/>
        <v>7.9252845313268039E-2</v>
      </c>
      <c r="AA22" s="675">
        <f t="shared" si="102"/>
        <v>7.9252845313268039E-2</v>
      </c>
      <c r="AB22" s="675">
        <f t="shared" si="103"/>
        <v>8.3147426929330359E-2</v>
      </c>
      <c r="AC22" s="675">
        <f t="shared" si="104"/>
        <v>8.3147426929330359E-2</v>
      </c>
      <c r="AD22" s="675">
        <f t="shared" si="105"/>
        <v>8.3147426929330359E-2</v>
      </c>
      <c r="AE22" s="675">
        <f t="shared" si="106"/>
        <v>8.2013082769312212E-2</v>
      </c>
      <c r="AF22" s="675">
        <f t="shared" si="107"/>
        <v>8.2013082769312212E-2</v>
      </c>
      <c r="AG22" s="675">
        <f t="shared" si="108"/>
        <v>8.1975271297311608E-2</v>
      </c>
      <c r="AH22" s="675">
        <f t="shared" si="109"/>
        <v>8.893258214542292E-2</v>
      </c>
      <c r="AI22" s="675">
        <f t="shared" si="110"/>
        <v>8.893258214542292E-2</v>
      </c>
      <c r="AJ22" s="675">
        <f t="shared" si="111"/>
        <v>8.893258214542292E-2</v>
      </c>
      <c r="AK22" s="686">
        <f t="shared" si="112"/>
        <v>0.11112184873949579</v>
      </c>
      <c r="AN22" s="691">
        <f t="shared" si="113"/>
        <v>0.11281756853739056</v>
      </c>
      <c r="AO22" s="691">
        <f t="shared" si="114"/>
        <v>0.10955923871524895</v>
      </c>
      <c r="AP22" s="691">
        <f t="shared" si="115"/>
        <v>0.11111490640797923</v>
      </c>
      <c r="AQ22" s="691">
        <f t="shared" si="116"/>
        <v>0.1111216101294529</v>
      </c>
      <c r="AR22" s="691"/>
      <c r="AS22" s="547" t="s">
        <v>847</v>
      </c>
      <c r="AT22" s="677" t="s">
        <v>42</v>
      </c>
      <c r="AU22" s="678">
        <f t="shared" si="149"/>
        <v>0</v>
      </c>
      <c r="AV22" s="678">
        <f t="shared" si="117"/>
        <v>0</v>
      </c>
      <c r="AW22" s="678">
        <f t="shared" si="117"/>
        <v>0</v>
      </c>
      <c r="AX22" s="678">
        <f t="shared" si="150"/>
        <v>0</v>
      </c>
      <c r="AY22" s="678">
        <f t="shared" si="118"/>
        <v>0</v>
      </c>
      <c r="AZ22" s="678">
        <f t="shared" si="118"/>
        <v>0</v>
      </c>
      <c r="BA22" s="678">
        <f t="shared" si="151"/>
        <v>0</v>
      </c>
      <c r="BB22" s="678">
        <f t="shared" si="119"/>
        <v>0</v>
      </c>
      <c r="BC22" s="678">
        <f t="shared" si="119"/>
        <v>0</v>
      </c>
      <c r="BD22" s="678">
        <f t="shared" si="152"/>
        <v>0</v>
      </c>
      <c r="BE22" s="678">
        <f t="shared" si="120"/>
        <v>0</v>
      </c>
      <c r="BF22" s="678">
        <f t="shared" si="120"/>
        <v>0</v>
      </c>
      <c r="BG22" s="678">
        <f t="shared" si="153"/>
        <v>0</v>
      </c>
      <c r="BH22" s="673">
        <f t="shared" si="154"/>
        <v>0</v>
      </c>
      <c r="BI22" s="673">
        <f t="shared" si="155"/>
        <v>0</v>
      </c>
      <c r="BJ22" s="679">
        <f t="shared" si="156"/>
        <v>0</v>
      </c>
      <c r="BK22" s="673">
        <f t="shared" si="157"/>
        <v>0</v>
      </c>
      <c r="BL22" s="673">
        <f t="shared" si="158"/>
        <v>0</v>
      </c>
      <c r="BM22" s="673">
        <f t="shared" si="159"/>
        <v>0</v>
      </c>
      <c r="BN22" s="680">
        <f t="shared" si="121"/>
        <v>0</v>
      </c>
      <c r="BO22" s="680">
        <f t="shared" si="122"/>
        <v>0</v>
      </c>
      <c r="BP22" s="680">
        <f t="shared" si="123"/>
        <v>0</v>
      </c>
      <c r="BQ22" s="680">
        <f t="shared" si="160"/>
        <v>0</v>
      </c>
      <c r="BR22" s="680"/>
      <c r="BS22" s="508" t="s">
        <v>847</v>
      </c>
      <c r="BT22" s="681" t="s">
        <v>42</v>
      </c>
      <c r="CM22" s="682" t="s">
        <v>42</v>
      </c>
      <c r="CN22" s="683">
        <f t="shared" si="124"/>
        <v>0</v>
      </c>
      <c r="CO22" s="683">
        <f t="shared" si="125"/>
        <v>0</v>
      </c>
      <c r="CP22" s="683">
        <f t="shared" si="126"/>
        <v>0</v>
      </c>
      <c r="CQ22" s="683">
        <f t="shared" si="127"/>
        <v>0</v>
      </c>
      <c r="CR22" s="683">
        <f t="shared" si="128"/>
        <v>0</v>
      </c>
      <c r="CS22" s="683">
        <f t="shared" si="129"/>
        <v>0</v>
      </c>
      <c r="CT22" s="683">
        <f t="shared" si="130"/>
        <v>0</v>
      </c>
      <c r="CU22" s="683">
        <f t="shared" si="131"/>
        <v>0</v>
      </c>
      <c r="CV22" s="683">
        <f t="shared" si="132"/>
        <v>0</v>
      </c>
      <c r="CW22" s="683">
        <f t="shared" si="133"/>
        <v>0</v>
      </c>
      <c r="CX22" s="683">
        <f t="shared" si="134"/>
        <v>0</v>
      </c>
      <c r="CY22" s="683">
        <f t="shared" si="135"/>
        <v>0</v>
      </c>
      <c r="CZ22" s="683">
        <f t="shared" si="136"/>
        <v>0</v>
      </c>
      <c r="DA22" s="683">
        <f t="shared" si="137"/>
        <v>0</v>
      </c>
      <c r="DB22" s="683">
        <f t="shared" si="138"/>
        <v>0</v>
      </c>
      <c r="DC22" s="683"/>
      <c r="DD22" s="683"/>
      <c r="DE22" s="683"/>
      <c r="DF22" s="683"/>
      <c r="DG22" s="684">
        <f t="shared" si="139"/>
        <v>0</v>
      </c>
      <c r="DH22" s="684">
        <f t="shared" si="140"/>
        <v>0</v>
      </c>
      <c r="DI22" s="684">
        <f t="shared" si="141"/>
        <v>0</v>
      </c>
      <c r="DK22" s="682" t="s">
        <v>42</v>
      </c>
      <c r="DL22" s="683"/>
      <c r="DM22" s="683"/>
      <c r="DN22" s="683"/>
      <c r="DO22" s="683"/>
      <c r="DP22" s="683"/>
      <c r="DQ22" s="683"/>
      <c r="DR22" s="683"/>
      <c r="DS22" s="683"/>
      <c r="DT22" s="683"/>
      <c r="DU22" s="683"/>
      <c r="DV22" s="683"/>
      <c r="DW22" s="683"/>
      <c r="DX22" s="683">
        <f t="shared" si="142"/>
        <v>0</v>
      </c>
      <c r="DY22" s="683">
        <f t="shared" si="143"/>
        <v>0</v>
      </c>
      <c r="DZ22" s="683">
        <f t="shared" si="144"/>
        <v>0</v>
      </c>
      <c r="EA22" s="683"/>
      <c r="EB22" s="683"/>
      <c r="EC22" s="683"/>
      <c r="ED22" s="683"/>
      <c r="EE22" s="684">
        <f t="shared" si="145"/>
        <v>0</v>
      </c>
      <c r="EF22" s="684">
        <f t="shared" si="146"/>
        <v>0</v>
      </c>
      <c r="EG22" s="684">
        <f t="shared" si="147"/>
        <v>0</v>
      </c>
    </row>
    <row r="23" spans="1:137" s="681" customFormat="1" hidden="1">
      <c r="A23" s="671"/>
      <c r="B23" s="662" t="s">
        <v>868</v>
      </c>
      <c r="C23" s="671" t="s">
        <v>42</v>
      </c>
      <c r="D23" s="672">
        <v>3083</v>
      </c>
      <c r="E23" s="672">
        <v>3083</v>
      </c>
      <c r="F23" s="672">
        <v>3083</v>
      </c>
      <c r="G23" s="672">
        <v>3029</v>
      </c>
      <c r="H23" s="672">
        <v>3029</v>
      </c>
      <c r="I23" s="672">
        <v>3030</v>
      </c>
      <c r="J23" s="672">
        <v>3087</v>
      </c>
      <c r="K23" s="672">
        <v>3087</v>
      </c>
      <c r="L23" s="672">
        <v>3086</v>
      </c>
      <c r="M23" s="672">
        <v>3347</v>
      </c>
      <c r="N23" s="672">
        <v>3347</v>
      </c>
      <c r="O23" s="672">
        <v>3348</v>
      </c>
      <c r="P23" s="685">
        <f t="shared" si="148"/>
        <v>37639</v>
      </c>
      <c r="Q23" s="672">
        <f t="shared" si="93"/>
        <v>18337</v>
      </c>
      <c r="R23" s="672">
        <f t="shared" si="94"/>
        <v>19302</v>
      </c>
      <c r="S23" s="672">
        <f t="shared" si="95"/>
        <v>9249</v>
      </c>
      <c r="T23" s="672">
        <f t="shared" si="96"/>
        <v>9088</v>
      </c>
      <c r="U23" s="672">
        <f t="shared" si="97"/>
        <v>9260</v>
      </c>
      <c r="V23" s="672">
        <f t="shared" si="98"/>
        <v>10042</v>
      </c>
      <c r="W23" s="673">
        <f t="shared" si="99"/>
        <v>0</v>
      </c>
      <c r="X23" s="671" t="s">
        <v>42</v>
      </c>
      <c r="Y23" s="675">
        <f t="shared" si="100"/>
        <v>8.1909721299715715E-2</v>
      </c>
      <c r="Z23" s="675">
        <f t="shared" si="101"/>
        <v>8.1909721299715715E-2</v>
      </c>
      <c r="AA23" s="675">
        <f t="shared" si="102"/>
        <v>8.1909721299715715E-2</v>
      </c>
      <c r="AB23" s="675">
        <f t="shared" si="103"/>
        <v>8.0475039188076192E-2</v>
      </c>
      <c r="AC23" s="675">
        <f t="shared" si="104"/>
        <v>8.0475039188076192E-2</v>
      </c>
      <c r="AD23" s="675">
        <f t="shared" si="105"/>
        <v>8.0501607375328785E-2</v>
      </c>
      <c r="AE23" s="675">
        <f t="shared" si="106"/>
        <v>8.201599404872606E-2</v>
      </c>
      <c r="AF23" s="675">
        <f t="shared" si="107"/>
        <v>8.201599404872606E-2</v>
      </c>
      <c r="AG23" s="675">
        <f t="shared" si="108"/>
        <v>8.1989425861473467E-2</v>
      </c>
      <c r="AH23" s="675">
        <f t="shared" si="109"/>
        <v>8.8923722734397831E-2</v>
      </c>
      <c r="AI23" s="675">
        <f t="shared" si="110"/>
        <v>8.8923722734397831E-2</v>
      </c>
      <c r="AJ23" s="675">
        <f t="shared" si="111"/>
        <v>8.895029092165041E-2</v>
      </c>
      <c r="AK23" s="686">
        <f t="shared" si="112"/>
        <v>0.15814705882352942</v>
      </c>
      <c r="AN23" s="691">
        <f t="shared" si="113"/>
        <v>0.16594301708052248</v>
      </c>
      <c r="AO23" s="691">
        <f t="shared" si="114"/>
        <v>0.15092835553193609</v>
      </c>
      <c r="AP23" s="691">
        <f t="shared" si="115"/>
        <v>0.15815002049460308</v>
      </c>
      <c r="AQ23" s="691">
        <f t="shared" si="116"/>
        <v>0.15814671328230812</v>
      </c>
      <c r="AR23" s="691"/>
      <c r="AS23" s="547" t="s">
        <v>868</v>
      </c>
      <c r="AT23" s="677" t="s">
        <v>42</v>
      </c>
      <c r="AU23" s="678">
        <f t="shared" si="149"/>
        <v>0</v>
      </c>
      <c r="AV23" s="678">
        <f t="shared" si="117"/>
        <v>0</v>
      </c>
      <c r="AW23" s="678">
        <f t="shared" si="117"/>
        <v>0</v>
      </c>
      <c r="AX23" s="678">
        <f t="shared" si="150"/>
        <v>0</v>
      </c>
      <c r="AY23" s="678">
        <f t="shared" si="118"/>
        <v>0</v>
      </c>
      <c r="AZ23" s="678">
        <f t="shared" si="118"/>
        <v>0</v>
      </c>
      <c r="BA23" s="678">
        <f t="shared" si="151"/>
        <v>0</v>
      </c>
      <c r="BB23" s="678">
        <f t="shared" si="119"/>
        <v>0</v>
      </c>
      <c r="BC23" s="678">
        <f t="shared" si="119"/>
        <v>0</v>
      </c>
      <c r="BD23" s="678">
        <f t="shared" si="152"/>
        <v>0</v>
      </c>
      <c r="BE23" s="678">
        <f t="shared" si="120"/>
        <v>0</v>
      </c>
      <c r="BF23" s="678">
        <f t="shared" si="120"/>
        <v>0</v>
      </c>
      <c r="BG23" s="678">
        <f t="shared" si="153"/>
        <v>0</v>
      </c>
      <c r="BH23" s="673">
        <f t="shared" si="154"/>
        <v>0</v>
      </c>
      <c r="BI23" s="673">
        <f t="shared" si="155"/>
        <v>0</v>
      </c>
      <c r="BJ23" s="679">
        <f t="shared" si="156"/>
        <v>0</v>
      </c>
      <c r="BK23" s="673">
        <f t="shared" si="157"/>
        <v>0</v>
      </c>
      <c r="BL23" s="673">
        <f t="shared" si="158"/>
        <v>0</v>
      </c>
      <c r="BM23" s="673">
        <f t="shared" si="159"/>
        <v>0</v>
      </c>
      <c r="BN23" s="680">
        <f t="shared" si="121"/>
        <v>0</v>
      </c>
      <c r="BO23" s="680">
        <f t="shared" si="122"/>
        <v>0</v>
      </c>
      <c r="BP23" s="680">
        <f t="shared" si="123"/>
        <v>0</v>
      </c>
      <c r="BQ23" s="680">
        <f t="shared" si="160"/>
        <v>0</v>
      </c>
      <c r="BR23" s="680"/>
      <c r="BS23" s="508" t="s">
        <v>868</v>
      </c>
      <c r="BT23" s="681" t="s">
        <v>42</v>
      </c>
      <c r="CM23" s="682" t="s">
        <v>42</v>
      </c>
      <c r="CN23" s="683">
        <f t="shared" si="124"/>
        <v>0</v>
      </c>
      <c r="CO23" s="683">
        <f t="shared" si="125"/>
        <v>0</v>
      </c>
      <c r="CP23" s="683">
        <f t="shared" si="126"/>
        <v>0</v>
      </c>
      <c r="CQ23" s="683">
        <f t="shared" si="127"/>
        <v>0</v>
      </c>
      <c r="CR23" s="683">
        <f t="shared" si="128"/>
        <v>0</v>
      </c>
      <c r="CS23" s="683">
        <f t="shared" si="129"/>
        <v>0</v>
      </c>
      <c r="CT23" s="683">
        <f t="shared" si="130"/>
        <v>0</v>
      </c>
      <c r="CU23" s="683">
        <f t="shared" si="131"/>
        <v>0</v>
      </c>
      <c r="CV23" s="683">
        <f t="shared" si="132"/>
        <v>0</v>
      </c>
      <c r="CW23" s="683">
        <f t="shared" si="133"/>
        <v>0</v>
      </c>
      <c r="CX23" s="683">
        <f t="shared" si="134"/>
        <v>0</v>
      </c>
      <c r="CY23" s="683">
        <f t="shared" si="135"/>
        <v>0</v>
      </c>
      <c r="CZ23" s="683">
        <f t="shared" si="136"/>
        <v>0</v>
      </c>
      <c r="DA23" s="683">
        <f t="shared" si="137"/>
        <v>0</v>
      </c>
      <c r="DB23" s="683">
        <f t="shared" si="138"/>
        <v>0</v>
      </c>
      <c r="DC23" s="683"/>
      <c r="DD23" s="683"/>
      <c r="DE23" s="683"/>
      <c r="DF23" s="683"/>
      <c r="DG23" s="684">
        <f t="shared" si="139"/>
        <v>0</v>
      </c>
      <c r="DH23" s="684">
        <f t="shared" si="140"/>
        <v>0</v>
      </c>
      <c r="DI23" s="684">
        <f t="shared" si="141"/>
        <v>0</v>
      </c>
      <c r="DK23" s="682" t="s">
        <v>42</v>
      </c>
      <c r="DL23" s="683"/>
      <c r="DM23" s="683"/>
      <c r="DN23" s="683"/>
      <c r="DO23" s="683"/>
      <c r="DP23" s="683"/>
      <c r="DQ23" s="683"/>
      <c r="DR23" s="683"/>
      <c r="DS23" s="683"/>
      <c r="DT23" s="683"/>
      <c r="DU23" s="683"/>
      <c r="DV23" s="683"/>
      <c r="DW23" s="683"/>
      <c r="DX23" s="683">
        <f t="shared" si="142"/>
        <v>0</v>
      </c>
      <c r="DY23" s="683">
        <f t="shared" si="143"/>
        <v>0</v>
      </c>
      <c r="DZ23" s="683">
        <f t="shared" si="144"/>
        <v>0</v>
      </c>
      <c r="EA23" s="683"/>
      <c r="EB23" s="683"/>
      <c r="EC23" s="683"/>
      <c r="ED23" s="683"/>
      <c r="EE23" s="684">
        <f t="shared" si="145"/>
        <v>0</v>
      </c>
      <c r="EF23" s="684">
        <f t="shared" si="146"/>
        <v>0</v>
      </c>
      <c r="EG23" s="684">
        <f t="shared" si="147"/>
        <v>0</v>
      </c>
    </row>
    <row r="24" spans="1:137" s="681" customFormat="1" hidden="1">
      <c r="A24" s="671"/>
      <c r="B24" s="662" t="s">
        <v>850</v>
      </c>
      <c r="C24" s="671" t="s">
        <v>42</v>
      </c>
      <c r="D24" s="672">
        <v>1441</v>
      </c>
      <c r="E24" s="672">
        <v>1441</v>
      </c>
      <c r="F24" s="672">
        <v>1440</v>
      </c>
      <c r="G24" s="672">
        <v>1511</v>
      </c>
      <c r="H24" s="672">
        <v>1511</v>
      </c>
      <c r="I24" s="672">
        <v>1512</v>
      </c>
      <c r="J24" s="672">
        <v>1491</v>
      </c>
      <c r="K24" s="672">
        <v>1491</v>
      </c>
      <c r="L24" s="672">
        <v>1490</v>
      </c>
      <c r="M24" s="672">
        <v>1617</v>
      </c>
      <c r="N24" s="672">
        <v>1617</v>
      </c>
      <c r="O24" s="672">
        <v>1616</v>
      </c>
      <c r="P24" s="685">
        <f t="shared" si="148"/>
        <v>18178</v>
      </c>
      <c r="Q24" s="672">
        <f t="shared" si="93"/>
        <v>8856</v>
      </c>
      <c r="R24" s="672">
        <f t="shared" si="94"/>
        <v>9322</v>
      </c>
      <c r="S24" s="672">
        <f t="shared" si="95"/>
        <v>4322</v>
      </c>
      <c r="T24" s="672">
        <f t="shared" si="96"/>
        <v>4534</v>
      </c>
      <c r="U24" s="672">
        <f t="shared" si="97"/>
        <v>4472</v>
      </c>
      <c r="V24" s="672">
        <f t="shared" si="98"/>
        <v>4850</v>
      </c>
      <c r="W24" s="673">
        <f t="shared" si="99"/>
        <v>0</v>
      </c>
      <c r="X24" s="671" t="s">
        <v>42</v>
      </c>
      <c r="Y24" s="675">
        <f t="shared" si="100"/>
        <v>7.9271647045879634E-2</v>
      </c>
      <c r="Z24" s="675">
        <f t="shared" si="101"/>
        <v>7.9271647045879634E-2</v>
      </c>
      <c r="AA24" s="675">
        <f t="shared" si="102"/>
        <v>7.9216635493453619E-2</v>
      </c>
      <c r="AB24" s="675">
        <f t="shared" si="103"/>
        <v>8.3122455715700302E-2</v>
      </c>
      <c r="AC24" s="675">
        <f t="shared" si="104"/>
        <v>8.3122455715700302E-2</v>
      </c>
      <c r="AD24" s="675">
        <f t="shared" si="105"/>
        <v>8.3177467268126304E-2</v>
      </c>
      <c r="AE24" s="675">
        <f t="shared" si="106"/>
        <v>8.2022224667180108E-2</v>
      </c>
      <c r="AF24" s="675">
        <f t="shared" si="107"/>
        <v>8.2022224667180108E-2</v>
      </c>
      <c r="AG24" s="675">
        <f t="shared" si="108"/>
        <v>8.1967213114754092E-2</v>
      </c>
      <c r="AH24" s="675">
        <f t="shared" si="109"/>
        <v>8.89536802728573E-2</v>
      </c>
      <c r="AI24" s="675">
        <f t="shared" si="110"/>
        <v>8.89536802728573E-2</v>
      </c>
      <c r="AJ24" s="675">
        <f t="shared" si="111"/>
        <v>8.8898668720431284E-2</v>
      </c>
      <c r="AK24" s="686">
        <f t="shared" si="112"/>
        <v>7.6378151260504207E-2</v>
      </c>
      <c r="AN24" s="691">
        <f t="shared" si="113"/>
        <v>7.7544136644179709E-2</v>
      </c>
      <c r="AO24" s="691">
        <f t="shared" si="114"/>
        <v>7.5298103431095761E-2</v>
      </c>
      <c r="AP24" s="691">
        <f t="shared" si="115"/>
        <v>7.6376554174067496E-2</v>
      </c>
      <c r="AQ24" s="691">
        <f t="shared" si="116"/>
        <v>7.638035843648619E-2</v>
      </c>
      <c r="AR24" s="691"/>
      <c r="AS24" s="547" t="s">
        <v>850</v>
      </c>
      <c r="AT24" s="677" t="s">
        <v>42</v>
      </c>
      <c r="AU24" s="678">
        <f t="shared" si="149"/>
        <v>0</v>
      </c>
      <c r="AV24" s="678">
        <f t="shared" si="117"/>
        <v>0</v>
      </c>
      <c r="AW24" s="678">
        <f t="shared" si="117"/>
        <v>0</v>
      </c>
      <c r="AX24" s="678">
        <f t="shared" si="150"/>
        <v>0</v>
      </c>
      <c r="AY24" s="678">
        <f t="shared" si="118"/>
        <v>0</v>
      </c>
      <c r="AZ24" s="678">
        <f t="shared" si="118"/>
        <v>0</v>
      </c>
      <c r="BA24" s="678">
        <f t="shared" si="151"/>
        <v>0</v>
      </c>
      <c r="BB24" s="678">
        <f t="shared" si="119"/>
        <v>0</v>
      </c>
      <c r="BC24" s="678">
        <f t="shared" si="119"/>
        <v>0</v>
      </c>
      <c r="BD24" s="678">
        <f t="shared" si="152"/>
        <v>0</v>
      </c>
      <c r="BE24" s="678">
        <f t="shared" si="120"/>
        <v>0</v>
      </c>
      <c r="BF24" s="678">
        <f t="shared" si="120"/>
        <v>0</v>
      </c>
      <c r="BG24" s="678">
        <f t="shared" si="153"/>
        <v>0</v>
      </c>
      <c r="BH24" s="673">
        <f t="shared" si="154"/>
        <v>0</v>
      </c>
      <c r="BI24" s="673">
        <f t="shared" si="155"/>
        <v>0</v>
      </c>
      <c r="BJ24" s="679">
        <f t="shared" si="156"/>
        <v>0</v>
      </c>
      <c r="BK24" s="673">
        <f t="shared" si="157"/>
        <v>0</v>
      </c>
      <c r="BL24" s="673">
        <f t="shared" si="158"/>
        <v>0</v>
      </c>
      <c r="BM24" s="673">
        <f t="shared" si="159"/>
        <v>0</v>
      </c>
      <c r="BN24" s="680">
        <f t="shared" si="121"/>
        <v>0</v>
      </c>
      <c r="BO24" s="680">
        <f t="shared" si="122"/>
        <v>0</v>
      </c>
      <c r="BP24" s="680">
        <f t="shared" si="123"/>
        <v>0</v>
      </c>
      <c r="BQ24" s="680">
        <f t="shared" si="160"/>
        <v>0</v>
      </c>
      <c r="BR24" s="680"/>
      <c r="BS24" s="508" t="s">
        <v>850</v>
      </c>
      <c r="BT24" s="681" t="s">
        <v>42</v>
      </c>
      <c r="CM24" s="682" t="s">
        <v>42</v>
      </c>
      <c r="CN24" s="683">
        <f t="shared" si="124"/>
        <v>0</v>
      </c>
      <c r="CO24" s="683">
        <f t="shared" si="125"/>
        <v>0</v>
      </c>
      <c r="CP24" s="683">
        <f t="shared" si="126"/>
        <v>0</v>
      </c>
      <c r="CQ24" s="683">
        <f t="shared" si="127"/>
        <v>0</v>
      </c>
      <c r="CR24" s="683">
        <f t="shared" si="128"/>
        <v>0</v>
      </c>
      <c r="CS24" s="683">
        <f t="shared" si="129"/>
        <v>0</v>
      </c>
      <c r="CT24" s="683">
        <f t="shared" si="130"/>
        <v>0</v>
      </c>
      <c r="CU24" s="683">
        <f t="shared" si="131"/>
        <v>0</v>
      </c>
      <c r="CV24" s="683">
        <f t="shared" si="132"/>
        <v>0</v>
      </c>
      <c r="CW24" s="683">
        <f t="shared" si="133"/>
        <v>0</v>
      </c>
      <c r="CX24" s="683">
        <f t="shared" si="134"/>
        <v>0</v>
      </c>
      <c r="CY24" s="683">
        <f t="shared" si="135"/>
        <v>0</v>
      </c>
      <c r="CZ24" s="683">
        <f t="shared" si="136"/>
        <v>0</v>
      </c>
      <c r="DA24" s="683">
        <f t="shared" si="137"/>
        <v>0</v>
      </c>
      <c r="DB24" s="683">
        <f t="shared" si="138"/>
        <v>0</v>
      </c>
      <c r="DC24" s="683"/>
      <c r="DD24" s="683"/>
      <c r="DE24" s="683"/>
      <c r="DF24" s="683"/>
      <c r="DG24" s="684">
        <f t="shared" si="139"/>
        <v>0</v>
      </c>
      <c r="DH24" s="684">
        <f t="shared" si="140"/>
        <v>0</v>
      </c>
      <c r="DI24" s="684">
        <f t="shared" si="141"/>
        <v>0</v>
      </c>
      <c r="DK24" s="682" t="s">
        <v>42</v>
      </c>
      <c r="DL24" s="683"/>
      <c r="DM24" s="683"/>
      <c r="DN24" s="683"/>
      <c r="DO24" s="683"/>
      <c r="DP24" s="683"/>
      <c r="DQ24" s="683"/>
      <c r="DR24" s="683"/>
      <c r="DS24" s="683"/>
      <c r="DT24" s="683"/>
      <c r="DU24" s="683"/>
      <c r="DV24" s="683"/>
      <c r="DW24" s="683"/>
      <c r="DX24" s="683">
        <f t="shared" si="142"/>
        <v>0</v>
      </c>
      <c r="DY24" s="683">
        <f t="shared" si="143"/>
        <v>0</v>
      </c>
      <c r="DZ24" s="683">
        <f t="shared" si="144"/>
        <v>0</v>
      </c>
      <c r="EA24" s="683"/>
      <c r="EB24" s="683"/>
      <c r="EC24" s="683"/>
      <c r="ED24" s="683"/>
      <c r="EE24" s="684">
        <f t="shared" si="145"/>
        <v>0</v>
      </c>
      <c r="EF24" s="684">
        <f t="shared" si="146"/>
        <v>0</v>
      </c>
      <c r="EG24" s="684">
        <f t="shared" si="147"/>
        <v>0</v>
      </c>
    </row>
    <row r="25" spans="1:137" s="681" customFormat="1" hidden="1">
      <c r="A25" s="671"/>
      <c r="B25" s="662" t="s">
        <v>78</v>
      </c>
      <c r="C25" s="671" t="s">
        <v>42</v>
      </c>
      <c r="D25" s="685">
        <f>SUM(D15:D24)</f>
        <v>18579</v>
      </c>
      <c r="E25" s="685">
        <f t="shared" ref="E25:O25" si="161">SUM(E15:E24)</f>
        <v>18579</v>
      </c>
      <c r="F25" s="685">
        <f t="shared" si="161"/>
        <v>18578</v>
      </c>
      <c r="G25" s="685">
        <f t="shared" si="161"/>
        <v>20070</v>
      </c>
      <c r="H25" s="685">
        <f t="shared" si="161"/>
        <v>20070</v>
      </c>
      <c r="I25" s="685">
        <f t="shared" si="161"/>
        <v>20074</v>
      </c>
      <c r="J25" s="685">
        <f t="shared" si="161"/>
        <v>19518</v>
      </c>
      <c r="K25" s="685">
        <f t="shared" si="161"/>
        <v>19518</v>
      </c>
      <c r="L25" s="685">
        <f t="shared" si="161"/>
        <v>19516</v>
      </c>
      <c r="M25" s="685">
        <f t="shared" si="161"/>
        <v>21166</v>
      </c>
      <c r="N25" s="685">
        <f t="shared" si="161"/>
        <v>21166</v>
      </c>
      <c r="O25" s="685">
        <f t="shared" si="161"/>
        <v>21166</v>
      </c>
      <c r="P25" s="685">
        <f>SUM(P15:P24)</f>
        <v>238000</v>
      </c>
      <c r="Q25" s="672">
        <f t="shared" si="93"/>
        <v>115950</v>
      </c>
      <c r="R25" s="672">
        <f t="shared" si="94"/>
        <v>122050</v>
      </c>
      <c r="S25" s="672">
        <f t="shared" si="95"/>
        <v>55736</v>
      </c>
      <c r="T25" s="672">
        <f t="shared" si="96"/>
        <v>60214</v>
      </c>
      <c r="U25" s="672">
        <f t="shared" si="97"/>
        <v>58552</v>
      </c>
      <c r="V25" s="672">
        <f t="shared" si="98"/>
        <v>63498</v>
      </c>
      <c r="W25" s="673">
        <f t="shared" si="99"/>
        <v>0</v>
      </c>
      <c r="X25" s="671" t="s">
        <v>42</v>
      </c>
      <c r="Y25" s="692">
        <f t="shared" si="100"/>
        <v>7.8063025210084028E-2</v>
      </c>
      <c r="Z25" s="692">
        <f t="shared" si="101"/>
        <v>7.8063025210084028E-2</v>
      </c>
      <c r="AA25" s="692">
        <f t="shared" si="102"/>
        <v>7.8058823529411764E-2</v>
      </c>
      <c r="AB25" s="692">
        <f t="shared" si="103"/>
        <v>8.4327731092436978E-2</v>
      </c>
      <c r="AC25" s="692">
        <f t="shared" si="104"/>
        <v>8.4327731092436978E-2</v>
      </c>
      <c r="AD25" s="692">
        <f t="shared" si="105"/>
        <v>8.4344537815126047E-2</v>
      </c>
      <c r="AE25" s="692">
        <f t="shared" si="106"/>
        <v>8.2008403361344531E-2</v>
      </c>
      <c r="AF25" s="692">
        <f t="shared" si="107"/>
        <v>8.2008403361344531E-2</v>
      </c>
      <c r="AG25" s="692">
        <f t="shared" si="108"/>
        <v>8.2000000000000003E-2</v>
      </c>
      <c r="AH25" s="692">
        <f t="shared" si="109"/>
        <v>8.8932773109243704E-2</v>
      </c>
      <c r="AI25" s="692">
        <f t="shared" si="110"/>
        <v>8.8932773109243704E-2</v>
      </c>
      <c r="AJ25" s="692">
        <f t="shared" si="111"/>
        <v>8.8932773109243704E-2</v>
      </c>
      <c r="AK25" s="686">
        <f t="shared" si="112"/>
        <v>1</v>
      </c>
      <c r="AN25" s="691">
        <f t="shared" si="113"/>
        <v>1</v>
      </c>
      <c r="AO25" s="691">
        <f t="shared" si="114"/>
        <v>1</v>
      </c>
      <c r="AP25" s="691">
        <f t="shared" si="115"/>
        <v>1</v>
      </c>
      <c r="AQ25" s="691">
        <f t="shared" si="116"/>
        <v>1</v>
      </c>
      <c r="AR25" s="691"/>
      <c r="AS25" s="547" t="s">
        <v>78</v>
      </c>
      <c r="AT25" s="677" t="s">
        <v>42</v>
      </c>
      <c r="AU25" s="678">
        <f>SUM(AU15:AU24)</f>
        <v>0</v>
      </c>
      <c r="AV25" s="678">
        <f t="shared" ref="AV25:BF25" si="162">SUM(AV15:AV24)</f>
        <v>0</v>
      </c>
      <c r="AW25" s="678">
        <f t="shared" si="162"/>
        <v>0</v>
      </c>
      <c r="AX25" s="678">
        <f t="shared" si="162"/>
        <v>0</v>
      </c>
      <c r="AY25" s="678">
        <f t="shared" si="162"/>
        <v>0</v>
      </c>
      <c r="AZ25" s="678">
        <f t="shared" si="162"/>
        <v>0</v>
      </c>
      <c r="BA25" s="678">
        <f t="shared" si="162"/>
        <v>0</v>
      </c>
      <c r="BB25" s="678">
        <f t="shared" si="162"/>
        <v>0</v>
      </c>
      <c r="BC25" s="678">
        <f t="shared" si="162"/>
        <v>0</v>
      </c>
      <c r="BD25" s="678">
        <f t="shared" si="162"/>
        <v>0</v>
      </c>
      <c r="BE25" s="678">
        <f t="shared" si="162"/>
        <v>0</v>
      </c>
      <c r="BF25" s="678">
        <f t="shared" si="162"/>
        <v>0</v>
      </c>
      <c r="BG25" s="678">
        <f>'Velsipity Sales - 费用 Phasing'!W5</f>
        <v>0</v>
      </c>
      <c r="BH25" s="673">
        <f t="shared" si="154"/>
        <v>0</v>
      </c>
      <c r="BI25" s="673">
        <f t="shared" si="155"/>
        <v>0</v>
      </c>
      <c r="BJ25" s="693">
        <f>$BG$25/4</f>
        <v>0</v>
      </c>
      <c r="BK25" s="693">
        <f t="shared" ref="BK25:BM25" si="163">$BG$25/4</f>
        <v>0</v>
      </c>
      <c r="BL25" s="693">
        <f t="shared" si="163"/>
        <v>0</v>
      </c>
      <c r="BM25" s="693">
        <f t="shared" si="163"/>
        <v>0</v>
      </c>
      <c r="BN25" s="680">
        <f t="shared" si="121"/>
        <v>0</v>
      </c>
      <c r="BO25" s="680">
        <f t="shared" si="122"/>
        <v>0</v>
      </c>
      <c r="BP25" s="680">
        <f t="shared" si="123"/>
        <v>0</v>
      </c>
      <c r="BQ25" s="680">
        <f>SUM(BJ25:BM25)-SUM(AU25:BF25)</f>
        <v>0</v>
      </c>
      <c r="BR25" s="680"/>
      <c r="BS25" s="508" t="s">
        <v>78</v>
      </c>
      <c r="BT25" s="681" t="s">
        <v>42</v>
      </c>
      <c r="CM25" s="682" t="s">
        <v>42</v>
      </c>
      <c r="CN25" s="683">
        <f>SUM(CN15:CN24)</f>
        <v>0</v>
      </c>
      <c r="CO25" s="683">
        <f t="shared" ref="CO25:CY25" si="164">SUM(AV25,BV25)</f>
        <v>0</v>
      </c>
      <c r="CP25" s="683">
        <f t="shared" si="164"/>
        <v>0</v>
      </c>
      <c r="CQ25" s="683">
        <f t="shared" si="164"/>
        <v>0</v>
      </c>
      <c r="CR25" s="683">
        <f t="shared" si="164"/>
        <v>0</v>
      </c>
      <c r="CS25" s="683">
        <f t="shared" si="164"/>
        <v>0</v>
      </c>
      <c r="CT25" s="683">
        <f t="shared" si="164"/>
        <v>0</v>
      </c>
      <c r="CU25" s="683">
        <f t="shared" si="164"/>
        <v>0</v>
      </c>
      <c r="CV25" s="683">
        <f t="shared" si="164"/>
        <v>0</v>
      </c>
      <c r="CW25" s="683">
        <f t="shared" si="164"/>
        <v>0</v>
      </c>
      <c r="CX25" s="683">
        <f t="shared" si="164"/>
        <v>0</v>
      </c>
      <c r="CY25" s="683">
        <f t="shared" si="164"/>
        <v>0</v>
      </c>
      <c r="CZ25" s="687">
        <f>SUM(CN25:CY25)</f>
        <v>0</v>
      </c>
      <c r="DA25" s="683">
        <f t="shared" si="137"/>
        <v>0</v>
      </c>
      <c r="DB25" s="683">
        <f t="shared" si="138"/>
        <v>0</v>
      </c>
      <c r="DC25" s="683"/>
      <c r="DD25" s="683"/>
      <c r="DE25" s="683"/>
      <c r="DF25" s="683"/>
      <c r="DG25" s="688">
        <f>CZ25-'Velsipity Sales - 费用 Phasing'!W5</f>
        <v>0</v>
      </c>
      <c r="DH25" s="684">
        <f t="shared" si="140"/>
        <v>0</v>
      </c>
      <c r="DI25" s="684">
        <f t="shared" si="141"/>
        <v>0</v>
      </c>
      <c r="DK25" s="682" t="s">
        <v>42</v>
      </c>
      <c r="DL25" s="683">
        <f>SUM(DL15:DL24)</f>
        <v>0</v>
      </c>
      <c r="DM25" s="683">
        <f t="shared" ref="DM25:DW25" si="165">SUM(BQ25,CO25)</f>
        <v>0</v>
      </c>
      <c r="DN25" s="683">
        <f t="shared" si="165"/>
        <v>0</v>
      </c>
      <c r="DO25" s="683">
        <f t="shared" si="165"/>
        <v>0</v>
      </c>
      <c r="DP25" s="683">
        <f t="shared" si="165"/>
        <v>0</v>
      </c>
      <c r="DQ25" s="683">
        <f t="shared" si="165"/>
        <v>0</v>
      </c>
      <c r="DR25" s="683">
        <f t="shared" si="165"/>
        <v>0</v>
      </c>
      <c r="DS25" s="683">
        <f t="shared" si="165"/>
        <v>0</v>
      </c>
      <c r="DT25" s="683">
        <f t="shared" si="165"/>
        <v>0</v>
      </c>
      <c r="DU25" s="683">
        <f t="shared" si="165"/>
        <v>0</v>
      </c>
      <c r="DV25" s="683">
        <f t="shared" si="165"/>
        <v>0</v>
      </c>
      <c r="DW25" s="683">
        <f t="shared" si="165"/>
        <v>0</v>
      </c>
      <c r="DX25" s="687">
        <f>SUM(DL25:DW25)</f>
        <v>0</v>
      </c>
      <c r="DY25" s="683">
        <f t="shared" si="143"/>
        <v>0</v>
      </c>
      <c r="DZ25" s="683">
        <f t="shared" si="144"/>
        <v>0</v>
      </c>
      <c r="EA25" s="683"/>
      <c r="EB25" s="683"/>
      <c r="EC25" s="683"/>
      <c r="ED25" s="683"/>
      <c r="EE25" s="688">
        <f>DX25-'Velsipity Sales - 费用 Phasing'!AR5</f>
        <v>0</v>
      </c>
      <c r="EF25" s="684">
        <f t="shared" si="146"/>
        <v>0</v>
      </c>
      <c r="EG25" s="684">
        <f t="shared" si="147"/>
        <v>0</v>
      </c>
    </row>
    <row r="26" spans="1:137" s="703" customFormat="1" ht="19.2" customHeight="1">
      <c r="A26" s="911" t="s">
        <v>1167</v>
      </c>
      <c r="B26" s="912"/>
      <c r="C26" s="912"/>
      <c r="D26" s="912"/>
      <c r="E26" s="912"/>
      <c r="F26" s="912"/>
      <c r="G26" s="912"/>
      <c r="H26" s="912"/>
      <c r="I26" s="912"/>
      <c r="J26" s="912"/>
      <c r="K26" s="912"/>
      <c r="L26" s="912"/>
      <c r="M26" s="912"/>
      <c r="N26" s="912"/>
      <c r="O26" s="912"/>
      <c r="P26" s="912"/>
      <c r="Q26" s="912"/>
      <c r="R26" s="912"/>
      <c r="S26" s="912"/>
      <c r="T26" s="912"/>
      <c r="U26" s="912"/>
      <c r="V26" s="913"/>
      <c r="W26" s="701"/>
      <c r="X26" s="911" t="s">
        <v>1167</v>
      </c>
      <c r="Y26" s="912"/>
      <c r="Z26" s="912"/>
      <c r="AA26" s="912"/>
      <c r="AB26" s="912"/>
      <c r="AC26" s="912"/>
      <c r="AD26" s="912"/>
      <c r="AE26" s="912"/>
      <c r="AF26" s="912"/>
      <c r="AG26" s="912"/>
      <c r="AH26" s="912"/>
      <c r="AI26" s="912"/>
      <c r="AJ26" s="913"/>
      <c r="AS26" s="704"/>
      <c r="AT26" s="704"/>
      <c r="AU26" s="705"/>
      <c r="AV26" s="705"/>
      <c r="AW26" s="705"/>
      <c r="AX26" s="705"/>
      <c r="AY26" s="705"/>
      <c r="AZ26" s="705"/>
      <c r="BA26" s="705"/>
      <c r="BB26" s="705"/>
      <c r="BC26" s="705"/>
      <c r="BD26" s="705"/>
      <c r="BE26" s="705"/>
      <c r="BF26" s="705"/>
      <c r="BG26" s="705"/>
      <c r="BH26" s="706"/>
      <c r="BI26" s="706"/>
      <c r="BJ26" s="706"/>
      <c r="BK26" s="706"/>
      <c r="BL26" s="706"/>
      <c r="BM26" s="706"/>
      <c r="BN26" s="707"/>
      <c r="BO26" s="707"/>
      <c r="BP26" s="707"/>
      <c r="BS26" s="708"/>
      <c r="CM26" s="742" t="s">
        <v>1167</v>
      </c>
      <c r="CN26" s="743"/>
      <c r="CO26" s="743"/>
      <c r="CP26" s="743"/>
      <c r="CQ26" s="743"/>
      <c r="CR26" s="743"/>
      <c r="CS26" s="743"/>
      <c r="CT26" s="743"/>
      <c r="CU26" s="743"/>
      <c r="CV26" s="743"/>
      <c r="CW26" s="743"/>
      <c r="CX26" s="743"/>
      <c r="CY26" s="743"/>
      <c r="CZ26" s="743"/>
      <c r="DA26" s="743"/>
      <c r="DB26" s="743"/>
      <c r="DC26" s="743"/>
      <c r="DD26" s="743"/>
      <c r="DE26" s="743"/>
      <c r="DF26" s="743"/>
      <c r="DG26" s="743"/>
      <c r="DH26" s="743"/>
      <c r="DI26" s="743"/>
      <c r="DJ26" s="701"/>
      <c r="DK26" s="742"/>
      <c r="DL26" s="743"/>
      <c r="DM26" s="743"/>
      <c r="DN26" s="743"/>
      <c r="DO26" s="743"/>
      <c r="DP26" s="743"/>
      <c r="DQ26" s="743"/>
      <c r="DR26" s="743"/>
      <c r="DS26" s="743"/>
      <c r="DT26" s="743"/>
      <c r="DU26" s="743"/>
      <c r="DV26" s="743"/>
      <c r="DW26" s="743"/>
      <c r="DX26" s="743"/>
      <c r="DY26" s="743"/>
      <c r="DZ26" s="743"/>
      <c r="EA26" s="743"/>
      <c r="EB26" s="743"/>
      <c r="EC26" s="743"/>
      <c r="ED26" s="743"/>
      <c r="EE26" s="743"/>
      <c r="EF26" s="743"/>
      <c r="EG26" s="743"/>
    </row>
    <row r="27" spans="1:137" s="708" customFormat="1" ht="22.8" customHeight="1">
      <c r="A27" s="711" t="s">
        <v>1075</v>
      </c>
      <c r="B27" s="711" t="s">
        <v>1169</v>
      </c>
      <c r="C27" s="711" t="s">
        <v>119</v>
      </c>
      <c r="D27" s="712" t="e">
        <f>'Velsipity Sales - 费用 Phasing'!#REF!</f>
        <v>#REF!</v>
      </c>
      <c r="E27" s="712" t="e">
        <f>'Velsipity Sales - 费用 Phasing'!#REF!</f>
        <v>#REF!</v>
      </c>
      <c r="F27" s="712" t="e">
        <f>'Velsipity Sales - 费用 Phasing'!#REF!</f>
        <v>#REF!</v>
      </c>
      <c r="G27" s="712" t="e">
        <f>'Velsipity Sales - 费用 Phasing'!#REF!</f>
        <v>#REF!</v>
      </c>
      <c r="H27" s="712" t="e">
        <f>'Velsipity Sales - 费用 Phasing'!#REF!</f>
        <v>#REF!</v>
      </c>
      <c r="I27" s="712" t="e">
        <f>'Velsipity Sales - 费用 Phasing'!#REF!</f>
        <v>#REF!</v>
      </c>
      <c r="J27" s="712" t="e">
        <f>'Velsipity Sales - 费用 Phasing'!#REF!</f>
        <v>#REF!</v>
      </c>
      <c r="K27" s="712" t="e">
        <f>'Velsipity Sales - 费用 Phasing'!#REF!</f>
        <v>#REF!</v>
      </c>
      <c r="L27" s="712" t="e">
        <f>'Velsipity Sales - 费用 Phasing'!#REF!</f>
        <v>#REF!</v>
      </c>
      <c r="M27" s="712" t="e">
        <f>'Velsipity Sales - 费用 Phasing'!#REF!</f>
        <v>#REF!</v>
      </c>
      <c r="N27" s="712" t="e">
        <f>'Velsipity Sales - 费用 Phasing'!#REF!</f>
        <v>#REF!</v>
      </c>
      <c r="O27" s="712" t="e">
        <f>'Velsipity Sales - 费用 Phasing'!#REF!</f>
        <v>#REF!</v>
      </c>
      <c r="P27" s="713" t="e">
        <f>SUM(D27:O27)</f>
        <v>#REF!</v>
      </c>
      <c r="Q27" s="712" t="e">
        <f>SUM(D27:I27)</f>
        <v>#REF!</v>
      </c>
      <c r="R27" s="712" t="e">
        <f>SUM(J27:O27)</f>
        <v>#REF!</v>
      </c>
      <c r="S27" s="712" t="e">
        <f>SUM(D27:F27)</f>
        <v>#REF!</v>
      </c>
      <c r="T27" s="712" t="e">
        <f>SUM(G27:I27)</f>
        <v>#REF!</v>
      </c>
      <c r="U27" s="712" t="e">
        <f>SUM(J27:L27)</f>
        <v>#REF!</v>
      </c>
      <c r="V27" s="712" t="e">
        <f>SUM(M27:O27)</f>
        <v>#REF!</v>
      </c>
      <c r="W27" s="714" t="e">
        <f>SUM(Q27:R27)-P27</f>
        <v>#REF!</v>
      </c>
      <c r="X27" s="715" t="s">
        <v>78</v>
      </c>
      <c r="Y27" s="716">
        <f>SUM(Y30:Y34,Y37:Y40)</f>
        <v>1</v>
      </c>
      <c r="Z27" s="716">
        <f t="shared" ref="Z27:AJ27" si="166">SUM(Z30:Z34,Z37:Z40)</f>
        <v>1</v>
      </c>
      <c r="AA27" s="716">
        <f t="shared" si="166"/>
        <v>1</v>
      </c>
      <c r="AB27" s="716">
        <f t="shared" si="166"/>
        <v>1</v>
      </c>
      <c r="AC27" s="716">
        <f t="shared" si="166"/>
        <v>1</v>
      </c>
      <c r="AD27" s="716">
        <f t="shared" si="166"/>
        <v>1</v>
      </c>
      <c r="AE27" s="716">
        <f t="shared" si="166"/>
        <v>1</v>
      </c>
      <c r="AF27" s="716">
        <f t="shared" si="166"/>
        <v>1</v>
      </c>
      <c r="AG27" s="716">
        <f t="shared" si="166"/>
        <v>1</v>
      </c>
      <c r="AH27" s="716">
        <f t="shared" si="166"/>
        <v>1</v>
      </c>
      <c r="AI27" s="716">
        <f t="shared" si="166"/>
        <v>1</v>
      </c>
      <c r="AJ27" s="716">
        <f t="shared" si="166"/>
        <v>1</v>
      </c>
      <c r="AS27" s="717" t="s">
        <v>869</v>
      </c>
      <c r="AT27" s="717" t="s">
        <v>130</v>
      </c>
      <c r="AU27" s="718">
        <f>'Velsipity Sales - 费用 Phasing'!E11</f>
        <v>409090.90909090912</v>
      </c>
      <c r="AV27" s="718">
        <f>'Velsipity Sales - 费用 Phasing'!F11</f>
        <v>818181.81818181823</v>
      </c>
      <c r="AW27" s="718">
        <f>'Velsipity Sales - 费用 Phasing'!G11</f>
        <v>1472727.2727272727</v>
      </c>
      <c r="AX27" s="718">
        <f>'Velsipity Sales - 费用 Phasing'!H11</f>
        <v>1472727.2727272727</v>
      </c>
      <c r="AY27" s="718">
        <f>'Velsipity Sales - 费用 Phasing'!I11</f>
        <v>1227272.7272727273</v>
      </c>
      <c r="AZ27" s="718">
        <f>'Velsipity Sales - 费用 Phasing'!J11</f>
        <v>981818.18181818188</v>
      </c>
      <c r="BA27" s="718">
        <f>'Velsipity Sales - 费用 Phasing'!K11</f>
        <v>1227272.7272727273</v>
      </c>
      <c r="BB27" s="718">
        <f>'Velsipity Sales - 费用 Phasing'!L11</f>
        <v>2454545.4545454546</v>
      </c>
      <c r="BC27" s="718">
        <f>'Velsipity Sales - 费用 Phasing'!M11</f>
        <v>1636363.6363636365</v>
      </c>
      <c r="BD27" s="718">
        <f>'Velsipity Sales - 费用 Phasing'!N11</f>
        <v>2454545.4545454546</v>
      </c>
      <c r="BE27" s="718">
        <f>'Velsipity Sales - 费用 Phasing'!O11</f>
        <v>2045454.5454545456</v>
      </c>
      <c r="BF27" s="718">
        <f>'Velsipity Sales - 费用 Phasing'!P11</f>
        <v>1800000</v>
      </c>
      <c r="BG27" s="718">
        <f t="shared" ref="BG27" si="167">SUM(AU27:BF27)</f>
        <v>18000000</v>
      </c>
      <c r="BH27" s="719">
        <f t="shared" ref="BH27:BH29" si="168">SUM(AU27:AZ27)</f>
        <v>6381818.1818181816</v>
      </c>
      <c r="BI27" s="719">
        <f>SUM(BA27:BF27)</f>
        <v>11618181.818181818</v>
      </c>
      <c r="BJ27" s="719">
        <f t="shared" ref="BJ27:BJ29" si="169">SUM(AU27:AW27)</f>
        <v>2700000</v>
      </c>
      <c r="BK27" s="719">
        <f t="shared" ref="BK27:BK29" si="170">SUM(AX27:AZ27)</f>
        <v>3681818.1818181816</v>
      </c>
      <c r="BL27" s="719">
        <f t="shared" ref="BL27:BL29" si="171">SUM(BA27:BC27)</f>
        <v>5318181.8181818184</v>
      </c>
      <c r="BM27" s="719">
        <f t="shared" ref="BM27:BM29" si="172">SUM(BD27:BF27)</f>
        <v>6300000</v>
      </c>
      <c r="BN27" s="720">
        <f t="shared" ref="BN27:BN29" si="173">SUM(AU27:BF27)-BG27</f>
        <v>0</v>
      </c>
      <c r="BO27" s="720">
        <f t="shared" ref="BO27:BO29" si="174">SUM(AU27:AZ27)-BH27</f>
        <v>0</v>
      </c>
      <c r="BP27" s="720">
        <f t="shared" ref="BP27:BP29" si="175">SUM(BA27:BF27)-BI27</f>
        <v>0</v>
      </c>
      <c r="BS27" s="708" t="s">
        <v>869</v>
      </c>
      <c r="BT27" s="708" t="s">
        <v>130</v>
      </c>
      <c r="CM27" s="711" t="s">
        <v>130</v>
      </c>
      <c r="CN27" s="712">
        <f>'Velsipity Sales - 费用 Phasing'!E38</f>
        <v>341000</v>
      </c>
      <c r="CO27" s="712">
        <f>'Velsipity Sales - 费用 Phasing'!F38</f>
        <v>679000</v>
      </c>
      <c r="CP27" s="712">
        <f>'Velsipity Sales - 费用 Phasing'!G38</f>
        <v>933000</v>
      </c>
      <c r="CQ27" s="712">
        <f>'Velsipity Sales - 费用 Phasing'!H38</f>
        <v>937000</v>
      </c>
      <c r="CR27" s="712">
        <f>'Velsipity Sales - 费用 Phasing'!I38</f>
        <v>1052000</v>
      </c>
      <c r="CS27" s="712">
        <f>'Velsipity Sales - 费用 Phasing'!J38</f>
        <v>1188000</v>
      </c>
      <c r="CT27" s="712">
        <f>'Velsipity Sales - 费用 Phasing'!K38</f>
        <v>1417000</v>
      </c>
      <c r="CU27" s="712">
        <f>'Velsipity Sales - 费用 Phasing'!L38</f>
        <v>1588000</v>
      </c>
      <c r="CV27" s="712">
        <f>'Velsipity Sales - 费用 Phasing'!M38</f>
        <v>1852000</v>
      </c>
      <c r="CW27" s="712">
        <f>'Velsipity Sales - 费用 Phasing'!N38</f>
        <v>2179000</v>
      </c>
      <c r="CX27" s="712">
        <f>'Velsipity Sales - 费用 Phasing'!O38</f>
        <v>2691000</v>
      </c>
      <c r="CY27" s="712">
        <f>'Velsipity Sales - 费用 Phasing'!P38</f>
        <v>3143000</v>
      </c>
      <c r="CZ27" s="712">
        <f>SUM(CN27:CY27)</f>
        <v>18000000</v>
      </c>
      <c r="DA27" s="712">
        <f t="shared" ref="DA27:DA29" si="176">SUM(CN27:CS27)</f>
        <v>5130000</v>
      </c>
      <c r="DB27" s="712">
        <f t="shared" ref="DB27:DB29" si="177">SUM(CT27:CY27)</f>
        <v>12870000</v>
      </c>
      <c r="DC27" s="712">
        <f>CN27+CO27+CP27</f>
        <v>1953000</v>
      </c>
      <c r="DD27" s="712">
        <f>CQ27+CR27+CS27</f>
        <v>3177000</v>
      </c>
      <c r="DE27" s="712">
        <f>CT27+CU27+CV27</f>
        <v>4857000</v>
      </c>
      <c r="DF27" s="712">
        <f>CW27+CX27+CY27</f>
        <v>8013000</v>
      </c>
      <c r="DG27" s="713">
        <f t="shared" ref="DG27:DG29" si="178">SUM(CN27:CY27)-CZ27</f>
        <v>0</v>
      </c>
      <c r="DH27" s="713">
        <f t="shared" ref="DH27:DH29" si="179">SUM(CN27:CS27)-DA27</f>
        <v>0</v>
      </c>
      <c r="DI27" s="713">
        <f t="shared" ref="DI27:DI29" si="180">SUM(CT27:CY27)-DB27</f>
        <v>0</v>
      </c>
      <c r="DK27" s="711" t="s">
        <v>130</v>
      </c>
      <c r="DL27" s="712">
        <f>'Velsipity Sales - 费用 Phasing'!E47</f>
        <v>155500</v>
      </c>
      <c r="DM27" s="712">
        <f>'Velsipity Sales - 费用 Phasing'!F47</f>
        <v>219500</v>
      </c>
      <c r="DN27" s="712">
        <f>'Velsipity Sales - 费用 Phasing'!G47</f>
        <v>315700.00000000006</v>
      </c>
      <c r="DO27" s="712">
        <f>'Velsipity Sales - 费用 Phasing'!H47</f>
        <v>460600</v>
      </c>
      <c r="DP27" s="712">
        <f>'Velsipity Sales - 费用 Phasing'!I47</f>
        <v>562800</v>
      </c>
      <c r="DQ27" s="712">
        <f>'Velsipity Sales - 费用 Phasing'!J47</f>
        <v>637000</v>
      </c>
      <c r="DR27" s="712">
        <f>'Velsipity Sales - 费用 Phasing'!K47</f>
        <v>808500</v>
      </c>
      <c r="DS27" s="712">
        <f>'Velsipity Sales - 费用 Phasing'!L47</f>
        <v>928900</v>
      </c>
      <c r="DT27" s="712">
        <f>'Velsipity Sales - 费用 Phasing'!M47</f>
        <v>1091000</v>
      </c>
      <c r="DU27" s="712">
        <f>'Velsipity Sales - 费用 Phasing'!N47</f>
        <v>1315800</v>
      </c>
      <c r="DV27" s="712">
        <f>'Velsipity Sales - 费用 Phasing'!O47</f>
        <v>1514700</v>
      </c>
      <c r="DW27" s="712">
        <f>'Velsipity Sales - 费用 Phasing'!P47</f>
        <v>1758000</v>
      </c>
      <c r="DX27" s="712">
        <f t="shared" ref="DX27:DX40" si="181">SUM(DL27:DW27)</f>
        <v>9768000</v>
      </c>
      <c r="DY27" s="712">
        <f t="shared" ref="DY27:DY40" si="182">SUM(DL27:DQ27)</f>
        <v>2351100</v>
      </c>
      <c r="DZ27" s="712">
        <f t="shared" ref="DZ27:DZ40" si="183">SUM(DR27:DW27)</f>
        <v>7416900</v>
      </c>
      <c r="EA27" s="712">
        <f>DL27+DM27+DN27</f>
        <v>690700</v>
      </c>
      <c r="EB27" s="712">
        <f>DO27+DP27+DQ27</f>
        <v>1660400</v>
      </c>
      <c r="EC27" s="712">
        <f>DR27+DS27+DT27</f>
        <v>2828400</v>
      </c>
      <c r="ED27" s="712">
        <f>DU27+DV27+DW27</f>
        <v>4588500</v>
      </c>
      <c r="EE27" s="713">
        <f t="shared" ref="EE27:EE40" si="184">SUM(DL27:DW27)-DX27</f>
        <v>0</v>
      </c>
      <c r="EF27" s="713">
        <f t="shared" ref="EF27:EF40" si="185">SUM(DL27:DQ27)-DY27</f>
        <v>0</v>
      </c>
      <c r="EG27" s="713">
        <f t="shared" si="147"/>
        <v>0</v>
      </c>
    </row>
    <row r="28" spans="1:137" s="703" customFormat="1" ht="19.2" customHeight="1">
      <c r="A28" s="911" t="s">
        <v>1168</v>
      </c>
      <c r="B28" s="912"/>
      <c r="C28" s="912"/>
      <c r="D28" s="912"/>
      <c r="E28" s="912"/>
      <c r="F28" s="912"/>
      <c r="G28" s="912"/>
      <c r="H28" s="912"/>
      <c r="I28" s="912"/>
      <c r="J28" s="912"/>
      <c r="K28" s="912"/>
      <c r="L28" s="912"/>
      <c r="M28" s="912"/>
      <c r="N28" s="912"/>
      <c r="O28" s="912"/>
      <c r="P28" s="912"/>
      <c r="Q28" s="912"/>
      <c r="R28" s="912"/>
      <c r="S28" s="912"/>
      <c r="T28" s="912"/>
      <c r="U28" s="912"/>
      <c r="V28" s="913"/>
      <c r="W28" s="701"/>
      <c r="X28" s="911" t="s">
        <v>1172</v>
      </c>
      <c r="Y28" s="912"/>
      <c r="Z28" s="912"/>
      <c r="AA28" s="912"/>
      <c r="AB28" s="912"/>
      <c r="AC28" s="912"/>
      <c r="AD28" s="912"/>
      <c r="AE28" s="912"/>
      <c r="AF28" s="912"/>
      <c r="AG28" s="912"/>
      <c r="AH28" s="912"/>
      <c r="AI28" s="912"/>
      <c r="AJ28" s="913"/>
      <c r="AS28" s="704"/>
      <c r="AT28" s="704"/>
      <c r="AU28" s="705"/>
      <c r="AV28" s="705"/>
      <c r="AW28" s="705"/>
      <c r="AX28" s="705"/>
      <c r="AY28" s="705"/>
      <c r="AZ28" s="705"/>
      <c r="BA28" s="705"/>
      <c r="BB28" s="705"/>
      <c r="BC28" s="705"/>
      <c r="BD28" s="705"/>
      <c r="BE28" s="705"/>
      <c r="BF28" s="705"/>
      <c r="BG28" s="705"/>
      <c r="BH28" s="706"/>
      <c r="BI28" s="706"/>
      <c r="BJ28" s="706"/>
      <c r="BK28" s="706"/>
      <c r="BL28" s="706"/>
      <c r="BM28" s="706"/>
      <c r="BN28" s="707"/>
      <c r="BO28" s="707"/>
      <c r="BP28" s="707"/>
      <c r="BS28" s="708"/>
      <c r="CM28" s="748"/>
      <c r="CN28" s="749"/>
      <c r="CO28" s="749"/>
      <c r="CP28" s="749"/>
      <c r="CQ28" s="749"/>
      <c r="CR28" s="749"/>
      <c r="CS28" s="749"/>
      <c r="CT28" s="749"/>
      <c r="CU28" s="749"/>
      <c r="CV28" s="749"/>
      <c r="CW28" s="749"/>
      <c r="CX28" s="749"/>
      <c r="CY28" s="749"/>
      <c r="CZ28" s="749"/>
      <c r="DA28" s="749"/>
      <c r="DB28" s="749"/>
      <c r="DC28" s="749"/>
      <c r="DD28" s="749"/>
      <c r="DE28" s="749"/>
      <c r="DF28" s="749"/>
      <c r="DG28" s="750"/>
      <c r="DH28" s="750"/>
      <c r="DI28" s="750"/>
      <c r="DK28" s="702"/>
      <c r="DL28" s="709"/>
      <c r="DM28" s="709"/>
      <c r="DN28" s="709"/>
      <c r="DO28" s="709"/>
      <c r="DP28" s="709"/>
      <c r="DQ28" s="709"/>
      <c r="DR28" s="709"/>
      <c r="DS28" s="709"/>
      <c r="DT28" s="709"/>
      <c r="DU28" s="709"/>
      <c r="DV28" s="709"/>
      <c r="DW28" s="709"/>
      <c r="DX28" s="709"/>
      <c r="DY28" s="709"/>
      <c r="DZ28" s="709"/>
      <c r="EA28" s="709"/>
      <c r="EB28" s="709"/>
      <c r="EC28" s="709"/>
      <c r="ED28" s="709"/>
      <c r="EE28" s="710"/>
      <c r="EF28" s="710"/>
      <c r="EG28" s="710"/>
    </row>
    <row r="29" spans="1:137" s="725" customFormat="1" ht="15.6" customHeight="1">
      <c r="A29" s="740"/>
      <c r="B29" s="740" t="s">
        <v>1094</v>
      </c>
      <c r="C29" s="699" t="s">
        <v>130</v>
      </c>
      <c r="D29" s="722" t="e">
        <f>SUM(D30:D34)</f>
        <v>#REF!</v>
      </c>
      <c r="E29" s="722" t="e">
        <f t="shared" ref="E29:O29" si="186">SUM(E30:E34)</f>
        <v>#REF!</v>
      </c>
      <c r="F29" s="722" t="e">
        <f t="shared" si="186"/>
        <v>#REF!</v>
      </c>
      <c r="G29" s="722" t="e">
        <f t="shared" si="186"/>
        <v>#REF!</v>
      </c>
      <c r="H29" s="722" t="e">
        <f t="shared" si="186"/>
        <v>#REF!</v>
      </c>
      <c r="I29" s="722" t="e">
        <f t="shared" si="186"/>
        <v>#REF!</v>
      </c>
      <c r="J29" s="722" t="e">
        <f t="shared" si="186"/>
        <v>#REF!</v>
      </c>
      <c r="K29" s="722" t="e">
        <f t="shared" si="186"/>
        <v>#REF!</v>
      </c>
      <c r="L29" s="722" t="e">
        <f t="shared" si="186"/>
        <v>#REF!</v>
      </c>
      <c r="M29" s="722" t="e">
        <f t="shared" si="186"/>
        <v>#REF!</v>
      </c>
      <c r="N29" s="722" t="e">
        <f t="shared" si="186"/>
        <v>#REF!</v>
      </c>
      <c r="O29" s="722" t="e">
        <f t="shared" si="186"/>
        <v>#REF!</v>
      </c>
      <c r="P29" s="710" t="e">
        <f>SUM(D29:O29)</f>
        <v>#REF!</v>
      </c>
      <c r="Q29" s="723" t="e">
        <f t="shared" ref="Q29" si="187">SUM(D29:I29)</f>
        <v>#REF!</v>
      </c>
      <c r="R29" s="723" t="e">
        <f t="shared" ref="R29" si="188">SUM(J29:O29)</f>
        <v>#REF!</v>
      </c>
      <c r="S29" s="723" t="e">
        <f t="shared" ref="S29" si="189">SUM(D29:F29)</f>
        <v>#REF!</v>
      </c>
      <c r="T29" s="723" t="e">
        <f t="shared" ref="T29" si="190">SUM(G29:I29)</f>
        <v>#REF!</v>
      </c>
      <c r="U29" s="723" t="e">
        <f t="shared" ref="U29" si="191">SUM(J29:L29)</f>
        <v>#REF!</v>
      </c>
      <c r="V29" s="723" t="e">
        <f t="shared" ref="V29" si="192">SUM(M29:O29)</f>
        <v>#REF!</v>
      </c>
      <c r="W29" s="701" t="e">
        <f t="shared" ref="W29" si="193">SUM(Q29:R29)-P29</f>
        <v>#REF!</v>
      </c>
      <c r="X29" s="740" t="s">
        <v>1094</v>
      </c>
      <c r="Y29" s="724">
        <f>SUM(Y30:Y34)</f>
        <v>0.49199999999999999</v>
      </c>
      <c r="Z29" s="724">
        <f t="shared" ref="Z29:AJ29" si="194">SUM(Z30:Z34)</f>
        <v>0.49199999999999999</v>
      </c>
      <c r="AA29" s="724">
        <f t="shared" si="194"/>
        <v>0.49199999999999999</v>
      </c>
      <c r="AB29" s="724">
        <f t="shared" si="194"/>
        <v>0.49199999999999999</v>
      </c>
      <c r="AC29" s="724">
        <f t="shared" si="194"/>
        <v>0.49199999999999999</v>
      </c>
      <c r="AD29" s="724">
        <f t="shared" si="194"/>
        <v>0.49199999999999999</v>
      </c>
      <c r="AE29" s="724">
        <f t="shared" si="194"/>
        <v>0.49199999999999999</v>
      </c>
      <c r="AF29" s="724">
        <f t="shared" si="194"/>
        <v>0.49199999999999999</v>
      </c>
      <c r="AG29" s="724">
        <f t="shared" si="194"/>
        <v>0.49199999999999999</v>
      </c>
      <c r="AH29" s="724">
        <f t="shared" si="194"/>
        <v>0.49199999999999999</v>
      </c>
      <c r="AI29" s="724">
        <f t="shared" si="194"/>
        <v>0.49199999999999999</v>
      </c>
      <c r="AJ29" s="724">
        <f t="shared" si="194"/>
        <v>0.49199999999999999</v>
      </c>
      <c r="AS29" s="725" t="s">
        <v>1094</v>
      </c>
      <c r="AT29" s="703" t="s">
        <v>130</v>
      </c>
      <c r="AU29" s="726">
        <f>SUM(AU30:AU34)</f>
        <v>201272.72727272729</v>
      </c>
      <c r="AV29" s="726">
        <f t="shared" ref="AV29:BF29" si="195">SUM(AV30:AV34)</f>
        <v>402545.45454545459</v>
      </c>
      <c r="AW29" s="726">
        <f t="shared" si="195"/>
        <v>724581.81818181812</v>
      </c>
      <c r="AX29" s="726">
        <f t="shared" si="195"/>
        <v>724581.81818181812</v>
      </c>
      <c r="AY29" s="726">
        <f t="shared" si="195"/>
        <v>603818.18181818188</v>
      </c>
      <c r="AZ29" s="726">
        <f t="shared" si="195"/>
        <v>483054.54545454553</v>
      </c>
      <c r="BA29" s="726">
        <f t="shared" si="195"/>
        <v>603818.18181818188</v>
      </c>
      <c r="BB29" s="726">
        <f t="shared" si="195"/>
        <v>1207636.3636363638</v>
      </c>
      <c r="BC29" s="726">
        <f t="shared" si="195"/>
        <v>805090.90909090918</v>
      </c>
      <c r="BD29" s="726">
        <f t="shared" si="195"/>
        <v>1207636.3636363638</v>
      </c>
      <c r="BE29" s="726">
        <f t="shared" si="195"/>
        <v>1006363.6363636366</v>
      </c>
      <c r="BF29" s="726">
        <f t="shared" si="195"/>
        <v>885600</v>
      </c>
      <c r="BG29" s="726">
        <f>SUM(AU29:BF29)</f>
        <v>8856000.0000000019</v>
      </c>
      <c r="BH29" s="726">
        <f t="shared" si="168"/>
        <v>3139854.5454545454</v>
      </c>
      <c r="BI29" s="726">
        <f t="shared" ref="BI29" si="196">SUM(BA29:BF29)</f>
        <v>5716145.4545454551</v>
      </c>
      <c r="BJ29" s="726">
        <f t="shared" si="169"/>
        <v>1328400</v>
      </c>
      <c r="BK29" s="726">
        <f t="shared" si="170"/>
        <v>1811454.5454545454</v>
      </c>
      <c r="BL29" s="726">
        <f t="shared" si="171"/>
        <v>2616545.4545454551</v>
      </c>
      <c r="BM29" s="726">
        <f t="shared" si="172"/>
        <v>3099600.0000000005</v>
      </c>
      <c r="BN29" s="727">
        <f t="shared" si="173"/>
        <v>0</v>
      </c>
      <c r="BO29" s="727">
        <f t="shared" si="174"/>
        <v>0</v>
      </c>
      <c r="BP29" s="727">
        <f t="shared" si="175"/>
        <v>0</v>
      </c>
      <c r="BS29" s="725" t="s">
        <v>1094</v>
      </c>
      <c r="BT29" s="725" t="s">
        <v>130</v>
      </c>
      <c r="CM29" s="721" t="s">
        <v>130</v>
      </c>
      <c r="CN29" s="722">
        <f>SUM(CN30:CN34)</f>
        <v>167772</v>
      </c>
      <c r="CO29" s="722">
        <f t="shared" ref="CO29:CY29" si="197">SUM(CO30:CO34)</f>
        <v>334068</v>
      </c>
      <c r="CP29" s="722">
        <f t="shared" si="197"/>
        <v>459036</v>
      </c>
      <c r="CQ29" s="722">
        <f t="shared" si="197"/>
        <v>461004</v>
      </c>
      <c r="CR29" s="722">
        <f t="shared" si="197"/>
        <v>517584</v>
      </c>
      <c r="CS29" s="722">
        <f t="shared" si="197"/>
        <v>584496</v>
      </c>
      <c r="CT29" s="722">
        <f t="shared" si="197"/>
        <v>697164</v>
      </c>
      <c r="CU29" s="722">
        <f t="shared" si="197"/>
        <v>781296</v>
      </c>
      <c r="CV29" s="722">
        <f t="shared" si="197"/>
        <v>911184</v>
      </c>
      <c r="CW29" s="722">
        <f t="shared" si="197"/>
        <v>1072068</v>
      </c>
      <c r="CX29" s="722">
        <f t="shared" si="197"/>
        <v>1323972</v>
      </c>
      <c r="CY29" s="722">
        <f t="shared" si="197"/>
        <v>1546356</v>
      </c>
      <c r="CZ29" s="722">
        <f t="shared" ref="CZ29" si="198">SUM(CN29:CY29)</f>
        <v>8856000</v>
      </c>
      <c r="DA29" s="722">
        <f t="shared" si="176"/>
        <v>2523960</v>
      </c>
      <c r="DB29" s="722">
        <f t="shared" si="177"/>
        <v>6332040</v>
      </c>
      <c r="DC29" s="722">
        <f t="shared" ref="DC29:DC34" si="199">CN29+CO29+CP29</f>
        <v>960876</v>
      </c>
      <c r="DD29" s="722">
        <f t="shared" ref="DD29:DD34" si="200">CQ29+CR29+CS29</f>
        <v>1563084</v>
      </c>
      <c r="DE29" s="722">
        <f t="shared" ref="DE29:DE34" si="201">CT29+CU29+CV29</f>
        <v>2389644</v>
      </c>
      <c r="DF29" s="722">
        <f t="shared" ref="DF29:DF34" si="202">CW29+CX29+CY29</f>
        <v>3942396</v>
      </c>
      <c r="DG29" s="728">
        <f t="shared" si="178"/>
        <v>0</v>
      </c>
      <c r="DH29" s="728">
        <f t="shared" si="179"/>
        <v>0</v>
      </c>
      <c r="DI29" s="728">
        <f t="shared" si="180"/>
        <v>0</v>
      </c>
      <c r="DK29" s="721" t="s">
        <v>130</v>
      </c>
      <c r="DL29" s="722">
        <f>SUM(DL30:DL34)</f>
        <v>76506</v>
      </c>
      <c r="DM29" s="722">
        <f t="shared" ref="DM29" si="203">SUM(DM30:DM34)</f>
        <v>107994</v>
      </c>
      <c r="DN29" s="722">
        <f t="shared" ref="DN29" si="204">SUM(DN30:DN34)</f>
        <v>155324.40000000002</v>
      </c>
      <c r="DO29" s="722">
        <f t="shared" ref="DO29" si="205">SUM(DO30:DO34)</f>
        <v>226615.2</v>
      </c>
      <c r="DP29" s="722">
        <f t="shared" ref="DP29" si="206">SUM(DP30:DP34)</f>
        <v>276897.59999999998</v>
      </c>
      <c r="DQ29" s="722">
        <f t="shared" ref="DQ29" si="207">SUM(DQ30:DQ34)</f>
        <v>313404</v>
      </c>
      <c r="DR29" s="722">
        <f t="shared" ref="DR29" si="208">SUM(DR30:DR34)</f>
        <v>397782</v>
      </c>
      <c r="DS29" s="722">
        <f t="shared" ref="DS29" si="209">SUM(DS30:DS34)</f>
        <v>457018.8</v>
      </c>
      <c r="DT29" s="722">
        <f t="shared" ref="DT29" si="210">SUM(DT30:DT34)</f>
        <v>536772</v>
      </c>
      <c r="DU29" s="722">
        <f t="shared" ref="DU29" si="211">SUM(DU30:DU34)</f>
        <v>647373.6</v>
      </c>
      <c r="DV29" s="722">
        <f t="shared" ref="DV29" si="212">SUM(DV30:DV34)</f>
        <v>745232.4</v>
      </c>
      <c r="DW29" s="722">
        <f t="shared" ref="DW29" si="213">SUM(DW30:DW34)</f>
        <v>864936</v>
      </c>
      <c r="DX29" s="722">
        <f t="shared" si="181"/>
        <v>4805856</v>
      </c>
      <c r="DY29" s="722">
        <f t="shared" si="182"/>
        <v>1156741.2000000002</v>
      </c>
      <c r="DZ29" s="722">
        <f t="shared" si="183"/>
        <v>3649114.8</v>
      </c>
      <c r="EA29" s="722">
        <f t="shared" ref="EA29:EA34" si="214">DL29+DM29+DN29</f>
        <v>339824.4</v>
      </c>
      <c r="EB29" s="722">
        <f t="shared" ref="EB29:EB34" si="215">DO29+DP29+DQ29</f>
        <v>816916.8</v>
      </c>
      <c r="EC29" s="722">
        <f t="shared" ref="EC29:EC34" si="216">DR29+DS29+DT29</f>
        <v>1391572.8</v>
      </c>
      <c r="ED29" s="722">
        <f t="shared" ref="ED29:ED34" si="217">DU29+DV29+DW29</f>
        <v>2257542</v>
      </c>
      <c r="EE29" s="728">
        <f t="shared" si="184"/>
        <v>0</v>
      </c>
      <c r="EF29" s="728">
        <f t="shared" si="185"/>
        <v>0</v>
      </c>
      <c r="EG29" s="728">
        <f t="shared" si="147"/>
        <v>0</v>
      </c>
    </row>
    <row r="30" spans="1:137" s="736" customFormat="1" ht="15.6" customHeight="1">
      <c r="A30" s="741" t="s">
        <v>1084</v>
      </c>
      <c r="B30" s="741" t="s">
        <v>1085</v>
      </c>
      <c r="C30" s="700" t="s">
        <v>130</v>
      </c>
      <c r="D30" s="730" t="e">
        <f t="shared" ref="D30:O34" si="218">D$27*Y30</f>
        <v>#REF!</v>
      </c>
      <c r="E30" s="730" t="e">
        <f t="shared" si="218"/>
        <v>#REF!</v>
      </c>
      <c r="F30" s="730" t="e">
        <f t="shared" si="218"/>
        <v>#REF!</v>
      </c>
      <c r="G30" s="730" t="e">
        <f t="shared" si="218"/>
        <v>#REF!</v>
      </c>
      <c r="H30" s="730" t="e">
        <f t="shared" si="218"/>
        <v>#REF!</v>
      </c>
      <c r="I30" s="730" t="e">
        <f t="shared" si="218"/>
        <v>#REF!</v>
      </c>
      <c r="J30" s="730" t="e">
        <f t="shared" si="218"/>
        <v>#REF!</v>
      </c>
      <c r="K30" s="730" t="e">
        <f t="shared" si="218"/>
        <v>#REF!</v>
      </c>
      <c r="L30" s="730" t="e">
        <f t="shared" si="218"/>
        <v>#REF!</v>
      </c>
      <c r="M30" s="730" t="e">
        <f t="shared" si="218"/>
        <v>#REF!</v>
      </c>
      <c r="N30" s="730" t="e">
        <f t="shared" si="218"/>
        <v>#REF!</v>
      </c>
      <c r="O30" s="730" t="e">
        <f t="shared" si="218"/>
        <v>#REF!</v>
      </c>
      <c r="P30" s="731" t="e">
        <f t="shared" ref="P30:P40" si="219">SUM(D30:O30)</f>
        <v>#REF!</v>
      </c>
      <c r="Q30" s="732" t="e">
        <f t="shared" ref="Q30:Q40" si="220">SUM(D30:I30)</f>
        <v>#REF!</v>
      </c>
      <c r="R30" s="732" t="e">
        <f t="shared" ref="R30:R40" si="221">SUM(J30:O30)</f>
        <v>#REF!</v>
      </c>
      <c r="S30" s="732" t="e">
        <f t="shared" ref="S30:S40" si="222">SUM(D30:F30)</f>
        <v>#REF!</v>
      </c>
      <c r="T30" s="732" t="e">
        <f t="shared" ref="T30:T40" si="223">SUM(G30:I30)</f>
        <v>#REF!</v>
      </c>
      <c r="U30" s="732" t="e">
        <f t="shared" ref="U30:U40" si="224">SUM(J30:L30)</f>
        <v>#REF!</v>
      </c>
      <c r="V30" s="732" t="e">
        <f t="shared" ref="V30:V40" si="225">SUM(M30:O30)</f>
        <v>#REF!</v>
      </c>
      <c r="W30" s="733" t="e">
        <f t="shared" ref="W30:W40" si="226">SUM(Q30:R30)-P30</f>
        <v>#REF!</v>
      </c>
      <c r="X30" s="741" t="s">
        <v>1085</v>
      </c>
      <c r="Y30" s="734">
        <v>8.3000000000000004E-2</v>
      </c>
      <c r="Z30" s="735">
        <f>Y30</f>
        <v>8.3000000000000004E-2</v>
      </c>
      <c r="AA30" s="735">
        <f t="shared" ref="AA30:AJ31" si="227">Z30</f>
        <v>8.3000000000000004E-2</v>
      </c>
      <c r="AB30" s="735">
        <f t="shared" si="227"/>
        <v>8.3000000000000004E-2</v>
      </c>
      <c r="AC30" s="735">
        <f t="shared" si="227"/>
        <v>8.3000000000000004E-2</v>
      </c>
      <c r="AD30" s="735">
        <f t="shared" si="227"/>
        <v>8.3000000000000004E-2</v>
      </c>
      <c r="AE30" s="735">
        <f t="shared" si="227"/>
        <v>8.3000000000000004E-2</v>
      </c>
      <c r="AF30" s="735">
        <f t="shared" si="227"/>
        <v>8.3000000000000004E-2</v>
      </c>
      <c r="AG30" s="735">
        <f t="shared" si="227"/>
        <v>8.3000000000000004E-2</v>
      </c>
      <c r="AH30" s="735">
        <f t="shared" si="227"/>
        <v>8.3000000000000004E-2</v>
      </c>
      <c r="AI30" s="735">
        <f t="shared" si="227"/>
        <v>8.3000000000000004E-2</v>
      </c>
      <c r="AJ30" s="735">
        <f t="shared" si="227"/>
        <v>8.3000000000000004E-2</v>
      </c>
      <c r="AR30" s="736" t="s">
        <v>1084</v>
      </c>
      <c r="AS30" s="737" t="s">
        <v>1085</v>
      </c>
      <c r="AT30" s="736" t="s">
        <v>129</v>
      </c>
      <c r="AU30" s="738">
        <f>AU$27*Y30</f>
        <v>33954.545454545456</v>
      </c>
      <c r="AV30" s="738">
        <f t="shared" ref="AV30:BF40" si="228">AV$27*Z30</f>
        <v>67909.090909090912</v>
      </c>
      <c r="AW30" s="738">
        <f t="shared" si="228"/>
        <v>122236.36363636365</v>
      </c>
      <c r="AX30" s="738">
        <f t="shared" si="228"/>
        <v>122236.36363636365</v>
      </c>
      <c r="AY30" s="738">
        <f t="shared" si="228"/>
        <v>101863.63636363637</v>
      </c>
      <c r="AZ30" s="738">
        <f t="shared" si="228"/>
        <v>81490.909090909103</v>
      </c>
      <c r="BA30" s="738">
        <f t="shared" si="228"/>
        <v>101863.63636363637</v>
      </c>
      <c r="BB30" s="738">
        <f t="shared" si="228"/>
        <v>203727.27272727274</v>
      </c>
      <c r="BC30" s="738">
        <f t="shared" si="228"/>
        <v>135818.18181818182</v>
      </c>
      <c r="BD30" s="738">
        <f t="shared" si="228"/>
        <v>203727.27272727274</v>
      </c>
      <c r="BE30" s="738">
        <f t="shared" si="228"/>
        <v>169772.72727272729</v>
      </c>
      <c r="BF30" s="738">
        <f t="shared" si="228"/>
        <v>149400</v>
      </c>
      <c r="BG30" s="738">
        <f t="shared" ref="BG30:BG40" si="229">SUM(AU30:BF30)</f>
        <v>1494000</v>
      </c>
      <c r="BH30" s="738">
        <f t="shared" ref="BH30:BH40" si="230">SUM(AU30:AZ30)</f>
        <v>529690.90909090906</v>
      </c>
      <c r="BI30" s="738">
        <f t="shared" ref="BI30:BI40" si="231">SUM(BA30:BF30)</f>
        <v>964309.09090909094</v>
      </c>
      <c r="BJ30" s="738">
        <f t="shared" ref="BJ30:BJ40" si="232">SUM(AU30:AW30)</f>
        <v>224100</v>
      </c>
      <c r="BK30" s="738">
        <f t="shared" ref="BK30:BK40" si="233">SUM(AX30:AZ30)</f>
        <v>305590.90909090912</v>
      </c>
      <c r="BL30" s="738">
        <f t="shared" ref="BL30:BL40" si="234">SUM(BA30:BC30)</f>
        <v>441409.09090909094</v>
      </c>
      <c r="BM30" s="738">
        <f t="shared" ref="BM30:BM40" si="235">SUM(BD30:BF30)</f>
        <v>522900</v>
      </c>
      <c r="BN30" s="739">
        <f t="shared" ref="BN30:BN40" si="236">SUM(AU30:BF30)-BG30</f>
        <v>0</v>
      </c>
      <c r="BO30" s="739">
        <f t="shared" ref="BO30:BO40" si="237">SUM(AU30:AZ30)-BH30</f>
        <v>0</v>
      </c>
      <c r="BP30" s="739">
        <f t="shared" ref="BP30:BP40" si="238">SUM(BA30:BF30)-BI30</f>
        <v>0</v>
      </c>
      <c r="BR30" s="736" t="s">
        <v>1084</v>
      </c>
      <c r="BS30" s="737" t="s">
        <v>1085</v>
      </c>
      <c r="BT30" s="737" t="s">
        <v>130</v>
      </c>
      <c r="CM30" s="729" t="s">
        <v>130</v>
      </c>
      <c r="CN30" s="730">
        <f t="shared" ref="CN30:CY34" si="239">CN$27*Y30</f>
        <v>28303</v>
      </c>
      <c r="CO30" s="730">
        <f t="shared" si="239"/>
        <v>56357</v>
      </c>
      <c r="CP30" s="730">
        <f t="shared" si="239"/>
        <v>77439</v>
      </c>
      <c r="CQ30" s="730">
        <f t="shared" si="239"/>
        <v>77771</v>
      </c>
      <c r="CR30" s="730">
        <f t="shared" si="239"/>
        <v>87316</v>
      </c>
      <c r="CS30" s="730">
        <f t="shared" si="239"/>
        <v>98604</v>
      </c>
      <c r="CT30" s="730">
        <f t="shared" si="239"/>
        <v>117611</v>
      </c>
      <c r="CU30" s="730">
        <f t="shared" si="239"/>
        <v>131804</v>
      </c>
      <c r="CV30" s="730">
        <f t="shared" si="239"/>
        <v>153716</v>
      </c>
      <c r="CW30" s="730">
        <f t="shared" si="239"/>
        <v>180857</v>
      </c>
      <c r="CX30" s="730">
        <f t="shared" si="239"/>
        <v>223353</v>
      </c>
      <c r="CY30" s="730">
        <f t="shared" si="239"/>
        <v>260869</v>
      </c>
      <c r="CZ30" s="730">
        <f t="shared" ref="CZ30:CZ40" si="240">SUM(CN30:CY30)</f>
        <v>1494000</v>
      </c>
      <c r="DA30" s="730">
        <f t="shared" ref="DA30:DA40" si="241">SUM(CN30:CS30)</f>
        <v>425790</v>
      </c>
      <c r="DB30" s="730">
        <f t="shared" ref="DB30:DB40" si="242">SUM(CT30:CY30)</f>
        <v>1068210</v>
      </c>
      <c r="DC30" s="730">
        <f t="shared" si="199"/>
        <v>162099</v>
      </c>
      <c r="DD30" s="730">
        <f t="shared" si="200"/>
        <v>263691</v>
      </c>
      <c r="DE30" s="730">
        <f t="shared" si="201"/>
        <v>403131</v>
      </c>
      <c r="DF30" s="730">
        <f t="shared" si="202"/>
        <v>665079</v>
      </c>
      <c r="DG30" s="728">
        <f t="shared" ref="DG30:DG40" si="243">SUM(CN30:CY30)-CZ30</f>
        <v>0</v>
      </c>
      <c r="DH30" s="728">
        <f t="shared" ref="DH30:DH40" si="244">SUM(CN30:CS30)-DA30</f>
        <v>0</v>
      </c>
      <c r="DI30" s="728">
        <f t="shared" ref="DI30:DI40" si="245">SUM(CT30:CY30)-DB30</f>
        <v>0</v>
      </c>
      <c r="DK30" s="729" t="s">
        <v>130</v>
      </c>
      <c r="DL30" s="730">
        <f t="shared" ref="DL30:DW34" si="246">DL$27*Y30</f>
        <v>12906.5</v>
      </c>
      <c r="DM30" s="730">
        <f t="shared" si="246"/>
        <v>18218.5</v>
      </c>
      <c r="DN30" s="730">
        <f t="shared" si="246"/>
        <v>26203.100000000006</v>
      </c>
      <c r="DO30" s="730">
        <f t="shared" si="246"/>
        <v>38229.800000000003</v>
      </c>
      <c r="DP30" s="730">
        <f t="shared" si="246"/>
        <v>46712.4</v>
      </c>
      <c r="DQ30" s="730">
        <f t="shared" si="246"/>
        <v>52871</v>
      </c>
      <c r="DR30" s="730">
        <f t="shared" si="246"/>
        <v>67105.5</v>
      </c>
      <c r="DS30" s="730">
        <f t="shared" si="246"/>
        <v>77098.7</v>
      </c>
      <c r="DT30" s="730">
        <f t="shared" si="246"/>
        <v>90553</v>
      </c>
      <c r="DU30" s="730">
        <f t="shared" si="246"/>
        <v>109211.40000000001</v>
      </c>
      <c r="DV30" s="730">
        <f t="shared" si="246"/>
        <v>125720.1</v>
      </c>
      <c r="DW30" s="730">
        <f t="shared" si="246"/>
        <v>145914</v>
      </c>
      <c r="DX30" s="730">
        <f t="shared" si="181"/>
        <v>810744</v>
      </c>
      <c r="DY30" s="730">
        <f t="shared" si="182"/>
        <v>195141.30000000002</v>
      </c>
      <c r="DZ30" s="730">
        <f t="shared" si="183"/>
        <v>615602.70000000007</v>
      </c>
      <c r="EA30" s="730">
        <f t="shared" si="214"/>
        <v>57328.100000000006</v>
      </c>
      <c r="EB30" s="730">
        <f t="shared" si="215"/>
        <v>137813.20000000001</v>
      </c>
      <c r="EC30" s="730">
        <f t="shared" si="216"/>
        <v>234757.2</v>
      </c>
      <c r="ED30" s="730">
        <f t="shared" si="217"/>
        <v>380845.5</v>
      </c>
      <c r="EE30" s="728">
        <f t="shared" si="184"/>
        <v>0</v>
      </c>
      <c r="EF30" s="728">
        <f t="shared" si="185"/>
        <v>0</v>
      </c>
      <c r="EG30" s="728">
        <f t="shared" si="147"/>
        <v>0</v>
      </c>
    </row>
    <row r="31" spans="1:137" s="736" customFormat="1" ht="15.6" customHeight="1">
      <c r="A31" s="741" t="s">
        <v>1084</v>
      </c>
      <c r="B31" s="741" t="s">
        <v>1086</v>
      </c>
      <c r="C31" s="700" t="s">
        <v>130</v>
      </c>
      <c r="D31" s="730" t="e">
        <f t="shared" si="218"/>
        <v>#REF!</v>
      </c>
      <c r="E31" s="730" t="e">
        <f t="shared" si="218"/>
        <v>#REF!</v>
      </c>
      <c r="F31" s="730" t="e">
        <f t="shared" si="218"/>
        <v>#REF!</v>
      </c>
      <c r="G31" s="730" t="e">
        <f t="shared" si="218"/>
        <v>#REF!</v>
      </c>
      <c r="H31" s="730" t="e">
        <f t="shared" si="218"/>
        <v>#REF!</v>
      </c>
      <c r="I31" s="730" t="e">
        <f t="shared" si="218"/>
        <v>#REF!</v>
      </c>
      <c r="J31" s="730" t="e">
        <f t="shared" si="218"/>
        <v>#REF!</v>
      </c>
      <c r="K31" s="730" t="e">
        <f t="shared" si="218"/>
        <v>#REF!</v>
      </c>
      <c r="L31" s="730" t="e">
        <f t="shared" si="218"/>
        <v>#REF!</v>
      </c>
      <c r="M31" s="730" t="e">
        <f t="shared" si="218"/>
        <v>#REF!</v>
      </c>
      <c r="N31" s="730" t="e">
        <f t="shared" si="218"/>
        <v>#REF!</v>
      </c>
      <c r="O31" s="730" t="e">
        <f t="shared" si="218"/>
        <v>#REF!</v>
      </c>
      <c r="P31" s="731" t="e">
        <f t="shared" si="219"/>
        <v>#REF!</v>
      </c>
      <c r="Q31" s="732" t="e">
        <f t="shared" si="220"/>
        <v>#REF!</v>
      </c>
      <c r="R31" s="732" t="e">
        <f t="shared" si="221"/>
        <v>#REF!</v>
      </c>
      <c r="S31" s="732" t="e">
        <f t="shared" si="222"/>
        <v>#REF!</v>
      </c>
      <c r="T31" s="732" t="e">
        <f t="shared" si="223"/>
        <v>#REF!</v>
      </c>
      <c r="U31" s="732" t="e">
        <f t="shared" si="224"/>
        <v>#REF!</v>
      </c>
      <c r="V31" s="732" t="e">
        <f t="shared" si="225"/>
        <v>#REF!</v>
      </c>
      <c r="W31" s="733" t="e">
        <f t="shared" si="226"/>
        <v>#REF!</v>
      </c>
      <c r="X31" s="741" t="s">
        <v>1086</v>
      </c>
      <c r="Y31" s="734">
        <v>0.158</v>
      </c>
      <c r="Z31" s="735">
        <f>Y31</f>
        <v>0.158</v>
      </c>
      <c r="AA31" s="735">
        <f t="shared" si="227"/>
        <v>0.158</v>
      </c>
      <c r="AB31" s="735">
        <f t="shared" si="227"/>
        <v>0.158</v>
      </c>
      <c r="AC31" s="735">
        <f t="shared" si="227"/>
        <v>0.158</v>
      </c>
      <c r="AD31" s="735">
        <f t="shared" si="227"/>
        <v>0.158</v>
      </c>
      <c r="AE31" s="735">
        <f t="shared" si="227"/>
        <v>0.158</v>
      </c>
      <c r="AF31" s="735">
        <f t="shared" si="227"/>
        <v>0.158</v>
      </c>
      <c r="AG31" s="735">
        <f t="shared" si="227"/>
        <v>0.158</v>
      </c>
      <c r="AH31" s="735">
        <f t="shared" si="227"/>
        <v>0.158</v>
      </c>
      <c r="AI31" s="735">
        <f t="shared" si="227"/>
        <v>0.158</v>
      </c>
      <c r="AJ31" s="735">
        <f t="shared" si="227"/>
        <v>0.158</v>
      </c>
      <c r="AR31" s="736" t="s">
        <v>1084</v>
      </c>
      <c r="AS31" s="737" t="s">
        <v>1086</v>
      </c>
      <c r="AT31" s="736" t="s">
        <v>129</v>
      </c>
      <c r="AU31" s="738">
        <f>AU$27*Y31</f>
        <v>64636.36363636364</v>
      </c>
      <c r="AV31" s="738">
        <f t="shared" si="228"/>
        <v>129272.72727272728</v>
      </c>
      <c r="AW31" s="738">
        <f t="shared" si="228"/>
        <v>232690.90909090909</v>
      </c>
      <c r="AX31" s="738">
        <f t="shared" si="228"/>
        <v>232690.90909090909</v>
      </c>
      <c r="AY31" s="738">
        <f t="shared" si="228"/>
        <v>193909.09090909091</v>
      </c>
      <c r="AZ31" s="738">
        <f t="shared" si="228"/>
        <v>155127.27272727274</v>
      </c>
      <c r="BA31" s="738">
        <f t="shared" si="228"/>
        <v>193909.09090909091</v>
      </c>
      <c r="BB31" s="738">
        <f t="shared" si="228"/>
        <v>387818.18181818182</v>
      </c>
      <c r="BC31" s="738">
        <f t="shared" si="228"/>
        <v>258545.45454545456</v>
      </c>
      <c r="BD31" s="738">
        <f t="shared" si="228"/>
        <v>387818.18181818182</v>
      </c>
      <c r="BE31" s="738">
        <f t="shared" si="228"/>
        <v>323181.81818181823</v>
      </c>
      <c r="BF31" s="738">
        <f t="shared" si="228"/>
        <v>284400</v>
      </c>
      <c r="BG31" s="738">
        <f t="shared" si="229"/>
        <v>2844000</v>
      </c>
      <c r="BH31" s="738">
        <f t="shared" si="230"/>
        <v>1008327.2727272727</v>
      </c>
      <c r="BI31" s="738">
        <f t="shared" si="231"/>
        <v>1835672.7272727275</v>
      </c>
      <c r="BJ31" s="738">
        <f t="shared" si="232"/>
        <v>426600</v>
      </c>
      <c r="BK31" s="738">
        <f t="shared" si="233"/>
        <v>581727.27272727271</v>
      </c>
      <c r="BL31" s="738">
        <f t="shared" si="234"/>
        <v>840272.72727272729</v>
      </c>
      <c r="BM31" s="738">
        <f t="shared" si="235"/>
        <v>995400</v>
      </c>
      <c r="BN31" s="739">
        <f t="shared" si="236"/>
        <v>0</v>
      </c>
      <c r="BO31" s="739">
        <f t="shared" si="237"/>
        <v>0</v>
      </c>
      <c r="BP31" s="739">
        <f t="shared" si="238"/>
        <v>0</v>
      </c>
      <c r="BR31" s="736" t="s">
        <v>1084</v>
      </c>
      <c r="BS31" s="737" t="s">
        <v>1086</v>
      </c>
      <c r="BT31" s="737" t="s">
        <v>130</v>
      </c>
      <c r="CM31" s="729" t="s">
        <v>130</v>
      </c>
      <c r="CN31" s="730">
        <f t="shared" si="239"/>
        <v>53878</v>
      </c>
      <c r="CO31" s="730">
        <f t="shared" si="239"/>
        <v>107282</v>
      </c>
      <c r="CP31" s="730">
        <f t="shared" si="239"/>
        <v>147414</v>
      </c>
      <c r="CQ31" s="730">
        <f t="shared" si="239"/>
        <v>148046</v>
      </c>
      <c r="CR31" s="730">
        <f t="shared" si="239"/>
        <v>166216</v>
      </c>
      <c r="CS31" s="730">
        <f t="shared" si="239"/>
        <v>187704</v>
      </c>
      <c r="CT31" s="730">
        <f t="shared" si="239"/>
        <v>223886</v>
      </c>
      <c r="CU31" s="730">
        <f t="shared" si="239"/>
        <v>250904</v>
      </c>
      <c r="CV31" s="730">
        <f t="shared" si="239"/>
        <v>292616</v>
      </c>
      <c r="CW31" s="730">
        <f t="shared" si="239"/>
        <v>344282</v>
      </c>
      <c r="CX31" s="730">
        <f t="shared" si="239"/>
        <v>425178</v>
      </c>
      <c r="CY31" s="730">
        <f t="shared" si="239"/>
        <v>496594</v>
      </c>
      <c r="CZ31" s="730">
        <f t="shared" si="240"/>
        <v>2844000</v>
      </c>
      <c r="DA31" s="730">
        <f t="shared" si="241"/>
        <v>810540</v>
      </c>
      <c r="DB31" s="730">
        <f t="shared" si="242"/>
        <v>2033460</v>
      </c>
      <c r="DC31" s="730">
        <f t="shared" si="199"/>
        <v>308574</v>
      </c>
      <c r="DD31" s="730">
        <f t="shared" si="200"/>
        <v>501966</v>
      </c>
      <c r="DE31" s="730">
        <f t="shared" si="201"/>
        <v>767406</v>
      </c>
      <c r="DF31" s="730">
        <f t="shared" si="202"/>
        <v>1266054</v>
      </c>
      <c r="DG31" s="728">
        <f t="shared" si="243"/>
        <v>0</v>
      </c>
      <c r="DH31" s="728">
        <f t="shared" si="244"/>
        <v>0</v>
      </c>
      <c r="DI31" s="728">
        <f t="shared" si="245"/>
        <v>0</v>
      </c>
      <c r="DK31" s="729" t="s">
        <v>130</v>
      </c>
      <c r="DL31" s="730">
        <f t="shared" si="246"/>
        <v>24569</v>
      </c>
      <c r="DM31" s="730">
        <f t="shared" si="246"/>
        <v>34681</v>
      </c>
      <c r="DN31" s="730">
        <f t="shared" si="246"/>
        <v>49880.600000000013</v>
      </c>
      <c r="DO31" s="730">
        <f t="shared" si="246"/>
        <v>72774.8</v>
      </c>
      <c r="DP31" s="730">
        <f t="shared" si="246"/>
        <v>88922.4</v>
      </c>
      <c r="DQ31" s="730">
        <f t="shared" si="246"/>
        <v>100646</v>
      </c>
      <c r="DR31" s="730">
        <f t="shared" si="246"/>
        <v>127743</v>
      </c>
      <c r="DS31" s="730">
        <f t="shared" si="246"/>
        <v>146766.20000000001</v>
      </c>
      <c r="DT31" s="730">
        <f t="shared" si="246"/>
        <v>172378</v>
      </c>
      <c r="DU31" s="730">
        <f t="shared" si="246"/>
        <v>207896.4</v>
      </c>
      <c r="DV31" s="730">
        <f t="shared" si="246"/>
        <v>239322.6</v>
      </c>
      <c r="DW31" s="730">
        <f t="shared" si="246"/>
        <v>277764</v>
      </c>
      <c r="DX31" s="730">
        <f t="shared" si="181"/>
        <v>1543344</v>
      </c>
      <c r="DY31" s="730">
        <f t="shared" si="182"/>
        <v>371473.80000000005</v>
      </c>
      <c r="DZ31" s="730">
        <f t="shared" si="183"/>
        <v>1171870.2</v>
      </c>
      <c r="EA31" s="730">
        <f t="shared" si="214"/>
        <v>109130.6</v>
      </c>
      <c r="EB31" s="730">
        <f t="shared" si="215"/>
        <v>262343.2</v>
      </c>
      <c r="EC31" s="730">
        <f t="shared" si="216"/>
        <v>446887.2</v>
      </c>
      <c r="ED31" s="730">
        <f t="shared" si="217"/>
        <v>724983</v>
      </c>
      <c r="EE31" s="728">
        <f t="shared" si="184"/>
        <v>0</v>
      </c>
      <c r="EF31" s="728">
        <f t="shared" si="185"/>
        <v>0</v>
      </c>
      <c r="EG31" s="728">
        <f t="shared" si="147"/>
        <v>0</v>
      </c>
    </row>
    <row r="32" spans="1:137" s="736" customFormat="1" ht="15.6" customHeight="1">
      <c r="A32" s="741" t="s">
        <v>1084</v>
      </c>
      <c r="B32" s="741" t="s">
        <v>1087</v>
      </c>
      <c r="C32" s="700" t="s">
        <v>130</v>
      </c>
      <c r="D32" s="730" t="e">
        <f t="shared" si="218"/>
        <v>#REF!</v>
      </c>
      <c r="E32" s="730" t="e">
        <f t="shared" si="218"/>
        <v>#REF!</v>
      </c>
      <c r="F32" s="730" t="e">
        <f t="shared" si="218"/>
        <v>#REF!</v>
      </c>
      <c r="G32" s="730" t="e">
        <f t="shared" si="218"/>
        <v>#REF!</v>
      </c>
      <c r="H32" s="730" t="e">
        <f t="shared" si="218"/>
        <v>#REF!</v>
      </c>
      <c r="I32" s="730" t="e">
        <f t="shared" si="218"/>
        <v>#REF!</v>
      </c>
      <c r="J32" s="730" t="e">
        <f t="shared" si="218"/>
        <v>#REF!</v>
      </c>
      <c r="K32" s="730" t="e">
        <f t="shared" si="218"/>
        <v>#REF!</v>
      </c>
      <c r="L32" s="730" t="e">
        <f t="shared" si="218"/>
        <v>#REF!</v>
      </c>
      <c r="M32" s="730" t="e">
        <f t="shared" si="218"/>
        <v>#REF!</v>
      </c>
      <c r="N32" s="730" t="e">
        <f t="shared" si="218"/>
        <v>#REF!</v>
      </c>
      <c r="O32" s="730" t="e">
        <f t="shared" si="218"/>
        <v>#REF!</v>
      </c>
      <c r="P32" s="731" t="e">
        <f t="shared" si="219"/>
        <v>#REF!</v>
      </c>
      <c r="Q32" s="732" t="e">
        <f t="shared" si="220"/>
        <v>#REF!</v>
      </c>
      <c r="R32" s="732" t="e">
        <f t="shared" si="221"/>
        <v>#REF!</v>
      </c>
      <c r="S32" s="732" t="e">
        <f t="shared" si="222"/>
        <v>#REF!</v>
      </c>
      <c r="T32" s="732" t="e">
        <f t="shared" si="223"/>
        <v>#REF!</v>
      </c>
      <c r="U32" s="732" t="e">
        <f t="shared" si="224"/>
        <v>#REF!</v>
      </c>
      <c r="V32" s="732" t="e">
        <f t="shared" si="225"/>
        <v>#REF!</v>
      </c>
      <c r="W32" s="733" t="e">
        <f t="shared" si="226"/>
        <v>#REF!</v>
      </c>
      <c r="X32" s="741" t="s">
        <v>1087</v>
      </c>
      <c r="Y32" s="734">
        <v>0.16500000000000001</v>
      </c>
      <c r="Z32" s="735">
        <f t="shared" ref="Z32:AJ32" si="247">Y32</f>
        <v>0.16500000000000001</v>
      </c>
      <c r="AA32" s="735">
        <f t="shared" si="247"/>
        <v>0.16500000000000001</v>
      </c>
      <c r="AB32" s="735">
        <f t="shared" si="247"/>
        <v>0.16500000000000001</v>
      </c>
      <c r="AC32" s="735">
        <f t="shared" si="247"/>
        <v>0.16500000000000001</v>
      </c>
      <c r="AD32" s="735">
        <f t="shared" si="247"/>
        <v>0.16500000000000001</v>
      </c>
      <c r="AE32" s="735">
        <f t="shared" si="247"/>
        <v>0.16500000000000001</v>
      </c>
      <c r="AF32" s="735">
        <f t="shared" si="247"/>
        <v>0.16500000000000001</v>
      </c>
      <c r="AG32" s="735">
        <f t="shared" si="247"/>
        <v>0.16500000000000001</v>
      </c>
      <c r="AH32" s="735">
        <f t="shared" si="247"/>
        <v>0.16500000000000001</v>
      </c>
      <c r="AI32" s="735">
        <f t="shared" si="247"/>
        <v>0.16500000000000001</v>
      </c>
      <c r="AJ32" s="735">
        <f t="shared" si="247"/>
        <v>0.16500000000000001</v>
      </c>
      <c r="AR32" s="736" t="s">
        <v>1084</v>
      </c>
      <c r="AS32" s="737" t="s">
        <v>1087</v>
      </c>
      <c r="AT32" s="736" t="s">
        <v>129</v>
      </c>
      <c r="AU32" s="738">
        <f t="shared" ref="AU32:AU39" si="248">AU$27*Y32</f>
        <v>67500.000000000015</v>
      </c>
      <c r="AV32" s="738">
        <f t="shared" si="228"/>
        <v>135000.00000000003</v>
      </c>
      <c r="AW32" s="738">
        <f t="shared" si="228"/>
        <v>243000</v>
      </c>
      <c r="AX32" s="738">
        <f t="shared" si="228"/>
        <v>243000</v>
      </c>
      <c r="AY32" s="738">
        <f t="shared" si="228"/>
        <v>202500</v>
      </c>
      <c r="AZ32" s="738">
        <f t="shared" si="228"/>
        <v>162000.00000000003</v>
      </c>
      <c r="BA32" s="738">
        <f t="shared" si="228"/>
        <v>202500</v>
      </c>
      <c r="BB32" s="738">
        <f t="shared" si="228"/>
        <v>405000</v>
      </c>
      <c r="BC32" s="738">
        <f t="shared" si="228"/>
        <v>270000.00000000006</v>
      </c>
      <c r="BD32" s="738">
        <f t="shared" si="228"/>
        <v>405000</v>
      </c>
      <c r="BE32" s="738">
        <f t="shared" si="228"/>
        <v>337500.00000000006</v>
      </c>
      <c r="BF32" s="738">
        <f t="shared" si="228"/>
        <v>297000</v>
      </c>
      <c r="BG32" s="738">
        <f t="shared" si="229"/>
        <v>2970000</v>
      </c>
      <c r="BH32" s="738">
        <f t="shared" si="230"/>
        <v>1053000</v>
      </c>
      <c r="BI32" s="738">
        <f t="shared" si="231"/>
        <v>1917000</v>
      </c>
      <c r="BJ32" s="738">
        <f t="shared" si="232"/>
        <v>445500.00000000006</v>
      </c>
      <c r="BK32" s="738">
        <f t="shared" si="233"/>
        <v>607500</v>
      </c>
      <c r="BL32" s="738">
        <f t="shared" si="234"/>
        <v>877500</v>
      </c>
      <c r="BM32" s="738">
        <f t="shared" si="235"/>
        <v>1039500</v>
      </c>
      <c r="BN32" s="739">
        <f t="shared" si="236"/>
        <v>0</v>
      </c>
      <c r="BO32" s="739">
        <f t="shared" si="237"/>
        <v>0</v>
      </c>
      <c r="BP32" s="739">
        <f t="shared" si="238"/>
        <v>0</v>
      </c>
      <c r="BR32" s="736" t="s">
        <v>1084</v>
      </c>
      <c r="BS32" s="737" t="s">
        <v>1087</v>
      </c>
      <c r="BT32" s="737" t="s">
        <v>130</v>
      </c>
      <c r="CM32" s="729" t="s">
        <v>130</v>
      </c>
      <c r="CN32" s="730">
        <f t="shared" si="239"/>
        <v>56265</v>
      </c>
      <c r="CO32" s="730">
        <f t="shared" si="239"/>
        <v>112035</v>
      </c>
      <c r="CP32" s="730">
        <f t="shared" si="239"/>
        <v>153945</v>
      </c>
      <c r="CQ32" s="730">
        <f t="shared" si="239"/>
        <v>154605</v>
      </c>
      <c r="CR32" s="730">
        <f t="shared" si="239"/>
        <v>173580</v>
      </c>
      <c r="CS32" s="730">
        <f t="shared" si="239"/>
        <v>196020</v>
      </c>
      <c r="CT32" s="730">
        <f t="shared" si="239"/>
        <v>233805</v>
      </c>
      <c r="CU32" s="730">
        <f t="shared" si="239"/>
        <v>262020</v>
      </c>
      <c r="CV32" s="730">
        <f t="shared" si="239"/>
        <v>305580</v>
      </c>
      <c r="CW32" s="730">
        <f t="shared" si="239"/>
        <v>359535</v>
      </c>
      <c r="CX32" s="730">
        <f t="shared" si="239"/>
        <v>444015</v>
      </c>
      <c r="CY32" s="730">
        <f t="shared" si="239"/>
        <v>518595</v>
      </c>
      <c r="CZ32" s="730">
        <f t="shared" si="240"/>
        <v>2970000</v>
      </c>
      <c r="DA32" s="730">
        <f t="shared" si="241"/>
        <v>846450</v>
      </c>
      <c r="DB32" s="730">
        <f t="shared" si="242"/>
        <v>2123550</v>
      </c>
      <c r="DC32" s="730">
        <f t="shared" si="199"/>
        <v>322245</v>
      </c>
      <c r="DD32" s="730">
        <f t="shared" si="200"/>
        <v>524205</v>
      </c>
      <c r="DE32" s="730">
        <f t="shared" si="201"/>
        <v>801405</v>
      </c>
      <c r="DF32" s="730">
        <f t="shared" si="202"/>
        <v>1322145</v>
      </c>
      <c r="DG32" s="728">
        <f t="shared" si="243"/>
        <v>0</v>
      </c>
      <c r="DH32" s="728">
        <f t="shared" si="244"/>
        <v>0</v>
      </c>
      <c r="DI32" s="728">
        <f t="shared" si="245"/>
        <v>0</v>
      </c>
      <c r="DK32" s="729" t="s">
        <v>130</v>
      </c>
      <c r="DL32" s="730">
        <f t="shared" si="246"/>
        <v>25657.5</v>
      </c>
      <c r="DM32" s="730">
        <f t="shared" si="246"/>
        <v>36217.5</v>
      </c>
      <c r="DN32" s="730">
        <f t="shared" si="246"/>
        <v>52090.500000000015</v>
      </c>
      <c r="DO32" s="730">
        <f t="shared" si="246"/>
        <v>75999</v>
      </c>
      <c r="DP32" s="730">
        <f t="shared" si="246"/>
        <v>92862</v>
      </c>
      <c r="DQ32" s="730">
        <f t="shared" si="246"/>
        <v>105105</v>
      </c>
      <c r="DR32" s="730">
        <f t="shared" si="246"/>
        <v>133402.5</v>
      </c>
      <c r="DS32" s="730">
        <f t="shared" si="246"/>
        <v>153268.5</v>
      </c>
      <c r="DT32" s="730">
        <f t="shared" si="246"/>
        <v>180015</v>
      </c>
      <c r="DU32" s="730">
        <f t="shared" si="246"/>
        <v>217107</v>
      </c>
      <c r="DV32" s="730">
        <f t="shared" si="246"/>
        <v>249925.5</v>
      </c>
      <c r="DW32" s="730">
        <f t="shared" si="246"/>
        <v>290070</v>
      </c>
      <c r="DX32" s="730">
        <f t="shared" si="181"/>
        <v>1611720</v>
      </c>
      <c r="DY32" s="730">
        <f t="shared" si="182"/>
        <v>387931.5</v>
      </c>
      <c r="DZ32" s="730">
        <f t="shared" si="183"/>
        <v>1223788.5</v>
      </c>
      <c r="EA32" s="730">
        <f t="shared" si="214"/>
        <v>113965.50000000001</v>
      </c>
      <c r="EB32" s="730">
        <f t="shared" si="215"/>
        <v>273966</v>
      </c>
      <c r="EC32" s="730">
        <f t="shared" si="216"/>
        <v>466686</v>
      </c>
      <c r="ED32" s="730">
        <f t="shared" si="217"/>
        <v>757102.5</v>
      </c>
      <c r="EE32" s="728">
        <f t="shared" si="184"/>
        <v>0</v>
      </c>
      <c r="EF32" s="728">
        <f t="shared" si="185"/>
        <v>0</v>
      </c>
      <c r="EG32" s="728">
        <f t="shared" si="147"/>
        <v>0</v>
      </c>
    </row>
    <row r="33" spans="1:137" s="736" customFormat="1" ht="15.6" customHeight="1">
      <c r="A33" s="741" t="s">
        <v>1084</v>
      </c>
      <c r="B33" s="741" t="s">
        <v>1088</v>
      </c>
      <c r="C33" s="700" t="s">
        <v>130</v>
      </c>
      <c r="D33" s="730" t="e">
        <f t="shared" si="218"/>
        <v>#REF!</v>
      </c>
      <c r="E33" s="730" t="e">
        <f t="shared" si="218"/>
        <v>#REF!</v>
      </c>
      <c r="F33" s="730" t="e">
        <f t="shared" si="218"/>
        <v>#REF!</v>
      </c>
      <c r="G33" s="730" t="e">
        <f t="shared" si="218"/>
        <v>#REF!</v>
      </c>
      <c r="H33" s="730" t="e">
        <f t="shared" si="218"/>
        <v>#REF!</v>
      </c>
      <c r="I33" s="730" t="e">
        <f t="shared" si="218"/>
        <v>#REF!</v>
      </c>
      <c r="J33" s="730" t="e">
        <f t="shared" si="218"/>
        <v>#REF!</v>
      </c>
      <c r="K33" s="730" t="e">
        <f t="shared" si="218"/>
        <v>#REF!</v>
      </c>
      <c r="L33" s="730" t="e">
        <f t="shared" si="218"/>
        <v>#REF!</v>
      </c>
      <c r="M33" s="730" t="e">
        <f t="shared" si="218"/>
        <v>#REF!</v>
      </c>
      <c r="N33" s="730" t="e">
        <f t="shared" si="218"/>
        <v>#REF!</v>
      </c>
      <c r="O33" s="730" t="e">
        <f t="shared" si="218"/>
        <v>#REF!</v>
      </c>
      <c r="P33" s="731" t="e">
        <f t="shared" si="219"/>
        <v>#REF!</v>
      </c>
      <c r="Q33" s="732" t="e">
        <f t="shared" si="220"/>
        <v>#REF!</v>
      </c>
      <c r="R33" s="732" t="e">
        <f t="shared" si="221"/>
        <v>#REF!</v>
      </c>
      <c r="S33" s="732" t="e">
        <f t="shared" si="222"/>
        <v>#REF!</v>
      </c>
      <c r="T33" s="732" t="e">
        <f t="shared" si="223"/>
        <v>#REF!</v>
      </c>
      <c r="U33" s="732" t="e">
        <f t="shared" si="224"/>
        <v>#REF!</v>
      </c>
      <c r="V33" s="732" t="e">
        <f t="shared" si="225"/>
        <v>#REF!</v>
      </c>
      <c r="W33" s="733" t="e">
        <f t="shared" si="226"/>
        <v>#REF!</v>
      </c>
      <c r="X33" s="741" t="s">
        <v>1088</v>
      </c>
      <c r="Y33" s="734">
        <v>4.2000000000000003E-2</v>
      </c>
      <c r="Z33" s="735">
        <f t="shared" ref="Z33:AJ33" si="249">Y33</f>
        <v>4.2000000000000003E-2</v>
      </c>
      <c r="AA33" s="735">
        <f t="shared" si="249"/>
        <v>4.2000000000000003E-2</v>
      </c>
      <c r="AB33" s="735">
        <f t="shared" si="249"/>
        <v>4.2000000000000003E-2</v>
      </c>
      <c r="AC33" s="735">
        <f t="shared" si="249"/>
        <v>4.2000000000000003E-2</v>
      </c>
      <c r="AD33" s="735">
        <f t="shared" si="249"/>
        <v>4.2000000000000003E-2</v>
      </c>
      <c r="AE33" s="735">
        <f t="shared" si="249"/>
        <v>4.2000000000000003E-2</v>
      </c>
      <c r="AF33" s="735">
        <f t="shared" si="249"/>
        <v>4.2000000000000003E-2</v>
      </c>
      <c r="AG33" s="735">
        <f t="shared" si="249"/>
        <v>4.2000000000000003E-2</v>
      </c>
      <c r="AH33" s="735">
        <f t="shared" si="249"/>
        <v>4.2000000000000003E-2</v>
      </c>
      <c r="AI33" s="735">
        <f t="shared" si="249"/>
        <v>4.2000000000000003E-2</v>
      </c>
      <c r="AJ33" s="735">
        <f t="shared" si="249"/>
        <v>4.2000000000000003E-2</v>
      </c>
      <c r="AR33" s="736" t="s">
        <v>1084</v>
      </c>
      <c r="AS33" s="737" t="s">
        <v>1088</v>
      </c>
      <c r="AT33" s="736" t="s">
        <v>129</v>
      </c>
      <c r="AU33" s="738">
        <f t="shared" si="248"/>
        <v>17181.818181818184</v>
      </c>
      <c r="AV33" s="738">
        <f t="shared" si="228"/>
        <v>34363.636363636368</v>
      </c>
      <c r="AW33" s="738">
        <f t="shared" si="228"/>
        <v>61854.545454545456</v>
      </c>
      <c r="AX33" s="738">
        <f t="shared" si="228"/>
        <v>61854.545454545456</v>
      </c>
      <c r="AY33" s="738">
        <f t="shared" si="228"/>
        <v>51545.454545454551</v>
      </c>
      <c r="AZ33" s="738">
        <f t="shared" si="228"/>
        <v>41236.36363636364</v>
      </c>
      <c r="BA33" s="738">
        <f t="shared" si="228"/>
        <v>51545.454545454551</v>
      </c>
      <c r="BB33" s="738">
        <f t="shared" si="228"/>
        <v>103090.9090909091</v>
      </c>
      <c r="BC33" s="738">
        <f t="shared" si="228"/>
        <v>68727.272727272735</v>
      </c>
      <c r="BD33" s="738">
        <f t="shared" si="228"/>
        <v>103090.9090909091</v>
      </c>
      <c r="BE33" s="738">
        <f t="shared" si="228"/>
        <v>85909.090909090926</v>
      </c>
      <c r="BF33" s="738">
        <f t="shared" si="228"/>
        <v>75600</v>
      </c>
      <c r="BG33" s="738">
        <f t="shared" si="229"/>
        <v>756000</v>
      </c>
      <c r="BH33" s="738">
        <f t="shared" si="230"/>
        <v>268036.36363636365</v>
      </c>
      <c r="BI33" s="738">
        <f t="shared" si="231"/>
        <v>487963.63636363641</v>
      </c>
      <c r="BJ33" s="738">
        <f t="shared" si="232"/>
        <v>113400</v>
      </c>
      <c r="BK33" s="738">
        <f t="shared" si="233"/>
        <v>154636.36363636365</v>
      </c>
      <c r="BL33" s="738">
        <f t="shared" si="234"/>
        <v>223363.63636363638</v>
      </c>
      <c r="BM33" s="738">
        <f t="shared" si="235"/>
        <v>264600</v>
      </c>
      <c r="BN33" s="739">
        <f t="shared" si="236"/>
        <v>0</v>
      </c>
      <c r="BO33" s="739">
        <f t="shared" si="237"/>
        <v>0</v>
      </c>
      <c r="BP33" s="739">
        <f t="shared" si="238"/>
        <v>0</v>
      </c>
      <c r="BR33" s="736" t="s">
        <v>1084</v>
      </c>
      <c r="BS33" s="737" t="s">
        <v>1088</v>
      </c>
      <c r="BT33" s="737" t="s">
        <v>130</v>
      </c>
      <c r="CM33" s="729" t="s">
        <v>130</v>
      </c>
      <c r="CN33" s="730">
        <f t="shared" si="239"/>
        <v>14322</v>
      </c>
      <c r="CO33" s="730">
        <f t="shared" si="239"/>
        <v>28518</v>
      </c>
      <c r="CP33" s="730">
        <f t="shared" si="239"/>
        <v>39186</v>
      </c>
      <c r="CQ33" s="730">
        <f t="shared" si="239"/>
        <v>39354</v>
      </c>
      <c r="CR33" s="730">
        <f t="shared" si="239"/>
        <v>44184</v>
      </c>
      <c r="CS33" s="730">
        <f t="shared" si="239"/>
        <v>49896</v>
      </c>
      <c r="CT33" s="730">
        <f t="shared" si="239"/>
        <v>59514.000000000007</v>
      </c>
      <c r="CU33" s="730">
        <f t="shared" si="239"/>
        <v>66696</v>
      </c>
      <c r="CV33" s="730">
        <f t="shared" si="239"/>
        <v>77784</v>
      </c>
      <c r="CW33" s="730">
        <f t="shared" si="239"/>
        <v>91518</v>
      </c>
      <c r="CX33" s="730">
        <f t="shared" si="239"/>
        <v>113022</v>
      </c>
      <c r="CY33" s="730">
        <f t="shared" si="239"/>
        <v>132006</v>
      </c>
      <c r="CZ33" s="730">
        <f t="shared" si="240"/>
        <v>756000</v>
      </c>
      <c r="DA33" s="730">
        <f t="shared" si="241"/>
        <v>215460</v>
      </c>
      <c r="DB33" s="730">
        <f t="shared" si="242"/>
        <v>540540</v>
      </c>
      <c r="DC33" s="730">
        <f t="shared" si="199"/>
        <v>82026</v>
      </c>
      <c r="DD33" s="730">
        <f t="shared" si="200"/>
        <v>133434</v>
      </c>
      <c r="DE33" s="730">
        <f t="shared" si="201"/>
        <v>203994</v>
      </c>
      <c r="DF33" s="730">
        <f t="shared" si="202"/>
        <v>336546</v>
      </c>
      <c r="DG33" s="728">
        <f t="shared" si="243"/>
        <v>0</v>
      </c>
      <c r="DH33" s="728">
        <f t="shared" si="244"/>
        <v>0</v>
      </c>
      <c r="DI33" s="728">
        <f t="shared" si="245"/>
        <v>0</v>
      </c>
      <c r="DK33" s="729" t="s">
        <v>130</v>
      </c>
      <c r="DL33" s="730">
        <f t="shared" si="246"/>
        <v>6531</v>
      </c>
      <c r="DM33" s="730">
        <f t="shared" si="246"/>
        <v>9219</v>
      </c>
      <c r="DN33" s="730">
        <f t="shared" si="246"/>
        <v>13259.400000000003</v>
      </c>
      <c r="DO33" s="730">
        <f t="shared" si="246"/>
        <v>19345.2</v>
      </c>
      <c r="DP33" s="730">
        <f t="shared" si="246"/>
        <v>23637.600000000002</v>
      </c>
      <c r="DQ33" s="730">
        <f t="shared" si="246"/>
        <v>26754</v>
      </c>
      <c r="DR33" s="730">
        <f t="shared" si="246"/>
        <v>33957</v>
      </c>
      <c r="DS33" s="730">
        <f t="shared" si="246"/>
        <v>39013.800000000003</v>
      </c>
      <c r="DT33" s="730">
        <f t="shared" si="246"/>
        <v>45822</v>
      </c>
      <c r="DU33" s="730">
        <f t="shared" si="246"/>
        <v>55263.600000000006</v>
      </c>
      <c r="DV33" s="730">
        <f t="shared" si="246"/>
        <v>63617.4</v>
      </c>
      <c r="DW33" s="730">
        <f t="shared" si="246"/>
        <v>73836</v>
      </c>
      <c r="DX33" s="730">
        <f t="shared" si="181"/>
        <v>410256</v>
      </c>
      <c r="DY33" s="730">
        <f t="shared" si="182"/>
        <v>98746.200000000012</v>
      </c>
      <c r="DZ33" s="730">
        <f t="shared" si="183"/>
        <v>311509.80000000005</v>
      </c>
      <c r="EA33" s="730">
        <f t="shared" si="214"/>
        <v>29009.4</v>
      </c>
      <c r="EB33" s="730">
        <f t="shared" si="215"/>
        <v>69736.800000000003</v>
      </c>
      <c r="EC33" s="730">
        <f t="shared" si="216"/>
        <v>118792.8</v>
      </c>
      <c r="ED33" s="730">
        <f t="shared" si="217"/>
        <v>192717</v>
      </c>
      <c r="EE33" s="728">
        <f t="shared" si="184"/>
        <v>0</v>
      </c>
      <c r="EF33" s="728">
        <f t="shared" si="185"/>
        <v>0</v>
      </c>
      <c r="EG33" s="728">
        <f t="shared" si="147"/>
        <v>0</v>
      </c>
    </row>
    <row r="34" spans="1:137" s="736" customFormat="1" ht="15.6" customHeight="1">
      <c r="A34" s="741" t="s">
        <v>1084</v>
      </c>
      <c r="B34" s="741" t="s">
        <v>1089</v>
      </c>
      <c r="C34" s="700" t="s">
        <v>130</v>
      </c>
      <c r="D34" s="730" t="e">
        <f t="shared" si="218"/>
        <v>#REF!</v>
      </c>
      <c r="E34" s="730" t="e">
        <f t="shared" si="218"/>
        <v>#REF!</v>
      </c>
      <c r="F34" s="730" t="e">
        <f t="shared" si="218"/>
        <v>#REF!</v>
      </c>
      <c r="G34" s="730" t="e">
        <f t="shared" si="218"/>
        <v>#REF!</v>
      </c>
      <c r="H34" s="730" t="e">
        <f t="shared" si="218"/>
        <v>#REF!</v>
      </c>
      <c r="I34" s="730" t="e">
        <f t="shared" si="218"/>
        <v>#REF!</v>
      </c>
      <c r="J34" s="730" t="e">
        <f t="shared" si="218"/>
        <v>#REF!</v>
      </c>
      <c r="K34" s="730" t="e">
        <f t="shared" si="218"/>
        <v>#REF!</v>
      </c>
      <c r="L34" s="730" t="e">
        <f t="shared" si="218"/>
        <v>#REF!</v>
      </c>
      <c r="M34" s="730" t="e">
        <f t="shared" si="218"/>
        <v>#REF!</v>
      </c>
      <c r="N34" s="730" t="e">
        <f t="shared" si="218"/>
        <v>#REF!</v>
      </c>
      <c r="O34" s="730" t="e">
        <f t="shared" si="218"/>
        <v>#REF!</v>
      </c>
      <c r="P34" s="731" t="e">
        <f t="shared" si="219"/>
        <v>#REF!</v>
      </c>
      <c r="Q34" s="732" t="e">
        <f t="shared" si="220"/>
        <v>#REF!</v>
      </c>
      <c r="R34" s="732" t="e">
        <f t="shared" si="221"/>
        <v>#REF!</v>
      </c>
      <c r="S34" s="732" t="e">
        <f t="shared" si="222"/>
        <v>#REF!</v>
      </c>
      <c r="T34" s="732" t="e">
        <f t="shared" si="223"/>
        <v>#REF!</v>
      </c>
      <c r="U34" s="732" t="e">
        <f t="shared" si="224"/>
        <v>#REF!</v>
      </c>
      <c r="V34" s="732" t="e">
        <f t="shared" si="225"/>
        <v>#REF!</v>
      </c>
      <c r="W34" s="733" t="e">
        <f t="shared" si="226"/>
        <v>#REF!</v>
      </c>
      <c r="X34" s="741" t="s">
        <v>1089</v>
      </c>
      <c r="Y34" s="734">
        <v>4.3999999999999997E-2</v>
      </c>
      <c r="Z34" s="735">
        <f t="shared" ref="Z34:AJ34" si="250">Y34</f>
        <v>4.3999999999999997E-2</v>
      </c>
      <c r="AA34" s="735">
        <f t="shared" si="250"/>
        <v>4.3999999999999997E-2</v>
      </c>
      <c r="AB34" s="735">
        <f t="shared" si="250"/>
        <v>4.3999999999999997E-2</v>
      </c>
      <c r="AC34" s="735">
        <f t="shared" si="250"/>
        <v>4.3999999999999997E-2</v>
      </c>
      <c r="AD34" s="735">
        <f t="shared" si="250"/>
        <v>4.3999999999999997E-2</v>
      </c>
      <c r="AE34" s="735">
        <f t="shared" si="250"/>
        <v>4.3999999999999997E-2</v>
      </c>
      <c r="AF34" s="735">
        <f t="shared" si="250"/>
        <v>4.3999999999999997E-2</v>
      </c>
      <c r="AG34" s="735">
        <f t="shared" si="250"/>
        <v>4.3999999999999997E-2</v>
      </c>
      <c r="AH34" s="735">
        <f t="shared" si="250"/>
        <v>4.3999999999999997E-2</v>
      </c>
      <c r="AI34" s="735">
        <f t="shared" si="250"/>
        <v>4.3999999999999997E-2</v>
      </c>
      <c r="AJ34" s="735">
        <f t="shared" si="250"/>
        <v>4.3999999999999997E-2</v>
      </c>
      <c r="AR34" s="736" t="s">
        <v>1084</v>
      </c>
      <c r="AS34" s="737" t="s">
        <v>1089</v>
      </c>
      <c r="AT34" s="736" t="s">
        <v>129</v>
      </c>
      <c r="AU34" s="738">
        <f t="shared" si="248"/>
        <v>18000</v>
      </c>
      <c r="AV34" s="738">
        <f t="shared" si="228"/>
        <v>36000</v>
      </c>
      <c r="AW34" s="738">
        <f t="shared" si="228"/>
        <v>64799.999999999993</v>
      </c>
      <c r="AX34" s="738">
        <f t="shared" si="228"/>
        <v>64799.999999999993</v>
      </c>
      <c r="AY34" s="738">
        <f t="shared" si="228"/>
        <v>54000</v>
      </c>
      <c r="AZ34" s="738">
        <f t="shared" si="228"/>
        <v>43200</v>
      </c>
      <c r="BA34" s="738">
        <f t="shared" si="228"/>
        <v>54000</v>
      </c>
      <c r="BB34" s="738">
        <f t="shared" si="228"/>
        <v>108000</v>
      </c>
      <c r="BC34" s="738">
        <f t="shared" si="228"/>
        <v>72000</v>
      </c>
      <c r="BD34" s="738">
        <f t="shared" si="228"/>
        <v>108000</v>
      </c>
      <c r="BE34" s="738">
        <f t="shared" si="228"/>
        <v>90000</v>
      </c>
      <c r="BF34" s="738">
        <f t="shared" si="228"/>
        <v>79200</v>
      </c>
      <c r="BG34" s="738">
        <f t="shared" si="229"/>
        <v>792000</v>
      </c>
      <c r="BH34" s="738">
        <f t="shared" si="230"/>
        <v>280800</v>
      </c>
      <c r="BI34" s="738">
        <f t="shared" si="231"/>
        <v>511200</v>
      </c>
      <c r="BJ34" s="738">
        <f t="shared" si="232"/>
        <v>118800</v>
      </c>
      <c r="BK34" s="738">
        <f t="shared" si="233"/>
        <v>162000</v>
      </c>
      <c r="BL34" s="738">
        <f t="shared" si="234"/>
        <v>234000</v>
      </c>
      <c r="BM34" s="738">
        <f t="shared" si="235"/>
        <v>277200</v>
      </c>
      <c r="BN34" s="739">
        <f t="shared" si="236"/>
        <v>0</v>
      </c>
      <c r="BO34" s="739">
        <f t="shared" si="237"/>
        <v>0</v>
      </c>
      <c r="BP34" s="739">
        <f t="shared" si="238"/>
        <v>0</v>
      </c>
      <c r="BR34" s="736" t="s">
        <v>1084</v>
      </c>
      <c r="BS34" s="737" t="s">
        <v>1089</v>
      </c>
      <c r="BT34" s="737" t="s">
        <v>130</v>
      </c>
      <c r="CM34" s="729" t="s">
        <v>130</v>
      </c>
      <c r="CN34" s="730">
        <f t="shared" si="239"/>
        <v>15004</v>
      </c>
      <c r="CO34" s="730">
        <f t="shared" si="239"/>
        <v>29876</v>
      </c>
      <c r="CP34" s="730">
        <f t="shared" si="239"/>
        <v>41052</v>
      </c>
      <c r="CQ34" s="730">
        <f t="shared" si="239"/>
        <v>41228</v>
      </c>
      <c r="CR34" s="730">
        <f t="shared" si="239"/>
        <v>46288</v>
      </c>
      <c r="CS34" s="730">
        <f t="shared" si="239"/>
        <v>52272</v>
      </c>
      <c r="CT34" s="730">
        <f t="shared" si="239"/>
        <v>62348</v>
      </c>
      <c r="CU34" s="730">
        <f t="shared" si="239"/>
        <v>69872</v>
      </c>
      <c r="CV34" s="730">
        <f t="shared" si="239"/>
        <v>81488</v>
      </c>
      <c r="CW34" s="730">
        <f t="shared" si="239"/>
        <v>95876</v>
      </c>
      <c r="CX34" s="730">
        <f t="shared" si="239"/>
        <v>118404</v>
      </c>
      <c r="CY34" s="730">
        <f t="shared" si="239"/>
        <v>138292</v>
      </c>
      <c r="CZ34" s="730">
        <f t="shared" si="240"/>
        <v>792000</v>
      </c>
      <c r="DA34" s="730">
        <f t="shared" si="241"/>
        <v>225720</v>
      </c>
      <c r="DB34" s="730">
        <f t="shared" si="242"/>
        <v>566280</v>
      </c>
      <c r="DC34" s="730">
        <f t="shared" si="199"/>
        <v>85932</v>
      </c>
      <c r="DD34" s="730">
        <f t="shared" si="200"/>
        <v>139788</v>
      </c>
      <c r="DE34" s="730">
        <f t="shared" si="201"/>
        <v>213708</v>
      </c>
      <c r="DF34" s="730">
        <f t="shared" si="202"/>
        <v>352572</v>
      </c>
      <c r="DG34" s="728">
        <f t="shared" si="243"/>
        <v>0</v>
      </c>
      <c r="DH34" s="728">
        <f t="shared" si="244"/>
        <v>0</v>
      </c>
      <c r="DI34" s="728">
        <f t="shared" si="245"/>
        <v>0</v>
      </c>
      <c r="DK34" s="729" t="s">
        <v>130</v>
      </c>
      <c r="DL34" s="730">
        <f t="shared" si="246"/>
        <v>6842</v>
      </c>
      <c r="DM34" s="730">
        <f t="shared" si="246"/>
        <v>9658</v>
      </c>
      <c r="DN34" s="730">
        <f t="shared" si="246"/>
        <v>13890.800000000001</v>
      </c>
      <c r="DO34" s="730">
        <f t="shared" si="246"/>
        <v>20266.399999999998</v>
      </c>
      <c r="DP34" s="730">
        <f t="shared" si="246"/>
        <v>24763.199999999997</v>
      </c>
      <c r="DQ34" s="730">
        <f t="shared" si="246"/>
        <v>28028</v>
      </c>
      <c r="DR34" s="730">
        <f t="shared" si="246"/>
        <v>35574</v>
      </c>
      <c r="DS34" s="730">
        <f t="shared" si="246"/>
        <v>40871.599999999999</v>
      </c>
      <c r="DT34" s="730">
        <f t="shared" si="246"/>
        <v>48004</v>
      </c>
      <c r="DU34" s="730">
        <f t="shared" si="246"/>
        <v>57895.199999999997</v>
      </c>
      <c r="DV34" s="730">
        <f t="shared" si="246"/>
        <v>66646.8</v>
      </c>
      <c r="DW34" s="730">
        <f t="shared" si="246"/>
        <v>77352</v>
      </c>
      <c r="DX34" s="730">
        <f t="shared" si="181"/>
        <v>429792</v>
      </c>
      <c r="DY34" s="730">
        <f t="shared" si="182"/>
        <v>103448.4</v>
      </c>
      <c r="DZ34" s="730">
        <f t="shared" si="183"/>
        <v>326343.59999999998</v>
      </c>
      <c r="EA34" s="730">
        <f t="shared" si="214"/>
        <v>30390.800000000003</v>
      </c>
      <c r="EB34" s="730">
        <f t="shared" si="215"/>
        <v>73057.599999999991</v>
      </c>
      <c r="EC34" s="730">
        <f t="shared" si="216"/>
        <v>124449.60000000001</v>
      </c>
      <c r="ED34" s="730">
        <f t="shared" si="217"/>
        <v>201894</v>
      </c>
      <c r="EE34" s="728">
        <f t="shared" si="184"/>
        <v>0</v>
      </c>
      <c r="EF34" s="728">
        <f t="shared" si="185"/>
        <v>0</v>
      </c>
      <c r="EG34" s="728">
        <f t="shared" si="147"/>
        <v>0</v>
      </c>
    </row>
    <row r="35" spans="1:137" s="736" customFormat="1" ht="15.6" customHeight="1">
      <c r="A35" s="741"/>
      <c r="B35" s="741"/>
      <c r="C35" s="700"/>
      <c r="D35" s="730"/>
      <c r="E35" s="730"/>
      <c r="F35" s="730"/>
      <c r="G35" s="730"/>
      <c r="H35" s="730"/>
      <c r="I35" s="730"/>
      <c r="J35" s="730"/>
      <c r="K35" s="730"/>
      <c r="L35" s="730"/>
      <c r="M35" s="730"/>
      <c r="N35" s="730"/>
      <c r="O35" s="730"/>
      <c r="P35" s="731"/>
      <c r="Q35" s="732"/>
      <c r="R35" s="732"/>
      <c r="S35" s="732"/>
      <c r="T35" s="732"/>
      <c r="U35" s="732"/>
      <c r="V35" s="732"/>
      <c r="W35" s="733"/>
      <c r="X35" s="741"/>
      <c r="Y35" s="735"/>
      <c r="Z35" s="735"/>
      <c r="AA35" s="735"/>
      <c r="AB35" s="735"/>
      <c r="AC35" s="735"/>
      <c r="AD35" s="735"/>
      <c r="AE35" s="735"/>
      <c r="AF35" s="735"/>
      <c r="AG35" s="735"/>
      <c r="AH35" s="735"/>
      <c r="AI35" s="735"/>
      <c r="AJ35" s="735"/>
      <c r="AS35" s="737"/>
      <c r="AU35" s="738"/>
      <c r="AV35" s="738"/>
      <c r="AW35" s="738"/>
      <c r="AX35" s="738"/>
      <c r="AY35" s="738"/>
      <c r="AZ35" s="738"/>
      <c r="BA35" s="738"/>
      <c r="BB35" s="738"/>
      <c r="BC35" s="738"/>
      <c r="BD35" s="738"/>
      <c r="BE35" s="738"/>
      <c r="BF35" s="738"/>
      <c r="BG35" s="738"/>
      <c r="BH35" s="738"/>
      <c r="BI35" s="738"/>
      <c r="BJ35" s="738"/>
      <c r="BK35" s="738"/>
      <c r="BL35" s="738"/>
      <c r="BM35" s="738"/>
      <c r="BN35" s="739"/>
      <c r="BO35" s="739"/>
      <c r="BP35" s="739"/>
      <c r="BS35" s="737"/>
      <c r="BT35" s="737"/>
      <c r="CM35" s="729"/>
      <c r="CN35" s="730"/>
      <c r="CO35" s="730"/>
      <c r="CP35" s="730"/>
      <c r="CQ35" s="730"/>
      <c r="CR35" s="730"/>
      <c r="CS35" s="730"/>
      <c r="CT35" s="730"/>
      <c r="CU35" s="730"/>
      <c r="CV35" s="730"/>
      <c r="CW35" s="730"/>
      <c r="CX35" s="730"/>
      <c r="CY35" s="730"/>
      <c r="CZ35" s="730"/>
      <c r="DA35" s="730"/>
      <c r="DB35" s="730"/>
      <c r="DC35" s="730"/>
      <c r="DD35" s="730"/>
      <c r="DE35" s="730"/>
      <c r="DF35" s="730"/>
      <c r="DG35" s="728"/>
      <c r="DH35" s="728"/>
      <c r="DI35" s="728"/>
      <c r="DK35" s="729"/>
      <c r="DL35" s="730"/>
      <c r="DM35" s="730"/>
      <c r="DN35" s="730"/>
      <c r="DO35" s="730"/>
      <c r="DP35" s="730"/>
      <c r="DQ35" s="730"/>
      <c r="DR35" s="730"/>
      <c r="DS35" s="730"/>
      <c r="DT35" s="730"/>
      <c r="DU35" s="730"/>
      <c r="DV35" s="730"/>
      <c r="DW35" s="730"/>
      <c r="DX35" s="730"/>
      <c r="DY35" s="730"/>
      <c r="DZ35" s="730"/>
      <c r="EA35" s="730"/>
      <c r="EB35" s="730"/>
      <c r="EC35" s="730"/>
      <c r="ED35" s="730"/>
      <c r="EE35" s="728"/>
      <c r="EF35" s="728"/>
      <c r="EG35" s="728"/>
    </row>
    <row r="36" spans="1:137" s="725" customFormat="1" ht="15.6" customHeight="1">
      <c r="A36" s="740"/>
      <c r="B36" s="740" t="s">
        <v>1095</v>
      </c>
      <c r="C36" s="698" t="s">
        <v>130</v>
      </c>
      <c r="D36" s="722" t="e">
        <f>SUM(D37:D40)</f>
        <v>#REF!</v>
      </c>
      <c r="E36" s="722" t="e">
        <f t="shared" ref="E36:O36" si="251">SUM(E37:E40)</f>
        <v>#REF!</v>
      </c>
      <c r="F36" s="722" t="e">
        <f t="shared" si="251"/>
        <v>#REF!</v>
      </c>
      <c r="G36" s="722" t="e">
        <f t="shared" si="251"/>
        <v>#REF!</v>
      </c>
      <c r="H36" s="722" t="e">
        <f t="shared" si="251"/>
        <v>#REF!</v>
      </c>
      <c r="I36" s="722" t="e">
        <f t="shared" si="251"/>
        <v>#REF!</v>
      </c>
      <c r="J36" s="722" t="e">
        <f t="shared" si="251"/>
        <v>#REF!</v>
      </c>
      <c r="K36" s="722" t="e">
        <f t="shared" si="251"/>
        <v>#REF!</v>
      </c>
      <c r="L36" s="722" t="e">
        <f t="shared" si="251"/>
        <v>#REF!</v>
      </c>
      <c r="M36" s="722" t="e">
        <f t="shared" si="251"/>
        <v>#REF!</v>
      </c>
      <c r="N36" s="722" t="e">
        <f t="shared" si="251"/>
        <v>#REF!</v>
      </c>
      <c r="O36" s="722" t="e">
        <f t="shared" si="251"/>
        <v>#REF!</v>
      </c>
      <c r="P36" s="710" t="e">
        <f t="shared" si="219"/>
        <v>#REF!</v>
      </c>
      <c r="Q36" s="723" t="e">
        <f t="shared" ref="Q36" si="252">SUM(D36:I36)</f>
        <v>#REF!</v>
      </c>
      <c r="R36" s="723" t="e">
        <f t="shared" ref="R36" si="253">SUM(J36:O36)</f>
        <v>#REF!</v>
      </c>
      <c r="S36" s="723" t="e">
        <f t="shared" ref="S36" si="254">SUM(D36:F36)</f>
        <v>#REF!</v>
      </c>
      <c r="T36" s="723" t="e">
        <f t="shared" ref="T36" si="255">SUM(G36:I36)</f>
        <v>#REF!</v>
      </c>
      <c r="U36" s="723" t="e">
        <f t="shared" ref="U36" si="256">SUM(J36:L36)</f>
        <v>#REF!</v>
      </c>
      <c r="V36" s="723" t="e">
        <f t="shared" ref="V36" si="257">SUM(M36:O36)</f>
        <v>#REF!</v>
      </c>
      <c r="W36" s="701" t="e">
        <f t="shared" ref="W36" si="258">SUM(Q36:R36)-P36</f>
        <v>#REF!</v>
      </c>
      <c r="X36" s="740" t="s">
        <v>1095</v>
      </c>
      <c r="Y36" s="724">
        <f t="shared" ref="Y36" si="259">SUM(Y37:Y40)</f>
        <v>0.50800000000000001</v>
      </c>
      <c r="Z36" s="724">
        <f t="shared" ref="Z36" si="260">SUM(Z37:Z40)</f>
        <v>0.50800000000000001</v>
      </c>
      <c r="AA36" s="724">
        <f t="shared" ref="AA36" si="261">SUM(AA37:AA40)</f>
        <v>0.50800000000000001</v>
      </c>
      <c r="AB36" s="724">
        <f t="shared" ref="AB36" si="262">SUM(AB37:AB40)</f>
        <v>0.50800000000000001</v>
      </c>
      <c r="AC36" s="724">
        <f t="shared" ref="AC36" si="263">SUM(AC37:AC40)</f>
        <v>0.50800000000000001</v>
      </c>
      <c r="AD36" s="724">
        <f t="shared" ref="AD36" si="264">SUM(AD37:AD40)</f>
        <v>0.50800000000000001</v>
      </c>
      <c r="AE36" s="724">
        <f t="shared" ref="AE36" si="265">SUM(AE37:AE40)</f>
        <v>0.50800000000000001</v>
      </c>
      <c r="AF36" s="724">
        <f t="shared" ref="AF36" si="266">SUM(AF37:AF40)</f>
        <v>0.50800000000000001</v>
      </c>
      <c r="AG36" s="724">
        <f t="shared" ref="AG36" si="267">SUM(AG37:AG40)</f>
        <v>0.50800000000000001</v>
      </c>
      <c r="AH36" s="724">
        <f t="shared" ref="AH36" si="268">SUM(AH37:AH40)</f>
        <v>0.50800000000000001</v>
      </c>
      <c r="AI36" s="724">
        <f t="shared" ref="AI36" si="269">SUM(AI37:AI40)</f>
        <v>0.50800000000000001</v>
      </c>
      <c r="AJ36" s="724">
        <f t="shared" ref="AJ36" si="270">SUM(AJ37:AJ40)</f>
        <v>0.50800000000000001</v>
      </c>
      <c r="AS36" s="703" t="s">
        <v>1095</v>
      </c>
      <c r="AT36" s="703" t="s">
        <v>130</v>
      </c>
      <c r="AU36" s="726">
        <f>SUM(AU37:AU40)</f>
        <v>207818.18181818182</v>
      </c>
      <c r="AV36" s="726">
        <f t="shared" ref="AV36:BF36" si="271">SUM(AV37:AV40)</f>
        <v>415636.36363636365</v>
      </c>
      <c r="AW36" s="726">
        <f t="shared" si="271"/>
        <v>748145.45454545459</v>
      </c>
      <c r="AX36" s="726">
        <f t="shared" si="271"/>
        <v>748145.45454545459</v>
      </c>
      <c r="AY36" s="726">
        <f t="shared" si="271"/>
        <v>623454.54545454541</v>
      </c>
      <c r="AZ36" s="726">
        <f t="shared" si="271"/>
        <v>498763.63636363641</v>
      </c>
      <c r="BA36" s="726">
        <f t="shared" si="271"/>
        <v>623454.54545454541</v>
      </c>
      <c r="BB36" s="726">
        <f t="shared" si="271"/>
        <v>1246909.0909090908</v>
      </c>
      <c r="BC36" s="726">
        <f t="shared" si="271"/>
        <v>831272.72727272729</v>
      </c>
      <c r="BD36" s="726">
        <f t="shared" si="271"/>
        <v>1246909.0909090908</v>
      </c>
      <c r="BE36" s="726">
        <f t="shared" si="271"/>
        <v>1039090.9090909092</v>
      </c>
      <c r="BF36" s="726">
        <f t="shared" si="271"/>
        <v>914400</v>
      </c>
      <c r="BG36" s="726">
        <f>SUM(AU36:BF36)</f>
        <v>9144000</v>
      </c>
      <c r="BH36" s="726">
        <f t="shared" ref="BH36" si="272">SUM(AU36:AZ36)</f>
        <v>3241963.6363636362</v>
      </c>
      <c r="BI36" s="726">
        <f t="shared" ref="BI36" si="273">SUM(BA36:BF36)</f>
        <v>5902036.3636363633</v>
      </c>
      <c r="BJ36" s="726">
        <f t="shared" ref="BJ36" si="274">SUM(AU36:AW36)</f>
        <v>1371600</v>
      </c>
      <c r="BK36" s="726">
        <f t="shared" ref="BK36" si="275">SUM(AX36:AZ36)</f>
        <v>1870363.6363636365</v>
      </c>
      <c r="BL36" s="726">
        <f t="shared" ref="BL36" si="276">SUM(BA36:BC36)</f>
        <v>2701636.3636363633</v>
      </c>
      <c r="BM36" s="726">
        <f t="shared" ref="BM36" si="277">SUM(BD36:BF36)</f>
        <v>3200400</v>
      </c>
      <c r="BN36" s="727">
        <f t="shared" ref="BN36" si="278">SUM(AU36:BF36)-BG36</f>
        <v>0</v>
      </c>
      <c r="BO36" s="727">
        <f t="shared" ref="BO36" si="279">SUM(AU36:AZ36)-BH36</f>
        <v>0</v>
      </c>
      <c r="BP36" s="727">
        <f t="shared" ref="BP36" si="280">SUM(BA36:BF36)-BI36</f>
        <v>0</v>
      </c>
      <c r="BS36" s="703" t="s">
        <v>1095</v>
      </c>
      <c r="BT36" s="703" t="s">
        <v>130</v>
      </c>
      <c r="CM36" s="702" t="s">
        <v>130</v>
      </c>
      <c r="CN36" s="722">
        <f t="shared" ref="CN36:CT36" si="281">SUM(CN37:CN40)</f>
        <v>173228</v>
      </c>
      <c r="CO36" s="722">
        <f t="shared" si="281"/>
        <v>344932</v>
      </c>
      <c r="CP36" s="722">
        <f t="shared" si="281"/>
        <v>473964</v>
      </c>
      <c r="CQ36" s="722">
        <f t="shared" si="281"/>
        <v>475996</v>
      </c>
      <c r="CR36" s="722">
        <f t="shared" si="281"/>
        <v>534416</v>
      </c>
      <c r="CS36" s="722">
        <f t="shared" si="281"/>
        <v>603504</v>
      </c>
      <c r="CT36" s="722">
        <f t="shared" si="281"/>
        <v>719836</v>
      </c>
      <c r="CU36" s="722">
        <f t="shared" ref="CU36:CY36" si="282">SUM(CU37:CU40)</f>
        <v>806704</v>
      </c>
      <c r="CV36" s="722">
        <f t="shared" si="282"/>
        <v>940816</v>
      </c>
      <c r="CW36" s="722">
        <f t="shared" si="282"/>
        <v>1106932</v>
      </c>
      <c r="CX36" s="722">
        <f t="shared" si="282"/>
        <v>1367028</v>
      </c>
      <c r="CY36" s="722">
        <f t="shared" si="282"/>
        <v>1596644</v>
      </c>
      <c r="CZ36" s="722">
        <f t="shared" ref="CZ36" si="283">SUM(CN36:CY36)</f>
        <v>9144000</v>
      </c>
      <c r="DA36" s="722">
        <f t="shared" ref="DA36" si="284">SUM(CN36:CS36)</f>
        <v>2606040</v>
      </c>
      <c r="DB36" s="722">
        <f t="shared" ref="DB36" si="285">SUM(CT36:CY36)</f>
        <v>6537960</v>
      </c>
      <c r="DC36" s="722">
        <f t="shared" ref="DC36:DC40" si="286">CN36+CO36+CP36</f>
        <v>992124</v>
      </c>
      <c r="DD36" s="722">
        <f t="shared" ref="DD36:DD40" si="287">CQ36+CR36+CS36</f>
        <v>1613916</v>
      </c>
      <c r="DE36" s="722">
        <f t="shared" ref="DE36:DE40" si="288">CT36+CU36+CV36</f>
        <v>2467356</v>
      </c>
      <c r="DF36" s="722">
        <f t="shared" ref="DF36:DF40" si="289">CW36+CX36+CY36</f>
        <v>4070604</v>
      </c>
      <c r="DG36" s="728">
        <f t="shared" ref="DG36" si="290">SUM(CN36:CY36)-CZ36</f>
        <v>0</v>
      </c>
      <c r="DH36" s="728">
        <f t="shared" ref="DH36" si="291">SUM(CN36:CS36)-DA36</f>
        <v>0</v>
      </c>
      <c r="DI36" s="728">
        <f t="shared" ref="DI36" si="292">SUM(CT36:CY36)-DB36</f>
        <v>0</v>
      </c>
      <c r="DK36" s="702" t="s">
        <v>130</v>
      </c>
      <c r="DL36" s="722">
        <f t="shared" ref="DL36:DR36" si="293">SUM(DL37:DL40)</f>
        <v>78994</v>
      </c>
      <c r="DM36" s="722">
        <f t="shared" si="293"/>
        <v>111506</v>
      </c>
      <c r="DN36" s="722">
        <f t="shared" si="293"/>
        <v>160375.60000000003</v>
      </c>
      <c r="DO36" s="722">
        <f t="shared" si="293"/>
        <v>233984.8</v>
      </c>
      <c r="DP36" s="722">
        <f t="shared" si="293"/>
        <v>285902.40000000002</v>
      </c>
      <c r="DQ36" s="722">
        <f t="shared" si="293"/>
        <v>323596</v>
      </c>
      <c r="DR36" s="722">
        <f t="shared" si="293"/>
        <v>410718</v>
      </c>
      <c r="DS36" s="722">
        <f t="shared" ref="DS36" si="294">SUM(DS37:DS40)</f>
        <v>471881.2</v>
      </c>
      <c r="DT36" s="722">
        <f t="shared" ref="DT36" si="295">SUM(DT37:DT40)</f>
        <v>554228</v>
      </c>
      <c r="DU36" s="722">
        <f t="shared" ref="DU36" si="296">SUM(DU37:DU40)</f>
        <v>668426.4</v>
      </c>
      <c r="DV36" s="722">
        <f t="shared" ref="DV36" si="297">SUM(DV37:DV40)</f>
        <v>769467.6</v>
      </c>
      <c r="DW36" s="722">
        <f t="shared" ref="DW36" si="298">SUM(DW37:DW40)</f>
        <v>893064</v>
      </c>
      <c r="DX36" s="722">
        <f t="shared" si="181"/>
        <v>4962144</v>
      </c>
      <c r="DY36" s="722">
        <f t="shared" si="182"/>
        <v>1194358.8</v>
      </c>
      <c r="DZ36" s="722">
        <f t="shared" si="183"/>
        <v>3767785.2</v>
      </c>
      <c r="EA36" s="722">
        <f t="shared" ref="EA36:EA40" si="299">DL36+DM36+DN36</f>
        <v>350875.60000000003</v>
      </c>
      <c r="EB36" s="722">
        <f t="shared" ref="EB36:EB40" si="300">DO36+DP36+DQ36</f>
        <v>843483.2</v>
      </c>
      <c r="EC36" s="722">
        <f t="shared" ref="EC36:EC40" si="301">DR36+DS36+DT36</f>
        <v>1436827.2</v>
      </c>
      <c r="ED36" s="722">
        <f t="shared" ref="ED36:ED40" si="302">DU36+DV36+DW36</f>
        <v>2330958</v>
      </c>
      <c r="EE36" s="728">
        <f t="shared" si="184"/>
        <v>0</v>
      </c>
      <c r="EF36" s="728">
        <f t="shared" si="185"/>
        <v>0</v>
      </c>
      <c r="EG36" s="728">
        <f t="shared" si="147"/>
        <v>0</v>
      </c>
    </row>
    <row r="37" spans="1:137" s="736" customFormat="1" ht="15.6" customHeight="1">
      <c r="A37" s="741" t="s">
        <v>982</v>
      </c>
      <c r="B37" s="741" t="s">
        <v>1090</v>
      </c>
      <c r="C37" s="700" t="s">
        <v>130</v>
      </c>
      <c r="D37" s="730" t="e">
        <f t="shared" ref="D37:O40" si="303">D$27*Y37</f>
        <v>#REF!</v>
      </c>
      <c r="E37" s="730" t="e">
        <f t="shared" si="303"/>
        <v>#REF!</v>
      </c>
      <c r="F37" s="730" t="e">
        <f t="shared" si="303"/>
        <v>#REF!</v>
      </c>
      <c r="G37" s="730" t="e">
        <f t="shared" si="303"/>
        <v>#REF!</v>
      </c>
      <c r="H37" s="730" t="e">
        <f t="shared" si="303"/>
        <v>#REF!</v>
      </c>
      <c r="I37" s="730" t="e">
        <f t="shared" si="303"/>
        <v>#REF!</v>
      </c>
      <c r="J37" s="730" t="e">
        <f t="shared" si="303"/>
        <v>#REF!</v>
      </c>
      <c r="K37" s="730" t="e">
        <f t="shared" si="303"/>
        <v>#REF!</v>
      </c>
      <c r="L37" s="730" t="e">
        <f t="shared" si="303"/>
        <v>#REF!</v>
      </c>
      <c r="M37" s="730" t="e">
        <f t="shared" si="303"/>
        <v>#REF!</v>
      </c>
      <c r="N37" s="730" t="e">
        <f t="shared" si="303"/>
        <v>#REF!</v>
      </c>
      <c r="O37" s="730" t="e">
        <f t="shared" si="303"/>
        <v>#REF!</v>
      </c>
      <c r="P37" s="731" t="e">
        <f t="shared" si="219"/>
        <v>#REF!</v>
      </c>
      <c r="Q37" s="732" t="e">
        <f t="shared" si="220"/>
        <v>#REF!</v>
      </c>
      <c r="R37" s="732" t="e">
        <f t="shared" si="221"/>
        <v>#REF!</v>
      </c>
      <c r="S37" s="732" t="e">
        <f t="shared" si="222"/>
        <v>#REF!</v>
      </c>
      <c r="T37" s="732" t="e">
        <f t="shared" si="223"/>
        <v>#REF!</v>
      </c>
      <c r="U37" s="732" t="e">
        <f t="shared" si="224"/>
        <v>#REF!</v>
      </c>
      <c r="V37" s="732" t="e">
        <f t="shared" si="225"/>
        <v>#REF!</v>
      </c>
      <c r="W37" s="733" t="e">
        <f t="shared" si="226"/>
        <v>#REF!</v>
      </c>
      <c r="X37" s="741" t="s">
        <v>1090</v>
      </c>
      <c r="Y37" s="734">
        <v>0.19400000000000001</v>
      </c>
      <c r="Z37" s="735">
        <f t="shared" ref="Z37:AJ37" si="304">Y37</f>
        <v>0.19400000000000001</v>
      </c>
      <c r="AA37" s="735">
        <f t="shared" si="304"/>
        <v>0.19400000000000001</v>
      </c>
      <c r="AB37" s="735">
        <f t="shared" si="304"/>
        <v>0.19400000000000001</v>
      </c>
      <c r="AC37" s="735">
        <f t="shared" si="304"/>
        <v>0.19400000000000001</v>
      </c>
      <c r="AD37" s="735">
        <f t="shared" si="304"/>
        <v>0.19400000000000001</v>
      </c>
      <c r="AE37" s="735">
        <f t="shared" si="304"/>
        <v>0.19400000000000001</v>
      </c>
      <c r="AF37" s="735">
        <f t="shared" si="304"/>
        <v>0.19400000000000001</v>
      </c>
      <c r="AG37" s="735">
        <f t="shared" si="304"/>
        <v>0.19400000000000001</v>
      </c>
      <c r="AH37" s="735">
        <f t="shared" si="304"/>
        <v>0.19400000000000001</v>
      </c>
      <c r="AI37" s="735">
        <f t="shared" si="304"/>
        <v>0.19400000000000001</v>
      </c>
      <c r="AJ37" s="735">
        <f t="shared" si="304"/>
        <v>0.19400000000000001</v>
      </c>
      <c r="AR37" s="736" t="s">
        <v>982</v>
      </c>
      <c r="AS37" s="737" t="s">
        <v>1090</v>
      </c>
      <c r="AT37" s="736" t="s">
        <v>129</v>
      </c>
      <c r="AU37" s="738">
        <f t="shared" si="248"/>
        <v>79363.636363636368</v>
      </c>
      <c r="AV37" s="738">
        <f t="shared" si="228"/>
        <v>158727.27272727274</v>
      </c>
      <c r="AW37" s="738">
        <f t="shared" si="228"/>
        <v>285709.09090909094</v>
      </c>
      <c r="AX37" s="738">
        <f t="shared" si="228"/>
        <v>285709.09090909094</v>
      </c>
      <c r="AY37" s="738">
        <f t="shared" si="228"/>
        <v>238090.90909090909</v>
      </c>
      <c r="AZ37" s="738">
        <f t="shared" si="228"/>
        <v>190472.72727272729</v>
      </c>
      <c r="BA37" s="738">
        <f t="shared" si="228"/>
        <v>238090.90909090909</v>
      </c>
      <c r="BB37" s="738">
        <f t="shared" si="228"/>
        <v>476181.81818181818</v>
      </c>
      <c r="BC37" s="738">
        <f t="shared" si="228"/>
        <v>317454.54545454547</v>
      </c>
      <c r="BD37" s="738">
        <f t="shared" si="228"/>
        <v>476181.81818181818</v>
      </c>
      <c r="BE37" s="738">
        <f t="shared" si="228"/>
        <v>396818.18181818188</v>
      </c>
      <c r="BF37" s="738">
        <f t="shared" si="228"/>
        <v>349200</v>
      </c>
      <c r="BG37" s="738">
        <f t="shared" si="229"/>
        <v>3492000.0000000009</v>
      </c>
      <c r="BH37" s="738">
        <f t="shared" si="230"/>
        <v>1238072.7272727275</v>
      </c>
      <c r="BI37" s="738">
        <f t="shared" si="231"/>
        <v>2253927.2727272725</v>
      </c>
      <c r="BJ37" s="738">
        <f t="shared" si="232"/>
        <v>523800.00000000006</v>
      </c>
      <c r="BK37" s="738">
        <f t="shared" si="233"/>
        <v>714272.72727272729</v>
      </c>
      <c r="BL37" s="738">
        <f t="shared" si="234"/>
        <v>1031727.2727272727</v>
      </c>
      <c r="BM37" s="738">
        <f t="shared" si="235"/>
        <v>1222200</v>
      </c>
      <c r="BN37" s="739">
        <f t="shared" si="236"/>
        <v>0</v>
      </c>
      <c r="BO37" s="739">
        <f t="shared" si="237"/>
        <v>0</v>
      </c>
      <c r="BP37" s="739">
        <f t="shared" si="238"/>
        <v>0</v>
      </c>
      <c r="BR37" s="736" t="s">
        <v>982</v>
      </c>
      <c r="BS37" s="737" t="s">
        <v>1090</v>
      </c>
      <c r="BT37" s="737" t="s">
        <v>130</v>
      </c>
      <c r="CM37" s="729" t="s">
        <v>130</v>
      </c>
      <c r="CN37" s="730">
        <f t="shared" ref="CN37:CY40" si="305">CN$27*Y37</f>
        <v>66154</v>
      </c>
      <c r="CO37" s="730">
        <f t="shared" si="305"/>
        <v>131726</v>
      </c>
      <c r="CP37" s="730">
        <f t="shared" si="305"/>
        <v>181002</v>
      </c>
      <c r="CQ37" s="730">
        <f t="shared" si="305"/>
        <v>181778</v>
      </c>
      <c r="CR37" s="730">
        <f t="shared" si="305"/>
        <v>204088</v>
      </c>
      <c r="CS37" s="730">
        <f t="shared" si="305"/>
        <v>230472</v>
      </c>
      <c r="CT37" s="730">
        <f t="shared" si="305"/>
        <v>274898</v>
      </c>
      <c r="CU37" s="730">
        <f t="shared" si="305"/>
        <v>308072</v>
      </c>
      <c r="CV37" s="730">
        <f t="shared" si="305"/>
        <v>359288</v>
      </c>
      <c r="CW37" s="730">
        <f t="shared" si="305"/>
        <v>422726</v>
      </c>
      <c r="CX37" s="730">
        <f t="shared" si="305"/>
        <v>522054</v>
      </c>
      <c r="CY37" s="730">
        <f t="shared" si="305"/>
        <v>609742</v>
      </c>
      <c r="CZ37" s="730">
        <f t="shared" si="240"/>
        <v>3492000</v>
      </c>
      <c r="DA37" s="730">
        <f t="shared" si="241"/>
        <v>995220</v>
      </c>
      <c r="DB37" s="730">
        <f t="shared" si="242"/>
        <v>2496780</v>
      </c>
      <c r="DC37" s="730">
        <f t="shared" si="286"/>
        <v>378882</v>
      </c>
      <c r="DD37" s="730">
        <f t="shared" si="287"/>
        <v>616338</v>
      </c>
      <c r="DE37" s="730">
        <f t="shared" si="288"/>
        <v>942258</v>
      </c>
      <c r="DF37" s="730">
        <f t="shared" si="289"/>
        <v>1554522</v>
      </c>
      <c r="DG37" s="728">
        <f t="shared" si="243"/>
        <v>0</v>
      </c>
      <c r="DH37" s="728">
        <f t="shared" si="244"/>
        <v>0</v>
      </c>
      <c r="DI37" s="728">
        <f t="shared" si="245"/>
        <v>0</v>
      </c>
      <c r="DK37" s="729" t="s">
        <v>130</v>
      </c>
      <c r="DL37" s="730">
        <f t="shared" ref="DL37:DW40" si="306">DL$27*Y37</f>
        <v>30167</v>
      </c>
      <c r="DM37" s="730">
        <f t="shared" si="306"/>
        <v>42583</v>
      </c>
      <c r="DN37" s="730">
        <f t="shared" si="306"/>
        <v>61245.80000000001</v>
      </c>
      <c r="DO37" s="730">
        <f t="shared" si="306"/>
        <v>89356.400000000009</v>
      </c>
      <c r="DP37" s="730">
        <f t="shared" si="306"/>
        <v>109183.2</v>
      </c>
      <c r="DQ37" s="730">
        <f t="shared" si="306"/>
        <v>123578</v>
      </c>
      <c r="DR37" s="730">
        <f t="shared" si="306"/>
        <v>156849</v>
      </c>
      <c r="DS37" s="730">
        <f t="shared" si="306"/>
        <v>180206.6</v>
      </c>
      <c r="DT37" s="730">
        <f t="shared" si="306"/>
        <v>211654</v>
      </c>
      <c r="DU37" s="730">
        <f t="shared" si="306"/>
        <v>255265.2</v>
      </c>
      <c r="DV37" s="730">
        <f t="shared" si="306"/>
        <v>293851.8</v>
      </c>
      <c r="DW37" s="730">
        <f t="shared" si="306"/>
        <v>341052</v>
      </c>
      <c r="DX37" s="730">
        <f t="shared" si="181"/>
        <v>1894992</v>
      </c>
      <c r="DY37" s="730">
        <f t="shared" si="182"/>
        <v>456113.4</v>
      </c>
      <c r="DZ37" s="730">
        <f t="shared" si="183"/>
        <v>1438878.6</v>
      </c>
      <c r="EA37" s="730">
        <f t="shared" si="299"/>
        <v>133995.80000000002</v>
      </c>
      <c r="EB37" s="730">
        <f t="shared" si="300"/>
        <v>322117.59999999998</v>
      </c>
      <c r="EC37" s="730">
        <f t="shared" si="301"/>
        <v>548709.6</v>
      </c>
      <c r="ED37" s="730">
        <f t="shared" si="302"/>
        <v>890169</v>
      </c>
      <c r="EE37" s="728">
        <f t="shared" si="184"/>
        <v>0</v>
      </c>
      <c r="EF37" s="728">
        <f t="shared" si="185"/>
        <v>0</v>
      </c>
      <c r="EG37" s="728">
        <f t="shared" si="147"/>
        <v>0</v>
      </c>
    </row>
    <row r="38" spans="1:137" s="736" customFormat="1" ht="15.6" customHeight="1">
      <c r="A38" s="741" t="s">
        <v>982</v>
      </c>
      <c r="B38" s="741" t="s">
        <v>1091</v>
      </c>
      <c r="C38" s="700" t="s">
        <v>130</v>
      </c>
      <c r="D38" s="730" t="e">
        <f t="shared" si="303"/>
        <v>#REF!</v>
      </c>
      <c r="E38" s="730" t="e">
        <f t="shared" si="303"/>
        <v>#REF!</v>
      </c>
      <c r="F38" s="730" t="e">
        <f t="shared" si="303"/>
        <v>#REF!</v>
      </c>
      <c r="G38" s="730" t="e">
        <f t="shared" si="303"/>
        <v>#REF!</v>
      </c>
      <c r="H38" s="730" t="e">
        <f t="shared" si="303"/>
        <v>#REF!</v>
      </c>
      <c r="I38" s="730" t="e">
        <f t="shared" si="303"/>
        <v>#REF!</v>
      </c>
      <c r="J38" s="730" t="e">
        <f t="shared" si="303"/>
        <v>#REF!</v>
      </c>
      <c r="K38" s="730" t="e">
        <f t="shared" si="303"/>
        <v>#REF!</v>
      </c>
      <c r="L38" s="730" t="e">
        <f t="shared" si="303"/>
        <v>#REF!</v>
      </c>
      <c r="M38" s="730" t="e">
        <f t="shared" si="303"/>
        <v>#REF!</v>
      </c>
      <c r="N38" s="730" t="e">
        <f t="shared" si="303"/>
        <v>#REF!</v>
      </c>
      <c r="O38" s="730" t="e">
        <f t="shared" si="303"/>
        <v>#REF!</v>
      </c>
      <c r="P38" s="731" t="e">
        <f t="shared" si="219"/>
        <v>#REF!</v>
      </c>
      <c r="Q38" s="732" t="e">
        <f t="shared" si="220"/>
        <v>#REF!</v>
      </c>
      <c r="R38" s="732" t="e">
        <f t="shared" si="221"/>
        <v>#REF!</v>
      </c>
      <c r="S38" s="732" t="e">
        <f t="shared" si="222"/>
        <v>#REF!</v>
      </c>
      <c r="T38" s="732" t="e">
        <f t="shared" si="223"/>
        <v>#REF!</v>
      </c>
      <c r="U38" s="732" t="e">
        <f t="shared" si="224"/>
        <v>#REF!</v>
      </c>
      <c r="V38" s="732" t="e">
        <f t="shared" si="225"/>
        <v>#REF!</v>
      </c>
      <c r="W38" s="733" t="e">
        <f t="shared" si="226"/>
        <v>#REF!</v>
      </c>
      <c r="X38" s="741" t="s">
        <v>1091</v>
      </c>
      <c r="Y38" s="734">
        <v>0.17100000000000001</v>
      </c>
      <c r="Z38" s="735">
        <f t="shared" ref="Z38:AJ38" si="307">Y38</f>
        <v>0.17100000000000001</v>
      </c>
      <c r="AA38" s="735">
        <f t="shared" si="307"/>
        <v>0.17100000000000001</v>
      </c>
      <c r="AB38" s="735">
        <f t="shared" si="307"/>
        <v>0.17100000000000001</v>
      </c>
      <c r="AC38" s="735">
        <f t="shared" si="307"/>
        <v>0.17100000000000001</v>
      </c>
      <c r="AD38" s="735">
        <f t="shared" si="307"/>
        <v>0.17100000000000001</v>
      </c>
      <c r="AE38" s="735">
        <f t="shared" si="307"/>
        <v>0.17100000000000001</v>
      </c>
      <c r="AF38" s="735">
        <f t="shared" si="307"/>
        <v>0.17100000000000001</v>
      </c>
      <c r="AG38" s="735">
        <f t="shared" si="307"/>
        <v>0.17100000000000001</v>
      </c>
      <c r="AH38" s="735">
        <f t="shared" si="307"/>
        <v>0.17100000000000001</v>
      </c>
      <c r="AI38" s="735">
        <f t="shared" si="307"/>
        <v>0.17100000000000001</v>
      </c>
      <c r="AJ38" s="735">
        <f t="shared" si="307"/>
        <v>0.17100000000000001</v>
      </c>
      <c r="AR38" s="736" t="s">
        <v>982</v>
      </c>
      <c r="AS38" s="737" t="s">
        <v>1091</v>
      </c>
      <c r="AT38" s="736" t="s">
        <v>129</v>
      </c>
      <c r="AU38" s="738">
        <f t="shared" si="248"/>
        <v>69954.54545454547</v>
      </c>
      <c r="AV38" s="738">
        <f t="shared" si="228"/>
        <v>139909.09090909094</v>
      </c>
      <c r="AW38" s="738">
        <f t="shared" si="228"/>
        <v>251836.36363636365</v>
      </c>
      <c r="AX38" s="738">
        <f t="shared" si="228"/>
        <v>251836.36363636365</v>
      </c>
      <c r="AY38" s="738">
        <f t="shared" si="228"/>
        <v>209863.63636363638</v>
      </c>
      <c r="AZ38" s="738">
        <f t="shared" si="228"/>
        <v>167890.90909090912</v>
      </c>
      <c r="BA38" s="738">
        <f t="shared" si="228"/>
        <v>209863.63636363638</v>
      </c>
      <c r="BB38" s="738">
        <f t="shared" si="228"/>
        <v>419727.27272727276</v>
      </c>
      <c r="BC38" s="738">
        <f t="shared" si="228"/>
        <v>279818.18181818188</v>
      </c>
      <c r="BD38" s="738">
        <f t="shared" si="228"/>
        <v>419727.27272727276</v>
      </c>
      <c r="BE38" s="738">
        <f t="shared" si="228"/>
        <v>349772.72727272735</v>
      </c>
      <c r="BF38" s="738">
        <f t="shared" si="228"/>
        <v>307800</v>
      </c>
      <c r="BG38" s="738">
        <f t="shared" si="229"/>
        <v>3078000.0000000005</v>
      </c>
      <c r="BH38" s="738">
        <f t="shared" si="230"/>
        <v>1091290.9090909092</v>
      </c>
      <c r="BI38" s="738">
        <f t="shared" si="231"/>
        <v>1986709.0909090911</v>
      </c>
      <c r="BJ38" s="738">
        <f t="shared" si="232"/>
        <v>461700.00000000006</v>
      </c>
      <c r="BK38" s="738">
        <f t="shared" si="233"/>
        <v>629590.90909090918</v>
      </c>
      <c r="BL38" s="738">
        <f t="shared" si="234"/>
        <v>909409.09090909106</v>
      </c>
      <c r="BM38" s="738">
        <f t="shared" si="235"/>
        <v>1077300</v>
      </c>
      <c r="BN38" s="739">
        <f t="shared" si="236"/>
        <v>0</v>
      </c>
      <c r="BO38" s="739">
        <f t="shared" si="237"/>
        <v>0</v>
      </c>
      <c r="BP38" s="739">
        <f t="shared" si="238"/>
        <v>0</v>
      </c>
      <c r="BR38" s="736" t="s">
        <v>982</v>
      </c>
      <c r="BS38" s="737" t="s">
        <v>1091</v>
      </c>
      <c r="BT38" s="737" t="s">
        <v>130</v>
      </c>
      <c r="CM38" s="729" t="s">
        <v>130</v>
      </c>
      <c r="CN38" s="730">
        <f t="shared" si="305"/>
        <v>58311.000000000007</v>
      </c>
      <c r="CO38" s="730">
        <f t="shared" si="305"/>
        <v>116109.00000000001</v>
      </c>
      <c r="CP38" s="730">
        <f t="shared" si="305"/>
        <v>159543</v>
      </c>
      <c r="CQ38" s="730">
        <f t="shared" si="305"/>
        <v>160227</v>
      </c>
      <c r="CR38" s="730">
        <f t="shared" si="305"/>
        <v>179892</v>
      </c>
      <c r="CS38" s="730">
        <f t="shared" si="305"/>
        <v>203148.00000000003</v>
      </c>
      <c r="CT38" s="730">
        <f t="shared" si="305"/>
        <v>242307.00000000003</v>
      </c>
      <c r="CU38" s="730">
        <f t="shared" si="305"/>
        <v>271548</v>
      </c>
      <c r="CV38" s="730">
        <f t="shared" si="305"/>
        <v>316692</v>
      </c>
      <c r="CW38" s="730">
        <f t="shared" si="305"/>
        <v>372609</v>
      </c>
      <c r="CX38" s="730">
        <f t="shared" si="305"/>
        <v>460161.00000000006</v>
      </c>
      <c r="CY38" s="730">
        <f t="shared" si="305"/>
        <v>537453</v>
      </c>
      <c r="CZ38" s="730">
        <f t="shared" si="240"/>
        <v>3078000</v>
      </c>
      <c r="DA38" s="730">
        <f t="shared" si="241"/>
        <v>877230</v>
      </c>
      <c r="DB38" s="730">
        <f t="shared" si="242"/>
        <v>2200770</v>
      </c>
      <c r="DC38" s="730">
        <f t="shared" si="286"/>
        <v>333963</v>
      </c>
      <c r="DD38" s="730">
        <f t="shared" si="287"/>
        <v>543267</v>
      </c>
      <c r="DE38" s="730">
        <f t="shared" si="288"/>
        <v>830547</v>
      </c>
      <c r="DF38" s="730">
        <f t="shared" si="289"/>
        <v>1370223</v>
      </c>
      <c r="DG38" s="728">
        <f t="shared" si="243"/>
        <v>0</v>
      </c>
      <c r="DH38" s="728">
        <f t="shared" si="244"/>
        <v>0</v>
      </c>
      <c r="DI38" s="728">
        <f t="shared" si="245"/>
        <v>0</v>
      </c>
      <c r="DK38" s="729" t="s">
        <v>130</v>
      </c>
      <c r="DL38" s="730">
        <f t="shared" si="306"/>
        <v>26590.500000000004</v>
      </c>
      <c r="DM38" s="730">
        <f t="shared" si="306"/>
        <v>37534.5</v>
      </c>
      <c r="DN38" s="730">
        <f t="shared" si="306"/>
        <v>53984.700000000012</v>
      </c>
      <c r="DO38" s="730">
        <f t="shared" si="306"/>
        <v>78762.600000000006</v>
      </c>
      <c r="DP38" s="730">
        <f t="shared" si="306"/>
        <v>96238.8</v>
      </c>
      <c r="DQ38" s="730">
        <f t="shared" si="306"/>
        <v>108927.00000000001</v>
      </c>
      <c r="DR38" s="730">
        <f t="shared" si="306"/>
        <v>138253.5</v>
      </c>
      <c r="DS38" s="730">
        <f t="shared" si="306"/>
        <v>158841.90000000002</v>
      </c>
      <c r="DT38" s="730">
        <f t="shared" si="306"/>
        <v>186561</v>
      </c>
      <c r="DU38" s="730">
        <f t="shared" si="306"/>
        <v>225001.80000000002</v>
      </c>
      <c r="DV38" s="730">
        <f t="shared" si="306"/>
        <v>259013.7</v>
      </c>
      <c r="DW38" s="730">
        <f t="shared" si="306"/>
        <v>300618</v>
      </c>
      <c r="DX38" s="730">
        <f t="shared" si="181"/>
        <v>1670328</v>
      </c>
      <c r="DY38" s="730">
        <f t="shared" si="182"/>
        <v>402038.10000000003</v>
      </c>
      <c r="DZ38" s="730">
        <f t="shared" si="183"/>
        <v>1268289.9000000001</v>
      </c>
      <c r="EA38" s="730">
        <f t="shared" si="299"/>
        <v>118109.70000000001</v>
      </c>
      <c r="EB38" s="730">
        <f t="shared" si="300"/>
        <v>283928.40000000002</v>
      </c>
      <c r="EC38" s="730">
        <f t="shared" si="301"/>
        <v>483656.4</v>
      </c>
      <c r="ED38" s="730">
        <f t="shared" si="302"/>
        <v>784633.5</v>
      </c>
      <c r="EE38" s="728">
        <f t="shared" si="184"/>
        <v>0</v>
      </c>
      <c r="EF38" s="728">
        <f t="shared" si="185"/>
        <v>0</v>
      </c>
      <c r="EG38" s="728">
        <f t="shared" si="147"/>
        <v>0</v>
      </c>
    </row>
    <row r="39" spans="1:137" s="736" customFormat="1" ht="15.6" customHeight="1">
      <c r="A39" s="741" t="s">
        <v>982</v>
      </c>
      <c r="B39" s="741" t="s">
        <v>1092</v>
      </c>
      <c r="C39" s="700" t="s">
        <v>130</v>
      </c>
      <c r="D39" s="730" t="e">
        <f t="shared" si="303"/>
        <v>#REF!</v>
      </c>
      <c r="E39" s="730" t="e">
        <f t="shared" si="303"/>
        <v>#REF!</v>
      </c>
      <c r="F39" s="730" t="e">
        <f t="shared" si="303"/>
        <v>#REF!</v>
      </c>
      <c r="G39" s="730" t="e">
        <f t="shared" si="303"/>
        <v>#REF!</v>
      </c>
      <c r="H39" s="730" t="e">
        <f t="shared" si="303"/>
        <v>#REF!</v>
      </c>
      <c r="I39" s="730" t="e">
        <f t="shared" si="303"/>
        <v>#REF!</v>
      </c>
      <c r="J39" s="730" t="e">
        <f t="shared" si="303"/>
        <v>#REF!</v>
      </c>
      <c r="K39" s="730" t="e">
        <f t="shared" si="303"/>
        <v>#REF!</v>
      </c>
      <c r="L39" s="730" t="e">
        <f t="shared" si="303"/>
        <v>#REF!</v>
      </c>
      <c r="M39" s="730" t="e">
        <f t="shared" si="303"/>
        <v>#REF!</v>
      </c>
      <c r="N39" s="730" t="e">
        <f t="shared" si="303"/>
        <v>#REF!</v>
      </c>
      <c r="O39" s="730" t="e">
        <f t="shared" si="303"/>
        <v>#REF!</v>
      </c>
      <c r="P39" s="731" t="e">
        <f t="shared" si="219"/>
        <v>#REF!</v>
      </c>
      <c r="Q39" s="732" t="e">
        <f t="shared" si="220"/>
        <v>#REF!</v>
      </c>
      <c r="R39" s="732" t="e">
        <f t="shared" si="221"/>
        <v>#REF!</v>
      </c>
      <c r="S39" s="732" t="e">
        <f t="shared" si="222"/>
        <v>#REF!</v>
      </c>
      <c r="T39" s="732" t="e">
        <f t="shared" si="223"/>
        <v>#REF!</v>
      </c>
      <c r="U39" s="732" t="e">
        <f t="shared" si="224"/>
        <v>#REF!</v>
      </c>
      <c r="V39" s="732" t="e">
        <f t="shared" si="225"/>
        <v>#REF!</v>
      </c>
      <c r="W39" s="733" t="e">
        <f t="shared" si="226"/>
        <v>#REF!</v>
      </c>
      <c r="X39" s="741" t="s">
        <v>1092</v>
      </c>
      <c r="Y39" s="734">
        <v>7.4999999999999997E-2</v>
      </c>
      <c r="Z39" s="735">
        <f t="shared" ref="Z39:AJ39" si="308">Y39</f>
        <v>7.4999999999999997E-2</v>
      </c>
      <c r="AA39" s="735">
        <f t="shared" si="308"/>
        <v>7.4999999999999997E-2</v>
      </c>
      <c r="AB39" s="735">
        <f t="shared" si="308"/>
        <v>7.4999999999999997E-2</v>
      </c>
      <c r="AC39" s="735">
        <f t="shared" si="308"/>
        <v>7.4999999999999997E-2</v>
      </c>
      <c r="AD39" s="735">
        <f t="shared" si="308"/>
        <v>7.4999999999999997E-2</v>
      </c>
      <c r="AE39" s="735">
        <f t="shared" si="308"/>
        <v>7.4999999999999997E-2</v>
      </c>
      <c r="AF39" s="735">
        <f t="shared" si="308"/>
        <v>7.4999999999999997E-2</v>
      </c>
      <c r="AG39" s="735">
        <f t="shared" si="308"/>
        <v>7.4999999999999997E-2</v>
      </c>
      <c r="AH39" s="735">
        <f t="shared" si="308"/>
        <v>7.4999999999999997E-2</v>
      </c>
      <c r="AI39" s="735">
        <f t="shared" si="308"/>
        <v>7.4999999999999997E-2</v>
      </c>
      <c r="AJ39" s="735">
        <f t="shared" si="308"/>
        <v>7.4999999999999997E-2</v>
      </c>
      <c r="AR39" s="736" t="s">
        <v>982</v>
      </c>
      <c r="AS39" s="737" t="s">
        <v>1092</v>
      </c>
      <c r="AT39" s="736" t="s">
        <v>129</v>
      </c>
      <c r="AU39" s="738">
        <f t="shared" si="248"/>
        <v>30681.818181818184</v>
      </c>
      <c r="AV39" s="738">
        <f t="shared" si="228"/>
        <v>61363.636363636368</v>
      </c>
      <c r="AW39" s="738">
        <f t="shared" si="228"/>
        <v>110454.54545454546</v>
      </c>
      <c r="AX39" s="738">
        <f t="shared" si="228"/>
        <v>110454.54545454546</v>
      </c>
      <c r="AY39" s="738">
        <f t="shared" si="228"/>
        <v>92045.454545454544</v>
      </c>
      <c r="AZ39" s="738">
        <f t="shared" si="228"/>
        <v>73636.363636363632</v>
      </c>
      <c r="BA39" s="738">
        <f t="shared" si="228"/>
        <v>92045.454545454544</v>
      </c>
      <c r="BB39" s="738">
        <f t="shared" si="228"/>
        <v>184090.90909090909</v>
      </c>
      <c r="BC39" s="738">
        <f t="shared" si="228"/>
        <v>122727.27272727274</v>
      </c>
      <c r="BD39" s="738">
        <f t="shared" si="228"/>
        <v>184090.90909090909</v>
      </c>
      <c r="BE39" s="738">
        <f t="shared" si="228"/>
        <v>153409.09090909091</v>
      </c>
      <c r="BF39" s="738">
        <f t="shared" si="228"/>
        <v>135000</v>
      </c>
      <c r="BG39" s="738">
        <f t="shared" si="229"/>
        <v>1350000</v>
      </c>
      <c r="BH39" s="738">
        <f t="shared" si="230"/>
        <v>478636.36363636365</v>
      </c>
      <c r="BI39" s="738">
        <f t="shared" si="231"/>
        <v>871363.63636363635</v>
      </c>
      <c r="BJ39" s="738">
        <f t="shared" si="232"/>
        <v>202500</v>
      </c>
      <c r="BK39" s="738">
        <f t="shared" si="233"/>
        <v>276136.36363636365</v>
      </c>
      <c r="BL39" s="738">
        <f t="shared" si="234"/>
        <v>398863.63636363635</v>
      </c>
      <c r="BM39" s="738">
        <f t="shared" si="235"/>
        <v>472500</v>
      </c>
      <c r="BN39" s="739">
        <f t="shared" si="236"/>
        <v>0</v>
      </c>
      <c r="BO39" s="739">
        <f t="shared" si="237"/>
        <v>0</v>
      </c>
      <c r="BP39" s="739">
        <f t="shared" si="238"/>
        <v>0</v>
      </c>
      <c r="BR39" s="736" t="s">
        <v>982</v>
      </c>
      <c r="BS39" s="737" t="s">
        <v>1092</v>
      </c>
      <c r="BT39" s="737" t="s">
        <v>130</v>
      </c>
      <c r="CM39" s="729" t="s">
        <v>130</v>
      </c>
      <c r="CN39" s="730">
        <f t="shared" si="305"/>
        <v>25575</v>
      </c>
      <c r="CO39" s="730">
        <f t="shared" si="305"/>
        <v>50925</v>
      </c>
      <c r="CP39" s="730">
        <f t="shared" si="305"/>
        <v>69975</v>
      </c>
      <c r="CQ39" s="730">
        <f t="shared" si="305"/>
        <v>70275</v>
      </c>
      <c r="CR39" s="730">
        <f t="shared" si="305"/>
        <v>78900</v>
      </c>
      <c r="CS39" s="730">
        <f t="shared" si="305"/>
        <v>89100</v>
      </c>
      <c r="CT39" s="730">
        <f t="shared" si="305"/>
        <v>106275</v>
      </c>
      <c r="CU39" s="730">
        <f t="shared" si="305"/>
        <v>119100</v>
      </c>
      <c r="CV39" s="730">
        <f t="shared" si="305"/>
        <v>138900</v>
      </c>
      <c r="CW39" s="730">
        <f t="shared" si="305"/>
        <v>163425</v>
      </c>
      <c r="CX39" s="730">
        <f t="shared" si="305"/>
        <v>201825</v>
      </c>
      <c r="CY39" s="730">
        <f t="shared" si="305"/>
        <v>235725</v>
      </c>
      <c r="CZ39" s="730">
        <f t="shared" si="240"/>
        <v>1350000</v>
      </c>
      <c r="DA39" s="730">
        <f t="shared" si="241"/>
        <v>384750</v>
      </c>
      <c r="DB39" s="730">
        <f t="shared" si="242"/>
        <v>965250</v>
      </c>
      <c r="DC39" s="730">
        <f t="shared" si="286"/>
        <v>146475</v>
      </c>
      <c r="DD39" s="730">
        <f t="shared" si="287"/>
        <v>238275</v>
      </c>
      <c r="DE39" s="730">
        <f t="shared" si="288"/>
        <v>364275</v>
      </c>
      <c r="DF39" s="730">
        <f t="shared" si="289"/>
        <v>600975</v>
      </c>
      <c r="DG39" s="728">
        <f t="shared" si="243"/>
        <v>0</v>
      </c>
      <c r="DH39" s="728">
        <f t="shared" si="244"/>
        <v>0</v>
      </c>
      <c r="DI39" s="728">
        <f t="shared" si="245"/>
        <v>0</v>
      </c>
      <c r="DK39" s="729" t="s">
        <v>130</v>
      </c>
      <c r="DL39" s="730">
        <f t="shared" si="306"/>
        <v>11662.5</v>
      </c>
      <c r="DM39" s="730">
        <f t="shared" si="306"/>
        <v>16462.5</v>
      </c>
      <c r="DN39" s="730">
        <f t="shared" si="306"/>
        <v>23677.500000000004</v>
      </c>
      <c r="DO39" s="730">
        <f t="shared" si="306"/>
        <v>34545</v>
      </c>
      <c r="DP39" s="730">
        <f t="shared" si="306"/>
        <v>42210</v>
      </c>
      <c r="DQ39" s="730">
        <f t="shared" si="306"/>
        <v>47775</v>
      </c>
      <c r="DR39" s="730">
        <f t="shared" si="306"/>
        <v>60637.5</v>
      </c>
      <c r="DS39" s="730">
        <f t="shared" si="306"/>
        <v>69667.5</v>
      </c>
      <c r="DT39" s="730">
        <f t="shared" si="306"/>
        <v>81825</v>
      </c>
      <c r="DU39" s="730">
        <f t="shared" si="306"/>
        <v>98685</v>
      </c>
      <c r="DV39" s="730">
        <f t="shared" si="306"/>
        <v>113602.5</v>
      </c>
      <c r="DW39" s="730">
        <f t="shared" si="306"/>
        <v>131850</v>
      </c>
      <c r="DX39" s="730">
        <f t="shared" si="181"/>
        <v>732600</v>
      </c>
      <c r="DY39" s="730">
        <f t="shared" si="182"/>
        <v>176332.5</v>
      </c>
      <c r="DZ39" s="730">
        <f t="shared" si="183"/>
        <v>556267.5</v>
      </c>
      <c r="EA39" s="730">
        <f t="shared" si="299"/>
        <v>51802.5</v>
      </c>
      <c r="EB39" s="730">
        <f t="shared" si="300"/>
        <v>124530</v>
      </c>
      <c r="EC39" s="730">
        <f t="shared" si="301"/>
        <v>212130</v>
      </c>
      <c r="ED39" s="730">
        <f t="shared" si="302"/>
        <v>344137.5</v>
      </c>
      <c r="EE39" s="728">
        <f t="shared" si="184"/>
        <v>0</v>
      </c>
      <c r="EF39" s="728">
        <f t="shared" si="185"/>
        <v>0</v>
      </c>
      <c r="EG39" s="728">
        <f t="shared" si="147"/>
        <v>0</v>
      </c>
    </row>
    <row r="40" spans="1:137" s="736" customFormat="1" ht="15.6" customHeight="1">
      <c r="A40" s="741" t="s">
        <v>982</v>
      </c>
      <c r="B40" s="741" t="s">
        <v>1093</v>
      </c>
      <c r="C40" s="700" t="s">
        <v>130</v>
      </c>
      <c r="D40" s="730" t="e">
        <f t="shared" si="303"/>
        <v>#REF!</v>
      </c>
      <c r="E40" s="730" t="e">
        <f t="shared" si="303"/>
        <v>#REF!</v>
      </c>
      <c r="F40" s="730" t="e">
        <f t="shared" si="303"/>
        <v>#REF!</v>
      </c>
      <c r="G40" s="730" t="e">
        <f t="shared" si="303"/>
        <v>#REF!</v>
      </c>
      <c r="H40" s="730" t="e">
        <f t="shared" si="303"/>
        <v>#REF!</v>
      </c>
      <c r="I40" s="730" t="e">
        <f t="shared" si="303"/>
        <v>#REF!</v>
      </c>
      <c r="J40" s="730" t="e">
        <f t="shared" si="303"/>
        <v>#REF!</v>
      </c>
      <c r="K40" s="730" t="e">
        <f t="shared" si="303"/>
        <v>#REF!</v>
      </c>
      <c r="L40" s="730" t="e">
        <f t="shared" si="303"/>
        <v>#REF!</v>
      </c>
      <c r="M40" s="730" t="e">
        <f t="shared" si="303"/>
        <v>#REF!</v>
      </c>
      <c r="N40" s="730" t="e">
        <f t="shared" si="303"/>
        <v>#REF!</v>
      </c>
      <c r="O40" s="730" t="e">
        <f t="shared" si="303"/>
        <v>#REF!</v>
      </c>
      <c r="P40" s="731" t="e">
        <f t="shared" si="219"/>
        <v>#REF!</v>
      </c>
      <c r="Q40" s="732" t="e">
        <f t="shared" si="220"/>
        <v>#REF!</v>
      </c>
      <c r="R40" s="732" t="e">
        <f t="shared" si="221"/>
        <v>#REF!</v>
      </c>
      <c r="S40" s="732" t="e">
        <f t="shared" si="222"/>
        <v>#REF!</v>
      </c>
      <c r="T40" s="732" t="e">
        <f t="shared" si="223"/>
        <v>#REF!</v>
      </c>
      <c r="U40" s="732" t="e">
        <f t="shared" si="224"/>
        <v>#REF!</v>
      </c>
      <c r="V40" s="732" t="e">
        <f t="shared" si="225"/>
        <v>#REF!</v>
      </c>
      <c r="W40" s="733" t="e">
        <f t="shared" si="226"/>
        <v>#REF!</v>
      </c>
      <c r="X40" s="741" t="s">
        <v>1093</v>
      </c>
      <c r="Y40" s="734">
        <v>6.8000000000000005E-2</v>
      </c>
      <c r="Z40" s="735">
        <f t="shared" ref="Z40:AJ40" si="309">Y40</f>
        <v>6.8000000000000005E-2</v>
      </c>
      <c r="AA40" s="735">
        <f t="shared" si="309"/>
        <v>6.8000000000000005E-2</v>
      </c>
      <c r="AB40" s="735">
        <f t="shared" si="309"/>
        <v>6.8000000000000005E-2</v>
      </c>
      <c r="AC40" s="735">
        <f t="shared" si="309"/>
        <v>6.8000000000000005E-2</v>
      </c>
      <c r="AD40" s="735">
        <f t="shared" si="309"/>
        <v>6.8000000000000005E-2</v>
      </c>
      <c r="AE40" s="735">
        <f t="shared" si="309"/>
        <v>6.8000000000000005E-2</v>
      </c>
      <c r="AF40" s="735">
        <f t="shared" si="309"/>
        <v>6.8000000000000005E-2</v>
      </c>
      <c r="AG40" s="735">
        <f t="shared" si="309"/>
        <v>6.8000000000000005E-2</v>
      </c>
      <c r="AH40" s="735">
        <f t="shared" si="309"/>
        <v>6.8000000000000005E-2</v>
      </c>
      <c r="AI40" s="735">
        <f t="shared" si="309"/>
        <v>6.8000000000000005E-2</v>
      </c>
      <c r="AJ40" s="735">
        <f t="shared" si="309"/>
        <v>6.8000000000000005E-2</v>
      </c>
      <c r="AR40" s="736" t="s">
        <v>982</v>
      </c>
      <c r="AS40" s="737" t="s">
        <v>1093</v>
      </c>
      <c r="AT40" s="736" t="s">
        <v>129</v>
      </c>
      <c r="AU40" s="738">
        <f>AU$27*Y40</f>
        <v>27818.181818181823</v>
      </c>
      <c r="AV40" s="738">
        <f t="shared" si="228"/>
        <v>55636.363636363647</v>
      </c>
      <c r="AW40" s="738">
        <f t="shared" si="228"/>
        <v>100145.45454545454</v>
      </c>
      <c r="AX40" s="738">
        <f t="shared" si="228"/>
        <v>100145.45454545454</v>
      </c>
      <c r="AY40" s="738">
        <f t="shared" si="228"/>
        <v>83454.545454545456</v>
      </c>
      <c r="AZ40" s="738">
        <f t="shared" si="228"/>
        <v>66763.636363636368</v>
      </c>
      <c r="BA40" s="738">
        <f t="shared" si="228"/>
        <v>83454.545454545456</v>
      </c>
      <c r="BB40" s="738">
        <f t="shared" si="228"/>
        <v>166909.09090909091</v>
      </c>
      <c r="BC40" s="738">
        <f t="shared" si="228"/>
        <v>111272.72727272729</v>
      </c>
      <c r="BD40" s="738">
        <f t="shared" si="228"/>
        <v>166909.09090909091</v>
      </c>
      <c r="BE40" s="738">
        <f t="shared" si="228"/>
        <v>139090.90909090912</v>
      </c>
      <c r="BF40" s="738">
        <f t="shared" si="228"/>
        <v>122400.00000000001</v>
      </c>
      <c r="BG40" s="738">
        <f t="shared" si="229"/>
        <v>1224000</v>
      </c>
      <c r="BH40" s="738">
        <f t="shared" si="230"/>
        <v>433963.63636363635</v>
      </c>
      <c r="BI40" s="738">
        <f t="shared" si="231"/>
        <v>790036.36363636376</v>
      </c>
      <c r="BJ40" s="738">
        <f t="shared" si="232"/>
        <v>183600</v>
      </c>
      <c r="BK40" s="738">
        <f t="shared" si="233"/>
        <v>250363.63636363635</v>
      </c>
      <c r="BL40" s="738">
        <f t="shared" si="234"/>
        <v>361636.36363636365</v>
      </c>
      <c r="BM40" s="738">
        <f t="shared" si="235"/>
        <v>428400</v>
      </c>
      <c r="BN40" s="739">
        <f t="shared" si="236"/>
        <v>0</v>
      </c>
      <c r="BO40" s="739">
        <f t="shared" si="237"/>
        <v>0</v>
      </c>
      <c r="BP40" s="739">
        <f t="shared" si="238"/>
        <v>0</v>
      </c>
      <c r="BR40" s="736" t="s">
        <v>982</v>
      </c>
      <c r="BS40" s="737" t="s">
        <v>1093</v>
      </c>
      <c r="BT40" s="737" t="s">
        <v>130</v>
      </c>
      <c r="CM40" s="729" t="s">
        <v>130</v>
      </c>
      <c r="CN40" s="730">
        <f t="shared" si="305"/>
        <v>23188</v>
      </c>
      <c r="CO40" s="730">
        <f t="shared" si="305"/>
        <v>46172</v>
      </c>
      <c r="CP40" s="730">
        <f t="shared" si="305"/>
        <v>63444.000000000007</v>
      </c>
      <c r="CQ40" s="730">
        <f t="shared" si="305"/>
        <v>63716.000000000007</v>
      </c>
      <c r="CR40" s="730">
        <f t="shared" si="305"/>
        <v>71536</v>
      </c>
      <c r="CS40" s="730">
        <f t="shared" si="305"/>
        <v>80784</v>
      </c>
      <c r="CT40" s="730">
        <f t="shared" si="305"/>
        <v>96356</v>
      </c>
      <c r="CU40" s="730">
        <f t="shared" si="305"/>
        <v>107984.00000000001</v>
      </c>
      <c r="CV40" s="730">
        <f t="shared" si="305"/>
        <v>125936.00000000001</v>
      </c>
      <c r="CW40" s="730">
        <f t="shared" si="305"/>
        <v>148172</v>
      </c>
      <c r="CX40" s="730">
        <f t="shared" si="305"/>
        <v>182988</v>
      </c>
      <c r="CY40" s="730">
        <f t="shared" si="305"/>
        <v>213724.00000000003</v>
      </c>
      <c r="CZ40" s="730">
        <f t="shared" si="240"/>
        <v>1224000</v>
      </c>
      <c r="DA40" s="730">
        <f t="shared" si="241"/>
        <v>348840</v>
      </c>
      <c r="DB40" s="730">
        <f t="shared" si="242"/>
        <v>875160</v>
      </c>
      <c r="DC40" s="730">
        <f t="shared" si="286"/>
        <v>132804</v>
      </c>
      <c r="DD40" s="730">
        <f t="shared" si="287"/>
        <v>216036</v>
      </c>
      <c r="DE40" s="730">
        <f t="shared" si="288"/>
        <v>330276</v>
      </c>
      <c r="DF40" s="730">
        <f t="shared" si="289"/>
        <v>544884</v>
      </c>
      <c r="DG40" s="728">
        <f t="shared" si="243"/>
        <v>0</v>
      </c>
      <c r="DH40" s="728">
        <f t="shared" si="244"/>
        <v>0</v>
      </c>
      <c r="DI40" s="728">
        <f t="shared" si="245"/>
        <v>0</v>
      </c>
      <c r="DK40" s="729" t="s">
        <v>130</v>
      </c>
      <c r="DL40" s="730">
        <f t="shared" si="306"/>
        <v>10574</v>
      </c>
      <c r="DM40" s="730">
        <f t="shared" si="306"/>
        <v>14926.000000000002</v>
      </c>
      <c r="DN40" s="730">
        <f t="shared" si="306"/>
        <v>21467.600000000006</v>
      </c>
      <c r="DO40" s="730">
        <f t="shared" si="306"/>
        <v>31320.800000000003</v>
      </c>
      <c r="DP40" s="730">
        <f t="shared" si="306"/>
        <v>38270.400000000001</v>
      </c>
      <c r="DQ40" s="730">
        <f t="shared" si="306"/>
        <v>43316</v>
      </c>
      <c r="DR40" s="730">
        <f t="shared" si="306"/>
        <v>54978.000000000007</v>
      </c>
      <c r="DS40" s="730">
        <f t="shared" si="306"/>
        <v>63165.200000000004</v>
      </c>
      <c r="DT40" s="730">
        <f t="shared" si="306"/>
        <v>74188</v>
      </c>
      <c r="DU40" s="730">
        <f t="shared" si="306"/>
        <v>89474.400000000009</v>
      </c>
      <c r="DV40" s="730">
        <f t="shared" si="306"/>
        <v>102999.6</v>
      </c>
      <c r="DW40" s="730">
        <f t="shared" si="306"/>
        <v>119544.00000000001</v>
      </c>
      <c r="DX40" s="730">
        <f t="shared" si="181"/>
        <v>664224</v>
      </c>
      <c r="DY40" s="730">
        <f t="shared" si="182"/>
        <v>159874.80000000002</v>
      </c>
      <c r="DZ40" s="730">
        <f t="shared" si="183"/>
        <v>504349.20000000007</v>
      </c>
      <c r="EA40" s="730">
        <f t="shared" si="299"/>
        <v>46967.600000000006</v>
      </c>
      <c r="EB40" s="730">
        <f t="shared" si="300"/>
        <v>112907.20000000001</v>
      </c>
      <c r="EC40" s="730">
        <f t="shared" si="301"/>
        <v>192331.2</v>
      </c>
      <c r="ED40" s="730">
        <f t="shared" si="302"/>
        <v>312018</v>
      </c>
      <c r="EE40" s="728">
        <f t="shared" si="184"/>
        <v>0</v>
      </c>
      <c r="EF40" s="728">
        <f t="shared" si="185"/>
        <v>0</v>
      </c>
      <c r="EG40" s="728">
        <f t="shared" si="147"/>
        <v>0</v>
      </c>
    </row>
    <row r="41" spans="1:137">
      <c r="B41" s="578"/>
      <c r="D41" s="695"/>
      <c r="E41" s="695"/>
      <c r="F41" s="695"/>
      <c r="G41" s="695"/>
      <c r="H41" s="695"/>
      <c r="I41" s="695"/>
      <c r="J41" s="695"/>
      <c r="K41" s="695"/>
      <c r="L41" s="695"/>
      <c r="M41" s="695"/>
      <c r="N41" s="695"/>
      <c r="O41" s="695"/>
      <c r="P41" s="696"/>
      <c r="Q41" s="695"/>
      <c r="R41" s="695"/>
      <c r="S41" s="695"/>
      <c r="T41" s="695"/>
      <c r="U41" s="695"/>
      <c r="V41" s="695"/>
      <c r="W41" s="695"/>
      <c r="Y41" s="697"/>
      <c r="Z41" s="697"/>
      <c r="AA41" s="697"/>
      <c r="AB41" s="697"/>
      <c r="AC41" s="697"/>
      <c r="AD41" s="697"/>
      <c r="AE41" s="697"/>
      <c r="AF41" s="697"/>
      <c r="AG41" s="697"/>
      <c r="AH41" s="697"/>
      <c r="AI41" s="697"/>
      <c r="AJ41" s="697"/>
      <c r="AS41" s="578"/>
      <c r="AU41" s="695"/>
      <c r="AV41" s="695"/>
      <c r="AW41" s="695"/>
      <c r="AX41" s="695"/>
      <c r="AY41" s="695"/>
      <c r="AZ41" s="695"/>
      <c r="BA41" s="695"/>
      <c r="BB41" s="695"/>
      <c r="BC41" s="695"/>
      <c r="BD41" s="695"/>
      <c r="BE41" s="695"/>
      <c r="BF41" s="695"/>
      <c r="BG41" s="695"/>
      <c r="BH41" s="695"/>
      <c r="BI41" s="695"/>
      <c r="BJ41" s="695"/>
      <c r="BK41" s="695"/>
      <c r="BL41" s="695"/>
      <c r="BM41" s="695"/>
      <c r="BN41" s="696"/>
      <c r="BO41" s="696"/>
      <c r="BP41" s="696"/>
      <c r="CN41" s="695"/>
      <c r="CO41" s="695"/>
      <c r="CP41" s="695"/>
      <c r="CQ41" s="695"/>
      <c r="CR41" s="695"/>
      <c r="CS41" s="695"/>
      <c r="CT41" s="695"/>
      <c r="CU41" s="695"/>
      <c r="CV41" s="695"/>
      <c r="CW41" s="695"/>
      <c r="CX41" s="695"/>
      <c r="CY41" s="695"/>
      <c r="CZ41" s="695"/>
      <c r="DA41" s="695"/>
      <c r="DB41" s="695"/>
      <c r="DC41" s="695"/>
      <c r="DD41" s="695"/>
      <c r="DE41" s="695"/>
      <c r="DF41" s="695"/>
      <c r="DG41" s="696"/>
      <c r="DH41" s="696"/>
      <c r="DI41" s="696"/>
    </row>
    <row r="42" spans="1:137">
      <c r="B42" s="578"/>
      <c r="D42" s="695"/>
      <c r="E42" s="695"/>
      <c r="F42" s="695"/>
      <c r="G42" s="695"/>
      <c r="H42" s="695"/>
      <c r="I42" s="695"/>
      <c r="J42" s="695"/>
      <c r="K42" s="695"/>
      <c r="L42" s="695"/>
      <c r="M42" s="695"/>
      <c r="N42" s="695"/>
      <c r="O42" s="695"/>
      <c r="P42" s="696"/>
      <c r="Q42" s="695"/>
      <c r="R42" s="695"/>
      <c r="S42" s="695"/>
      <c r="T42" s="695"/>
      <c r="U42" s="695"/>
      <c r="V42" s="695"/>
      <c r="W42" s="695"/>
      <c r="Y42" s="697"/>
      <c r="Z42" s="697"/>
      <c r="AA42" s="697"/>
      <c r="AB42" s="697"/>
      <c r="AC42" s="697"/>
      <c r="AD42" s="697"/>
      <c r="AE42" s="697"/>
      <c r="AF42" s="697"/>
      <c r="AG42" s="697"/>
      <c r="AH42" s="697"/>
      <c r="AI42" s="697"/>
      <c r="AJ42" s="697"/>
      <c r="AS42" s="578"/>
      <c r="AU42" s="695"/>
      <c r="AV42" s="695"/>
      <c r="AW42" s="695"/>
      <c r="AX42" s="695"/>
      <c r="AY42" s="695"/>
      <c r="AZ42" s="695"/>
      <c r="BA42" s="695"/>
      <c r="BB42" s="695"/>
      <c r="BC42" s="695"/>
      <c r="BD42" s="695"/>
      <c r="BE42" s="695"/>
      <c r="BF42" s="695"/>
      <c r="BG42" s="695"/>
      <c r="BH42" s="695"/>
      <c r="BI42" s="695"/>
      <c r="BJ42" s="695"/>
      <c r="BK42" s="695"/>
      <c r="BL42" s="695"/>
      <c r="BM42" s="695"/>
      <c r="BN42" s="696"/>
      <c r="BO42" s="696"/>
      <c r="BP42" s="696"/>
      <c r="CN42" s="695"/>
      <c r="CO42" s="695"/>
      <c r="CP42" s="695"/>
      <c r="CQ42" s="695"/>
      <c r="CR42" s="695"/>
      <c r="CS42" s="695"/>
      <c r="CT42" s="695"/>
      <c r="CU42" s="695"/>
      <c r="CV42" s="695"/>
      <c r="CW42" s="695"/>
      <c r="CX42" s="695"/>
      <c r="CY42" s="695"/>
      <c r="CZ42" s="695"/>
      <c r="DA42" s="695"/>
      <c r="DB42" s="695"/>
      <c r="DC42" s="695"/>
      <c r="DD42" s="695"/>
      <c r="DE42" s="695"/>
      <c r="DF42" s="695"/>
      <c r="DG42" s="696"/>
      <c r="DH42" s="696"/>
      <c r="DI42" s="696"/>
    </row>
    <row r="43" spans="1:137">
      <c r="B43" s="578"/>
      <c r="D43" s="695"/>
      <c r="E43" s="695"/>
      <c r="F43" s="695"/>
      <c r="G43" s="695"/>
      <c r="H43" s="695"/>
      <c r="I43" s="695"/>
      <c r="J43" s="695"/>
      <c r="K43" s="695"/>
      <c r="L43" s="695"/>
      <c r="M43" s="695"/>
      <c r="N43" s="695"/>
      <c r="O43" s="695"/>
      <c r="P43" s="696"/>
      <c r="Q43" s="695"/>
      <c r="R43" s="695"/>
      <c r="S43" s="695"/>
      <c r="T43" s="695"/>
      <c r="U43" s="695"/>
      <c r="V43" s="695"/>
      <c r="W43" s="695"/>
      <c r="Y43" s="697"/>
      <c r="Z43" s="697"/>
      <c r="AA43" s="697"/>
      <c r="AB43" s="697"/>
      <c r="AC43" s="697"/>
      <c r="AD43" s="697"/>
      <c r="AE43" s="697"/>
      <c r="AF43" s="697"/>
      <c r="AG43" s="697"/>
      <c r="AH43" s="697"/>
      <c r="AI43" s="697"/>
      <c r="AJ43" s="697"/>
      <c r="AS43" s="578"/>
      <c r="AU43" s="695"/>
      <c r="AV43" s="695"/>
      <c r="AW43" s="695"/>
      <c r="AX43" s="695"/>
      <c r="AY43" s="695"/>
      <c r="AZ43" s="695"/>
      <c r="BA43" s="695"/>
      <c r="BB43" s="695"/>
      <c r="BC43" s="695"/>
      <c r="BD43" s="695"/>
      <c r="BE43" s="695"/>
      <c r="BF43" s="695"/>
      <c r="BG43" s="695"/>
      <c r="BH43" s="695"/>
      <c r="BI43" s="695"/>
      <c r="BJ43" s="695"/>
      <c r="BK43" s="695"/>
      <c r="BL43" s="695"/>
      <c r="BM43" s="695"/>
      <c r="BN43" s="696"/>
      <c r="BO43" s="696"/>
      <c r="BP43" s="696"/>
      <c r="CN43" s="695"/>
      <c r="CO43" s="695"/>
      <c r="CP43" s="695"/>
      <c r="CQ43" s="695"/>
      <c r="CR43" s="695"/>
      <c r="CS43" s="695"/>
      <c r="CT43" s="695"/>
      <c r="CU43" s="695"/>
      <c r="CV43" s="695"/>
      <c r="CW43" s="695"/>
      <c r="CX43" s="695"/>
      <c r="CY43" s="695"/>
      <c r="CZ43" s="695"/>
      <c r="DA43" s="695"/>
      <c r="DB43" s="695"/>
      <c r="DC43" s="695"/>
      <c r="DD43" s="695"/>
      <c r="DE43" s="695"/>
      <c r="DF43" s="695"/>
      <c r="DG43" s="696"/>
      <c r="DH43" s="696"/>
      <c r="DI43" s="696"/>
    </row>
    <row r="44" spans="1:137">
      <c r="AV44" s="747"/>
      <c r="AW44" s="747"/>
    </row>
    <row r="45" spans="1:137">
      <c r="AU45" s="747"/>
    </row>
    <row r="46" spans="1:137">
      <c r="AU46" s="747"/>
    </row>
    <row r="47" spans="1:137">
      <c r="AU47" s="747"/>
    </row>
    <row r="48" spans="1:137">
      <c r="AU48" s="747"/>
    </row>
  </sheetData>
  <mergeCells count="4">
    <mergeCell ref="A28:V28"/>
    <mergeCell ref="A26:V26"/>
    <mergeCell ref="X28:AJ28"/>
    <mergeCell ref="X26:AJ26"/>
  </mergeCells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38E23-8E23-443A-A422-059E70C40FE6}">
  <dimension ref="A1:BT47"/>
  <sheetViews>
    <sheetView view="pageBreakPreview" topLeftCell="O1" zoomScale="70" zoomScaleNormal="90" zoomScaleSheetLayoutView="70" workbookViewId="0">
      <selection activeCell="AS20" sqref="AS20:BD20"/>
    </sheetView>
  </sheetViews>
  <sheetFormatPr defaultRowHeight="13.8"/>
  <cols>
    <col min="1" max="1" width="20.33203125" customWidth="1"/>
    <col min="2" max="2" width="28.77734375" customWidth="1"/>
    <col min="3" max="14" width="0" hidden="1" customWidth="1"/>
    <col min="15" max="15" width="6.21875" customWidth="1"/>
    <col min="16" max="16" width="1.21875" customWidth="1"/>
    <col min="17" max="28" width="0" hidden="1" customWidth="1"/>
    <col min="29" max="29" width="36.6640625" customWidth="1"/>
    <col min="30" max="30" width="1.21875" customWidth="1"/>
    <col min="31" max="42" width="0" hidden="1" customWidth="1"/>
    <col min="43" max="43" width="9.6640625" customWidth="1"/>
    <col min="44" max="44" width="1.21875" customWidth="1"/>
    <col min="45" max="56" width="14.6640625" customWidth="1"/>
    <col min="57" max="57" width="12.77734375" customWidth="1"/>
    <col min="58" max="58" width="1.21875" customWidth="1"/>
    <col min="59" max="70" width="0" hidden="1" customWidth="1"/>
    <col min="71" max="71" width="14.6640625" customWidth="1"/>
  </cols>
  <sheetData>
    <row r="1" spans="1:72">
      <c r="A1" s="580"/>
      <c r="B1" s="581"/>
      <c r="C1" s="582"/>
      <c r="D1" s="582"/>
      <c r="E1" s="582"/>
      <c r="F1" s="582"/>
      <c r="G1" s="582"/>
      <c r="H1" s="582"/>
      <c r="I1" s="582"/>
      <c r="J1" s="582"/>
      <c r="K1" s="582"/>
      <c r="L1" s="582"/>
      <c r="M1" s="582"/>
      <c r="N1" s="582"/>
      <c r="O1" s="582"/>
      <c r="P1" s="583"/>
      <c r="Q1" s="582"/>
      <c r="R1" s="582"/>
      <c r="S1" s="582"/>
      <c r="T1" s="582"/>
      <c r="U1" s="582"/>
      <c r="V1" s="582"/>
      <c r="W1" s="582"/>
      <c r="X1" s="582"/>
      <c r="Y1" s="582"/>
      <c r="Z1" s="582"/>
      <c r="AA1" s="582"/>
      <c r="AB1" s="582"/>
      <c r="AC1" s="582"/>
      <c r="AD1" s="583"/>
      <c r="AE1" s="582"/>
      <c r="AF1" s="582"/>
      <c r="AG1" s="582"/>
      <c r="AH1" s="582"/>
      <c r="AI1" s="582"/>
      <c r="AJ1" s="582"/>
      <c r="AK1" s="582"/>
      <c r="AL1" s="582"/>
      <c r="AM1" s="582"/>
      <c r="AN1" s="582"/>
      <c r="AO1" s="582"/>
      <c r="AP1" s="582"/>
      <c r="AQ1" s="582"/>
      <c r="AR1" s="583"/>
      <c r="AS1" s="582"/>
      <c r="AT1" s="582"/>
      <c r="AU1" s="582"/>
      <c r="AV1" s="582"/>
      <c r="AW1" s="582"/>
      <c r="AX1" s="582"/>
      <c r="AY1" s="582"/>
      <c r="AZ1" s="582"/>
      <c r="BA1" s="582"/>
      <c r="BB1" s="582"/>
      <c r="BC1" s="582"/>
      <c r="BD1" s="582"/>
      <c r="BE1" s="582"/>
      <c r="BF1" s="583"/>
      <c r="BG1" s="582"/>
      <c r="BH1" s="582"/>
      <c r="BI1" s="582"/>
      <c r="BJ1" s="582"/>
      <c r="BK1" s="582"/>
      <c r="BL1" s="582"/>
      <c r="BM1" s="582"/>
      <c r="BN1" s="582"/>
      <c r="BO1" s="582"/>
      <c r="BP1" s="582"/>
      <c r="BQ1" s="582"/>
      <c r="BR1" s="582"/>
      <c r="BS1" s="582"/>
      <c r="BT1" s="582"/>
    </row>
    <row r="2" spans="1:72" ht="41.4">
      <c r="A2" s="582"/>
      <c r="B2" s="584" t="s">
        <v>1102</v>
      </c>
      <c r="C2" s="585" t="s">
        <v>1103</v>
      </c>
      <c r="D2" s="585" t="s">
        <v>1104</v>
      </c>
      <c r="E2" s="585" t="s">
        <v>1105</v>
      </c>
      <c r="F2" s="585" t="s">
        <v>1106</v>
      </c>
      <c r="G2" s="585" t="s">
        <v>1107</v>
      </c>
      <c r="H2" s="585" t="s">
        <v>1108</v>
      </c>
      <c r="I2" s="585" t="s">
        <v>1109</v>
      </c>
      <c r="J2" s="585" t="s">
        <v>1110</v>
      </c>
      <c r="K2" s="585" t="s">
        <v>1111</v>
      </c>
      <c r="L2" s="585" t="s">
        <v>1112</v>
      </c>
      <c r="M2" s="585" t="s">
        <v>1113</v>
      </c>
      <c r="N2" s="585" t="s">
        <v>1114</v>
      </c>
      <c r="O2" s="585" t="s">
        <v>1115</v>
      </c>
      <c r="P2" s="583"/>
      <c r="Q2" s="586" t="s">
        <v>1116</v>
      </c>
      <c r="R2" s="586" t="s">
        <v>1117</v>
      </c>
      <c r="S2" s="586" t="s">
        <v>1118</v>
      </c>
      <c r="T2" s="586" t="s">
        <v>1119</v>
      </c>
      <c r="U2" s="586" t="s">
        <v>1120</v>
      </c>
      <c r="V2" s="586" t="s">
        <v>1121</v>
      </c>
      <c r="W2" s="586" t="s">
        <v>1122</v>
      </c>
      <c r="X2" s="586" t="s">
        <v>1123</v>
      </c>
      <c r="Y2" s="586" t="s">
        <v>1124</v>
      </c>
      <c r="Z2" s="586" t="s">
        <v>1125</v>
      </c>
      <c r="AA2" s="586" t="s">
        <v>1126</v>
      </c>
      <c r="AB2" s="586" t="s">
        <v>1127</v>
      </c>
      <c r="AC2" s="586" t="s">
        <v>1128</v>
      </c>
      <c r="AD2" s="583"/>
      <c r="AE2" s="587" t="s">
        <v>1129</v>
      </c>
      <c r="AF2" s="587" t="s">
        <v>1130</v>
      </c>
      <c r="AG2" s="587" t="s">
        <v>1131</v>
      </c>
      <c r="AH2" s="587" t="s">
        <v>1132</v>
      </c>
      <c r="AI2" s="587" t="s">
        <v>1133</v>
      </c>
      <c r="AJ2" s="587" t="s">
        <v>1134</v>
      </c>
      <c r="AK2" s="587" t="s">
        <v>1135</v>
      </c>
      <c r="AL2" s="587" t="s">
        <v>1136</v>
      </c>
      <c r="AM2" s="587" t="s">
        <v>1137</v>
      </c>
      <c r="AN2" s="587" t="s">
        <v>1138</v>
      </c>
      <c r="AO2" s="587" t="s">
        <v>1139</v>
      </c>
      <c r="AP2" s="587" t="s">
        <v>1140</v>
      </c>
      <c r="AQ2" s="586" t="s">
        <v>1141</v>
      </c>
      <c r="AR2" s="583"/>
      <c r="AS2" s="587" t="s">
        <v>1129</v>
      </c>
      <c r="AT2" s="587" t="s">
        <v>1130</v>
      </c>
      <c r="AU2" s="587" t="s">
        <v>1131</v>
      </c>
      <c r="AV2" s="587" t="s">
        <v>1132</v>
      </c>
      <c r="AW2" s="587" t="s">
        <v>1133</v>
      </c>
      <c r="AX2" s="587" t="s">
        <v>1134</v>
      </c>
      <c r="AY2" s="587" t="s">
        <v>1135</v>
      </c>
      <c r="AZ2" s="587" t="s">
        <v>1136</v>
      </c>
      <c r="BA2" s="587" t="s">
        <v>1137</v>
      </c>
      <c r="BB2" s="587" t="s">
        <v>1138</v>
      </c>
      <c r="BC2" s="587" t="s">
        <v>1139</v>
      </c>
      <c r="BD2" s="587" t="s">
        <v>1140</v>
      </c>
      <c r="BE2" s="587" t="s">
        <v>1141</v>
      </c>
      <c r="BF2" s="583"/>
      <c r="BG2" s="588" t="s">
        <v>1116</v>
      </c>
      <c r="BH2" s="588" t="s">
        <v>1117</v>
      </c>
      <c r="BI2" s="588" t="s">
        <v>1118</v>
      </c>
      <c r="BJ2" s="588" t="s">
        <v>1119</v>
      </c>
      <c r="BK2" s="588" t="s">
        <v>1120</v>
      </c>
      <c r="BL2" s="588" t="s">
        <v>1121</v>
      </c>
      <c r="BM2" s="588" t="s">
        <v>1122</v>
      </c>
      <c r="BN2" s="588" t="s">
        <v>1123</v>
      </c>
      <c r="BO2" s="588" t="s">
        <v>1124</v>
      </c>
      <c r="BP2" s="588" t="s">
        <v>1125</v>
      </c>
      <c r="BQ2" s="588" t="s">
        <v>1126</v>
      </c>
      <c r="BR2" s="588" t="s">
        <v>1127</v>
      </c>
      <c r="BS2" s="588" t="s">
        <v>1128</v>
      </c>
      <c r="BT2" s="582"/>
    </row>
    <row r="3" spans="1:72" ht="14.4">
      <c r="A3" s="582"/>
      <c r="B3" s="584" t="s">
        <v>1142</v>
      </c>
      <c r="C3" s="589" t="s">
        <v>1143</v>
      </c>
      <c r="D3" s="589" t="s">
        <v>1143</v>
      </c>
      <c r="E3" s="589" t="s">
        <v>1143</v>
      </c>
      <c r="F3" s="589" t="s">
        <v>1143</v>
      </c>
      <c r="G3" s="589" t="s">
        <v>1143</v>
      </c>
      <c r="H3" s="589" t="s">
        <v>1143</v>
      </c>
      <c r="I3" s="589" t="s">
        <v>1143</v>
      </c>
      <c r="J3" s="589" t="s">
        <v>1143</v>
      </c>
      <c r="K3" s="589" t="s">
        <v>1143</v>
      </c>
      <c r="L3" s="589" t="s">
        <v>1143</v>
      </c>
      <c r="M3" s="589" t="s">
        <v>1143</v>
      </c>
      <c r="N3" s="589" t="s">
        <v>1143</v>
      </c>
      <c r="O3" s="589" t="s">
        <v>1144</v>
      </c>
      <c r="P3" s="583"/>
      <c r="Q3" s="590" t="s">
        <v>1143</v>
      </c>
      <c r="R3" s="590" t="s">
        <v>1143</v>
      </c>
      <c r="S3" s="590" t="s">
        <v>1143</v>
      </c>
      <c r="T3" s="590" t="s">
        <v>1143</v>
      </c>
      <c r="U3" s="590" t="s">
        <v>1143</v>
      </c>
      <c r="V3" s="590" t="s">
        <v>1143</v>
      </c>
      <c r="W3" s="590" t="s">
        <v>1143</v>
      </c>
      <c r="X3" s="590" t="s">
        <v>1143</v>
      </c>
      <c r="Y3" s="590" t="s">
        <v>1143</v>
      </c>
      <c r="Z3" s="590" t="s">
        <v>1143</v>
      </c>
      <c r="AA3" s="590" t="s">
        <v>1143</v>
      </c>
      <c r="AB3" s="590" t="s">
        <v>1143</v>
      </c>
      <c r="AC3" s="590" t="s">
        <v>1144</v>
      </c>
      <c r="AD3" s="583"/>
      <c r="AE3" s="591" t="s">
        <v>1144</v>
      </c>
      <c r="AF3" s="591" t="s">
        <v>1144</v>
      </c>
      <c r="AG3" s="591" t="s">
        <v>1144</v>
      </c>
      <c r="AH3" s="591" t="s">
        <v>1144</v>
      </c>
      <c r="AI3" s="591" t="s">
        <v>1144</v>
      </c>
      <c r="AJ3" s="591" t="s">
        <v>1144</v>
      </c>
      <c r="AK3" s="591" t="s">
        <v>1144</v>
      </c>
      <c r="AL3" s="591" t="s">
        <v>1144</v>
      </c>
      <c r="AM3" s="591" t="s">
        <v>1144</v>
      </c>
      <c r="AN3" s="591" t="s">
        <v>1144</v>
      </c>
      <c r="AO3" s="591" t="s">
        <v>1144</v>
      </c>
      <c r="AP3" s="591" t="s">
        <v>1144</v>
      </c>
      <c r="AQ3" s="590" t="s">
        <v>1144</v>
      </c>
      <c r="AR3" s="583"/>
      <c r="AS3" s="591" t="s">
        <v>785</v>
      </c>
      <c r="AT3" s="591" t="s">
        <v>785</v>
      </c>
      <c r="AU3" s="591" t="s">
        <v>785</v>
      </c>
      <c r="AV3" s="591" t="s">
        <v>785</v>
      </c>
      <c r="AW3" s="591" t="s">
        <v>785</v>
      </c>
      <c r="AX3" s="591" t="s">
        <v>785</v>
      </c>
      <c r="AY3" s="591" t="s">
        <v>785</v>
      </c>
      <c r="AZ3" s="591" t="s">
        <v>785</v>
      </c>
      <c r="BA3" s="591" t="s">
        <v>785</v>
      </c>
      <c r="BB3" s="591" t="s">
        <v>785</v>
      </c>
      <c r="BC3" s="591" t="s">
        <v>785</v>
      </c>
      <c r="BD3" s="591" t="s">
        <v>785</v>
      </c>
      <c r="BE3" s="591" t="s">
        <v>785</v>
      </c>
      <c r="BF3" s="583"/>
      <c r="BG3" s="592" t="s">
        <v>785</v>
      </c>
      <c r="BH3" s="592" t="s">
        <v>785</v>
      </c>
      <c r="BI3" s="592" t="s">
        <v>785</v>
      </c>
      <c r="BJ3" s="592" t="s">
        <v>785</v>
      </c>
      <c r="BK3" s="592" t="s">
        <v>785</v>
      </c>
      <c r="BL3" s="592" t="s">
        <v>785</v>
      </c>
      <c r="BM3" s="592" t="s">
        <v>785</v>
      </c>
      <c r="BN3" s="592" t="s">
        <v>785</v>
      </c>
      <c r="BO3" s="592" t="s">
        <v>785</v>
      </c>
      <c r="BP3" s="592" t="s">
        <v>785</v>
      </c>
      <c r="BQ3" s="592" t="s">
        <v>785</v>
      </c>
      <c r="BR3" s="592" t="s">
        <v>785</v>
      </c>
      <c r="BS3" s="592" t="s">
        <v>785</v>
      </c>
      <c r="BT3" s="582"/>
    </row>
    <row r="4" spans="1:72">
      <c r="A4" s="593"/>
      <c r="B4" s="594" t="s">
        <v>1145</v>
      </c>
      <c r="C4" s="594">
        <f>C5</f>
        <v>2</v>
      </c>
      <c r="D4" s="594">
        <f t="shared" ref="D4:O6" si="0">D5</f>
        <v>2</v>
      </c>
      <c r="E4" s="594">
        <f t="shared" si="0"/>
        <v>2</v>
      </c>
      <c r="F4" s="594">
        <f t="shared" si="0"/>
        <v>2</v>
      </c>
      <c r="G4" s="594">
        <f t="shared" si="0"/>
        <v>2</v>
      </c>
      <c r="H4" s="594">
        <f t="shared" si="0"/>
        <v>2</v>
      </c>
      <c r="I4" s="594">
        <f t="shared" si="0"/>
        <v>2</v>
      </c>
      <c r="J4" s="594">
        <f t="shared" si="0"/>
        <v>2</v>
      </c>
      <c r="K4" s="594">
        <f t="shared" si="0"/>
        <v>2</v>
      </c>
      <c r="L4" s="594">
        <f t="shared" si="0"/>
        <v>2</v>
      </c>
      <c r="M4" s="594">
        <f t="shared" si="0"/>
        <v>2</v>
      </c>
      <c r="N4" s="594">
        <f t="shared" si="0"/>
        <v>2</v>
      </c>
      <c r="O4" s="594">
        <f t="shared" si="0"/>
        <v>2</v>
      </c>
      <c r="P4" s="595"/>
      <c r="Q4" s="594">
        <f>Q5</f>
        <v>2</v>
      </c>
      <c r="R4" s="594">
        <f t="shared" ref="R4:AC6" si="1">R5</f>
        <v>2</v>
      </c>
      <c r="S4" s="594">
        <f t="shared" si="1"/>
        <v>2</v>
      </c>
      <c r="T4" s="594">
        <f t="shared" si="1"/>
        <v>2</v>
      </c>
      <c r="U4" s="594">
        <f t="shared" si="1"/>
        <v>2</v>
      </c>
      <c r="V4" s="594">
        <f t="shared" si="1"/>
        <v>2</v>
      </c>
      <c r="W4" s="594">
        <f t="shared" si="1"/>
        <v>3</v>
      </c>
      <c r="X4" s="594">
        <f t="shared" si="1"/>
        <v>3</v>
      </c>
      <c r="Y4" s="594">
        <f t="shared" si="1"/>
        <v>6</v>
      </c>
      <c r="Z4" s="594">
        <f t="shared" si="1"/>
        <v>18</v>
      </c>
      <c r="AA4" s="594">
        <f t="shared" si="1"/>
        <v>21</v>
      </c>
      <c r="AB4" s="594">
        <f t="shared" si="1"/>
        <v>36</v>
      </c>
      <c r="AC4" s="594">
        <f t="shared" si="1"/>
        <v>36</v>
      </c>
      <c r="AD4" s="595"/>
      <c r="AE4" s="594">
        <f>AE5</f>
        <v>0</v>
      </c>
      <c r="AF4" s="594">
        <f t="shared" ref="AF4:AQ6" si="2">AF5</f>
        <v>0</v>
      </c>
      <c r="AG4" s="594">
        <f t="shared" si="2"/>
        <v>0</v>
      </c>
      <c r="AH4" s="594">
        <f t="shared" si="2"/>
        <v>0</v>
      </c>
      <c r="AI4" s="594">
        <f t="shared" si="2"/>
        <v>0</v>
      </c>
      <c r="AJ4" s="594">
        <f t="shared" si="2"/>
        <v>0</v>
      </c>
      <c r="AK4" s="594">
        <f t="shared" si="2"/>
        <v>0</v>
      </c>
      <c r="AL4" s="594">
        <f t="shared" si="2"/>
        <v>0</v>
      </c>
      <c r="AM4" s="594">
        <f t="shared" si="2"/>
        <v>0</v>
      </c>
      <c r="AN4" s="594">
        <f t="shared" si="2"/>
        <v>0</v>
      </c>
      <c r="AO4" s="594">
        <f t="shared" si="2"/>
        <v>0</v>
      </c>
      <c r="AP4" s="594">
        <f t="shared" si="2"/>
        <v>0</v>
      </c>
      <c r="AQ4" s="594">
        <f t="shared" si="2"/>
        <v>0</v>
      </c>
      <c r="AR4" s="595"/>
      <c r="AS4" s="594">
        <f>AS5</f>
        <v>83</v>
      </c>
      <c r="AT4" s="594">
        <f t="shared" ref="AT4:BE6" si="3">AT5</f>
        <v>90</v>
      </c>
      <c r="AU4" s="594">
        <f t="shared" si="3"/>
        <v>102</v>
      </c>
      <c r="AV4" s="594">
        <f t="shared" si="3"/>
        <v>108</v>
      </c>
      <c r="AW4" s="594">
        <f t="shared" si="3"/>
        <v>112</v>
      </c>
      <c r="AX4" s="594">
        <f t="shared" si="3"/>
        <v>122</v>
      </c>
      <c r="AY4" s="594">
        <f t="shared" si="3"/>
        <v>142</v>
      </c>
      <c r="AZ4" s="594">
        <f t="shared" si="3"/>
        <v>152</v>
      </c>
      <c r="BA4" s="594">
        <f t="shared" si="3"/>
        <v>162</v>
      </c>
      <c r="BB4" s="594">
        <f t="shared" si="3"/>
        <v>187</v>
      </c>
      <c r="BC4" s="594">
        <f t="shared" si="3"/>
        <v>212</v>
      </c>
      <c r="BD4" s="594">
        <f t="shared" si="3"/>
        <v>242</v>
      </c>
      <c r="BE4" s="594">
        <f t="shared" si="3"/>
        <v>242</v>
      </c>
      <c r="BF4" s="595"/>
      <c r="BG4" s="594">
        <f>BG5</f>
        <v>1</v>
      </c>
      <c r="BH4" s="594">
        <f t="shared" ref="BH4:BS6" si="4">BH5</f>
        <v>1</v>
      </c>
      <c r="BI4" s="594">
        <f t="shared" si="4"/>
        <v>1</v>
      </c>
      <c r="BJ4" s="594">
        <f t="shared" si="4"/>
        <v>1</v>
      </c>
      <c r="BK4" s="594">
        <f t="shared" si="4"/>
        <v>1</v>
      </c>
      <c r="BL4" s="594">
        <f t="shared" si="4"/>
        <v>1</v>
      </c>
      <c r="BM4" s="594">
        <f t="shared" si="4"/>
        <v>1</v>
      </c>
      <c r="BN4" s="594">
        <f t="shared" si="4"/>
        <v>1</v>
      </c>
      <c r="BO4" s="594">
        <f t="shared" si="4"/>
        <v>1</v>
      </c>
      <c r="BP4" s="594">
        <f t="shared" si="4"/>
        <v>31</v>
      </c>
      <c r="BQ4" s="594">
        <f t="shared" si="4"/>
        <v>31</v>
      </c>
      <c r="BR4" s="594">
        <f t="shared" si="4"/>
        <v>31</v>
      </c>
      <c r="BS4" s="594">
        <f t="shared" si="4"/>
        <v>31</v>
      </c>
      <c r="BT4" s="596"/>
    </row>
    <row r="5" spans="1:72">
      <c r="A5" s="597"/>
      <c r="B5" s="598" t="s">
        <v>203</v>
      </c>
      <c r="C5" s="599">
        <f>C6</f>
        <v>2</v>
      </c>
      <c r="D5" s="599">
        <f t="shared" si="0"/>
        <v>2</v>
      </c>
      <c r="E5" s="599">
        <f t="shared" si="0"/>
        <v>2</v>
      </c>
      <c r="F5" s="599">
        <f t="shared" si="0"/>
        <v>2</v>
      </c>
      <c r="G5" s="599">
        <f t="shared" si="0"/>
        <v>2</v>
      </c>
      <c r="H5" s="599">
        <f t="shared" si="0"/>
        <v>2</v>
      </c>
      <c r="I5" s="599">
        <f t="shared" si="0"/>
        <v>2</v>
      </c>
      <c r="J5" s="599">
        <f t="shared" si="0"/>
        <v>2</v>
      </c>
      <c r="K5" s="599">
        <f t="shared" si="0"/>
        <v>2</v>
      </c>
      <c r="L5" s="599">
        <f t="shared" si="0"/>
        <v>2</v>
      </c>
      <c r="M5" s="599">
        <f t="shared" si="0"/>
        <v>2</v>
      </c>
      <c r="N5" s="599">
        <f t="shared" si="0"/>
        <v>2</v>
      </c>
      <c r="O5" s="599">
        <f t="shared" si="0"/>
        <v>2</v>
      </c>
      <c r="P5" s="600"/>
      <c r="Q5" s="599">
        <f>Q6</f>
        <v>2</v>
      </c>
      <c r="R5" s="599">
        <f t="shared" si="1"/>
        <v>2</v>
      </c>
      <c r="S5" s="599">
        <f t="shared" si="1"/>
        <v>2</v>
      </c>
      <c r="T5" s="599">
        <f t="shared" si="1"/>
        <v>2</v>
      </c>
      <c r="U5" s="599">
        <f t="shared" si="1"/>
        <v>2</v>
      </c>
      <c r="V5" s="599">
        <f t="shared" si="1"/>
        <v>2</v>
      </c>
      <c r="W5" s="599">
        <f t="shared" si="1"/>
        <v>3</v>
      </c>
      <c r="X5" s="599">
        <f t="shared" si="1"/>
        <v>3</v>
      </c>
      <c r="Y5" s="599">
        <f t="shared" si="1"/>
        <v>6</v>
      </c>
      <c r="Z5" s="599">
        <f t="shared" si="1"/>
        <v>18</v>
      </c>
      <c r="AA5" s="599">
        <f t="shared" si="1"/>
        <v>21</v>
      </c>
      <c r="AB5" s="599">
        <f t="shared" si="1"/>
        <v>36</v>
      </c>
      <c r="AC5" s="599">
        <f t="shared" si="1"/>
        <v>36</v>
      </c>
      <c r="AD5" s="600"/>
      <c r="AE5" s="599">
        <f>AE6</f>
        <v>0</v>
      </c>
      <c r="AF5" s="599">
        <f t="shared" si="2"/>
        <v>0</v>
      </c>
      <c r="AG5" s="599">
        <f t="shared" si="2"/>
        <v>0</v>
      </c>
      <c r="AH5" s="599">
        <f t="shared" si="2"/>
        <v>0</v>
      </c>
      <c r="AI5" s="599">
        <f t="shared" si="2"/>
        <v>0</v>
      </c>
      <c r="AJ5" s="599">
        <f t="shared" si="2"/>
        <v>0</v>
      </c>
      <c r="AK5" s="599">
        <f t="shared" si="2"/>
        <v>0</v>
      </c>
      <c r="AL5" s="599">
        <f t="shared" si="2"/>
        <v>0</v>
      </c>
      <c r="AM5" s="599">
        <f t="shared" si="2"/>
        <v>0</v>
      </c>
      <c r="AN5" s="599">
        <f t="shared" si="2"/>
        <v>0</v>
      </c>
      <c r="AO5" s="599">
        <f t="shared" si="2"/>
        <v>0</v>
      </c>
      <c r="AP5" s="599">
        <f t="shared" si="2"/>
        <v>0</v>
      </c>
      <c r="AQ5" s="599">
        <f t="shared" si="2"/>
        <v>0</v>
      </c>
      <c r="AR5" s="600"/>
      <c r="AS5" s="599">
        <f>AS6</f>
        <v>83</v>
      </c>
      <c r="AT5" s="599">
        <f t="shared" si="3"/>
        <v>90</v>
      </c>
      <c r="AU5" s="599">
        <f t="shared" si="3"/>
        <v>102</v>
      </c>
      <c r="AV5" s="599">
        <f t="shared" si="3"/>
        <v>108</v>
      </c>
      <c r="AW5" s="599">
        <f t="shared" si="3"/>
        <v>112</v>
      </c>
      <c r="AX5" s="599">
        <f t="shared" si="3"/>
        <v>122</v>
      </c>
      <c r="AY5" s="599">
        <f t="shared" si="3"/>
        <v>142</v>
      </c>
      <c r="AZ5" s="599">
        <f t="shared" si="3"/>
        <v>152</v>
      </c>
      <c r="BA5" s="599">
        <f t="shared" si="3"/>
        <v>162</v>
      </c>
      <c r="BB5" s="599">
        <f t="shared" si="3"/>
        <v>187</v>
      </c>
      <c r="BC5" s="599">
        <f t="shared" si="3"/>
        <v>212</v>
      </c>
      <c r="BD5" s="599">
        <f t="shared" si="3"/>
        <v>242</v>
      </c>
      <c r="BE5" s="599">
        <f t="shared" si="3"/>
        <v>242</v>
      </c>
      <c r="BF5" s="600"/>
      <c r="BG5" s="599">
        <f>BG6</f>
        <v>1</v>
      </c>
      <c r="BH5" s="599">
        <f t="shared" si="4"/>
        <v>1</v>
      </c>
      <c r="BI5" s="599">
        <f t="shared" si="4"/>
        <v>1</v>
      </c>
      <c r="BJ5" s="599">
        <f t="shared" si="4"/>
        <v>1</v>
      </c>
      <c r="BK5" s="599">
        <f t="shared" si="4"/>
        <v>1</v>
      </c>
      <c r="BL5" s="599">
        <f t="shared" si="4"/>
        <v>1</v>
      </c>
      <c r="BM5" s="599">
        <f t="shared" si="4"/>
        <v>1</v>
      </c>
      <c r="BN5" s="599">
        <f t="shared" si="4"/>
        <v>1</v>
      </c>
      <c r="BO5" s="599">
        <f t="shared" si="4"/>
        <v>1</v>
      </c>
      <c r="BP5" s="599">
        <f t="shared" si="4"/>
        <v>31</v>
      </c>
      <c r="BQ5" s="599">
        <f t="shared" si="4"/>
        <v>31</v>
      </c>
      <c r="BR5" s="599">
        <f t="shared" si="4"/>
        <v>31</v>
      </c>
      <c r="BS5" s="599">
        <f t="shared" si="4"/>
        <v>31</v>
      </c>
      <c r="BT5" s="597"/>
    </row>
    <row r="6" spans="1:72">
      <c r="A6" s="597"/>
      <c r="B6" s="601" t="s">
        <v>204</v>
      </c>
      <c r="C6" s="602">
        <f>C7</f>
        <v>2</v>
      </c>
      <c r="D6" s="602">
        <f t="shared" si="0"/>
        <v>2</v>
      </c>
      <c r="E6" s="602">
        <f t="shared" si="0"/>
        <v>2</v>
      </c>
      <c r="F6" s="602">
        <f t="shared" si="0"/>
        <v>2</v>
      </c>
      <c r="G6" s="602">
        <f t="shared" si="0"/>
        <v>2</v>
      </c>
      <c r="H6" s="602">
        <f t="shared" si="0"/>
        <v>2</v>
      </c>
      <c r="I6" s="602">
        <f t="shared" si="0"/>
        <v>2</v>
      </c>
      <c r="J6" s="602">
        <f t="shared" si="0"/>
        <v>2</v>
      </c>
      <c r="K6" s="602">
        <f t="shared" si="0"/>
        <v>2</v>
      </c>
      <c r="L6" s="602">
        <f t="shared" si="0"/>
        <v>2</v>
      </c>
      <c r="M6" s="602">
        <f t="shared" si="0"/>
        <v>2</v>
      </c>
      <c r="N6" s="602">
        <f t="shared" si="0"/>
        <v>2</v>
      </c>
      <c r="O6" s="602">
        <f t="shared" si="0"/>
        <v>2</v>
      </c>
      <c r="P6" s="600"/>
      <c r="Q6" s="602">
        <f>Q7</f>
        <v>2</v>
      </c>
      <c r="R6" s="602">
        <f t="shared" si="1"/>
        <v>2</v>
      </c>
      <c r="S6" s="602">
        <f t="shared" si="1"/>
        <v>2</v>
      </c>
      <c r="T6" s="602">
        <f t="shared" si="1"/>
        <v>2</v>
      </c>
      <c r="U6" s="602">
        <f t="shared" si="1"/>
        <v>2</v>
      </c>
      <c r="V6" s="602">
        <f t="shared" si="1"/>
        <v>2</v>
      </c>
      <c r="W6" s="602">
        <f t="shared" si="1"/>
        <v>3</v>
      </c>
      <c r="X6" s="602">
        <f t="shared" si="1"/>
        <v>3</v>
      </c>
      <c r="Y6" s="602">
        <f t="shared" si="1"/>
        <v>6</v>
      </c>
      <c r="Z6" s="602">
        <f t="shared" si="1"/>
        <v>18</v>
      </c>
      <c r="AA6" s="602">
        <f t="shared" si="1"/>
        <v>21</v>
      </c>
      <c r="AB6" s="602">
        <f t="shared" si="1"/>
        <v>36</v>
      </c>
      <c r="AC6" s="602">
        <f t="shared" si="1"/>
        <v>36</v>
      </c>
      <c r="AD6" s="600"/>
      <c r="AE6" s="602">
        <f>AE7</f>
        <v>0</v>
      </c>
      <c r="AF6" s="602">
        <f t="shared" si="2"/>
        <v>0</v>
      </c>
      <c r="AG6" s="602">
        <f t="shared" si="2"/>
        <v>0</v>
      </c>
      <c r="AH6" s="602">
        <f t="shared" si="2"/>
        <v>0</v>
      </c>
      <c r="AI6" s="602">
        <f t="shared" si="2"/>
        <v>0</v>
      </c>
      <c r="AJ6" s="602">
        <f t="shared" si="2"/>
        <v>0</v>
      </c>
      <c r="AK6" s="602">
        <f t="shared" si="2"/>
        <v>0</v>
      </c>
      <c r="AL6" s="602">
        <f t="shared" si="2"/>
        <v>0</v>
      </c>
      <c r="AM6" s="602">
        <f t="shared" si="2"/>
        <v>0</v>
      </c>
      <c r="AN6" s="602">
        <f t="shared" si="2"/>
        <v>0</v>
      </c>
      <c r="AO6" s="602">
        <f t="shared" si="2"/>
        <v>0</v>
      </c>
      <c r="AP6" s="602">
        <f t="shared" si="2"/>
        <v>0</v>
      </c>
      <c r="AQ6" s="602">
        <f t="shared" si="2"/>
        <v>0</v>
      </c>
      <c r="AR6" s="600"/>
      <c r="AS6" s="602">
        <f>AS7</f>
        <v>83</v>
      </c>
      <c r="AT6" s="602">
        <f t="shared" si="3"/>
        <v>90</v>
      </c>
      <c r="AU6" s="602">
        <f t="shared" si="3"/>
        <v>102</v>
      </c>
      <c r="AV6" s="602">
        <f t="shared" si="3"/>
        <v>108</v>
      </c>
      <c r="AW6" s="602">
        <f t="shared" si="3"/>
        <v>112</v>
      </c>
      <c r="AX6" s="602">
        <f t="shared" si="3"/>
        <v>122</v>
      </c>
      <c r="AY6" s="602">
        <f t="shared" si="3"/>
        <v>142</v>
      </c>
      <c r="AZ6" s="602">
        <f t="shared" si="3"/>
        <v>152</v>
      </c>
      <c r="BA6" s="602">
        <f t="shared" si="3"/>
        <v>162</v>
      </c>
      <c r="BB6" s="602">
        <f t="shared" si="3"/>
        <v>187</v>
      </c>
      <c r="BC6" s="602">
        <f t="shared" si="3"/>
        <v>212</v>
      </c>
      <c r="BD6" s="602">
        <f t="shared" si="3"/>
        <v>242</v>
      </c>
      <c r="BE6" s="602">
        <f t="shared" si="3"/>
        <v>242</v>
      </c>
      <c r="BF6" s="600"/>
      <c r="BG6" s="602">
        <f>BG7</f>
        <v>1</v>
      </c>
      <c r="BH6" s="602">
        <f t="shared" si="4"/>
        <v>1</v>
      </c>
      <c r="BI6" s="602">
        <f t="shared" si="4"/>
        <v>1</v>
      </c>
      <c r="BJ6" s="602">
        <f t="shared" si="4"/>
        <v>1</v>
      </c>
      <c r="BK6" s="602">
        <f t="shared" si="4"/>
        <v>1</v>
      </c>
      <c r="BL6" s="602">
        <f t="shared" si="4"/>
        <v>1</v>
      </c>
      <c r="BM6" s="602">
        <f t="shared" si="4"/>
        <v>1</v>
      </c>
      <c r="BN6" s="602">
        <f t="shared" si="4"/>
        <v>1</v>
      </c>
      <c r="BO6" s="602">
        <f t="shared" si="4"/>
        <v>1</v>
      </c>
      <c r="BP6" s="602">
        <f t="shared" si="4"/>
        <v>31</v>
      </c>
      <c r="BQ6" s="602">
        <f t="shared" si="4"/>
        <v>31</v>
      </c>
      <c r="BR6" s="602">
        <f t="shared" si="4"/>
        <v>31</v>
      </c>
      <c r="BS6" s="602">
        <f t="shared" si="4"/>
        <v>31</v>
      </c>
      <c r="BT6" s="597"/>
    </row>
    <row r="7" spans="1:72">
      <c r="A7" s="597"/>
      <c r="B7" s="603" t="s">
        <v>205</v>
      </c>
      <c r="C7" s="604">
        <f t="shared" ref="C7:O7" si="5">C8+C10+C12</f>
        <v>2</v>
      </c>
      <c r="D7" s="604">
        <f t="shared" si="5"/>
        <v>2</v>
      </c>
      <c r="E7" s="604">
        <f t="shared" si="5"/>
        <v>2</v>
      </c>
      <c r="F7" s="604">
        <f t="shared" si="5"/>
        <v>2</v>
      </c>
      <c r="G7" s="604">
        <f t="shared" si="5"/>
        <v>2</v>
      </c>
      <c r="H7" s="604">
        <f t="shared" si="5"/>
        <v>2</v>
      </c>
      <c r="I7" s="604">
        <f t="shared" si="5"/>
        <v>2</v>
      </c>
      <c r="J7" s="604">
        <f t="shared" si="5"/>
        <v>2</v>
      </c>
      <c r="K7" s="604">
        <f t="shared" si="5"/>
        <v>2</v>
      </c>
      <c r="L7" s="604">
        <f t="shared" si="5"/>
        <v>2</v>
      </c>
      <c r="M7" s="604">
        <f t="shared" si="5"/>
        <v>2</v>
      </c>
      <c r="N7" s="604">
        <f t="shared" si="5"/>
        <v>2</v>
      </c>
      <c r="O7" s="604">
        <f t="shared" si="5"/>
        <v>2</v>
      </c>
      <c r="P7" s="600"/>
      <c r="Q7" s="604">
        <f>Q8+Q10+Q12</f>
        <v>2</v>
      </c>
      <c r="R7" s="604">
        <f t="shared" ref="R7:AC7" si="6">R8+R10+R12</f>
        <v>2</v>
      </c>
      <c r="S7" s="604">
        <f t="shared" si="6"/>
        <v>2</v>
      </c>
      <c r="T7" s="604">
        <f t="shared" si="6"/>
        <v>2</v>
      </c>
      <c r="U7" s="604">
        <f t="shared" si="6"/>
        <v>2</v>
      </c>
      <c r="V7" s="604">
        <f t="shared" si="6"/>
        <v>2</v>
      </c>
      <c r="W7" s="604">
        <f t="shared" si="6"/>
        <v>3</v>
      </c>
      <c r="X7" s="604">
        <f t="shared" si="6"/>
        <v>3</v>
      </c>
      <c r="Y7" s="604">
        <f t="shared" si="6"/>
        <v>6</v>
      </c>
      <c r="Z7" s="604">
        <f t="shared" si="6"/>
        <v>18</v>
      </c>
      <c r="AA7" s="604">
        <f t="shared" si="6"/>
        <v>21</v>
      </c>
      <c r="AB7" s="604">
        <f t="shared" si="6"/>
        <v>36</v>
      </c>
      <c r="AC7" s="604">
        <f t="shared" si="6"/>
        <v>36</v>
      </c>
      <c r="AD7" s="600"/>
      <c r="AE7" s="604">
        <f>AE8+AE10+AE12</f>
        <v>0</v>
      </c>
      <c r="AF7" s="604">
        <f t="shared" ref="AF7:AQ7" si="7">AF8+AF10+AF12</f>
        <v>0</v>
      </c>
      <c r="AG7" s="604">
        <f t="shared" si="7"/>
        <v>0</v>
      </c>
      <c r="AH7" s="604">
        <f t="shared" si="7"/>
        <v>0</v>
      </c>
      <c r="AI7" s="604">
        <f t="shared" si="7"/>
        <v>0</v>
      </c>
      <c r="AJ7" s="604">
        <f t="shared" si="7"/>
        <v>0</v>
      </c>
      <c r="AK7" s="604">
        <f t="shared" si="7"/>
        <v>0</v>
      </c>
      <c r="AL7" s="604">
        <f t="shared" si="7"/>
        <v>0</v>
      </c>
      <c r="AM7" s="604">
        <f t="shared" si="7"/>
        <v>0</v>
      </c>
      <c r="AN7" s="604">
        <f t="shared" si="7"/>
        <v>0</v>
      </c>
      <c r="AO7" s="604">
        <f t="shared" si="7"/>
        <v>0</v>
      </c>
      <c r="AP7" s="604">
        <f t="shared" si="7"/>
        <v>0</v>
      </c>
      <c r="AQ7" s="604">
        <f t="shared" si="7"/>
        <v>0</v>
      </c>
      <c r="AR7" s="600"/>
      <c r="AS7" s="604">
        <f>AS8+AS10+AS12</f>
        <v>83</v>
      </c>
      <c r="AT7" s="604">
        <f t="shared" ref="AT7:BE7" si="8">AT8+AT10+AT12</f>
        <v>90</v>
      </c>
      <c r="AU7" s="604">
        <f t="shared" si="8"/>
        <v>102</v>
      </c>
      <c r="AV7" s="604">
        <f t="shared" si="8"/>
        <v>108</v>
      </c>
      <c r="AW7" s="604">
        <f t="shared" si="8"/>
        <v>112</v>
      </c>
      <c r="AX7" s="604">
        <f t="shared" si="8"/>
        <v>122</v>
      </c>
      <c r="AY7" s="604">
        <f t="shared" si="8"/>
        <v>142</v>
      </c>
      <c r="AZ7" s="604">
        <f t="shared" si="8"/>
        <v>152</v>
      </c>
      <c r="BA7" s="604">
        <f t="shared" si="8"/>
        <v>162</v>
      </c>
      <c r="BB7" s="604">
        <f t="shared" si="8"/>
        <v>187</v>
      </c>
      <c r="BC7" s="604">
        <f t="shared" si="8"/>
        <v>212</v>
      </c>
      <c r="BD7" s="604">
        <f t="shared" si="8"/>
        <v>242</v>
      </c>
      <c r="BE7" s="604">
        <f t="shared" si="8"/>
        <v>242</v>
      </c>
      <c r="BF7" s="600"/>
      <c r="BG7" s="604">
        <f>BG8+BG10+BG12</f>
        <v>1</v>
      </c>
      <c r="BH7" s="604">
        <f t="shared" ref="BH7:BS7" si="9">BH8+BH10+BH12</f>
        <v>1</v>
      </c>
      <c r="BI7" s="604">
        <f t="shared" si="9"/>
        <v>1</v>
      </c>
      <c r="BJ7" s="604">
        <f t="shared" si="9"/>
        <v>1</v>
      </c>
      <c r="BK7" s="604">
        <f t="shared" si="9"/>
        <v>1</v>
      </c>
      <c r="BL7" s="604">
        <f t="shared" si="9"/>
        <v>1</v>
      </c>
      <c r="BM7" s="604">
        <f t="shared" si="9"/>
        <v>1</v>
      </c>
      <c r="BN7" s="604">
        <f t="shared" si="9"/>
        <v>1</v>
      </c>
      <c r="BO7" s="604">
        <f t="shared" si="9"/>
        <v>1</v>
      </c>
      <c r="BP7" s="604">
        <f t="shared" si="9"/>
        <v>31</v>
      </c>
      <c r="BQ7" s="604">
        <f t="shared" si="9"/>
        <v>31</v>
      </c>
      <c r="BR7" s="604">
        <f t="shared" si="9"/>
        <v>31</v>
      </c>
      <c r="BS7" s="604">
        <f t="shared" si="9"/>
        <v>31</v>
      </c>
      <c r="BT7" s="597"/>
    </row>
    <row r="8" spans="1:72">
      <c r="A8" s="582"/>
      <c r="B8" s="605" t="s">
        <v>721</v>
      </c>
      <c r="C8" s="606">
        <f t="shared" ref="C8:O8" si="10">C9</f>
        <v>0</v>
      </c>
      <c r="D8" s="606">
        <f t="shared" si="10"/>
        <v>0</v>
      </c>
      <c r="E8" s="606">
        <f t="shared" si="10"/>
        <v>0</v>
      </c>
      <c r="F8" s="606">
        <f t="shared" si="10"/>
        <v>0</v>
      </c>
      <c r="G8" s="606">
        <f t="shared" si="10"/>
        <v>0</v>
      </c>
      <c r="H8" s="606">
        <f t="shared" si="10"/>
        <v>0</v>
      </c>
      <c r="I8" s="606">
        <f t="shared" si="10"/>
        <v>0</v>
      </c>
      <c r="J8" s="606">
        <f t="shared" si="10"/>
        <v>0</v>
      </c>
      <c r="K8" s="606">
        <f t="shared" si="10"/>
        <v>0</v>
      </c>
      <c r="L8" s="606">
        <f t="shared" si="10"/>
        <v>0</v>
      </c>
      <c r="M8" s="606">
        <f t="shared" si="10"/>
        <v>0</v>
      </c>
      <c r="N8" s="606">
        <f t="shared" si="10"/>
        <v>0</v>
      </c>
      <c r="O8" s="606">
        <f t="shared" si="10"/>
        <v>0</v>
      </c>
      <c r="P8" s="607"/>
      <c r="Q8" s="606">
        <f>Q9</f>
        <v>0</v>
      </c>
      <c r="R8" s="606">
        <f t="shared" ref="R8:AC10" si="11">R9</f>
        <v>0</v>
      </c>
      <c r="S8" s="606">
        <f t="shared" si="11"/>
        <v>0</v>
      </c>
      <c r="T8" s="606">
        <f t="shared" si="11"/>
        <v>0</v>
      </c>
      <c r="U8" s="606">
        <f t="shared" si="11"/>
        <v>0</v>
      </c>
      <c r="V8" s="606">
        <f t="shared" si="11"/>
        <v>0</v>
      </c>
      <c r="W8" s="606">
        <f t="shared" si="11"/>
        <v>0</v>
      </c>
      <c r="X8" s="606">
        <f t="shared" si="11"/>
        <v>0</v>
      </c>
      <c r="Y8" s="606">
        <f t="shared" si="11"/>
        <v>0</v>
      </c>
      <c r="Z8" s="606">
        <f t="shared" si="11"/>
        <v>0</v>
      </c>
      <c r="AA8" s="606">
        <f t="shared" si="11"/>
        <v>0</v>
      </c>
      <c r="AB8" s="606">
        <f t="shared" si="11"/>
        <v>11</v>
      </c>
      <c r="AC8" s="606">
        <f t="shared" si="11"/>
        <v>11</v>
      </c>
      <c r="AD8" s="607"/>
      <c r="AE8" s="606">
        <f>AE9</f>
        <v>0</v>
      </c>
      <c r="AF8" s="606">
        <f t="shared" ref="AF8:AQ8" si="12">AF9</f>
        <v>0</v>
      </c>
      <c r="AG8" s="606">
        <f t="shared" si="12"/>
        <v>0</v>
      </c>
      <c r="AH8" s="606">
        <f t="shared" si="12"/>
        <v>0</v>
      </c>
      <c r="AI8" s="606">
        <f t="shared" si="12"/>
        <v>0</v>
      </c>
      <c r="AJ8" s="606">
        <f t="shared" si="12"/>
        <v>0</v>
      </c>
      <c r="AK8" s="606">
        <f t="shared" si="12"/>
        <v>0</v>
      </c>
      <c r="AL8" s="606">
        <f t="shared" si="12"/>
        <v>0</v>
      </c>
      <c r="AM8" s="606">
        <f t="shared" si="12"/>
        <v>0</v>
      </c>
      <c r="AN8" s="606">
        <f t="shared" si="12"/>
        <v>0</v>
      </c>
      <c r="AO8" s="606">
        <f t="shared" si="12"/>
        <v>0</v>
      </c>
      <c r="AP8" s="606">
        <f t="shared" si="12"/>
        <v>0</v>
      </c>
      <c r="AQ8" s="606">
        <f t="shared" si="12"/>
        <v>0</v>
      </c>
      <c r="AR8" s="607"/>
      <c r="AS8" s="606">
        <f>AS9</f>
        <v>50</v>
      </c>
      <c r="AT8" s="606">
        <f t="shared" ref="AT8:BE8" si="13">AT9</f>
        <v>57</v>
      </c>
      <c r="AU8" s="606">
        <f t="shared" si="13"/>
        <v>69</v>
      </c>
      <c r="AV8" s="606">
        <f t="shared" si="13"/>
        <v>75</v>
      </c>
      <c r="AW8" s="606">
        <f t="shared" si="13"/>
        <v>79</v>
      </c>
      <c r="AX8" s="606">
        <f t="shared" si="13"/>
        <v>89</v>
      </c>
      <c r="AY8" s="606">
        <f t="shared" si="13"/>
        <v>109</v>
      </c>
      <c r="AZ8" s="606">
        <f t="shared" si="13"/>
        <v>119</v>
      </c>
      <c r="BA8" s="606">
        <f t="shared" si="13"/>
        <v>129</v>
      </c>
      <c r="BB8" s="606">
        <f t="shared" si="13"/>
        <v>154</v>
      </c>
      <c r="BC8" s="606">
        <f t="shared" si="13"/>
        <v>179</v>
      </c>
      <c r="BD8" s="606">
        <f t="shared" si="13"/>
        <v>209</v>
      </c>
      <c r="BE8" s="606">
        <f t="shared" si="13"/>
        <v>209</v>
      </c>
      <c r="BF8" s="607"/>
      <c r="BG8" s="606">
        <f>BG9</f>
        <v>0</v>
      </c>
      <c r="BH8" s="606">
        <f t="shared" ref="BH8:BS8" si="14">BH9</f>
        <v>0</v>
      </c>
      <c r="BI8" s="606">
        <f t="shared" si="14"/>
        <v>0</v>
      </c>
      <c r="BJ8" s="606">
        <f t="shared" si="14"/>
        <v>0</v>
      </c>
      <c r="BK8" s="606">
        <f t="shared" si="14"/>
        <v>0</v>
      </c>
      <c r="BL8" s="606">
        <f t="shared" si="14"/>
        <v>0</v>
      </c>
      <c r="BM8" s="606">
        <f t="shared" si="14"/>
        <v>0</v>
      </c>
      <c r="BN8" s="606">
        <f t="shared" si="14"/>
        <v>0</v>
      </c>
      <c r="BO8" s="606">
        <f t="shared" si="14"/>
        <v>0</v>
      </c>
      <c r="BP8" s="606">
        <f t="shared" si="14"/>
        <v>30</v>
      </c>
      <c r="BQ8" s="606">
        <f t="shared" si="14"/>
        <v>30</v>
      </c>
      <c r="BR8" s="606">
        <f t="shared" si="14"/>
        <v>30</v>
      </c>
      <c r="BS8" s="606">
        <f t="shared" si="14"/>
        <v>30</v>
      </c>
      <c r="BT8" s="582"/>
    </row>
    <row r="9" spans="1:72">
      <c r="A9" s="608" t="s">
        <v>955</v>
      </c>
      <c r="B9" s="609" t="s">
        <v>1146</v>
      </c>
      <c r="C9" s="606">
        <v>0</v>
      </c>
      <c r="D9" s="606">
        <v>0</v>
      </c>
      <c r="E9" s="606">
        <v>0</v>
      </c>
      <c r="F9" s="606">
        <v>0</v>
      </c>
      <c r="G9" s="606">
        <v>0</v>
      </c>
      <c r="H9" s="606">
        <v>0</v>
      </c>
      <c r="I9" s="606">
        <v>0</v>
      </c>
      <c r="J9" s="606">
        <v>0</v>
      </c>
      <c r="K9" s="606">
        <v>0</v>
      </c>
      <c r="L9" s="606">
        <v>0</v>
      </c>
      <c r="M9" s="606">
        <v>0</v>
      </c>
      <c r="N9" s="606">
        <v>0</v>
      </c>
      <c r="O9" s="606">
        <v>0</v>
      </c>
      <c r="P9" s="607"/>
      <c r="Q9" s="606">
        <v>0</v>
      </c>
      <c r="R9" s="606">
        <v>0</v>
      </c>
      <c r="S9" s="606">
        <v>0</v>
      </c>
      <c r="T9" s="606">
        <v>0</v>
      </c>
      <c r="U9" s="606">
        <v>0</v>
      </c>
      <c r="V9" s="606">
        <v>0</v>
      </c>
      <c r="W9" s="606">
        <v>0</v>
      </c>
      <c r="X9" s="606">
        <v>0</v>
      </c>
      <c r="Y9" s="606">
        <v>0</v>
      </c>
      <c r="Z9" s="610">
        <v>0</v>
      </c>
      <c r="AA9" s="610">
        <v>0</v>
      </c>
      <c r="AB9" s="610">
        <v>11</v>
      </c>
      <c r="AC9" s="606">
        <f>AB9</f>
        <v>11</v>
      </c>
      <c r="AD9" s="607"/>
      <c r="AE9" s="610">
        <v>0</v>
      </c>
      <c r="AF9" s="610">
        <v>0</v>
      </c>
      <c r="AG9" s="610">
        <v>0</v>
      </c>
      <c r="AH9" s="610">
        <v>0</v>
      </c>
      <c r="AI9" s="610">
        <v>0</v>
      </c>
      <c r="AJ9" s="610">
        <v>0</v>
      </c>
      <c r="AK9" s="610">
        <v>0</v>
      </c>
      <c r="AL9" s="610">
        <v>0</v>
      </c>
      <c r="AM9" s="610">
        <v>0</v>
      </c>
      <c r="AN9" s="610">
        <v>0</v>
      </c>
      <c r="AO9" s="610">
        <v>0</v>
      </c>
      <c r="AP9" s="610">
        <v>0</v>
      </c>
      <c r="AQ9" s="606">
        <v>0</v>
      </c>
      <c r="AR9" s="607"/>
      <c r="AS9" s="610">
        <v>50</v>
      </c>
      <c r="AT9" s="610">
        <v>57</v>
      </c>
      <c r="AU9" s="610">
        <v>69</v>
      </c>
      <c r="AV9" s="610">
        <v>75</v>
      </c>
      <c r="AW9" s="610">
        <v>79</v>
      </c>
      <c r="AX9" s="610">
        <v>89</v>
      </c>
      <c r="AY9" s="610">
        <v>109</v>
      </c>
      <c r="AZ9" s="610">
        <v>119</v>
      </c>
      <c r="BA9" s="610">
        <v>129</v>
      </c>
      <c r="BB9" s="610">
        <v>154</v>
      </c>
      <c r="BC9" s="610">
        <v>179</v>
      </c>
      <c r="BD9" s="610">
        <v>209</v>
      </c>
      <c r="BE9" s="606">
        <v>209</v>
      </c>
      <c r="BF9" s="607"/>
      <c r="BG9" s="606">
        <v>0</v>
      </c>
      <c r="BH9" s="606">
        <v>0</v>
      </c>
      <c r="BI9" s="606">
        <v>0</v>
      </c>
      <c r="BJ9" s="606">
        <v>0</v>
      </c>
      <c r="BK9" s="606">
        <v>0</v>
      </c>
      <c r="BL9" s="606">
        <v>0</v>
      </c>
      <c r="BM9" s="606">
        <v>0</v>
      </c>
      <c r="BN9" s="606">
        <v>0</v>
      </c>
      <c r="BO9" s="606">
        <v>0</v>
      </c>
      <c r="BP9" s="606">
        <v>30</v>
      </c>
      <c r="BQ9" s="606">
        <v>30</v>
      </c>
      <c r="BR9" s="606">
        <v>30</v>
      </c>
      <c r="BS9" s="606">
        <f>BR9</f>
        <v>30</v>
      </c>
      <c r="BT9" s="582"/>
    </row>
    <row r="10" spans="1:72">
      <c r="A10" s="582"/>
      <c r="B10" s="605" t="s">
        <v>206</v>
      </c>
      <c r="C10" s="606">
        <f t="shared" ref="C10:O10" si="15">C11</f>
        <v>1</v>
      </c>
      <c r="D10" s="606">
        <f t="shared" si="15"/>
        <v>1</v>
      </c>
      <c r="E10" s="606">
        <f t="shared" si="15"/>
        <v>1</v>
      </c>
      <c r="F10" s="606">
        <f t="shared" si="15"/>
        <v>1</v>
      </c>
      <c r="G10" s="606">
        <f t="shared" si="15"/>
        <v>1</v>
      </c>
      <c r="H10" s="606">
        <f t="shared" si="15"/>
        <v>1</v>
      </c>
      <c r="I10" s="606">
        <f t="shared" si="15"/>
        <v>1</v>
      </c>
      <c r="J10" s="606">
        <f t="shared" si="15"/>
        <v>1</v>
      </c>
      <c r="K10" s="606">
        <f t="shared" si="15"/>
        <v>1</v>
      </c>
      <c r="L10" s="606">
        <f t="shared" si="15"/>
        <v>1</v>
      </c>
      <c r="M10" s="606">
        <f t="shared" si="15"/>
        <v>1</v>
      </c>
      <c r="N10" s="606">
        <f t="shared" si="15"/>
        <v>1</v>
      </c>
      <c r="O10" s="606">
        <f t="shared" si="15"/>
        <v>1</v>
      </c>
      <c r="P10" s="607"/>
      <c r="Q10" s="606">
        <f>Q11</f>
        <v>1</v>
      </c>
      <c r="R10" s="606">
        <f t="shared" si="11"/>
        <v>1</v>
      </c>
      <c r="S10" s="606">
        <f t="shared" si="11"/>
        <v>1</v>
      </c>
      <c r="T10" s="606">
        <f t="shared" si="11"/>
        <v>1</v>
      </c>
      <c r="U10" s="606">
        <f t="shared" si="11"/>
        <v>1</v>
      </c>
      <c r="V10" s="606">
        <f t="shared" si="11"/>
        <v>1</v>
      </c>
      <c r="W10" s="606">
        <f t="shared" si="11"/>
        <v>1</v>
      </c>
      <c r="X10" s="606">
        <f t="shared" si="11"/>
        <v>1</v>
      </c>
      <c r="Y10" s="606">
        <f t="shared" si="11"/>
        <v>0</v>
      </c>
      <c r="Z10" s="606">
        <f t="shared" si="11"/>
        <v>0</v>
      </c>
      <c r="AA10" s="606">
        <f t="shared" si="11"/>
        <v>0</v>
      </c>
      <c r="AB10" s="606">
        <f t="shared" si="11"/>
        <v>3</v>
      </c>
      <c r="AC10" s="606">
        <f t="shared" si="11"/>
        <v>3</v>
      </c>
      <c r="AD10" s="607"/>
      <c r="AE10" s="606">
        <f t="shared" ref="AE10:AQ10" si="16">AE11</f>
        <v>0</v>
      </c>
      <c r="AF10" s="606">
        <f t="shared" si="16"/>
        <v>0</v>
      </c>
      <c r="AG10" s="606">
        <f t="shared" si="16"/>
        <v>0</v>
      </c>
      <c r="AH10" s="606">
        <f t="shared" si="16"/>
        <v>0</v>
      </c>
      <c r="AI10" s="606">
        <f t="shared" si="16"/>
        <v>0</v>
      </c>
      <c r="AJ10" s="606">
        <f t="shared" si="16"/>
        <v>0</v>
      </c>
      <c r="AK10" s="606">
        <f t="shared" si="16"/>
        <v>0</v>
      </c>
      <c r="AL10" s="606">
        <f t="shared" si="16"/>
        <v>0</v>
      </c>
      <c r="AM10" s="606">
        <f t="shared" si="16"/>
        <v>0</v>
      </c>
      <c r="AN10" s="606">
        <f t="shared" si="16"/>
        <v>0</v>
      </c>
      <c r="AO10" s="606">
        <f t="shared" si="16"/>
        <v>0</v>
      </c>
      <c r="AP10" s="606">
        <f t="shared" si="16"/>
        <v>0</v>
      </c>
      <c r="AQ10" s="606">
        <f t="shared" si="16"/>
        <v>0</v>
      </c>
      <c r="AR10" s="607"/>
      <c r="AS10" s="606">
        <f t="shared" ref="AS10:BE10" si="17">AS11</f>
        <v>8</v>
      </c>
      <c r="AT10" s="606">
        <f t="shared" si="17"/>
        <v>8</v>
      </c>
      <c r="AU10" s="606">
        <f t="shared" si="17"/>
        <v>8</v>
      </c>
      <c r="AV10" s="606">
        <f t="shared" si="17"/>
        <v>8</v>
      </c>
      <c r="AW10" s="606">
        <f t="shared" si="17"/>
        <v>8</v>
      </c>
      <c r="AX10" s="606">
        <f t="shared" si="17"/>
        <v>8</v>
      </c>
      <c r="AY10" s="606">
        <f t="shared" si="17"/>
        <v>8</v>
      </c>
      <c r="AZ10" s="606">
        <f t="shared" si="17"/>
        <v>8</v>
      </c>
      <c r="BA10" s="606">
        <f t="shared" si="17"/>
        <v>8</v>
      </c>
      <c r="BB10" s="606">
        <f t="shared" si="17"/>
        <v>8</v>
      </c>
      <c r="BC10" s="606">
        <f t="shared" si="17"/>
        <v>8</v>
      </c>
      <c r="BD10" s="606">
        <f t="shared" si="17"/>
        <v>8</v>
      </c>
      <c r="BE10" s="606">
        <f t="shared" si="17"/>
        <v>8</v>
      </c>
      <c r="BF10" s="607"/>
      <c r="BG10" s="606">
        <f t="shared" ref="BG10:BS10" si="18">BG11</f>
        <v>0</v>
      </c>
      <c r="BH10" s="606">
        <f t="shared" si="18"/>
        <v>0</v>
      </c>
      <c r="BI10" s="606">
        <f t="shared" si="18"/>
        <v>0</v>
      </c>
      <c r="BJ10" s="606">
        <f t="shared" si="18"/>
        <v>0</v>
      </c>
      <c r="BK10" s="606">
        <f t="shared" si="18"/>
        <v>0</v>
      </c>
      <c r="BL10" s="606">
        <f t="shared" si="18"/>
        <v>0</v>
      </c>
      <c r="BM10" s="606">
        <f t="shared" si="18"/>
        <v>0</v>
      </c>
      <c r="BN10" s="606">
        <f t="shared" si="18"/>
        <v>0</v>
      </c>
      <c r="BO10" s="606">
        <f t="shared" si="18"/>
        <v>0</v>
      </c>
      <c r="BP10" s="606">
        <f t="shared" si="18"/>
        <v>0</v>
      </c>
      <c r="BQ10" s="606">
        <f t="shared" si="18"/>
        <v>0</v>
      </c>
      <c r="BR10" s="606">
        <f t="shared" si="18"/>
        <v>0</v>
      </c>
      <c r="BS10" s="606">
        <f t="shared" si="18"/>
        <v>0</v>
      </c>
      <c r="BT10" s="582"/>
    </row>
    <row r="11" spans="1:72">
      <c r="A11" s="608" t="s">
        <v>1147</v>
      </c>
      <c r="B11" s="609" t="s">
        <v>1147</v>
      </c>
      <c r="C11" s="606">
        <v>1</v>
      </c>
      <c r="D11" s="606">
        <v>1</v>
      </c>
      <c r="E11" s="606">
        <v>1</v>
      </c>
      <c r="F11" s="606">
        <v>1</v>
      </c>
      <c r="G11" s="606">
        <v>1</v>
      </c>
      <c r="H11" s="606">
        <v>1</v>
      </c>
      <c r="I11" s="606">
        <v>1</v>
      </c>
      <c r="J11" s="606">
        <v>1</v>
      </c>
      <c r="K11" s="606">
        <v>1</v>
      </c>
      <c r="L11" s="606">
        <v>1</v>
      </c>
      <c r="M11" s="606">
        <v>1</v>
      </c>
      <c r="N11" s="606">
        <v>1</v>
      </c>
      <c r="O11" s="606">
        <v>1</v>
      </c>
      <c r="P11" s="607"/>
      <c r="Q11" s="606">
        <v>1</v>
      </c>
      <c r="R11" s="606">
        <v>1</v>
      </c>
      <c r="S11" s="606">
        <v>1</v>
      </c>
      <c r="T11" s="606">
        <v>1</v>
      </c>
      <c r="U11" s="606">
        <v>1</v>
      </c>
      <c r="V11" s="606">
        <v>1</v>
      </c>
      <c r="W11" s="606">
        <v>1</v>
      </c>
      <c r="X11" s="606">
        <v>1</v>
      </c>
      <c r="Y11" s="606">
        <v>0</v>
      </c>
      <c r="Z11" s="610">
        <v>0</v>
      </c>
      <c r="AA11" s="610">
        <v>0</v>
      </c>
      <c r="AB11" s="610">
        <v>3</v>
      </c>
      <c r="AC11" s="606">
        <f>AB11</f>
        <v>3</v>
      </c>
      <c r="AD11" s="607"/>
      <c r="AE11" s="610">
        <v>0</v>
      </c>
      <c r="AF11" s="610">
        <v>0</v>
      </c>
      <c r="AG11" s="610">
        <v>0</v>
      </c>
      <c r="AH11" s="610">
        <v>0</v>
      </c>
      <c r="AI11" s="610">
        <v>0</v>
      </c>
      <c r="AJ11" s="610">
        <v>0</v>
      </c>
      <c r="AK11" s="610">
        <v>0</v>
      </c>
      <c r="AL11" s="610">
        <v>0</v>
      </c>
      <c r="AM11" s="610">
        <v>0</v>
      </c>
      <c r="AN11" s="610">
        <v>0</v>
      </c>
      <c r="AO11" s="610">
        <v>0</v>
      </c>
      <c r="AP11" s="610">
        <v>0</v>
      </c>
      <c r="AQ11" s="606">
        <v>0</v>
      </c>
      <c r="AR11" s="607"/>
      <c r="AS11" s="610">
        <v>8</v>
      </c>
      <c r="AT11" s="610">
        <v>8</v>
      </c>
      <c r="AU11" s="610">
        <v>8</v>
      </c>
      <c r="AV11" s="610">
        <v>8</v>
      </c>
      <c r="AW11" s="610">
        <v>8</v>
      </c>
      <c r="AX11" s="610">
        <v>8</v>
      </c>
      <c r="AY11" s="610">
        <v>8</v>
      </c>
      <c r="AZ11" s="610">
        <v>8</v>
      </c>
      <c r="BA11" s="610">
        <v>8</v>
      </c>
      <c r="BB11" s="610">
        <v>8</v>
      </c>
      <c r="BC11" s="610">
        <v>8</v>
      </c>
      <c r="BD11" s="610">
        <v>8</v>
      </c>
      <c r="BE11" s="606">
        <f>BD11</f>
        <v>8</v>
      </c>
      <c r="BF11" s="607"/>
      <c r="BG11" s="606">
        <v>0</v>
      </c>
      <c r="BH11" s="606">
        <v>0</v>
      </c>
      <c r="BI11" s="606">
        <v>0</v>
      </c>
      <c r="BJ11" s="606">
        <v>0</v>
      </c>
      <c r="BK11" s="606">
        <v>0</v>
      </c>
      <c r="BL11" s="606">
        <v>0</v>
      </c>
      <c r="BM11" s="606">
        <v>0</v>
      </c>
      <c r="BN11" s="606">
        <v>0</v>
      </c>
      <c r="BO11" s="606">
        <v>0</v>
      </c>
      <c r="BP11" s="606">
        <v>0</v>
      </c>
      <c r="BQ11" s="606">
        <v>0</v>
      </c>
      <c r="BR11" s="606">
        <v>0</v>
      </c>
      <c r="BS11" s="606">
        <v>0</v>
      </c>
      <c r="BT11" s="582"/>
    </row>
    <row r="12" spans="1:72">
      <c r="A12" s="582"/>
      <c r="B12" s="605" t="s">
        <v>350</v>
      </c>
      <c r="C12" s="606">
        <f t="shared" ref="C12:O12" si="19">C13</f>
        <v>1</v>
      </c>
      <c r="D12" s="606">
        <f t="shared" si="19"/>
        <v>1</v>
      </c>
      <c r="E12" s="606">
        <f t="shared" si="19"/>
        <v>1</v>
      </c>
      <c r="F12" s="606">
        <f t="shared" si="19"/>
        <v>1</v>
      </c>
      <c r="G12" s="606">
        <f t="shared" si="19"/>
        <v>1</v>
      </c>
      <c r="H12" s="606">
        <f t="shared" si="19"/>
        <v>1</v>
      </c>
      <c r="I12" s="606">
        <f t="shared" si="19"/>
        <v>1</v>
      </c>
      <c r="J12" s="606">
        <f t="shared" si="19"/>
        <v>1</v>
      </c>
      <c r="K12" s="606">
        <f t="shared" si="19"/>
        <v>1</v>
      </c>
      <c r="L12" s="606">
        <f t="shared" si="19"/>
        <v>1</v>
      </c>
      <c r="M12" s="606">
        <f t="shared" si="19"/>
        <v>1</v>
      </c>
      <c r="N12" s="606">
        <f t="shared" si="19"/>
        <v>1</v>
      </c>
      <c r="O12" s="606">
        <f t="shared" si="19"/>
        <v>1</v>
      </c>
      <c r="P12" s="607"/>
      <c r="Q12" s="606">
        <f>Q13</f>
        <v>1</v>
      </c>
      <c r="R12" s="606">
        <f t="shared" ref="R12:AC12" si="20">R13</f>
        <v>1</v>
      </c>
      <c r="S12" s="606">
        <f t="shared" si="20"/>
        <v>1</v>
      </c>
      <c r="T12" s="606">
        <f t="shared" si="20"/>
        <v>1</v>
      </c>
      <c r="U12" s="606">
        <f t="shared" si="20"/>
        <v>1</v>
      </c>
      <c r="V12" s="606">
        <f t="shared" si="20"/>
        <v>1</v>
      </c>
      <c r="W12" s="606">
        <f t="shared" si="20"/>
        <v>2</v>
      </c>
      <c r="X12" s="606">
        <f t="shared" si="20"/>
        <v>2</v>
      </c>
      <c r="Y12" s="606">
        <f t="shared" si="20"/>
        <v>6</v>
      </c>
      <c r="Z12" s="606">
        <f t="shared" si="20"/>
        <v>18</v>
      </c>
      <c r="AA12" s="606">
        <f t="shared" si="20"/>
        <v>21</v>
      </c>
      <c r="AB12" s="606">
        <f t="shared" si="20"/>
        <v>22</v>
      </c>
      <c r="AC12" s="606">
        <f t="shared" si="20"/>
        <v>22</v>
      </c>
      <c r="AD12" s="607"/>
      <c r="AE12" s="606">
        <f t="shared" ref="AE12:AQ12" si="21">AE13</f>
        <v>0</v>
      </c>
      <c r="AF12" s="606">
        <f t="shared" si="21"/>
        <v>0</v>
      </c>
      <c r="AG12" s="606">
        <f t="shared" si="21"/>
        <v>0</v>
      </c>
      <c r="AH12" s="606">
        <f t="shared" si="21"/>
        <v>0</v>
      </c>
      <c r="AI12" s="606">
        <f t="shared" si="21"/>
        <v>0</v>
      </c>
      <c r="AJ12" s="606">
        <f t="shared" si="21"/>
        <v>0</v>
      </c>
      <c r="AK12" s="606">
        <f t="shared" si="21"/>
        <v>0</v>
      </c>
      <c r="AL12" s="606">
        <f t="shared" si="21"/>
        <v>0</v>
      </c>
      <c r="AM12" s="606">
        <f t="shared" si="21"/>
        <v>0</v>
      </c>
      <c r="AN12" s="606">
        <f t="shared" si="21"/>
        <v>0</v>
      </c>
      <c r="AO12" s="606">
        <f t="shared" si="21"/>
        <v>0</v>
      </c>
      <c r="AP12" s="606">
        <f t="shared" si="21"/>
        <v>0</v>
      </c>
      <c r="AQ12" s="606">
        <f t="shared" si="21"/>
        <v>0</v>
      </c>
      <c r="AR12" s="607"/>
      <c r="AS12" s="606">
        <f t="shared" ref="AS12:BD12" si="22">AS13</f>
        <v>25</v>
      </c>
      <c r="AT12" s="606">
        <f t="shared" si="22"/>
        <v>25</v>
      </c>
      <c r="AU12" s="606">
        <f t="shared" si="22"/>
        <v>25</v>
      </c>
      <c r="AV12" s="606">
        <f t="shared" si="22"/>
        <v>25</v>
      </c>
      <c r="AW12" s="606">
        <f t="shared" si="22"/>
        <v>25</v>
      </c>
      <c r="AX12" s="606">
        <f t="shared" si="22"/>
        <v>25</v>
      </c>
      <c r="AY12" s="606">
        <f t="shared" si="22"/>
        <v>25</v>
      </c>
      <c r="AZ12" s="606">
        <f t="shared" si="22"/>
        <v>25</v>
      </c>
      <c r="BA12" s="606">
        <f t="shared" si="22"/>
        <v>25</v>
      </c>
      <c r="BB12" s="606">
        <f t="shared" si="22"/>
        <v>25</v>
      </c>
      <c r="BC12" s="606">
        <f t="shared" si="22"/>
        <v>25</v>
      </c>
      <c r="BD12" s="606">
        <f t="shared" si="22"/>
        <v>25</v>
      </c>
      <c r="BE12" s="606">
        <f>BE13</f>
        <v>25</v>
      </c>
      <c r="BF12" s="607"/>
      <c r="BG12" s="606">
        <f t="shared" ref="BG12:BS12" si="23">BG13</f>
        <v>1</v>
      </c>
      <c r="BH12" s="606">
        <f t="shared" si="23"/>
        <v>1</v>
      </c>
      <c r="BI12" s="606">
        <f t="shared" si="23"/>
        <v>1</v>
      </c>
      <c r="BJ12" s="606">
        <f t="shared" si="23"/>
        <v>1</v>
      </c>
      <c r="BK12" s="606">
        <f t="shared" si="23"/>
        <v>1</v>
      </c>
      <c r="BL12" s="606">
        <f t="shared" si="23"/>
        <v>1</v>
      </c>
      <c r="BM12" s="606">
        <f t="shared" si="23"/>
        <v>1</v>
      </c>
      <c r="BN12" s="606">
        <f t="shared" si="23"/>
        <v>1</v>
      </c>
      <c r="BO12" s="606">
        <f t="shared" si="23"/>
        <v>1</v>
      </c>
      <c r="BP12" s="606">
        <f t="shared" si="23"/>
        <v>1</v>
      </c>
      <c r="BQ12" s="606">
        <f t="shared" si="23"/>
        <v>1</v>
      </c>
      <c r="BR12" s="606">
        <f t="shared" si="23"/>
        <v>1</v>
      </c>
      <c r="BS12" s="606">
        <f t="shared" si="23"/>
        <v>1</v>
      </c>
      <c r="BT12" s="582"/>
    </row>
    <row r="13" spans="1:72">
      <c r="A13" s="608" t="s">
        <v>465</v>
      </c>
      <c r="B13" s="609" t="s">
        <v>465</v>
      </c>
      <c r="C13" s="606">
        <v>1</v>
      </c>
      <c r="D13" s="606">
        <v>1</v>
      </c>
      <c r="E13" s="606">
        <v>1</v>
      </c>
      <c r="F13" s="606">
        <v>1</v>
      </c>
      <c r="G13" s="606">
        <v>1</v>
      </c>
      <c r="H13" s="606">
        <v>1</v>
      </c>
      <c r="I13" s="606">
        <v>1</v>
      </c>
      <c r="J13" s="606">
        <v>1</v>
      </c>
      <c r="K13" s="606">
        <v>1</v>
      </c>
      <c r="L13" s="606">
        <v>1</v>
      </c>
      <c r="M13" s="606">
        <v>1</v>
      </c>
      <c r="N13" s="606">
        <v>1</v>
      </c>
      <c r="O13" s="606">
        <v>1</v>
      </c>
      <c r="P13" s="607"/>
      <c r="Q13" s="606">
        <v>1</v>
      </c>
      <c r="R13" s="606">
        <v>1</v>
      </c>
      <c r="S13" s="606">
        <v>1</v>
      </c>
      <c r="T13" s="606">
        <v>1</v>
      </c>
      <c r="U13" s="606">
        <v>1</v>
      </c>
      <c r="V13" s="606">
        <v>1</v>
      </c>
      <c r="W13" s="606">
        <v>2</v>
      </c>
      <c r="X13" s="606">
        <v>2</v>
      </c>
      <c r="Y13" s="606">
        <v>6</v>
      </c>
      <c r="Z13" s="610">
        <v>18</v>
      </c>
      <c r="AA13" s="610">
        <v>21</v>
      </c>
      <c r="AB13" s="610">
        <v>22</v>
      </c>
      <c r="AC13" s="606">
        <f>AB13</f>
        <v>22</v>
      </c>
      <c r="AD13" s="607"/>
      <c r="AE13" s="610">
        <v>0</v>
      </c>
      <c r="AF13" s="610">
        <v>0</v>
      </c>
      <c r="AG13" s="610">
        <v>0</v>
      </c>
      <c r="AH13" s="610">
        <v>0</v>
      </c>
      <c r="AI13" s="610">
        <v>0</v>
      </c>
      <c r="AJ13" s="610">
        <v>0</v>
      </c>
      <c r="AK13" s="610">
        <v>0</v>
      </c>
      <c r="AL13" s="610">
        <v>0</v>
      </c>
      <c r="AM13" s="610">
        <v>0</v>
      </c>
      <c r="AN13" s="610">
        <v>0</v>
      </c>
      <c r="AO13" s="610">
        <v>0</v>
      </c>
      <c r="AP13" s="610">
        <v>0</v>
      </c>
      <c r="AQ13" s="606">
        <v>0</v>
      </c>
      <c r="AR13" s="607"/>
      <c r="AS13" s="610">
        <v>25</v>
      </c>
      <c r="AT13" s="610">
        <v>25</v>
      </c>
      <c r="AU13" s="610">
        <v>25</v>
      </c>
      <c r="AV13" s="610">
        <v>25</v>
      </c>
      <c r="AW13" s="610">
        <v>25</v>
      </c>
      <c r="AX13" s="610">
        <v>25</v>
      </c>
      <c r="AY13" s="610">
        <v>25</v>
      </c>
      <c r="AZ13" s="610">
        <v>25</v>
      </c>
      <c r="BA13" s="610">
        <v>25</v>
      </c>
      <c r="BB13" s="610">
        <v>25</v>
      </c>
      <c r="BC13" s="610">
        <v>25</v>
      </c>
      <c r="BD13" s="610">
        <v>25</v>
      </c>
      <c r="BE13" s="606">
        <f>BD13</f>
        <v>25</v>
      </c>
      <c r="BF13" s="607"/>
      <c r="BG13" s="606">
        <v>1</v>
      </c>
      <c r="BH13" s="606">
        <v>1</v>
      </c>
      <c r="BI13" s="606">
        <v>1</v>
      </c>
      <c r="BJ13" s="606">
        <v>1</v>
      </c>
      <c r="BK13" s="606">
        <v>1</v>
      </c>
      <c r="BL13" s="606">
        <v>1</v>
      </c>
      <c r="BM13" s="606">
        <v>1</v>
      </c>
      <c r="BN13" s="606">
        <v>1</v>
      </c>
      <c r="BO13" s="606">
        <v>1</v>
      </c>
      <c r="BP13" s="606">
        <v>1</v>
      </c>
      <c r="BQ13" s="606">
        <v>1</v>
      </c>
      <c r="BR13" s="606">
        <v>1</v>
      </c>
      <c r="BS13" s="606">
        <v>1</v>
      </c>
      <c r="BT13" s="582"/>
    </row>
    <row r="14" spans="1:72">
      <c r="A14" s="597"/>
      <c r="B14" s="611"/>
      <c r="C14" s="604"/>
      <c r="D14" s="604"/>
      <c r="E14" s="604"/>
      <c r="F14" s="604"/>
      <c r="G14" s="604"/>
      <c r="H14" s="604"/>
      <c r="I14" s="604"/>
      <c r="J14" s="604"/>
      <c r="K14" s="604"/>
      <c r="L14" s="604"/>
      <c r="M14" s="604"/>
      <c r="N14" s="604"/>
      <c r="O14" s="604"/>
      <c r="P14" s="600"/>
      <c r="Q14" s="604"/>
      <c r="R14" s="604"/>
      <c r="S14" s="604"/>
      <c r="T14" s="604"/>
      <c r="U14" s="604"/>
      <c r="V14" s="604"/>
      <c r="W14" s="604"/>
      <c r="X14" s="604"/>
      <c r="Y14" s="604"/>
      <c r="Z14" s="604"/>
      <c r="AA14" s="604"/>
      <c r="AB14" s="604"/>
      <c r="AC14" s="604"/>
      <c r="AD14" s="600"/>
      <c r="AE14" s="604"/>
      <c r="AF14" s="604"/>
      <c r="AG14" s="604"/>
      <c r="AH14" s="604"/>
      <c r="AI14" s="604"/>
      <c r="AJ14" s="604"/>
      <c r="AK14" s="604"/>
      <c r="AL14" s="604"/>
      <c r="AM14" s="604"/>
      <c r="AN14" s="604"/>
      <c r="AO14" s="604"/>
      <c r="AP14" s="604"/>
      <c r="AQ14" s="604"/>
      <c r="AR14" s="600"/>
      <c r="AS14" s="604"/>
      <c r="AT14" s="604"/>
      <c r="AU14" s="604"/>
      <c r="AV14" s="604"/>
      <c r="AW14" s="604"/>
      <c r="AX14" s="604"/>
      <c r="AY14" s="604"/>
      <c r="AZ14" s="604"/>
      <c r="BA14" s="604"/>
      <c r="BB14" s="604"/>
      <c r="BC14" s="604"/>
      <c r="BD14" s="604"/>
      <c r="BE14" s="604"/>
      <c r="BF14" s="600"/>
      <c r="BG14" s="604"/>
      <c r="BH14" s="604"/>
      <c r="BI14" s="604"/>
      <c r="BJ14" s="604"/>
      <c r="BK14" s="604"/>
      <c r="BL14" s="604"/>
      <c r="BM14" s="604"/>
      <c r="BN14" s="604"/>
      <c r="BO14" s="604"/>
      <c r="BP14" s="604"/>
      <c r="BQ14" s="604"/>
      <c r="BR14" s="604"/>
      <c r="BS14" s="604"/>
      <c r="BT14" s="597"/>
    </row>
    <row r="15" spans="1:72">
      <c r="A15" s="582"/>
      <c r="B15" s="581"/>
      <c r="C15" s="582"/>
      <c r="D15" s="582"/>
      <c r="E15" s="582"/>
      <c r="F15" s="582"/>
      <c r="G15" s="582"/>
      <c r="H15" s="582"/>
      <c r="I15" s="582"/>
      <c r="J15" s="582"/>
      <c r="K15" s="582"/>
      <c r="L15" s="582"/>
      <c r="M15" s="582"/>
      <c r="N15" s="582"/>
      <c r="O15" s="582"/>
      <c r="P15" s="583"/>
      <c r="Q15" s="582"/>
      <c r="R15" s="582"/>
      <c r="S15" s="582"/>
      <c r="T15" s="582"/>
      <c r="U15" s="582"/>
      <c r="V15" s="582"/>
      <c r="W15" s="582"/>
      <c r="X15" s="582"/>
      <c r="Y15" s="582"/>
      <c r="Z15" s="582"/>
      <c r="AA15" s="582"/>
      <c r="AB15" s="582"/>
      <c r="AC15" s="582"/>
      <c r="AD15" s="583"/>
      <c r="AE15" s="582"/>
      <c r="AF15" s="582"/>
      <c r="AG15" s="582"/>
      <c r="AH15" s="582"/>
      <c r="AI15" s="582"/>
      <c r="AJ15" s="582"/>
      <c r="AK15" s="582"/>
      <c r="AL15" s="582"/>
      <c r="AM15" s="582"/>
      <c r="AN15" s="582"/>
      <c r="AO15" s="582"/>
      <c r="AP15" s="582"/>
      <c r="AQ15" s="582"/>
      <c r="AR15" s="583"/>
      <c r="AS15" s="582"/>
      <c r="AT15" s="582"/>
      <c r="AU15" s="582" t="s">
        <v>1174</v>
      </c>
      <c r="AV15" s="582"/>
      <c r="AW15" s="582"/>
      <c r="AX15" s="582"/>
      <c r="AY15" s="582"/>
      <c r="AZ15" s="582"/>
      <c r="BA15" s="582"/>
      <c r="BB15" s="582"/>
      <c r="BC15" s="582"/>
      <c r="BD15" s="582"/>
      <c r="BE15" s="582"/>
      <c r="BF15" s="583"/>
      <c r="BG15" s="582"/>
      <c r="BH15" s="582"/>
      <c r="BI15" s="582"/>
      <c r="BJ15" s="582"/>
      <c r="BK15" s="582"/>
      <c r="BL15" s="582"/>
      <c r="BM15" s="582"/>
      <c r="BN15" s="582"/>
      <c r="BO15" s="582"/>
      <c r="BP15" s="582"/>
      <c r="BQ15" s="582"/>
      <c r="BR15" s="582"/>
      <c r="BS15" s="582"/>
      <c r="BT15" s="582"/>
    </row>
    <row r="16" spans="1:72">
      <c r="A16" s="582"/>
      <c r="B16" s="581"/>
      <c r="C16" s="582"/>
      <c r="D16" s="582"/>
      <c r="E16" s="582"/>
      <c r="F16" s="582"/>
      <c r="G16" s="582"/>
      <c r="H16" s="582"/>
      <c r="I16" s="582"/>
      <c r="J16" s="582"/>
      <c r="K16" s="582"/>
      <c r="L16" s="582"/>
      <c r="M16" s="582"/>
      <c r="N16" s="582"/>
      <c r="O16" s="582"/>
      <c r="P16" s="583"/>
      <c r="Q16" s="582"/>
      <c r="R16" s="582"/>
      <c r="S16" s="582"/>
      <c r="T16" s="582"/>
      <c r="U16" s="582"/>
      <c r="V16" s="582"/>
      <c r="W16" s="582"/>
      <c r="X16" s="582"/>
      <c r="Y16" s="582"/>
      <c r="Z16" s="582"/>
      <c r="AA16" s="582"/>
      <c r="AB16" s="582"/>
      <c r="AC16" s="582"/>
      <c r="AD16" s="583"/>
      <c r="AE16" s="582"/>
      <c r="AF16" s="582"/>
      <c r="AG16" s="582"/>
      <c r="AH16" s="582"/>
      <c r="AI16" s="582"/>
      <c r="AJ16" s="582"/>
      <c r="AK16" s="582"/>
      <c r="AL16" s="582"/>
      <c r="AM16" s="582"/>
      <c r="AN16" s="582"/>
      <c r="AO16" s="582"/>
      <c r="AP16" s="582"/>
      <c r="AQ16" s="582"/>
      <c r="AR16" s="583"/>
      <c r="AS16" s="582"/>
      <c r="AT16" s="582"/>
      <c r="AU16" s="582"/>
      <c r="AV16" s="582"/>
      <c r="AW16" s="582"/>
      <c r="AX16" s="582"/>
      <c r="AY16" s="582"/>
      <c r="AZ16" s="582"/>
      <c r="BA16" s="582"/>
      <c r="BB16" s="582"/>
      <c r="BC16" s="582"/>
      <c r="BD16" s="582"/>
      <c r="BE16" s="582"/>
      <c r="BF16" s="583"/>
      <c r="BG16" s="582"/>
      <c r="BH16" s="582"/>
      <c r="BI16" s="582"/>
      <c r="BJ16" s="582"/>
      <c r="BK16" s="582"/>
      <c r="BL16" s="582"/>
      <c r="BM16" s="582"/>
      <c r="BN16" s="582"/>
      <c r="BO16" s="582"/>
      <c r="BP16" s="582"/>
      <c r="BQ16" s="582"/>
      <c r="BR16" s="582"/>
      <c r="BS16" s="582"/>
      <c r="BT16" s="582"/>
    </row>
    <row r="17" spans="1:72">
      <c r="A17" s="582"/>
      <c r="B17" s="581"/>
      <c r="C17" s="582"/>
      <c r="D17" s="582"/>
      <c r="E17" s="582"/>
      <c r="F17" s="582"/>
      <c r="G17" s="582"/>
      <c r="H17" s="582"/>
      <c r="I17" s="582"/>
      <c r="J17" s="582"/>
      <c r="K17" s="582"/>
      <c r="L17" s="582"/>
      <c r="M17" s="582"/>
      <c r="N17" s="582"/>
      <c r="O17" s="582"/>
      <c r="P17" s="583"/>
      <c r="Q17" s="582"/>
      <c r="R17" s="582"/>
      <c r="S17" s="582"/>
      <c r="T17" s="582"/>
      <c r="U17" s="582"/>
      <c r="V17" s="582"/>
      <c r="W17" s="582"/>
      <c r="X17" s="582"/>
      <c r="Y17" s="582"/>
      <c r="Z17" s="582"/>
      <c r="AA17" s="582"/>
      <c r="AB17" s="582"/>
      <c r="AC17" s="582"/>
      <c r="AD17" s="583"/>
      <c r="AE17" s="582"/>
      <c r="AF17" s="582"/>
      <c r="AG17" s="582"/>
      <c r="AH17" s="582"/>
      <c r="AI17" s="582"/>
      <c r="AJ17" s="582"/>
      <c r="AK17" s="582"/>
      <c r="AL17" s="582"/>
      <c r="AM17" s="582"/>
      <c r="AN17" s="582"/>
      <c r="AO17" s="582"/>
      <c r="AP17" s="582"/>
      <c r="AQ17" s="582"/>
      <c r="AR17" s="583"/>
      <c r="AS17" s="587" t="s">
        <v>1129</v>
      </c>
      <c r="AT17" s="587" t="s">
        <v>1130</v>
      </c>
      <c r="AU17" s="587" t="s">
        <v>1131</v>
      </c>
      <c r="AV17" s="587" t="s">
        <v>1132</v>
      </c>
      <c r="AW17" s="587" t="s">
        <v>1133</v>
      </c>
      <c r="AX17" s="587" t="s">
        <v>1134</v>
      </c>
      <c r="AY17" s="587" t="s">
        <v>1135</v>
      </c>
      <c r="AZ17" s="587" t="s">
        <v>1136</v>
      </c>
      <c r="BA17" s="587" t="s">
        <v>1137</v>
      </c>
      <c r="BB17" s="587" t="s">
        <v>1138</v>
      </c>
      <c r="BC17" s="587" t="s">
        <v>1139</v>
      </c>
      <c r="BD17" s="587" t="s">
        <v>1140</v>
      </c>
      <c r="BE17" s="612"/>
      <c r="BF17" s="583"/>
      <c r="BG17" s="582"/>
      <c r="BH17" s="582"/>
      <c r="BI17" s="582"/>
      <c r="BJ17" s="582"/>
      <c r="BK17" s="582"/>
      <c r="BL17" s="582"/>
      <c r="BM17" s="582"/>
      <c r="BN17" s="582"/>
      <c r="BO17" s="582"/>
      <c r="BP17" s="582"/>
      <c r="BQ17" s="582"/>
      <c r="BR17" s="582"/>
      <c r="BS17" s="582"/>
      <c r="BT17" s="582"/>
    </row>
    <row r="18" spans="1:72" ht="31.8" thickBot="1">
      <c r="A18" s="582"/>
      <c r="B18" s="581"/>
      <c r="C18" s="582"/>
      <c r="D18" s="582"/>
      <c r="E18" s="582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583"/>
      <c r="Q18" s="582"/>
      <c r="R18" s="582"/>
      <c r="S18" s="582"/>
      <c r="T18" s="582"/>
      <c r="U18" s="582"/>
      <c r="V18" s="582"/>
      <c r="W18" s="582"/>
      <c r="X18" s="582"/>
      <c r="Y18" s="582"/>
      <c r="Z18" s="582"/>
      <c r="AA18" s="582"/>
      <c r="AB18" s="582"/>
      <c r="AC18" s="613" t="s">
        <v>1148</v>
      </c>
      <c r="AD18" s="583"/>
      <c r="AE18" s="582"/>
      <c r="AF18" s="582"/>
      <c r="AG18" s="582"/>
      <c r="AH18" s="582"/>
      <c r="AI18" s="582"/>
      <c r="AJ18" s="582"/>
      <c r="AK18" s="582"/>
      <c r="AL18" s="582"/>
      <c r="AM18" s="582"/>
      <c r="AN18" s="582"/>
      <c r="AO18" s="582"/>
      <c r="AP18" s="582"/>
      <c r="AQ18" s="582"/>
      <c r="AR18" s="583"/>
      <c r="AS18" s="614">
        <v>50</v>
      </c>
      <c r="AT18" s="614">
        <v>57</v>
      </c>
      <c r="AU18" s="614">
        <v>69</v>
      </c>
      <c r="AV18" s="614">
        <v>75</v>
      </c>
      <c r="AW18" s="614">
        <v>79</v>
      </c>
      <c r="AX18" s="614">
        <v>89</v>
      </c>
      <c r="AY18" s="614">
        <v>109</v>
      </c>
      <c r="AZ18" s="614">
        <v>119</v>
      </c>
      <c r="BA18" s="614">
        <v>129</v>
      </c>
      <c r="BB18" s="614">
        <v>154</v>
      </c>
      <c r="BC18" s="614">
        <v>179</v>
      </c>
      <c r="BD18" s="614">
        <v>209</v>
      </c>
      <c r="BE18" s="615" t="s">
        <v>1149</v>
      </c>
      <c r="BF18" s="616"/>
      <c r="BG18" s="617"/>
      <c r="BH18" s="617"/>
      <c r="BI18" s="617"/>
      <c r="BJ18" s="617"/>
      <c r="BK18" s="617"/>
      <c r="BL18" s="617"/>
      <c r="BM18" s="617"/>
      <c r="BN18" s="617"/>
      <c r="BO18" s="617"/>
      <c r="BP18" s="617"/>
      <c r="BQ18" s="617"/>
      <c r="BR18" s="617"/>
      <c r="BS18" s="617"/>
      <c r="BT18" s="617"/>
    </row>
    <row r="19" spans="1:72" ht="31.2">
      <c r="A19" s="582"/>
      <c r="B19" s="581"/>
      <c r="C19" s="582"/>
      <c r="D19" s="582"/>
      <c r="E19" s="582"/>
      <c r="F19" s="582"/>
      <c r="G19" s="582"/>
      <c r="H19" s="582"/>
      <c r="I19" s="582"/>
      <c r="J19" s="582"/>
      <c r="K19" s="582"/>
      <c r="L19" s="582"/>
      <c r="M19" s="582"/>
      <c r="N19" s="582"/>
      <c r="O19" s="582"/>
      <c r="P19" s="583"/>
      <c r="Q19" s="582"/>
      <c r="R19" s="582"/>
      <c r="S19" s="582"/>
      <c r="T19" s="582"/>
      <c r="U19" s="582"/>
      <c r="V19" s="582"/>
      <c r="W19" s="582"/>
      <c r="X19" s="582"/>
      <c r="Y19" s="582"/>
      <c r="Z19" s="582"/>
      <c r="AA19" s="582"/>
      <c r="AB19" s="582"/>
      <c r="AC19" s="618" t="s">
        <v>1150</v>
      </c>
      <c r="AD19" s="583"/>
      <c r="AE19" s="582"/>
      <c r="AF19" s="582"/>
      <c r="AG19" s="582"/>
      <c r="AH19" s="582"/>
      <c r="AI19" s="582"/>
      <c r="AJ19" s="582"/>
      <c r="AK19" s="582"/>
      <c r="AL19" s="582"/>
      <c r="AM19" s="582"/>
      <c r="AN19" s="582"/>
      <c r="AO19" s="582"/>
      <c r="AP19" s="582"/>
      <c r="AQ19" s="582"/>
      <c r="AR19" s="583"/>
      <c r="AS19" s="619">
        <f>SUM(AS20:AS22)</f>
        <v>27</v>
      </c>
      <c r="AT19" s="620">
        <f t="shared" ref="AT19:BD19" si="24">SUM(AT20:AT22)</f>
        <v>38</v>
      </c>
      <c r="AU19" s="620">
        <f t="shared" si="24"/>
        <v>46</v>
      </c>
      <c r="AV19" s="620">
        <f t="shared" si="24"/>
        <v>53</v>
      </c>
      <c r="AW19" s="620">
        <f t="shared" si="24"/>
        <v>62</v>
      </c>
      <c r="AX19" s="620">
        <f t="shared" si="24"/>
        <v>71</v>
      </c>
      <c r="AY19" s="620">
        <f t="shared" si="24"/>
        <v>89</v>
      </c>
      <c r="AZ19" s="620">
        <f t="shared" si="24"/>
        <v>101</v>
      </c>
      <c r="BA19" s="620">
        <f t="shared" si="24"/>
        <v>119</v>
      </c>
      <c r="BB19" s="620">
        <f t="shared" si="24"/>
        <v>143</v>
      </c>
      <c r="BC19" s="620">
        <f t="shared" si="24"/>
        <v>177</v>
      </c>
      <c r="BD19" s="621">
        <f t="shared" si="24"/>
        <v>209</v>
      </c>
      <c r="BE19" s="615"/>
      <c r="BF19" s="622"/>
      <c r="BG19" s="623"/>
      <c r="BH19" s="623"/>
      <c r="BI19" s="623"/>
      <c r="BJ19" s="623"/>
      <c r="BK19" s="623"/>
      <c r="BL19" s="623"/>
      <c r="BM19" s="623"/>
      <c r="BN19" s="623"/>
      <c r="BO19" s="623"/>
      <c r="BP19" s="623"/>
      <c r="BQ19" s="623"/>
      <c r="BR19" s="623"/>
      <c r="BS19" s="623"/>
      <c r="BT19" s="623"/>
    </row>
    <row r="20" spans="1:72" ht="15.6">
      <c r="A20" s="582"/>
      <c r="B20" s="581"/>
      <c r="C20" s="582"/>
      <c r="D20" s="582"/>
      <c r="E20" s="582"/>
      <c r="F20" s="582"/>
      <c r="G20" s="582"/>
      <c r="H20" s="582"/>
      <c r="I20" s="582"/>
      <c r="J20" s="582"/>
      <c r="K20" s="582"/>
      <c r="L20" s="582"/>
      <c r="M20" s="582"/>
      <c r="N20" s="582"/>
      <c r="O20" s="582"/>
      <c r="P20" s="583"/>
      <c r="Q20" s="582"/>
      <c r="R20" s="582"/>
      <c r="S20" s="582"/>
      <c r="T20" s="582"/>
      <c r="U20" s="582"/>
      <c r="V20" s="582"/>
      <c r="W20" s="582"/>
      <c r="X20" s="582"/>
      <c r="Y20" s="582"/>
      <c r="Z20" s="582"/>
      <c r="AA20" s="582"/>
      <c r="AB20" s="582"/>
      <c r="AC20" s="624" t="s">
        <v>1151</v>
      </c>
      <c r="AD20" s="583"/>
      <c r="AE20" s="582"/>
      <c r="AF20" s="582"/>
      <c r="AG20" s="582"/>
      <c r="AH20" s="582"/>
      <c r="AI20" s="582"/>
      <c r="AJ20" s="582"/>
      <c r="AK20" s="582"/>
      <c r="AL20" s="582"/>
      <c r="AM20" s="582"/>
      <c r="AN20" s="582"/>
      <c r="AO20" s="582"/>
      <c r="AP20" s="582"/>
      <c r="AQ20" s="582"/>
      <c r="AR20" s="583"/>
      <c r="AS20" s="625">
        <v>0</v>
      </c>
      <c r="AT20" s="626">
        <v>0</v>
      </c>
      <c r="AU20" s="627">
        <v>1</v>
      </c>
      <c r="AV20" s="628">
        <v>1</v>
      </c>
      <c r="AW20" s="628">
        <v>2</v>
      </c>
      <c r="AX20" s="627">
        <v>2</v>
      </c>
      <c r="AY20" s="628">
        <v>3</v>
      </c>
      <c r="AZ20" s="628">
        <v>4</v>
      </c>
      <c r="BA20" s="627">
        <v>4</v>
      </c>
      <c r="BB20" s="628">
        <v>5</v>
      </c>
      <c r="BC20" s="628">
        <v>5</v>
      </c>
      <c r="BD20" s="629">
        <v>6</v>
      </c>
      <c r="BE20" s="630"/>
      <c r="BF20" s="616"/>
      <c r="BG20" s="617"/>
      <c r="BH20" s="617"/>
      <c r="BI20" s="617"/>
      <c r="BJ20" s="617"/>
      <c r="BK20" s="617"/>
      <c r="BL20" s="617"/>
      <c r="BM20" s="617"/>
      <c r="BN20" s="617"/>
      <c r="BO20" s="617"/>
      <c r="BP20" s="617"/>
      <c r="BQ20" s="617"/>
      <c r="BR20" s="617"/>
      <c r="BS20" s="617"/>
      <c r="BT20" s="617"/>
    </row>
    <row r="21" spans="1:72" ht="15.6">
      <c r="A21" s="582"/>
      <c r="B21" s="581"/>
      <c r="C21" s="582"/>
      <c r="D21" s="582"/>
      <c r="E21" s="582"/>
      <c r="F21" s="582"/>
      <c r="G21" s="582"/>
      <c r="H21" s="582"/>
      <c r="I21" s="582"/>
      <c r="J21" s="582"/>
      <c r="K21" s="582"/>
      <c r="L21" s="582"/>
      <c r="M21" s="582"/>
      <c r="N21" s="582"/>
      <c r="O21" s="582"/>
      <c r="P21" s="583"/>
      <c r="Q21" s="582"/>
      <c r="R21" s="582"/>
      <c r="S21" s="582"/>
      <c r="T21" s="582"/>
      <c r="U21" s="582"/>
      <c r="V21" s="582"/>
      <c r="W21" s="582"/>
      <c r="X21" s="582"/>
      <c r="Y21" s="582"/>
      <c r="Z21" s="582"/>
      <c r="AA21" s="582"/>
      <c r="AB21" s="582"/>
      <c r="AC21" s="624" t="s">
        <v>1152</v>
      </c>
      <c r="AD21" s="583"/>
      <c r="AE21" s="582"/>
      <c r="AF21" s="582"/>
      <c r="AG21" s="582"/>
      <c r="AH21" s="582"/>
      <c r="AI21" s="582"/>
      <c r="AJ21" s="582"/>
      <c r="AK21" s="582"/>
      <c r="AL21" s="582"/>
      <c r="AM21" s="582"/>
      <c r="AN21" s="582"/>
      <c r="AO21" s="582"/>
      <c r="AP21" s="582"/>
      <c r="AQ21" s="582"/>
      <c r="AR21" s="583"/>
      <c r="AS21" s="625">
        <v>2</v>
      </c>
      <c r="AT21" s="626">
        <v>3</v>
      </c>
      <c r="AU21" s="627">
        <v>5</v>
      </c>
      <c r="AV21" s="628">
        <v>6</v>
      </c>
      <c r="AW21" s="628">
        <v>8</v>
      </c>
      <c r="AX21" s="627">
        <v>9</v>
      </c>
      <c r="AY21" s="628">
        <v>11</v>
      </c>
      <c r="AZ21" s="628">
        <v>12</v>
      </c>
      <c r="BA21" s="627">
        <v>15</v>
      </c>
      <c r="BB21" s="628">
        <v>18</v>
      </c>
      <c r="BC21" s="628">
        <v>22</v>
      </c>
      <c r="BD21" s="629">
        <v>23</v>
      </c>
      <c r="BE21" s="623"/>
      <c r="BF21" s="616"/>
      <c r="BG21" s="617"/>
      <c r="BH21" s="617"/>
      <c r="BI21" s="617"/>
      <c r="BJ21" s="617"/>
      <c r="BK21" s="617"/>
      <c r="BL21" s="617"/>
      <c r="BM21" s="617"/>
      <c r="BN21" s="617"/>
      <c r="BO21" s="617"/>
      <c r="BP21" s="617"/>
      <c r="BQ21" s="617"/>
      <c r="BR21" s="617"/>
      <c r="BS21" s="617"/>
      <c r="BT21" s="617"/>
    </row>
    <row r="22" spans="1:72" ht="16.2" thickBot="1">
      <c r="A22" s="582"/>
      <c r="B22" s="581"/>
      <c r="C22" s="582"/>
      <c r="D22" s="582"/>
      <c r="E22" s="582"/>
      <c r="F22" s="582"/>
      <c r="G22" s="582"/>
      <c r="H22" s="582"/>
      <c r="I22" s="582"/>
      <c r="J22" s="582"/>
      <c r="K22" s="582"/>
      <c r="L22" s="582"/>
      <c r="M22" s="582"/>
      <c r="N22" s="582"/>
      <c r="O22" s="582"/>
      <c r="P22" s="583"/>
      <c r="Q22" s="582"/>
      <c r="R22" s="582"/>
      <c r="S22" s="582"/>
      <c r="T22" s="582"/>
      <c r="U22" s="582"/>
      <c r="V22" s="582"/>
      <c r="W22" s="582"/>
      <c r="X22" s="582"/>
      <c r="Y22" s="582"/>
      <c r="Z22" s="582"/>
      <c r="AA22" s="582"/>
      <c r="AB22" s="582"/>
      <c r="AC22" s="631" t="s">
        <v>1153</v>
      </c>
      <c r="AD22" s="583"/>
      <c r="AE22" s="582"/>
      <c r="AF22" s="582"/>
      <c r="AG22" s="582"/>
      <c r="AH22" s="582"/>
      <c r="AI22" s="582"/>
      <c r="AJ22" s="582"/>
      <c r="AK22" s="582"/>
      <c r="AL22" s="582"/>
      <c r="AM22" s="582"/>
      <c r="AN22" s="582"/>
      <c r="AO22" s="582"/>
      <c r="AP22" s="582"/>
      <c r="AQ22" s="582"/>
      <c r="AR22" s="583"/>
      <c r="AS22" s="632">
        <v>25</v>
      </c>
      <c r="AT22" s="633">
        <v>35</v>
      </c>
      <c r="AU22" s="634">
        <v>40</v>
      </c>
      <c r="AV22" s="635">
        <v>46</v>
      </c>
      <c r="AW22" s="635">
        <v>52</v>
      </c>
      <c r="AX22" s="634">
        <v>60</v>
      </c>
      <c r="AY22" s="635">
        <v>75</v>
      </c>
      <c r="AZ22" s="635">
        <v>85</v>
      </c>
      <c r="BA22" s="634">
        <v>100</v>
      </c>
      <c r="BB22" s="635">
        <v>120</v>
      </c>
      <c r="BC22" s="635">
        <v>150</v>
      </c>
      <c r="BD22" s="636">
        <v>180</v>
      </c>
      <c r="BE22" s="623"/>
      <c r="BF22" s="616"/>
      <c r="BG22" s="617"/>
      <c r="BH22" s="617"/>
      <c r="BI22" s="617"/>
      <c r="BJ22" s="617"/>
      <c r="BK22" s="617"/>
      <c r="BL22" s="617"/>
      <c r="BM22" s="617"/>
      <c r="BN22" s="617"/>
      <c r="BO22" s="617"/>
      <c r="BP22" s="617"/>
      <c r="BQ22" s="617"/>
      <c r="BR22" s="617"/>
      <c r="BS22" s="617"/>
      <c r="BT22" s="617"/>
    </row>
    <row r="23" spans="1:72">
      <c r="A23" s="582"/>
      <c r="B23" s="581"/>
      <c r="C23" s="582"/>
      <c r="D23" s="582"/>
      <c r="E23" s="582"/>
      <c r="F23" s="582"/>
      <c r="G23" s="582"/>
      <c r="H23" s="582"/>
      <c r="I23" s="582"/>
      <c r="J23" s="582"/>
      <c r="K23" s="582"/>
      <c r="L23" s="582"/>
      <c r="M23" s="582"/>
      <c r="N23" s="582"/>
      <c r="O23" s="582"/>
      <c r="P23" s="583"/>
      <c r="Q23" s="582"/>
      <c r="R23" s="582"/>
      <c r="S23" s="582"/>
      <c r="T23" s="582"/>
      <c r="U23" s="582"/>
      <c r="V23" s="582"/>
      <c r="W23" s="582"/>
      <c r="X23" s="582"/>
      <c r="Y23" s="582"/>
      <c r="Z23" s="582"/>
      <c r="AA23" s="582"/>
      <c r="AB23" s="582"/>
      <c r="AC23" s="637" t="s">
        <v>1154</v>
      </c>
      <c r="AD23" s="583"/>
      <c r="AE23" s="582"/>
      <c r="AF23" s="582"/>
      <c r="AG23" s="582"/>
      <c r="AH23" s="582"/>
      <c r="AI23" s="582"/>
      <c r="AJ23" s="582"/>
      <c r="AK23" s="582"/>
      <c r="AL23" s="582"/>
      <c r="AM23" s="582"/>
      <c r="AN23" s="582"/>
      <c r="AO23" s="582"/>
      <c r="AP23" s="582"/>
      <c r="AQ23" s="582"/>
      <c r="AR23" s="583"/>
      <c r="AS23" s="638">
        <f>AS19-AS18</f>
        <v>-23</v>
      </c>
      <c r="AT23" s="638">
        <f t="shared" ref="AT23:BD23" si="25">AT19-AT18</f>
        <v>-19</v>
      </c>
      <c r="AU23" s="638">
        <f t="shared" si="25"/>
        <v>-23</v>
      </c>
      <c r="AV23" s="638">
        <f t="shared" si="25"/>
        <v>-22</v>
      </c>
      <c r="AW23" s="638">
        <f t="shared" si="25"/>
        <v>-17</v>
      </c>
      <c r="AX23" s="638">
        <f t="shared" si="25"/>
        <v>-18</v>
      </c>
      <c r="AY23" s="638">
        <f t="shared" si="25"/>
        <v>-20</v>
      </c>
      <c r="AZ23" s="638">
        <f t="shared" si="25"/>
        <v>-18</v>
      </c>
      <c r="BA23" s="638">
        <f t="shared" si="25"/>
        <v>-10</v>
      </c>
      <c r="BB23" s="638">
        <f t="shared" si="25"/>
        <v>-11</v>
      </c>
      <c r="BC23" s="638">
        <f t="shared" si="25"/>
        <v>-2</v>
      </c>
      <c r="BD23" s="638">
        <f t="shared" si="25"/>
        <v>0</v>
      </c>
      <c r="BE23" s="582"/>
      <c r="BF23" s="583"/>
      <c r="BG23" s="582"/>
      <c r="BH23" s="582"/>
      <c r="BI23" s="582"/>
      <c r="BJ23" s="582"/>
      <c r="BK23" s="582"/>
      <c r="BL23" s="582"/>
      <c r="BM23" s="582"/>
      <c r="BN23" s="582"/>
      <c r="BO23" s="582"/>
      <c r="BP23" s="582"/>
      <c r="BQ23" s="582"/>
      <c r="BR23" s="582"/>
      <c r="BS23" s="582"/>
      <c r="BT23" s="582"/>
    </row>
    <row r="24" spans="1:72">
      <c r="A24" s="582"/>
      <c r="B24" s="581"/>
      <c r="C24" s="582"/>
      <c r="D24" s="582"/>
      <c r="E24" s="582"/>
      <c r="F24" s="582"/>
      <c r="G24" s="582"/>
      <c r="H24" s="582"/>
      <c r="I24" s="582"/>
      <c r="J24" s="582"/>
      <c r="K24" s="582"/>
      <c r="L24" s="582"/>
      <c r="M24" s="582"/>
      <c r="N24" s="582"/>
      <c r="O24" s="582"/>
      <c r="P24" s="583"/>
      <c r="Q24" s="582"/>
      <c r="R24" s="582"/>
      <c r="S24" s="582"/>
      <c r="T24" s="582"/>
      <c r="U24" s="582"/>
      <c r="V24" s="582"/>
      <c r="W24" s="582"/>
      <c r="X24" s="582"/>
      <c r="Y24" s="582"/>
      <c r="Z24" s="582"/>
      <c r="AA24" s="582"/>
      <c r="AB24" s="582"/>
      <c r="AC24" s="637"/>
      <c r="AD24" s="583"/>
      <c r="AE24" s="582"/>
      <c r="AF24" s="582"/>
      <c r="AG24" s="582"/>
      <c r="AH24" s="582"/>
      <c r="AI24" s="582"/>
      <c r="AJ24" s="582"/>
      <c r="AK24" s="582"/>
      <c r="AL24" s="582"/>
      <c r="AM24" s="582"/>
      <c r="AN24" s="582"/>
      <c r="AO24" s="582"/>
      <c r="AP24" s="582"/>
      <c r="AQ24" s="582"/>
      <c r="AR24" s="583"/>
      <c r="AS24" s="638"/>
      <c r="AT24" s="638"/>
      <c r="AU24" s="638"/>
      <c r="AV24" s="638"/>
      <c r="AW24" s="638"/>
      <c r="AX24" s="638"/>
      <c r="AY24" s="638"/>
      <c r="AZ24" s="638"/>
      <c r="BA24" s="638"/>
      <c r="BB24" s="638"/>
      <c r="BC24" s="638"/>
      <c r="BD24" s="638"/>
      <c r="BE24" s="582"/>
      <c r="BF24" s="583"/>
      <c r="BG24" s="582"/>
      <c r="BH24" s="582"/>
      <c r="BI24" s="582"/>
      <c r="BJ24" s="582"/>
      <c r="BK24" s="582"/>
      <c r="BL24" s="582"/>
      <c r="BM24" s="582"/>
      <c r="BN24" s="582"/>
      <c r="BO24" s="582"/>
      <c r="BP24" s="582"/>
      <c r="BQ24" s="582"/>
      <c r="BR24" s="582"/>
      <c r="BS24" s="582"/>
      <c r="BT24" s="582"/>
    </row>
    <row r="25" spans="1:72">
      <c r="A25" s="582"/>
      <c r="B25" s="581"/>
      <c r="C25" s="582"/>
      <c r="D25" s="582"/>
      <c r="E25" s="582"/>
      <c r="F25" s="582"/>
      <c r="G25" s="582"/>
      <c r="H25" s="582"/>
      <c r="I25" s="582"/>
      <c r="J25" s="582"/>
      <c r="K25" s="582"/>
      <c r="L25" s="582"/>
      <c r="M25" s="582"/>
      <c r="N25" s="582"/>
      <c r="O25" s="582"/>
      <c r="P25" s="583"/>
      <c r="Q25" s="582"/>
      <c r="R25" s="582"/>
      <c r="S25" s="582"/>
      <c r="T25" s="582"/>
      <c r="U25" s="582"/>
      <c r="V25" s="582"/>
      <c r="W25" s="582"/>
      <c r="X25" s="582"/>
      <c r="Y25" s="582"/>
      <c r="Z25" s="582"/>
      <c r="AA25" s="582"/>
      <c r="AB25" s="582"/>
      <c r="AC25" s="637"/>
      <c r="AD25" s="583"/>
      <c r="AE25" s="582"/>
      <c r="AF25" s="582"/>
      <c r="AG25" s="582"/>
      <c r="AH25" s="582"/>
      <c r="AI25" s="582"/>
      <c r="AJ25" s="582"/>
      <c r="AK25" s="582"/>
      <c r="AL25" s="582"/>
      <c r="AM25" s="582"/>
      <c r="AN25" s="582"/>
      <c r="AO25" s="582"/>
      <c r="AP25" s="582"/>
      <c r="AQ25" s="582"/>
      <c r="AR25" s="583"/>
      <c r="AS25" s="638"/>
      <c r="AT25" s="638"/>
      <c r="AU25" s="638">
        <f>SUM(AS26:AU26)</f>
        <v>690700</v>
      </c>
      <c r="AV25" s="638"/>
      <c r="AW25" s="638"/>
      <c r="AX25" s="638">
        <f>SUM(AV26:AX26)</f>
        <v>1660400</v>
      </c>
      <c r="AY25" s="638"/>
      <c r="AZ25" s="638"/>
      <c r="BA25" s="638">
        <f>SUM(AY26:BA26)</f>
        <v>2828400</v>
      </c>
      <c r="BB25" s="638"/>
      <c r="BC25" s="638"/>
      <c r="BD25" s="638">
        <f>SUM(BB26:BD26)</f>
        <v>4588500</v>
      </c>
      <c r="BE25" s="842">
        <f>SUM(AS25:BD25)</f>
        <v>9768000</v>
      </c>
      <c r="BF25" s="583"/>
      <c r="BG25" s="582"/>
      <c r="BH25" s="582"/>
      <c r="BI25" s="582"/>
      <c r="BJ25" s="582"/>
      <c r="BK25" s="582"/>
      <c r="BL25" s="582"/>
      <c r="BM25" s="582"/>
      <c r="BN25" s="582"/>
      <c r="BO25" s="582"/>
      <c r="BP25" s="582"/>
      <c r="BQ25" s="582"/>
      <c r="BR25" s="582"/>
      <c r="BS25" s="582"/>
      <c r="BT25" s="582"/>
    </row>
    <row r="26" spans="1:72">
      <c r="A26" s="582"/>
      <c r="B26" s="581"/>
      <c r="C26" s="582"/>
      <c r="D26" s="582"/>
      <c r="E26" s="582"/>
      <c r="F26" s="582"/>
      <c r="G26" s="582"/>
      <c r="H26" s="582"/>
      <c r="I26" s="582"/>
      <c r="J26" s="582"/>
      <c r="K26" s="582"/>
      <c r="L26" s="582"/>
      <c r="M26" s="582"/>
      <c r="N26" s="582"/>
      <c r="O26" s="582"/>
      <c r="P26" s="583"/>
      <c r="Q26" s="582"/>
      <c r="R26" s="582"/>
      <c r="S26" s="582"/>
      <c r="T26" s="582"/>
      <c r="U26" s="582"/>
      <c r="V26" s="582"/>
      <c r="W26" s="582"/>
      <c r="X26" s="582"/>
      <c r="Y26" s="582"/>
      <c r="Z26" s="582"/>
      <c r="AA26" s="582"/>
      <c r="AB26" s="582"/>
      <c r="AC26" s="822" t="s">
        <v>19</v>
      </c>
      <c r="AD26" s="583"/>
      <c r="AE26" s="582"/>
      <c r="AF26" s="582"/>
      <c r="AG26" s="582"/>
      <c r="AH26" s="582"/>
      <c r="AI26" s="582"/>
      <c r="AJ26" s="582"/>
      <c r="AK26" s="582"/>
      <c r="AL26" s="582"/>
      <c r="AM26" s="582"/>
      <c r="AN26" s="582"/>
      <c r="AO26" s="582"/>
      <c r="AP26" s="582"/>
      <c r="AQ26" s="582"/>
      <c r="AR26" s="583"/>
      <c r="AS26" s="638">
        <f>SUM(AS27:AS29)</f>
        <v>155500</v>
      </c>
      <c r="AT26" s="638">
        <f t="shared" ref="AT26:AZ26" si="26">SUM(AT27:AT29)</f>
        <v>219500</v>
      </c>
      <c r="AU26" s="638">
        <f t="shared" si="26"/>
        <v>315700.00000000006</v>
      </c>
      <c r="AV26" s="638">
        <f t="shared" si="26"/>
        <v>460600</v>
      </c>
      <c r="AW26" s="638">
        <f t="shared" si="26"/>
        <v>562800</v>
      </c>
      <c r="AX26" s="638">
        <f t="shared" si="26"/>
        <v>637000</v>
      </c>
      <c r="AY26" s="638">
        <f>SUM(AY27:AY29)</f>
        <v>808500</v>
      </c>
      <c r="AZ26" s="638">
        <f t="shared" si="26"/>
        <v>928900</v>
      </c>
      <c r="BA26" s="638">
        <f>SUM(BA27:BA29)</f>
        <v>1091000</v>
      </c>
      <c r="BB26" s="638">
        <f>SUM(BB27:BB29)</f>
        <v>1315800</v>
      </c>
      <c r="BC26" s="638">
        <f>SUM(BC27:BC29)</f>
        <v>1514700</v>
      </c>
      <c r="BD26" s="638">
        <f>SUM(BD27:BD29)</f>
        <v>1758000</v>
      </c>
      <c r="BE26" s="828">
        <f>9768000-BE25</f>
        <v>0</v>
      </c>
      <c r="BF26" s="583"/>
      <c r="BG26" s="582"/>
      <c r="BH26" s="582"/>
      <c r="BI26" s="582"/>
      <c r="BJ26" s="582"/>
      <c r="BK26" s="582"/>
      <c r="BL26" s="582"/>
      <c r="BM26" s="582"/>
      <c r="BN26" s="582"/>
      <c r="BO26" s="582"/>
      <c r="BP26" s="582"/>
      <c r="BQ26" s="582"/>
      <c r="BR26" s="582"/>
      <c r="BS26" s="582"/>
      <c r="BT26" s="582"/>
    </row>
    <row r="27" spans="1:72">
      <c r="A27" s="582"/>
      <c r="B27" s="840" t="s">
        <v>19</v>
      </c>
      <c r="C27" s="841"/>
      <c r="D27" s="841"/>
      <c r="E27" s="841"/>
      <c r="F27" s="841"/>
      <c r="G27" s="841"/>
      <c r="H27" s="841"/>
      <c r="I27" s="841"/>
      <c r="J27" s="841"/>
      <c r="K27" s="841"/>
      <c r="L27" s="841"/>
      <c r="M27" s="841"/>
      <c r="N27" s="841"/>
      <c r="O27" s="841" t="s">
        <v>98</v>
      </c>
      <c r="P27" s="583"/>
      <c r="Q27" s="582"/>
      <c r="R27" s="582"/>
      <c r="S27" s="582"/>
      <c r="T27" s="582"/>
      <c r="U27" s="582"/>
      <c r="V27" s="582"/>
      <c r="W27" s="582"/>
      <c r="X27" s="582"/>
      <c r="Y27" s="582"/>
      <c r="Z27" s="582"/>
      <c r="AA27" s="582"/>
      <c r="AB27" s="582"/>
      <c r="AC27" s="637">
        <v>22000</v>
      </c>
      <c r="AD27" s="583"/>
      <c r="AE27" s="582"/>
      <c r="AF27" s="582"/>
      <c r="AG27" s="582"/>
      <c r="AH27" s="582"/>
      <c r="AI27" s="582"/>
      <c r="AJ27" s="582"/>
      <c r="AK27" s="582"/>
      <c r="AL27" s="582"/>
      <c r="AM27" s="582"/>
      <c r="AN27" s="582"/>
      <c r="AO27" s="582"/>
      <c r="AP27" s="582"/>
      <c r="AQ27" s="582"/>
      <c r="AR27" s="583"/>
      <c r="AS27" s="638">
        <f>AS20*$AC$27</f>
        <v>0</v>
      </c>
      <c r="AT27" s="638">
        <f>AT20*$AC$27</f>
        <v>0</v>
      </c>
      <c r="AU27" s="638">
        <f>AU20*$AC$27*1.1</f>
        <v>24200.000000000004</v>
      </c>
      <c r="AV27" s="638">
        <f>AV20*$AC$27*1.4</f>
        <v>30799.999999999996</v>
      </c>
      <c r="AW27" s="638">
        <f>AW20*$AC$27*1.4</f>
        <v>61599.999999999993</v>
      </c>
      <c r="AX27" s="638">
        <f>AX20*$AC$27*1.4</f>
        <v>61599.999999999993</v>
      </c>
      <c r="AY27" s="638">
        <f>AY20*$AC$27*1.4</f>
        <v>92400</v>
      </c>
      <c r="AZ27" s="638">
        <f>AZ20*$AC$27*1.4</f>
        <v>123199.99999999999</v>
      </c>
      <c r="BA27" s="638">
        <f t="shared" ref="BA27:BB27" si="27">BA20*$AC$27*1.5</f>
        <v>132000</v>
      </c>
      <c r="BB27" s="638">
        <f t="shared" si="27"/>
        <v>165000</v>
      </c>
      <c r="BC27" s="638">
        <f>BC20*$AC$27*1.5</f>
        <v>165000</v>
      </c>
      <c r="BD27" s="638">
        <v>201900</v>
      </c>
      <c r="BE27" s="828"/>
      <c r="BF27" s="583"/>
      <c r="BG27" s="582"/>
      <c r="BH27" s="582"/>
      <c r="BI27" s="582"/>
      <c r="BJ27" s="582"/>
      <c r="BK27" s="582"/>
      <c r="BL27" s="582"/>
      <c r="BM27" s="582"/>
      <c r="BN27" s="582"/>
      <c r="BO27" s="582"/>
      <c r="BP27" s="582"/>
      <c r="BQ27" s="582"/>
      <c r="BR27" s="582"/>
      <c r="BS27" s="582"/>
      <c r="BT27" s="582"/>
    </row>
    <row r="28" spans="1:72">
      <c r="A28" s="582"/>
      <c r="B28" s="840"/>
      <c r="C28" s="841"/>
      <c r="D28" s="841"/>
      <c r="E28" s="841"/>
      <c r="F28" s="841"/>
      <c r="G28" s="841"/>
      <c r="H28" s="841"/>
      <c r="I28" s="841"/>
      <c r="J28" s="841"/>
      <c r="K28" s="841"/>
      <c r="L28" s="841"/>
      <c r="M28" s="841"/>
      <c r="N28" s="841"/>
      <c r="O28" s="841" t="s">
        <v>136</v>
      </c>
      <c r="P28" s="583"/>
      <c r="Q28" s="582"/>
      <c r="R28" s="582"/>
      <c r="S28" s="582"/>
      <c r="T28" s="582"/>
      <c r="U28" s="582"/>
      <c r="V28" s="582"/>
      <c r="W28" s="582"/>
      <c r="X28" s="582"/>
      <c r="Y28" s="582"/>
      <c r="Z28" s="582"/>
      <c r="AA28" s="582"/>
      <c r="AB28" s="582"/>
      <c r="AC28" s="637">
        <v>9000</v>
      </c>
      <c r="AD28" s="583"/>
      <c r="AE28" s="582"/>
      <c r="AF28" s="582"/>
      <c r="AG28" s="582"/>
      <c r="AH28" s="582"/>
      <c r="AI28" s="582"/>
      <c r="AJ28" s="582"/>
      <c r="AK28" s="582"/>
      <c r="AL28" s="582"/>
      <c r="AM28" s="582"/>
      <c r="AN28" s="582"/>
      <c r="AO28" s="582"/>
      <c r="AP28" s="582"/>
      <c r="AQ28" s="582"/>
      <c r="AR28" s="583"/>
      <c r="AS28" s="638">
        <f>AS21*$AC$28</f>
        <v>18000</v>
      </c>
      <c r="AT28" s="638">
        <f t="shared" ref="AT28" si="28">AT21*$AC$28</f>
        <v>27000</v>
      </c>
      <c r="AU28" s="638">
        <f>AU21*$AC$28*1.1</f>
        <v>49500.000000000007</v>
      </c>
      <c r="AV28" s="638">
        <f>AV21*$AC$28*1.4</f>
        <v>75600</v>
      </c>
      <c r="AW28" s="638">
        <f>AW21*$AC$28*1.4</f>
        <v>100800</v>
      </c>
      <c r="AX28" s="638">
        <f>AX21*$AC$28*1.4</f>
        <v>113400</v>
      </c>
      <c r="AY28" s="638">
        <f>AY21*$AC$28*1.4</f>
        <v>138600</v>
      </c>
      <c r="AZ28" s="638">
        <f t="shared" ref="AZ28:BA28" si="29">AZ21*$AC$28*1.4</f>
        <v>151200</v>
      </c>
      <c r="BA28" s="638">
        <f t="shared" si="29"/>
        <v>189000</v>
      </c>
      <c r="BB28" s="638">
        <f>BB21*$AC$28*1.4</f>
        <v>226800</v>
      </c>
      <c r="BC28" s="638">
        <f>BC21*$AC$28*1.4</f>
        <v>277200</v>
      </c>
      <c r="BD28" s="638">
        <f t="shared" ref="BD28" si="30">BD21*$AC$28*1.3</f>
        <v>269100</v>
      </c>
      <c r="BE28" s="828"/>
      <c r="BF28" s="583"/>
      <c r="BG28" s="582"/>
      <c r="BH28" s="582"/>
      <c r="BI28" s="582"/>
      <c r="BJ28" s="582"/>
      <c r="BK28" s="582"/>
      <c r="BL28" s="582"/>
      <c r="BM28" s="582"/>
      <c r="BN28" s="582"/>
      <c r="BO28" s="582"/>
      <c r="BP28" s="582"/>
      <c r="BQ28" s="582"/>
      <c r="BR28" s="582"/>
      <c r="BS28" s="582"/>
      <c r="BT28" s="582"/>
    </row>
    <row r="29" spans="1:72">
      <c r="A29" s="582"/>
      <c r="B29" s="840"/>
      <c r="C29" s="841"/>
      <c r="D29" s="841"/>
      <c r="E29" s="841"/>
      <c r="F29" s="841"/>
      <c r="G29" s="841"/>
      <c r="H29" s="841"/>
      <c r="I29" s="841"/>
      <c r="J29" s="841"/>
      <c r="K29" s="841"/>
      <c r="L29" s="841"/>
      <c r="M29" s="841"/>
      <c r="N29" s="841"/>
      <c r="O29" s="841" t="s">
        <v>137</v>
      </c>
      <c r="P29" s="583"/>
      <c r="Q29" s="582"/>
      <c r="R29" s="582"/>
      <c r="S29" s="582"/>
      <c r="T29" s="582"/>
      <c r="U29" s="582"/>
      <c r="V29" s="582"/>
      <c r="W29" s="582"/>
      <c r="X29" s="582"/>
      <c r="Y29" s="582"/>
      <c r="Z29" s="582"/>
      <c r="AA29" s="582"/>
      <c r="AB29" s="582"/>
      <c r="AC29" s="637">
        <v>5500</v>
      </c>
      <c r="AD29" s="583"/>
      <c r="AE29" s="582"/>
      <c r="AF29" s="582"/>
      <c r="AG29" s="582"/>
      <c r="AH29" s="582"/>
      <c r="AI29" s="582"/>
      <c r="AJ29" s="582"/>
      <c r="AK29" s="582"/>
      <c r="AL29" s="582"/>
      <c r="AM29" s="582"/>
      <c r="AN29" s="582"/>
      <c r="AO29" s="582"/>
      <c r="AP29" s="582"/>
      <c r="AQ29" s="582"/>
      <c r="AR29" s="583"/>
      <c r="AS29" s="638">
        <f>AS22*$AC$29</f>
        <v>137500</v>
      </c>
      <c r="AT29" s="638">
        <f>AT22*$AC$29</f>
        <v>192500</v>
      </c>
      <c r="AU29" s="638">
        <f>AU22*$AC$29*1.1</f>
        <v>242000.00000000003</v>
      </c>
      <c r="AV29" s="638">
        <f>AV22*$AC$29*1.4</f>
        <v>354200</v>
      </c>
      <c r="AW29" s="638">
        <f>AW22*$AC$29*1.4</f>
        <v>400400</v>
      </c>
      <c r="AX29" s="638">
        <f>AX22*$AC$29*1.4</f>
        <v>461999.99999999994</v>
      </c>
      <c r="AY29" s="638">
        <f>AY22*$AC$29*1.4</f>
        <v>577500</v>
      </c>
      <c r="AZ29" s="638">
        <f t="shared" ref="AZ29:BA29" si="31">AZ22*$AC$29*1.4</f>
        <v>654500</v>
      </c>
      <c r="BA29" s="638">
        <f t="shared" si="31"/>
        <v>770000</v>
      </c>
      <c r="BB29" s="638">
        <f>BB22*$AC$29*1.4</f>
        <v>923999.99999999988</v>
      </c>
      <c r="BC29" s="638">
        <f>BC22*$AC$29*1.3</f>
        <v>1072500</v>
      </c>
      <c r="BD29" s="638">
        <f t="shared" ref="BD29" si="32">BD22*$AC$29*1.3</f>
        <v>1287000</v>
      </c>
      <c r="BE29" s="582"/>
      <c r="BF29" s="583"/>
      <c r="BG29" s="582"/>
      <c r="BH29" s="582"/>
      <c r="BI29" s="582"/>
      <c r="BJ29" s="582"/>
      <c r="BK29" s="582"/>
      <c r="BL29" s="582"/>
      <c r="BM29" s="582"/>
      <c r="BN29" s="582"/>
      <c r="BO29" s="582"/>
      <c r="BP29" s="582"/>
      <c r="BQ29" s="582"/>
      <c r="BR29" s="582"/>
      <c r="BS29" s="582"/>
      <c r="BT29" s="582"/>
    </row>
    <row r="30" spans="1:72">
      <c r="A30" s="582"/>
      <c r="B30" s="840"/>
      <c r="C30" s="841"/>
      <c r="D30" s="841"/>
      <c r="E30" s="841"/>
      <c r="F30" s="841"/>
      <c r="G30" s="841"/>
      <c r="H30" s="841"/>
      <c r="I30" s="841"/>
      <c r="J30" s="841"/>
      <c r="K30" s="841"/>
      <c r="L30" s="841"/>
      <c r="M30" s="841"/>
      <c r="N30" s="841"/>
      <c r="O30" s="841"/>
      <c r="P30" s="583"/>
      <c r="Q30" s="582"/>
      <c r="R30" s="582"/>
      <c r="S30" s="582"/>
      <c r="T30" s="582"/>
      <c r="U30" s="582"/>
      <c r="V30" s="582"/>
      <c r="W30" s="582"/>
      <c r="X30" s="582"/>
      <c r="Y30" s="582"/>
      <c r="Z30" s="582"/>
      <c r="AA30" s="582"/>
      <c r="AB30" s="582"/>
      <c r="AC30" s="637" t="s">
        <v>78</v>
      </c>
      <c r="AD30" s="583"/>
      <c r="AE30" s="582"/>
      <c r="AF30" s="582"/>
      <c r="AG30" s="582"/>
      <c r="AH30" s="582"/>
      <c r="AI30" s="582"/>
      <c r="AJ30" s="582"/>
      <c r="AK30" s="582"/>
      <c r="AL30" s="582"/>
      <c r="AM30" s="582"/>
      <c r="AN30" s="582"/>
      <c r="AO30" s="582"/>
      <c r="AP30" s="582"/>
      <c r="AQ30" s="582"/>
      <c r="AR30" s="583"/>
      <c r="BE30" s="582"/>
      <c r="BF30" s="583"/>
      <c r="BG30" s="582"/>
      <c r="BH30" s="582"/>
      <c r="BI30" s="582"/>
      <c r="BJ30" s="582"/>
      <c r="BK30" s="582"/>
      <c r="BL30" s="582"/>
      <c r="BM30" s="582"/>
      <c r="BN30" s="582"/>
      <c r="BO30" s="582"/>
      <c r="BP30" s="582"/>
      <c r="BQ30" s="582"/>
      <c r="BR30" s="582"/>
      <c r="BS30" s="582"/>
      <c r="BT30" s="582"/>
    </row>
    <row r="31" spans="1:72" ht="14.4" hidden="1" thickBot="1">
      <c r="A31" s="582"/>
      <c r="B31" s="581"/>
      <c r="C31" s="582"/>
      <c r="D31" s="582"/>
      <c r="E31" s="582"/>
      <c r="F31" s="582"/>
      <c r="G31" s="582"/>
      <c r="H31" s="582"/>
      <c r="I31" s="582"/>
      <c r="J31" s="582"/>
      <c r="K31" s="582"/>
      <c r="L31" s="582"/>
      <c r="M31" s="582"/>
      <c r="N31" s="582"/>
      <c r="O31" s="582"/>
      <c r="P31" s="583"/>
      <c r="Q31" s="582"/>
      <c r="R31" s="582"/>
      <c r="S31" s="582"/>
      <c r="T31" s="582"/>
      <c r="U31" s="582"/>
      <c r="V31" s="582"/>
      <c r="W31" s="582"/>
      <c r="X31" s="582"/>
      <c r="Y31" s="582"/>
      <c r="Z31" s="582"/>
      <c r="AA31" s="582"/>
      <c r="AB31" s="582"/>
      <c r="AC31" s="637"/>
      <c r="AD31" s="583"/>
      <c r="AE31" s="582"/>
      <c r="AF31" s="582"/>
      <c r="AG31" s="582"/>
      <c r="AH31" s="582"/>
      <c r="AI31" s="582"/>
      <c r="AJ31" s="582"/>
      <c r="AK31" s="582"/>
      <c r="AL31" s="582"/>
      <c r="AM31" s="582"/>
      <c r="AN31" s="582"/>
      <c r="AO31" s="582"/>
      <c r="AP31" s="582"/>
      <c r="AQ31" s="582"/>
      <c r="AR31" s="583"/>
      <c r="AS31" s="638"/>
      <c r="AT31" s="638"/>
      <c r="AU31" s="638"/>
      <c r="AV31" s="638"/>
      <c r="AW31" s="638"/>
      <c r="AX31" s="638"/>
      <c r="AY31" s="638"/>
      <c r="AZ31" s="638"/>
      <c r="BA31" s="638"/>
      <c r="BB31" s="638"/>
      <c r="BC31" s="638"/>
      <c r="BD31" s="638"/>
      <c r="BE31" s="582"/>
      <c r="BF31" s="583"/>
      <c r="BG31" s="582"/>
      <c r="BH31" s="582"/>
      <c r="BI31" s="582"/>
      <c r="BJ31" s="582"/>
      <c r="BK31" s="582"/>
      <c r="BL31" s="582"/>
      <c r="BM31" s="582"/>
      <c r="BN31" s="582"/>
      <c r="BO31" s="582"/>
      <c r="BP31" s="582"/>
      <c r="BQ31" s="582"/>
      <c r="BR31" s="582"/>
      <c r="BS31" s="582"/>
      <c r="BT31" s="582"/>
    </row>
    <row r="32" spans="1:72" ht="23.4" hidden="1" customHeight="1">
      <c r="A32" s="582"/>
      <c r="B32" s="581" t="s">
        <v>1176</v>
      </c>
      <c r="C32" s="582"/>
      <c r="D32" s="582"/>
      <c r="E32" s="582"/>
      <c r="F32" s="582"/>
      <c r="G32" s="582"/>
      <c r="H32" s="582"/>
      <c r="I32" s="582"/>
      <c r="J32" s="582"/>
      <c r="K32" s="582"/>
      <c r="L32" s="582"/>
      <c r="M32" s="582"/>
      <c r="N32" s="582"/>
      <c r="O32" s="582"/>
      <c r="P32" s="583"/>
      <c r="Q32" s="582"/>
      <c r="R32" s="582"/>
      <c r="S32" s="582"/>
      <c r="T32" s="582"/>
      <c r="U32" s="582"/>
      <c r="V32" s="582"/>
      <c r="W32" s="582"/>
      <c r="X32" s="582"/>
      <c r="Y32" s="582"/>
      <c r="Z32" s="582"/>
      <c r="AA32" s="582"/>
      <c r="AB32" s="582"/>
      <c r="AC32" s="639" t="s">
        <v>1155</v>
      </c>
      <c r="AD32" s="583"/>
      <c r="AE32" s="582"/>
      <c r="AF32" s="582"/>
      <c r="AG32" s="582"/>
      <c r="AH32" s="582"/>
      <c r="AI32" s="582"/>
      <c r="AJ32" s="582"/>
      <c r="AK32" s="582"/>
      <c r="AL32" s="582"/>
      <c r="AM32" s="582"/>
      <c r="AN32" s="582"/>
      <c r="AO32" s="582"/>
      <c r="AP32" s="582"/>
      <c r="AQ32" s="582"/>
      <c r="AR32" s="583"/>
      <c r="AS32" s="833">
        <v>2738982</v>
      </c>
      <c r="AT32" s="833">
        <v>2886857</v>
      </c>
      <c r="AU32" s="833">
        <v>3391204</v>
      </c>
      <c r="AV32" s="833">
        <v>4140472</v>
      </c>
      <c r="AW32" s="833">
        <v>4303243</v>
      </c>
      <c r="AX32" s="833">
        <v>4710168</v>
      </c>
      <c r="AY32" s="833">
        <v>5524020</v>
      </c>
      <c r="AZ32" s="833">
        <v>5930946</v>
      </c>
      <c r="BA32" s="833">
        <v>6337872</v>
      </c>
      <c r="BB32" s="833">
        <v>7355186</v>
      </c>
      <c r="BC32" s="833">
        <v>8372501</v>
      </c>
      <c r="BD32" s="833">
        <v>9593278</v>
      </c>
      <c r="BE32" s="640">
        <f>SUM(AS32:BD32)</f>
        <v>65284729</v>
      </c>
      <c r="BF32" s="641"/>
      <c r="BG32" s="642"/>
      <c r="BH32" s="642"/>
      <c r="BI32" s="642"/>
      <c r="BJ32" s="642"/>
      <c r="BK32" s="642"/>
      <c r="BL32" s="642"/>
      <c r="BM32" s="642"/>
      <c r="BN32" s="642"/>
      <c r="BO32" s="642"/>
      <c r="BP32" s="642"/>
      <c r="BQ32" s="642"/>
      <c r="BR32" s="642"/>
      <c r="BS32" s="643" t="s">
        <v>1156</v>
      </c>
      <c r="BT32" s="617"/>
    </row>
    <row r="33" spans="1:72" ht="23.4" hidden="1" customHeight="1">
      <c r="A33" s="582"/>
      <c r="B33" s="837" t="s">
        <v>1175</v>
      </c>
      <c r="C33" s="582"/>
      <c r="D33" s="582"/>
      <c r="E33" s="582"/>
      <c r="F33" s="582"/>
      <c r="G33" s="582"/>
      <c r="H33" s="582"/>
      <c r="I33" s="582"/>
      <c r="J33" s="582"/>
      <c r="K33" s="582"/>
      <c r="L33" s="582"/>
      <c r="M33" s="582"/>
      <c r="N33" s="582"/>
      <c r="O33" s="582"/>
      <c r="P33" s="583"/>
      <c r="Q33" s="582"/>
      <c r="R33" s="582"/>
      <c r="S33" s="582"/>
      <c r="T33" s="582"/>
      <c r="U33" s="582"/>
      <c r="V33" s="582"/>
      <c r="W33" s="582"/>
      <c r="X33" s="582"/>
      <c r="Y33" s="582"/>
      <c r="Z33" s="582"/>
      <c r="AA33" s="582"/>
      <c r="AB33" s="582"/>
      <c r="AC33" s="644" t="s">
        <v>1157</v>
      </c>
      <c r="AD33" s="583"/>
      <c r="AE33" s="582"/>
      <c r="AF33" s="582"/>
      <c r="AG33" s="582"/>
      <c r="AH33" s="582"/>
      <c r="AI33" s="582"/>
      <c r="AJ33" s="582"/>
      <c r="AK33" s="582"/>
      <c r="AL33" s="582"/>
      <c r="AM33" s="582"/>
      <c r="AN33" s="582"/>
      <c r="AO33" s="582"/>
      <c r="AP33" s="582"/>
      <c r="AQ33" s="582"/>
      <c r="AR33" s="583"/>
      <c r="AS33" s="834">
        <v>1139803.923375</v>
      </c>
      <c r="AT33" s="834">
        <v>1251928.923375</v>
      </c>
      <c r="AU33" s="834">
        <v>1654553.2266249999</v>
      </c>
      <c r="AV33" s="834">
        <v>2429093.0189500004</v>
      </c>
      <c r="AW33" s="834">
        <v>2855954.9125250001</v>
      </c>
      <c r="AX33" s="834">
        <v>3247982.8511000006</v>
      </c>
      <c r="AY33" s="834">
        <v>4107565.267</v>
      </c>
      <c r="AZ33" s="834">
        <v>4763684.7641500002</v>
      </c>
      <c r="BA33" s="834">
        <v>5573535.3261249997</v>
      </c>
      <c r="BB33" s="834">
        <v>6703067.9293500017</v>
      </c>
      <c r="BC33" s="834">
        <v>8189794.5161500014</v>
      </c>
      <c r="BD33" s="834">
        <v>9593278.4197250009</v>
      </c>
      <c r="BE33" s="640">
        <f>SUM(AS33:BD33)</f>
        <v>51510243.078450009</v>
      </c>
      <c r="BF33" s="645"/>
      <c r="BG33" s="646"/>
      <c r="BH33" s="646"/>
      <c r="BI33" s="646"/>
      <c r="BJ33" s="646"/>
      <c r="BK33" s="646"/>
      <c r="BL33" s="646"/>
      <c r="BM33" s="646"/>
      <c r="BN33" s="646"/>
      <c r="BO33" s="646"/>
      <c r="BP33" s="646"/>
      <c r="BQ33" s="646"/>
      <c r="BR33" s="646"/>
      <c r="BS33" s="647">
        <f>BE32-BE33</f>
        <v>13774485.921549991</v>
      </c>
      <c r="BT33" s="623"/>
    </row>
    <row r="34" spans="1:72" hidden="1">
      <c r="A34" s="582"/>
      <c r="B34" s="581"/>
      <c r="C34" s="582"/>
      <c r="D34" s="582"/>
      <c r="E34" s="582"/>
      <c r="F34" s="582"/>
      <c r="G34" s="582"/>
      <c r="H34" s="582"/>
      <c r="I34" s="582"/>
      <c r="J34" s="582"/>
      <c r="K34" s="582"/>
      <c r="L34" s="582"/>
      <c r="M34" s="582"/>
      <c r="N34" s="582"/>
      <c r="O34" s="582"/>
      <c r="P34" s="583"/>
      <c r="Q34" s="582"/>
      <c r="R34" s="582"/>
      <c r="S34" s="582"/>
      <c r="T34" s="582"/>
      <c r="U34" s="582"/>
      <c r="V34" s="582"/>
      <c r="W34" s="582"/>
      <c r="X34" s="582"/>
      <c r="Y34" s="582"/>
      <c r="Z34" s="582"/>
      <c r="AA34" s="582"/>
      <c r="AB34" s="582"/>
      <c r="AC34" s="648"/>
      <c r="AD34" s="583"/>
      <c r="AE34" s="582"/>
      <c r="AF34" s="582"/>
      <c r="AG34" s="582"/>
      <c r="AH34" s="582"/>
      <c r="AI34" s="582"/>
      <c r="AJ34" s="582"/>
      <c r="AK34" s="582"/>
      <c r="AL34" s="582"/>
      <c r="AM34" s="582"/>
      <c r="AN34" s="582"/>
      <c r="AO34" s="582"/>
      <c r="AP34" s="582"/>
      <c r="AQ34" s="582"/>
      <c r="AR34" s="583"/>
      <c r="AS34" s="649" t="s">
        <v>1158</v>
      </c>
      <c r="AT34" s="648"/>
      <c r="AU34" s="648"/>
      <c r="AV34" s="648"/>
      <c r="AW34" s="648"/>
      <c r="AX34" s="648"/>
      <c r="AY34" s="648"/>
      <c r="AZ34" s="648"/>
      <c r="BA34" s="648"/>
      <c r="BB34" s="648"/>
      <c r="BC34" s="648"/>
      <c r="BD34" s="648"/>
      <c r="BE34" s="838"/>
      <c r="BF34" s="651"/>
      <c r="BG34" s="650"/>
      <c r="BH34" s="650"/>
      <c r="BI34" s="650"/>
      <c r="BJ34" s="650"/>
      <c r="BK34" s="650"/>
      <c r="BL34" s="650"/>
      <c r="BM34" s="650"/>
      <c r="BN34" s="650"/>
      <c r="BO34" s="650"/>
      <c r="BP34" s="650"/>
      <c r="BQ34" s="650"/>
      <c r="BR34" s="650"/>
      <c r="BS34" s="835"/>
      <c r="BT34" s="648"/>
    </row>
    <row r="35" spans="1:72">
      <c r="A35" s="582"/>
      <c r="B35" s="581"/>
      <c r="C35" s="582"/>
      <c r="D35" s="582"/>
      <c r="E35" s="582"/>
      <c r="F35" s="582"/>
      <c r="G35" s="582"/>
      <c r="H35" s="582"/>
      <c r="I35" s="582"/>
      <c r="J35" s="582"/>
      <c r="K35" s="582"/>
      <c r="L35" s="582"/>
      <c r="M35" s="582"/>
      <c r="N35" s="582"/>
      <c r="O35" s="582"/>
      <c r="P35" s="583"/>
      <c r="Q35" s="582"/>
      <c r="R35" s="582"/>
      <c r="S35" s="582"/>
      <c r="T35" s="582"/>
      <c r="U35" s="582"/>
      <c r="V35" s="582"/>
      <c r="W35" s="582"/>
      <c r="X35" s="582"/>
      <c r="Y35" s="582"/>
      <c r="Z35" s="582"/>
      <c r="AA35" s="582"/>
      <c r="AB35" s="582"/>
      <c r="AC35" s="582"/>
      <c r="AD35" s="583"/>
      <c r="AE35" s="582"/>
      <c r="AF35" s="582"/>
      <c r="AG35" s="582"/>
      <c r="AH35" s="582"/>
      <c r="AI35" s="582"/>
      <c r="AJ35" s="582"/>
      <c r="AK35" s="582"/>
      <c r="AL35" s="582"/>
      <c r="AM35" s="582"/>
      <c r="AN35" s="582"/>
      <c r="AO35" s="582"/>
      <c r="AP35" s="582"/>
      <c r="AQ35" s="582"/>
      <c r="AR35" s="583"/>
      <c r="AS35" s="582"/>
      <c r="AT35" s="582"/>
      <c r="AU35" s="582"/>
      <c r="AV35" s="582"/>
      <c r="AW35" s="582"/>
      <c r="AX35" s="582"/>
      <c r="AY35" s="582"/>
      <c r="AZ35" s="582"/>
      <c r="BA35" s="582"/>
      <c r="BB35" s="582"/>
      <c r="BC35" s="582"/>
      <c r="BD35" s="582"/>
      <c r="BE35" s="653"/>
      <c r="BF35" s="654"/>
      <c r="BG35" s="653"/>
      <c r="BH35" s="653"/>
      <c r="BI35" s="653"/>
      <c r="BJ35" s="653"/>
      <c r="BK35" s="653"/>
      <c r="BL35" s="653"/>
      <c r="BM35" s="653"/>
      <c r="BN35" s="653"/>
      <c r="BO35" s="653"/>
      <c r="BP35" s="653"/>
      <c r="BQ35" s="653"/>
      <c r="BR35" s="653"/>
      <c r="BS35" s="655"/>
      <c r="BT35" s="582"/>
    </row>
    <row r="36" spans="1:72">
      <c r="A36" s="582"/>
      <c r="B36" s="581"/>
      <c r="C36" s="582"/>
      <c r="D36" s="582"/>
      <c r="E36" s="582"/>
      <c r="F36" s="582"/>
      <c r="G36" s="582"/>
      <c r="H36" s="582"/>
      <c r="I36" s="582"/>
      <c r="J36" s="582"/>
      <c r="K36" s="582"/>
      <c r="L36" s="582"/>
      <c r="M36" s="582"/>
      <c r="N36" s="582"/>
      <c r="O36" s="582"/>
      <c r="P36" s="583"/>
      <c r="Q36" s="582"/>
      <c r="R36" s="582"/>
      <c r="S36" s="582"/>
      <c r="T36" s="582"/>
      <c r="U36" s="582"/>
      <c r="V36" s="582"/>
      <c r="W36" s="582"/>
      <c r="X36" s="582"/>
      <c r="Y36" s="582"/>
      <c r="Z36" s="582"/>
      <c r="AA36" s="582"/>
      <c r="AB36" s="582"/>
      <c r="AC36" s="582"/>
      <c r="AD36" s="583"/>
      <c r="AE36" s="582"/>
      <c r="AF36" s="582"/>
      <c r="AG36" s="582"/>
      <c r="AH36" s="582"/>
      <c r="AI36" s="582"/>
      <c r="AJ36" s="582"/>
      <c r="AK36" s="582"/>
      <c r="AL36" s="582"/>
      <c r="AM36" s="582"/>
      <c r="AN36" s="582"/>
      <c r="AO36" s="582"/>
      <c r="AP36" s="582"/>
      <c r="AQ36" s="582"/>
      <c r="AR36" s="583"/>
      <c r="AS36" s="587" t="s">
        <v>1129</v>
      </c>
      <c r="AT36" s="587" t="s">
        <v>1130</v>
      </c>
      <c r="AU36" s="587" t="s">
        <v>1131</v>
      </c>
      <c r="AV36" s="587" t="s">
        <v>1132</v>
      </c>
      <c r="AW36" s="587" t="s">
        <v>1133</v>
      </c>
      <c r="AX36" s="587" t="s">
        <v>1134</v>
      </c>
      <c r="AY36" s="587" t="s">
        <v>1135</v>
      </c>
      <c r="AZ36" s="587" t="s">
        <v>1136</v>
      </c>
      <c r="BA36" s="587" t="s">
        <v>1137</v>
      </c>
      <c r="BB36" s="587" t="s">
        <v>1138</v>
      </c>
      <c r="BC36" s="587" t="s">
        <v>1139</v>
      </c>
      <c r="BD36" s="587" t="s">
        <v>1140</v>
      </c>
      <c r="BE36" s="653"/>
      <c r="BF36" s="654"/>
      <c r="BG36" s="653"/>
      <c r="BH36" s="653"/>
      <c r="BI36" s="653"/>
      <c r="BJ36" s="653"/>
      <c r="BK36" s="653"/>
      <c r="BL36" s="653"/>
      <c r="BM36" s="653"/>
      <c r="BN36" s="653"/>
      <c r="BO36" s="653"/>
      <c r="BP36" s="653"/>
      <c r="BQ36" s="653"/>
      <c r="BR36" s="653"/>
      <c r="BS36" s="655"/>
      <c r="BT36" s="582"/>
    </row>
    <row r="37" spans="1:72" ht="31.8" thickBot="1">
      <c r="A37" s="582"/>
      <c r="B37" s="581"/>
      <c r="C37" s="582"/>
      <c r="D37" s="582"/>
      <c r="E37" s="582"/>
      <c r="F37" s="582"/>
      <c r="G37" s="582"/>
      <c r="H37" s="582"/>
      <c r="I37" s="582"/>
      <c r="J37" s="582"/>
      <c r="K37" s="582"/>
      <c r="L37" s="582"/>
      <c r="M37" s="582"/>
      <c r="N37" s="582"/>
      <c r="O37" s="582"/>
      <c r="P37" s="583"/>
      <c r="Q37" s="582"/>
      <c r="R37" s="582"/>
      <c r="S37" s="582"/>
      <c r="T37" s="582"/>
      <c r="U37" s="582"/>
      <c r="V37" s="582"/>
      <c r="W37" s="582"/>
      <c r="X37" s="582"/>
      <c r="Y37" s="582"/>
      <c r="Z37" s="582"/>
      <c r="AA37" s="582"/>
      <c r="AB37" s="582"/>
      <c r="AC37" s="613" t="s">
        <v>1159</v>
      </c>
      <c r="AD37" s="583"/>
      <c r="AE37" s="582"/>
      <c r="AF37" s="582"/>
      <c r="AG37" s="582"/>
      <c r="AH37" s="582"/>
      <c r="AI37" s="582"/>
      <c r="AJ37" s="582"/>
      <c r="AK37" s="582"/>
      <c r="AL37" s="582"/>
      <c r="AM37" s="582"/>
      <c r="AN37" s="582"/>
      <c r="AO37" s="582"/>
      <c r="AP37" s="582"/>
      <c r="AQ37" s="582"/>
      <c r="AR37" s="583"/>
      <c r="AS37" s="614">
        <v>8</v>
      </c>
      <c r="AT37" s="614">
        <v>8</v>
      </c>
      <c r="AU37" s="614">
        <v>8</v>
      </c>
      <c r="AV37" s="614">
        <v>8</v>
      </c>
      <c r="AW37" s="614">
        <v>8</v>
      </c>
      <c r="AX37" s="614">
        <v>8</v>
      </c>
      <c r="AY37" s="614">
        <v>8</v>
      </c>
      <c r="AZ37" s="614">
        <v>8</v>
      </c>
      <c r="BA37" s="614">
        <v>8</v>
      </c>
      <c r="BB37" s="614">
        <v>8</v>
      </c>
      <c r="BC37" s="614">
        <v>8</v>
      </c>
      <c r="BD37" s="614">
        <v>8</v>
      </c>
      <c r="BE37" s="653"/>
      <c r="BF37" s="654"/>
      <c r="BG37" s="653"/>
      <c r="BH37" s="653"/>
      <c r="BI37" s="653"/>
      <c r="BJ37" s="653"/>
      <c r="BK37" s="653"/>
      <c r="BL37" s="653"/>
      <c r="BM37" s="653"/>
      <c r="BN37" s="653"/>
      <c r="BO37" s="653"/>
      <c r="BP37" s="653"/>
      <c r="BQ37" s="653"/>
      <c r="BR37" s="653"/>
      <c r="BS37" s="655"/>
      <c r="BT37" s="582"/>
    </row>
    <row r="38" spans="1:72" ht="31.2">
      <c r="A38" s="582"/>
      <c r="B38" s="581"/>
      <c r="C38" s="582"/>
      <c r="D38" s="582"/>
      <c r="E38" s="582"/>
      <c r="F38" s="582"/>
      <c r="G38" s="582"/>
      <c r="H38" s="582"/>
      <c r="I38" s="582"/>
      <c r="J38" s="582"/>
      <c r="K38" s="582"/>
      <c r="L38" s="582"/>
      <c r="M38" s="582"/>
      <c r="N38" s="582"/>
      <c r="O38" s="582"/>
      <c r="P38" s="583"/>
      <c r="Q38" s="582"/>
      <c r="R38" s="582"/>
      <c r="S38" s="582"/>
      <c r="T38" s="582"/>
      <c r="U38" s="582"/>
      <c r="V38" s="582"/>
      <c r="W38" s="582"/>
      <c r="X38" s="582"/>
      <c r="Y38" s="582"/>
      <c r="Z38" s="582"/>
      <c r="AA38" s="582"/>
      <c r="AB38" s="582"/>
      <c r="AC38" s="618" t="s">
        <v>1160</v>
      </c>
      <c r="AD38" s="583"/>
      <c r="AE38" s="582"/>
      <c r="AF38" s="582"/>
      <c r="AG38" s="582"/>
      <c r="AH38" s="582"/>
      <c r="AI38" s="582"/>
      <c r="AJ38" s="582"/>
      <c r="AK38" s="582"/>
      <c r="AL38" s="582"/>
      <c r="AM38" s="582"/>
      <c r="AN38" s="582"/>
      <c r="AO38" s="582"/>
      <c r="AP38" s="582"/>
      <c r="AQ38" s="582"/>
      <c r="AR38" s="583"/>
      <c r="AS38" s="619">
        <v>3</v>
      </c>
      <c r="AT38" s="620">
        <v>5</v>
      </c>
      <c r="AU38" s="620">
        <v>7</v>
      </c>
      <c r="AV38" s="620">
        <v>7</v>
      </c>
      <c r="AW38" s="620">
        <v>7</v>
      </c>
      <c r="AX38" s="620">
        <v>8</v>
      </c>
      <c r="AY38" s="620">
        <v>8</v>
      </c>
      <c r="AZ38" s="620">
        <v>8</v>
      </c>
      <c r="BA38" s="620">
        <v>8</v>
      </c>
      <c r="BB38" s="620">
        <v>8</v>
      </c>
      <c r="BC38" s="620">
        <v>8</v>
      </c>
      <c r="BD38" s="621">
        <v>8</v>
      </c>
      <c r="BE38" s="653"/>
      <c r="BF38" s="654"/>
      <c r="BG38" s="653"/>
      <c r="BH38" s="653"/>
      <c r="BI38" s="653"/>
      <c r="BJ38" s="653"/>
      <c r="BK38" s="653"/>
      <c r="BL38" s="653"/>
      <c r="BM38" s="653"/>
      <c r="BN38" s="653"/>
      <c r="BO38" s="653"/>
      <c r="BP38" s="653"/>
      <c r="BQ38" s="653"/>
      <c r="BR38" s="653"/>
      <c r="BS38" s="655"/>
      <c r="BT38" s="582"/>
    </row>
    <row r="39" spans="1:72" ht="15.6">
      <c r="A39" s="582"/>
      <c r="B39" s="581"/>
      <c r="C39" s="582"/>
      <c r="D39" s="582"/>
      <c r="E39" s="582"/>
      <c r="F39" s="582"/>
      <c r="G39" s="582"/>
      <c r="H39" s="582"/>
      <c r="I39" s="582"/>
      <c r="J39" s="582"/>
      <c r="K39" s="582"/>
      <c r="L39" s="582"/>
      <c r="M39" s="582"/>
      <c r="N39" s="582"/>
      <c r="O39" s="582"/>
      <c r="P39" s="583"/>
      <c r="Q39" s="582"/>
      <c r="R39" s="582"/>
      <c r="S39" s="582"/>
      <c r="T39" s="582"/>
      <c r="U39" s="582"/>
      <c r="V39" s="582"/>
      <c r="W39" s="582"/>
      <c r="X39" s="582"/>
      <c r="Y39" s="582"/>
      <c r="Z39" s="582"/>
      <c r="AA39" s="582"/>
      <c r="AB39" s="582"/>
      <c r="AC39" s="624" t="s">
        <v>1161</v>
      </c>
      <c r="AD39" s="583"/>
      <c r="AE39" s="582"/>
      <c r="AF39" s="582"/>
      <c r="AG39" s="582"/>
      <c r="AH39" s="582"/>
      <c r="AI39" s="582"/>
      <c r="AJ39" s="582"/>
      <c r="AK39" s="582"/>
      <c r="AL39" s="582"/>
      <c r="AM39" s="582"/>
      <c r="AN39" s="582"/>
      <c r="AO39" s="582"/>
      <c r="AP39" s="582"/>
      <c r="AQ39" s="582"/>
      <c r="AR39" s="583"/>
      <c r="AS39" s="656">
        <v>3</v>
      </c>
      <c r="AT39" s="657">
        <v>3</v>
      </c>
      <c r="AU39" s="627">
        <v>4</v>
      </c>
      <c r="AV39" s="627">
        <v>4</v>
      </c>
      <c r="AW39" s="627">
        <v>4</v>
      </c>
      <c r="AX39" s="627">
        <v>4</v>
      </c>
      <c r="AY39" s="627">
        <v>4</v>
      </c>
      <c r="AZ39" s="627">
        <v>4</v>
      </c>
      <c r="BA39" s="627">
        <v>4</v>
      </c>
      <c r="BB39" s="627">
        <v>4</v>
      </c>
      <c r="BC39" s="627">
        <v>4</v>
      </c>
      <c r="BD39" s="629">
        <v>4</v>
      </c>
      <c r="BE39" s="653"/>
      <c r="BF39" s="654"/>
      <c r="BG39" s="653"/>
      <c r="BH39" s="653"/>
      <c r="BI39" s="653"/>
      <c r="BJ39" s="653"/>
      <c r="BK39" s="653"/>
      <c r="BL39" s="653"/>
      <c r="BM39" s="653"/>
      <c r="BN39" s="653"/>
      <c r="BO39" s="653"/>
      <c r="BP39" s="653"/>
      <c r="BQ39" s="653"/>
      <c r="BR39" s="653"/>
      <c r="BS39" s="655"/>
      <c r="BT39" s="582"/>
    </row>
    <row r="40" spans="1:72" ht="16.2" thickBot="1">
      <c r="A40" s="582"/>
      <c r="B40" s="581"/>
      <c r="C40" s="582"/>
      <c r="D40" s="582"/>
      <c r="E40" s="582"/>
      <c r="F40" s="582"/>
      <c r="G40" s="582"/>
      <c r="H40" s="582"/>
      <c r="I40" s="582"/>
      <c r="J40" s="582"/>
      <c r="K40" s="582"/>
      <c r="L40" s="582"/>
      <c r="M40" s="582"/>
      <c r="N40" s="582"/>
      <c r="O40" s="582"/>
      <c r="P40" s="583"/>
      <c r="Q40" s="582"/>
      <c r="R40" s="582"/>
      <c r="S40" s="582"/>
      <c r="T40" s="582"/>
      <c r="U40" s="582"/>
      <c r="V40" s="582"/>
      <c r="W40" s="582"/>
      <c r="X40" s="582"/>
      <c r="Y40" s="582"/>
      <c r="Z40" s="582"/>
      <c r="AA40" s="582"/>
      <c r="AB40" s="582"/>
      <c r="AC40" s="631" t="s">
        <v>942</v>
      </c>
      <c r="AD40" s="583"/>
      <c r="AE40" s="582"/>
      <c r="AF40" s="582"/>
      <c r="AG40" s="582"/>
      <c r="AH40" s="582"/>
      <c r="AI40" s="582"/>
      <c r="AJ40" s="582"/>
      <c r="AK40" s="582"/>
      <c r="AL40" s="582"/>
      <c r="AM40" s="582"/>
      <c r="AN40" s="582"/>
      <c r="AO40" s="582"/>
      <c r="AP40" s="582"/>
      <c r="AQ40" s="582"/>
      <c r="AR40" s="583"/>
      <c r="AS40" s="658">
        <v>0</v>
      </c>
      <c r="AT40" s="659">
        <v>2</v>
      </c>
      <c r="AU40" s="634">
        <v>3</v>
      </c>
      <c r="AV40" s="634">
        <v>3</v>
      </c>
      <c r="AW40" s="634">
        <v>3</v>
      </c>
      <c r="AX40" s="634">
        <v>4</v>
      </c>
      <c r="AY40" s="634">
        <v>4</v>
      </c>
      <c r="AZ40" s="634">
        <v>4</v>
      </c>
      <c r="BA40" s="634">
        <v>4</v>
      </c>
      <c r="BB40" s="634">
        <v>4</v>
      </c>
      <c r="BC40" s="634">
        <v>4</v>
      </c>
      <c r="BD40" s="636">
        <v>4</v>
      </c>
      <c r="BE40" s="653"/>
      <c r="BF40" s="654"/>
      <c r="BG40" s="653"/>
      <c r="BH40" s="653"/>
      <c r="BI40" s="653"/>
      <c r="BJ40" s="653"/>
      <c r="BK40" s="653"/>
      <c r="BL40" s="653"/>
      <c r="BM40" s="653"/>
      <c r="BN40" s="653"/>
      <c r="BO40" s="653"/>
      <c r="BP40" s="653"/>
      <c r="BQ40" s="653"/>
      <c r="BR40" s="653"/>
      <c r="BS40" s="655"/>
      <c r="BT40" s="582"/>
    </row>
    <row r="41" spans="1:72">
      <c r="A41" s="582"/>
      <c r="B41" s="581"/>
      <c r="C41" s="582"/>
      <c r="D41" s="582"/>
      <c r="E41" s="582"/>
      <c r="F41" s="582"/>
      <c r="G41" s="582"/>
      <c r="H41" s="582"/>
      <c r="I41" s="582"/>
      <c r="J41" s="582"/>
      <c r="K41" s="582"/>
      <c r="L41" s="582"/>
      <c r="M41" s="582"/>
      <c r="N41" s="582"/>
      <c r="O41" s="582"/>
      <c r="P41" s="583"/>
      <c r="Q41" s="582"/>
      <c r="R41" s="582"/>
      <c r="S41" s="582"/>
      <c r="T41" s="582"/>
      <c r="U41" s="582"/>
      <c r="V41" s="582"/>
      <c r="W41" s="582"/>
      <c r="X41" s="582"/>
      <c r="Y41" s="582"/>
      <c r="Z41" s="582"/>
      <c r="AA41" s="582"/>
      <c r="AB41" s="582"/>
      <c r="AC41" s="637" t="s">
        <v>1154</v>
      </c>
      <c r="AD41" s="583"/>
      <c r="AE41" s="582"/>
      <c r="AF41" s="582"/>
      <c r="AG41" s="582"/>
      <c r="AH41" s="582"/>
      <c r="AI41" s="582"/>
      <c r="AJ41" s="582"/>
      <c r="AK41" s="582"/>
      <c r="AL41" s="582"/>
      <c r="AM41" s="582"/>
      <c r="AN41" s="582"/>
      <c r="AO41" s="582"/>
      <c r="AP41" s="582"/>
      <c r="AQ41" s="582"/>
      <c r="AR41" s="583"/>
      <c r="AS41" s="638">
        <f>AS38-AS37</f>
        <v>-5</v>
      </c>
      <c r="AT41" s="638">
        <f t="shared" ref="AT41:BD41" si="33">AT38-AT37</f>
        <v>-3</v>
      </c>
      <c r="AU41" s="638">
        <f t="shared" si="33"/>
        <v>-1</v>
      </c>
      <c r="AV41" s="638">
        <f t="shared" si="33"/>
        <v>-1</v>
      </c>
      <c r="AW41" s="638">
        <f t="shared" si="33"/>
        <v>-1</v>
      </c>
      <c r="AX41" s="638">
        <f t="shared" si="33"/>
        <v>0</v>
      </c>
      <c r="AY41" s="638">
        <f t="shared" si="33"/>
        <v>0</v>
      </c>
      <c r="AZ41" s="638">
        <f t="shared" si="33"/>
        <v>0</v>
      </c>
      <c r="BA41" s="638">
        <f t="shared" si="33"/>
        <v>0</v>
      </c>
      <c r="BB41" s="638">
        <f t="shared" si="33"/>
        <v>0</v>
      </c>
      <c r="BC41" s="638">
        <f>BC38-BC37</f>
        <v>0</v>
      </c>
      <c r="BD41" s="638">
        <f t="shared" si="33"/>
        <v>0</v>
      </c>
      <c r="BE41" s="653"/>
      <c r="BF41" s="654"/>
      <c r="BG41" s="653"/>
      <c r="BH41" s="653"/>
      <c r="BI41" s="653"/>
      <c r="BJ41" s="653"/>
      <c r="BK41" s="653"/>
      <c r="BL41" s="653"/>
      <c r="BM41" s="653"/>
      <c r="BN41" s="653"/>
      <c r="BO41" s="653"/>
      <c r="BP41" s="653"/>
      <c r="BQ41" s="653"/>
      <c r="BR41" s="653"/>
      <c r="BS41" s="655"/>
      <c r="BT41" s="582"/>
    </row>
    <row r="42" spans="1:72">
      <c r="A42" s="582"/>
      <c r="B42" s="581"/>
      <c r="C42" s="582"/>
      <c r="D42" s="582"/>
      <c r="E42" s="582"/>
      <c r="F42" s="582"/>
      <c r="G42" s="582"/>
      <c r="H42" s="582"/>
      <c r="I42" s="582"/>
      <c r="J42" s="582"/>
      <c r="K42" s="582"/>
      <c r="L42" s="582"/>
      <c r="M42" s="582"/>
      <c r="N42" s="582"/>
      <c r="O42" s="582"/>
      <c r="P42" s="583"/>
      <c r="Q42" s="582"/>
      <c r="R42" s="582"/>
      <c r="S42" s="582"/>
      <c r="T42" s="582"/>
      <c r="U42" s="582"/>
      <c r="V42" s="582"/>
      <c r="W42" s="582"/>
      <c r="X42" s="582"/>
      <c r="Y42" s="582"/>
      <c r="Z42" s="582"/>
      <c r="AA42" s="582"/>
      <c r="AB42" s="582"/>
      <c r="AC42" s="648"/>
      <c r="AD42" s="583"/>
      <c r="AE42" s="582"/>
      <c r="AF42" s="582"/>
      <c r="AG42" s="582"/>
      <c r="AH42" s="582"/>
      <c r="AI42" s="582"/>
      <c r="AJ42" s="582"/>
      <c r="AK42" s="582"/>
      <c r="AL42" s="582"/>
      <c r="AM42" s="582"/>
      <c r="AN42" s="582"/>
      <c r="AO42" s="582"/>
      <c r="AP42" s="582"/>
      <c r="AQ42" s="582"/>
      <c r="AR42" s="583"/>
      <c r="AS42" s="648"/>
      <c r="AT42" s="648"/>
      <c r="AU42" s="648"/>
      <c r="AV42" s="648"/>
      <c r="AW42" s="648"/>
      <c r="AX42" s="648"/>
      <c r="AY42" s="648"/>
      <c r="AZ42" s="648"/>
      <c r="BA42" s="648"/>
      <c r="BB42" s="648"/>
      <c r="BC42" s="648"/>
      <c r="BD42" s="648"/>
      <c r="BE42" s="650"/>
      <c r="BF42" s="651"/>
      <c r="BG42" s="650"/>
      <c r="BH42" s="650"/>
      <c r="BI42" s="650"/>
      <c r="BJ42" s="650"/>
      <c r="BK42" s="650"/>
      <c r="BL42" s="650"/>
      <c r="BM42" s="650"/>
      <c r="BN42" s="650"/>
      <c r="BO42" s="650"/>
      <c r="BP42" s="650"/>
      <c r="BQ42" s="650"/>
      <c r="BR42" s="650"/>
      <c r="BS42" s="652"/>
      <c r="BT42" s="648"/>
    </row>
    <row r="43" spans="1:72" ht="15.6" hidden="1">
      <c r="A43" s="582"/>
      <c r="B43" s="581"/>
      <c r="C43" s="582"/>
      <c r="D43" s="582"/>
      <c r="E43" s="582"/>
      <c r="F43" s="582"/>
      <c r="G43" s="582"/>
      <c r="H43" s="582"/>
      <c r="I43" s="582"/>
      <c r="J43" s="582"/>
      <c r="K43" s="582"/>
      <c r="L43" s="582"/>
      <c r="M43" s="582"/>
      <c r="N43" s="582"/>
      <c r="O43" s="582"/>
      <c r="P43" s="583"/>
      <c r="Q43" s="582"/>
      <c r="R43" s="582"/>
      <c r="S43" s="582"/>
      <c r="T43" s="582"/>
      <c r="U43" s="582"/>
      <c r="V43" s="582"/>
      <c r="W43" s="582"/>
      <c r="X43" s="582"/>
      <c r="Y43" s="582"/>
      <c r="Z43" s="582"/>
      <c r="AA43" s="582"/>
      <c r="AB43" s="582"/>
      <c r="AC43" s="639" t="s">
        <v>1155</v>
      </c>
      <c r="AD43" s="583"/>
      <c r="AE43" s="582"/>
      <c r="AF43" s="582"/>
      <c r="AG43" s="582"/>
      <c r="AH43" s="582"/>
      <c r="AI43" s="582"/>
      <c r="AJ43" s="582"/>
      <c r="AK43" s="582"/>
      <c r="AL43" s="582"/>
      <c r="AM43" s="582"/>
      <c r="AN43" s="582"/>
      <c r="AO43" s="582"/>
      <c r="AP43" s="582"/>
      <c r="AQ43" s="582"/>
      <c r="AR43" s="583"/>
      <c r="AS43" s="614">
        <v>725028</v>
      </c>
      <c r="AT43" s="614">
        <v>725028</v>
      </c>
      <c r="AU43" s="614">
        <v>725028</v>
      </c>
      <c r="AV43" s="614">
        <v>986732</v>
      </c>
      <c r="AW43" s="614">
        <v>744047</v>
      </c>
      <c r="AX43" s="614">
        <v>744047</v>
      </c>
      <c r="AY43" s="614">
        <v>744047</v>
      </c>
      <c r="AZ43" s="614">
        <v>744047</v>
      </c>
      <c r="BA43" s="614">
        <v>744047</v>
      </c>
      <c r="BB43" s="614">
        <v>986732</v>
      </c>
      <c r="BC43" s="614">
        <v>744047</v>
      </c>
      <c r="BD43" s="614">
        <v>744047</v>
      </c>
      <c r="BE43" s="640">
        <f>SUM(AS43:BD43)</f>
        <v>9356877</v>
      </c>
      <c r="BF43" s="641"/>
      <c r="BG43" s="642"/>
      <c r="BH43" s="642"/>
      <c r="BI43" s="642"/>
      <c r="BJ43" s="642"/>
      <c r="BK43" s="642"/>
      <c r="BL43" s="642"/>
      <c r="BM43" s="642"/>
      <c r="BN43" s="642"/>
      <c r="BO43" s="642"/>
      <c r="BP43" s="642"/>
      <c r="BQ43" s="642"/>
      <c r="BR43" s="642"/>
      <c r="BS43" s="660" t="s">
        <v>1156</v>
      </c>
      <c r="BT43" s="617"/>
    </row>
    <row r="44" spans="1:72" ht="24" hidden="1" customHeight="1" thickBot="1">
      <c r="A44" s="582"/>
      <c r="B44" s="581"/>
      <c r="C44" s="582"/>
      <c r="D44" s="582"/>
      <c r="E44" s="582"/>
      <c r="F44" s="582"/>
      <c r="G44" s="582"/>
      <c r="H44" s="582"/>
      <c r="I44" s="582"/>
      <c r="J44" s="582"/>
      <c r="K44" s="582"/>
      <c r="L44" s="582"/>
      <c r="M44" s="582"/>
      <c r="N44" s="582"/>
      <c r="O44" s="582"/>
      <c r="P44" s="583"/>
      <c r="Q44" s="582"/>
      <c r="R44" s="582"/>
      <c r="S44" s="582"/>
      <c r="T44" s="582"/>
      <c r="U44" s="582"/>
      <c r="V44" s="582"/>
      <c r="W44" s="582"/>
      <c r="X44" s="582"/>
      <c r="Y44" s="582"/>
      <c r="Z44" s="582"/>
      <c r="AA44" s="582"/>
      <c r="AB44" s="582"/>
      <c r="AC44" s="644" t="s">
        <v>1157</v>
      </c>
      <c r="AD44" s="583"/>
      <c r="AE44" s="582"/>
      <c r="AF44" s="582"/>
      <c r="AG44" s="582"/>
      <c r="AH44" s="582"/>
      <c r="AI44" s="582"/>
      <c r="AJ44" s="582"/>
      <c r="AK44" s="582"/>
      <c r="AL44" s="582"/>
      <c r="AM44" s="582"/>
      <c r="AN44" s="582"/>
      <c r="AO44" s="582"/>
      <c r="AP44" s="582"/>
      <c r="AQ44" s="582"/>
      <c r="AR44" s="583"/>
      <c r="AS44" s="839">
        <v>381801.3418572396</v>
      </c>
      <c r="AT44" s="839">
        <v>381801.3418572396</v>
      </c>
      <c r="AU44" s="839">
        <v>519092.11935723951</v>
      </c>
      <c r="AV44" s="839">
        <v>961178.19989281637</v>
      </c>
      <c r="AW44" s="839">
        <v>718493.65443827095</v>
      </c>
      <c r="AX44" s="839">
        <v>788960.91560493759</v>
      </c>
      <c r="AY44" s="839">
        <v>788960.91560493759</v>
      </c>
      <c r="AZ44" s="839">
        <v>788960.91560493759</v>
      </c>
      <c r="BA44" s="839">
        <v>788960.91560493759</v>
      </c>
      <c r="BB44" s="839">
        <v>1031645.4610594831</v>
      </c>
      <c r="BC44" s="839">
        <v>788960.91560493759</v>
      </c>
      <c r="BD44" s="839">
        <v>788960.91560493759</v>
      </c>
      <c r="BE44" s="640">
        <f>SUM(AS44:BD44)</f>
        <v>8727777.6120919157</v>
      </c>
      <c r="BF44" s="645"/>
      <c r="BG44" s="646"/>
      <c r="BH44" s="646"/>
      <c r="BI44" s="646"/>
      <c r="BJ44" s="646"/>
      <c r="BK44" s="646"/>
      <c r="BL44" s="646"/>
      <c r="BM44" s="646"/>
      <c r="BN44" s="646"/>
      <c r="BO44" s="646"/>
      <c r="BP44" s="646"/>
      <c r="BQ44" s="646"/>
      <c r="BR44" s="646"/>
      <c r="BS44" s="836">
        <f>BE43-BE44</f>
        <v>629099.38790808432</v>
      </c>
      <c r="BT44" s="623"/>
    </row>
    <row r="45" spans="1:72" hidden="1">
      <c r="A45" s="582"/>
      <c r="B45" s="581"/>
      <c r="C45" s="582"/>
      <c r="D45" s="582"/>
      <c r="E45" s="582"/>
      <c r="F45" s="582"/>
      <c r="G45" s="582"/>
      <c r="H45" s="582"/>
      <c r="I45" s="582"/>
      <c r="J45" s="582"/>
      <c r="K45" s="582"/>
      <c r="L45" s="582"/>
      <c r="M45" s="582"/>
      <c r="N45" s="582"/>
      <c r="O45" s="582"/>
      <c r="P45" s="583"/>
      <c r="Q45" s="582"/>
      <c r="R45" s="582"/>
      <c r="S45" s="582"/>
      <c r="T45" s="582"/>
      <c r="U45" s="582"/>
      <c r="V45" s="582"/>
      <c r="W45" s="582"/>
      <c r="X45" s="582"/>
      <c r="Y45" s="582"/>
      <c r="Z45" s="582"/>
      <c r="AA45" s="582"/>
      <c r="AB45" s="582"/>
      <c r="AC45" s="582"/>
      <c r="AD45" s="583"/>
      <c r="AE45" s="582"/>
      <c r="AF45" s="582"/>
      <c r="AG45" s="582"/>
      <c r="AH45" s="582"/>
      <c r="AI45" s="582"/>
      <c r="AJ45" s="582"/>
      <c r="AK45" s="582"/>
      <c r="AL45" s="582"/>
      <c r="AM45" s="582"/>
      <c r="AN45" s="582"/>
      <c r="AO45" s="582"/>
      <c r="AP45" s="582"/>
      <c r="AQ45" s="582"/>
      <c r="AR45" s="583"/>
      <c r="AS45" s="649" t="s">
        <v>1162</v>
      </c>
      <c r="AT45" s="582"/>
      <c r="AU45" s="582"/>
      <c r="AV45" s="582"/>
      <c r="AW45" s="582"/>
      <c r="AX45" s="582"/>
      <c r="AY45" s="582"/>
      <c r="AZ45" s="582"/>
      <c r="BA45" s="582"/>
      <c r="BB45" s="582"/>
      <c r="BC45" s="582"/>
      <c r="BD45" s="582"/>
      <c r="BE45" s="582"/>
      <c r="BF45" s="583"/>
      <c r="BG45" s="582"/>
      <c r="BH45" s="582"/>
      <c r="BI45" s="582"/>
      <c r="BJ45" s="582"/>
      <c r="BK45" s="582"/>
      <c r="BL45" s="582"/>
      <c r="BM45" s="582"/>
      <c r="BN45" s="582"/>
      <c r="BO45" s="582"/>
      <c r="BP45" s="582"/>
      <c r="BQ45" s="582"/>
      <c r="BR45" s="582"/>
      <c r="BS45" s="582"/>
      <c r="BT45" s="582"/>
    </row>
    <row r="46" spans="1:72">
      <c r="A46" s="582"/>
      <c r="B46" s="581"/>
      <c r="C46" s="582"/>
      <c r="D46" s="582"/>
      <c r="E46" s="582"/>
      <c r="F46" s="582"/>
      <c r="G46" s="582"/>
      <c r="H46" s="582"/>
      <c r="I46" s="582"/>
      <c r="J46" s="582"/>
      <c r="K46" s="582"/>
      <c r="L46" s="582"/>
      <c r="M46" s="582"/>
      <c r="N46" s="582"/>
      <c r="O46" s="582"/>
      <c r="P46" s="583"/>
      <c r="Q46" s="582"/>
      <c r="R46" s="582"/>
      <c r="S46" s="582"/>
      <c r="T46" s="582"/>
      <c r="U46" s="582"/>
      <c r="V46" s="582"/>
      <c r="W46" s="582"/>
      <c r="X46" s="582"/>
      <c r="Y46" s="582"/>
      <c r="Z46" s="582"/>
      <c r="AA46" s="582"/>
      <c r="AB46" s="582"/>
      <c r="AC46" s="582"/>
      <c r="AD46" s="583"/>
      <c r="AE46" s="582"/>
      <c r="AF46" s="582"/>
      <c r="AG46" s="582"/>
      <c r="AH46" s="582"/>
      <c r="AI46" s="582"/>
      <c r="AJ46" s="582"/>
      <c r="AK46" s="582"/>
      <c r="AL46" s="582"/>
      <c r="AM46" s="582"/>
      <c r="AN46" s="582"/>
      <c r="AO46" s="582"/>
      <c r="AP46" s="582"/>
      <c r="AQ46" s="582"/>
      <c r="AR46" s="583"/>
      <c r="AS46" s="582"/>
      <c r="AT46" s="582"/>
      <c r="AU46" s="582"/>
      <c r="AV46" s="582"/>
      <c r="AW46" s="582"/>
      <c r="AX46" s="582"/>
      <c r="AY46" s="582"/>
      <c r="AZ46" s="582"/>
      <c r="BA46" s="582"/>
      <c r="BB46" s="582"/>
      <c r="BC46" s="582"/>
      <c r="BD46" s="582"/>
      <c r="BE46" s="582"/>
      <c r="BF46" s="583"/>
      <c r="BG46" s="582"/>
      <c r="BH46" s="582"/>
      <c r="BI46" s="582"/>
      <c r="BJ46" s="582"/>
      <c r="BK46" s="582"/>
      <c r="BL46" s="582"/>
      <c r="BM46" s="582"/>
      <c r="BN46" s="582"/>
      <c r="BO46" s="582"/>
      <c r="BP46" s="582"/>
      <c r="BQ46" s="582"/>
      <c r="BR46" s="582"/>
      <c r="BS46" s="582"/>
      <c r="BT46" s="582"/>
    </row>
    <row r="47" spans="1:72">
      <c r="A47" s="582"/>
      <c r="B47" s="581"/>
      <c r="C47" s="582"/>
      <c r="D47" s="582"/>
      <c r="E47" s="582"/>
      <c r="F47" s="582"/>
      <c r="G47" s="582"/>
      <c r="H47" s="582"/>
      <c r="I47" s="582"/>
      <c r="J47" s="582"/>
      <c r="K47" s="582"/>
      <c r="L47" s="582"/>
      <c r="M47" s="582"/>
      <c r="N47" s="582"/>
      <c r="O47" s="582"/>
      <c r="P47" s="583"/>
      <c r="Q47" s="582"/>
      <c r="R47" s="582"/>
      <c r="S47" s="582"/>
      <c r="T47" s="582"/>
      <c r="U47" s="582"/>
      <c r="V47" s="582"/>
      <c r="W47" s="582"/>
      <c r="X47" s="582"/>
      <c r="Y47" s="582"/>
      <c r="Z47" s="582"/>
      <c r="AA47" s="582"/>
      <c r="AB47" s="582"/>
      <c r="AC47" s="661" t="s">
        <v>1163</v>
      </c>
      <c r="AD47" s="583"/>
      <c r="AE47" s="582"/>
      <c r="AF47" s="582"/>
      <c r="AG47" s="582"/>
      <c r="AH47" s="582"/>
      <c r="AI47" s="582"/>
      <c r="AJ47" s="582"/>
      <c r="AK47" s="582"/>
      <c r="AL47" s="582"/>
      <c r="AM47" s="582"/>
      <c r="AN47" s="582"/>
      <c r="AO47" s="582"/>
      <c r="AP47" s="582"/>
      <c r="AQ47" s="582"/>
      <c r="AR47" s="583"/>
      <c r="AS47" s="582"/>
      <c r="AT47" s="582"/>
      <c r="AU47" s="582"/>
      <c r="AV47" s="582"/>
      <c r="AW47" s="582"/>
      <c r="AX47" s="582"/>
      <c r="AY47" s="582"/>
      <c r="AZ47" s="582"/>
      <c r="BA47" s="582"/>
      <c r="BB47" s="582"/>
      <c r="BC47" s="582"/>
      <c r="BD47" s="582"/>
      <c r="BE47" s="582"/>
      <c r="BF47" s="583"/>
      <c r="BG47" s="582"/>
      <c r="BH47" s="582"/>
      <c r="BI47" s="582"/>
      <c r="BJ47" s="582"/>
      <c r="BK47" s="582"/>
      <c r="BL47" s="582"/>
      <c r="BM47" s="582"/>
      <c r="BN47" s="582"/>
      <c r="BO47" s="582"/>
      <c r="BP47" s="582"/>
      <c r="BQ47" s="582"/>
      <c r="BR47" s="582"/>
      <c r="BS47" s="582"/>
      <c r="BT47" s="582"/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03B92-DA05-40A0-A758-330BDDF55A3D}">
  <sheetPr>
    <tabColor rgb="FF92D050"/>
  </sheetPr>
  <dimension ref="A2:U42"/>
  <sheetViews>
    <sheetView topLeftCell="B1" zoomScale="70" zoomScaleNormal="70" workbookViewId="0">
      <selection activeCell="G80" sqref="G80"/>
    </sheetView>
  </sheetViews>
  <sheetFormatPr defaultRowHeight="13.8"/>
  <cols>
    <col min="3" max="3" width="21.6640625" bestFit="1" customWidth="1"/>
    <col min="4" max="4" width="11.44140625" customWidth="1"/>
    <col min="5" max="15" width="14.77734375" bestFit="1" customWidth="1"/>
    <col min="16" max="16" width="11.21875" customWidth="1"/>
    <col min="18" max="18" width="11.109375" bestFit="1" customWidth="1"/>
    <col min="21" max="21" width="10.109375" bestFit="1" customWidth="1"/>
  </cols>
  <sheetData>
    <row r="2" spans="3:13">
      <c r="C2" t="s">
        <v>782</v>
      </c>
      <c r="D2" s="1">
        <v>620000</v>
      </c>
      <c r="F2" t="s">
        <v>781</v>
      </c>
      <c r="G2" s="1">
        <v>270000</v>
      </c>
      <c r="I2" t="s">
        <v>799</v>
      </c>
      <c r="J2" s="1">
        <v>14000</v>
      </c>
    </row>
    <row r="3" spans="3:13">
      <c r="C3" t="s">
        <v>787</v>
      </c>
      <c r="D3" s="8">
        <v>0.46</v>
      </c>
      <c r="F3" t="s">
        <v>787</v>
      </c>
      <c r="G3" s="8">
        <v>0.46</v>
      </c>
      <c r="I3" t="s">
        <v>787</v>
      </c>
      <c r="J3" s="8">
        <v>0.3</v>
      </c>
    </row>
    <row r="4" spans="3:13">
      <c r="C4" t="s">
        <v>788</v>
      </c>
      <c r="D4" s="8">
        <f>1-D3</f>
        <v>0.54</v>
      </c>
      <c r="F4" t="s">
        <v>788</v>
      </c>
      <c r="G4" s="8">
        <f>1-G3</f>
        <v>0.54</v>
      </c>
      <c r="I4" t="s">
        <v>788</v>
      </c>
      <c r="J4" s="8">
        <f>1-J3</f>
        <v>0.7</v>
      </c>
    </row>
    <row r="5" spans="3:13">
      <c r="C5" t="s">
        <v>789</v>
      </c>
      <c r="D5" s="1">
        <f>D3*$D$2</f>
        <v>285200</v>
      </c>
      <c r="F5" t="s">
        <v>789</v>
      </c>
      <c r="G5" s="1">
        <f>G3*$G$2</f>
        <v>124200</v>
      </c>
      <c r="I5" t="s">
        <v>789</v>
      </c>
      <c r="J5" s="1">
        <f>J3*$J$2</f>
        <v>4200</v>
      </c>
    </row>
    <row r="6" spans="3:13">
      <c r="C6" t="s">
        <v>790</v>
      </c>
      <c r="D6" s="1">
        <f>D4*$D$2</f>
        <v>334800</v>
      </c>
      <c r="F6" t="s">
        <v>790</v>
      </c>
      <c r="G6" s="1">
        <f>G4*$G$2</f>
        <v>145800</v>
      </c>
      <c r="I6" t="s">
        <v>790</v>
      </c>
      <c r="J6" s="1">
        <f>J4*$J$2</f>
        <v>9800</v>
      </c>
    </row>
    <row r="10" spans="3:13">
      <c r="D10" s="4" t="s">
        <v>791</v>
      </c>
      <c r="E10" s="4" t="s">
        <v>793</v>
      </c>
      <c r="F10" s="4" t="s">
        <v>796</v>
      </c>
      <c r="G10" s="4" t="s">
        <v>792</v>
      </c>
      <c r="H10" s="133" t="s">
        <v>795</v>
      </c>
      <c r="I10" s="4" t="s">
        <v>794</v>
      </c>
      <c r="J10" s="4"/>
    </row>
    <row r="11" spans="3:13">
      <c r="C11" t="s">
        <v>8</v>
      </c>
      <c r="D11" s="1">
        <v>72690</v>
      </c>
      <c r="E11" s="1">
        <f>D5</f>
        <v>285200</v>
      </c>
      <c r="F11" s="9">
        <f>E11/D11-1</f>
        <v>2.9235107992846334</v>
      </c>
      <c r="G11" s="1">
        <v>279019</v>
      </c>
      <c r="H11" s="95">
        <f>E11/G11-1</f>
        <v>2.215261326289597E-2</v>
      </c>
      <c r="I11" s="1">
        <f>D6</f>
        <v>334800</v>
      </c>
      <c r="J11" s="9"/>
    </row>
    <row r="12" spans="3:13">
      <c r="C12" t="s">
        <v>42</v>
      </c>
      <c r="D12" s="1">
        <v>98186</v>
      </c>
      <c r="E12" s="1">
        <f>G5</f>
        <v>124200</v>
      </c>
      <c r="F12" s="9">
        <f>E12/D12-1</f>
        <v>0.26494612266514572</v>
      </c>
      <c r="G12" s="1">
        <v>81814</v>
      </c>
      <c r="H12" s="95">
        <f>E12/G12-1</f>
        <v>0.51807759063240999</v>
      </c>
      <c r="I12" s="1">
        <f>G6</f>
        <v>145800</v>
      </c>
      <c r="J12" s="1"/>
    </row>
    <row r="13" spans="3:13">
      <c r="C13" t="s">
        <v>130</v>
      </c>
      <c r="E13">
        <f>E18/$M$18</f>
        <v>9.7186340363568047E-2</v>
      </c>
      <c r="G13">
        <f>G18/$M$18</f>
        <v>0.19446662595706704</v>
      </c>
      <c r="I13">
        <f>I18/$M$18</f>
        <v>0.23613133543144346</v>
      </c>
      <c r="K13">
        <f>K18/$M$18</f>
        <v>0.47221569824792148</v>
      </c>
    </row>
    <row r="14" spans="3:13" ht="14.4" thickBot="1">
      <c r="E14" s="1">
        <v>2069</v>
      </c>
      <c r="F14" s="1"/>
      <c r="G14" s="1">
        <v>4140</v>
      </c>
      <c r="H14" s="1"/>
      <c r="I14" s="1">
        <v>5027</v>
      </c>
      <c r="J14" s="1"/>
      <c r="K14" s="1">
        <v>10053</v>
      </c>
    </row>
    <row r="15" spans="3:13">
      <c r="D15" s="314" t="s">
        <v>798</v>
      </c>
      <c r="E15" s="317" t="s">
        <v>824</v>
      </c>
      <c r="F15" s="315" t="s">
        <v>797</v>
      </c>
      <c r="G15" s="317" t="s">
        <v>825</v>
      </c>
      <c r="H15" s="315" t="s">
        <v>797</v>
      </c>
      <c r="I15" s="317" t="s">
        <v>826</v>
      </c>
      <c r="J15" s="315" t="s">
        <v>797</v>
      </c>
      <c r="K15" s="317" t="s">
        <v>827</v>
      </c>
      <c r="L15" s="315" t="s">
        <v>797</v>
      </c>
      <c r="M15" s="320" t="s">
        <v>85</v>
      </c>
    </row>
    <row r="16" spans="3:13">
      <c r="C16" t="s">
        <v>8</v>
      </c>
      <c r="D16" s="316">
        <v>113281</v>
      </c>
      <c r="E16" s="318">
        <f>ROUND(D16*1.15,0)</f>
        <v>130273</v>
      </c>
      <c r="F16" s="13">
        <f>E16/D16-1</f>
        <v>0.14999867585914672</v>
      </c>
      <c r="G16" s="318">
        <f>E11-E16</f>
        <v>154927</v>
      </c>
      <c r="H16" s="13">
        <f>G16/E16-1</f>
        <v>0.18924873150998289</v>
      </c>
      <c r="I16" s="319">
        <f>ROUND(G16*1.05,0)</f>
        <v>162673</v>
      </c>
      <c r="J16" s="13">
        <f>I16/G16-1</f>
        <v>4.9997740871507323E-2</v>
      </c>
      <c r="K16" s="319">
        <f>D6-I16</f>
        <v>172127</v>
      </c>
      <c r="L16" s="97">
        <f>K16/I16-1</f>
        <v>5.8116589722941203E-2</v>
      </c>
      <c r="M16" s="321">
        <f>SUM(E16,G16,I16,K16)</f>
        <v>620000</v>
      </c>
    </row>
    <row r="17" spans="1:21">
      <c r="C17" t="s">
        <v>42</v>
      </c>
      <c r="D17" s="316">
        <v>81815</v>
      </c>
      <c r="E17" s="318">
        <f>D17*0.8</f>
        <v>65452</v>
      </c>
      <c r="F17" s="13">
        <f>E17/D17-1</f>
        <v>-0.19999999999999996</v>
      </c>
      <c r="G17" s="318">
        <f>G5-E17</f>
        <v>58748</v>
      </c>
      <c r="H17" s="13">
        <f>G17/E17-1</f>
        <v>-0.10242620546354575</v>
      </c>
      <c r="I17" s="319">
        <f>ROUND(G17*1.15,0)</f>
        <v>67560</v>
      </c>
      <c r="J17" s="13">
        <f>I17/G17-1</f>
        <v>0.14999659562878742</v>
      </c>
      <c r="K17" s="319">
        <f>G6-I17</f>
        <v>78240</v>
      </c>
      <c r="L17" s="97">
        <f>K17/I17-1</f>
        <v>0.15808170515097686</v>
      </c>
      <c r="M17" s="321">
        <f>SUM(E17,G17,I17,K17)</f>
        <v>270000</v>
      </c>
    </row>
    <row r="18" spans="1:21" ht="14.4" thickBot="1">
      <c r="C18" t="s">
        <v>130</v>
      </c>
      <c r="D18" s="38"/>
      <c r="E18" s="61">
        <v>2069</v>
      </c>
      <c r="F18" s="294"/>
      <c r="G18" s="61">
        <v>4140</v>
      </c>
      <c r="H18" s="147">
        <f>G18/E18-1</f>
        <v>1.0009666505558239</v>
      </c>
      <c r="I18" s="61">
        <v>5027</v>
      </c>
      <c r="J18" s="80">
        <f>I18/G18-1</f>
        <v>0.21425120772946871</v>
      </c>
      <c r="K18" s="61">
        <v>10053</v>
      </c>
      <c r="L18" s="286">
        <f>K18/I18-1</f>
        <v>0.99980107419932374</v>
      </c>
      <c r="M18" s="322">
        <f>SUM(E18,G18,I18,K18)</f>
        <v>21289</v>
      </c>
      <c r="O18" s="6">
        <v>21289</v>
      </c>
      <c r="P18" s="1"/>
    </row>
    <row r="19" spans="1:21" ht="14.4" thickBot="1">
      <c r="E19" s="8">
        <f>E16/$M$16</f>
        <v>0.21011774193548388</v>
      </c>
      <c r="F19" s="8"/>
      <c r="G19" s="8">
        <f>G16/$M$16</f>
        <v>0.24988225806451614</v>
      </c>
      <c r="H19" s="8"/>
      <c r="I19" s="8">
        <f>I16/$M$16</f>
        <v>0.2623758064516129</v>
      </c>
      <c r="J19" s="8"/>
      <c r="K19" s="8">
        <f>K16/$M$16</f>
        <v>0.27762419354838708</v>
      </c>
    </row>
    <row r="20" spans="1:21">
      <c r="B20" t="s">
        <v>119</v>
      </c>
      <c r="C20" s="107" t="s">
        <v>8</v>
      </c>
      <c r="D20" s="308" t="s">
        <v>100</v>
      </c>
      <c r="E20" s="308" t="s">
        <v>101</v>
      </c>
      <c r="F20" s="308" t="s">
        <v>102</v>
      </c>
      <c r="G20" s="308" t="s">
        <v>104</v>
      </c>
      <c r="H20" s="308" t="s">
        <v>105</v>
      </c>
      <c r="I20" s="308" t="s">
        <v>106</v>
      </c>
      <c r="J20" s="308" t="s">
        <v>107</v>
      </c>
      <c r="K20" s="308" t="s">
        <v>108</v>
      </c>
      <c r="L20" s="308" t="s">
        <v>109</v>
      </c>
      <c r="M20" s="308" t="s">
        <v>110</v>
      </c>
      <c r="N20" s="308" t="s">
        <v>111</v>
      </c>
      <c r="O20" s="308" t="s">
        <v>112</v>
      </c>
      <c r="P20" s="309" t="s">
        <v>85</v>
      </c>
    </row>
    <row r="21" spans="1:21">
      <c r="A21" t="s">
        <v>785</v>
      </c>
      <c r="B21" t="s">
        <v>802</v>
      </c>
      <c r="C21" s="15" t="s">
        <v>800</v>
      </c>
      <c r="D21" s="548"/>
      <c r="E21" s="548">
        <v>5000</v>
      </c>
      <c r="F21" s="548">
        <v>5000</v>
      </c>
      <c r="G21" s="548">
        <v>5000</v>
      </c>
      <c r="H21" s="548">
        <v>5000</v>
      </c>
      <c r="I21" s="548">
        <v>5000</v>
      </c>
      <c r="J21" s="548">
        <v>5000</v>
      </c>
      <c r="K21" s="548">
        <v>5000</v>
      </c>
      <c r="L21" s="548">
        <v>5000</v>
      </c>
      <c r="M21" s="548">
        <v>5000</v>
      </c>
      <c r="N21" s="548">
        <v>5000</v>
      </c>
      <c r="O21" s="548">
        <v>5000</v>
      </c>
      <c r="P21" s="321">
        <f>SUM(D21:O21)</f>
        <v>55000</v>
      </c>
    </row>
    <row r="22" spans="1:21">
      <c r="A22" t="s">
        <v>785</v>
      </c>
      <c r="B22" t="s">
        <v>802</v>
      </c>
      <c r="C22" s="15" t="s">
        <v>801</v>
      </c>
      <c r="D22" s="548"/>
      <c r="E22" s="548">
        <v>55473</v>
      </c>
      <c r="F22" s="548">
        <v>56149</v>
      </c>
      <c r="G22" s="548">
        <v>51500</v>
      </c>
      <c r="H22" s="548">
        <v>43250</v>
      </c>
      <c r="I22" s="548">
        <v>40628</v>
      </c>
      <c r="J22" s="548">
        <v>54000</v>
      </c>
      <c r="K22" s="548">
        <v>44000</v>
      </c>
      <c r="L22" s="548">
        <v>58000</v>
      </c>
      <c r="M22" s="548">
        <v>51000</v>
      </c>
      <c r="N22" s="548">
        <v>51000</v>
      </c>
      <c r="O22" s="548">
        <v>60000</v>
      </c>
      <c r="P22" s="321">
        <f>SUM(D22:O22)</f>
        <v>565000</v>
      </c>
      <c r="U22">
        <f>150000000</f>
        <v>150000000</v>
      </c>
    </row>
    <row r="23" spans="1:21" ht="14.4" thickBot="1">
      <c r="A23" t="s">
        <v>785</v>
      </c>
      <c r="B23" t="s">
        <v>802</v>
      </c>
      <c r="C23" s="17" t="s">
        <v>803</v>
      </c>
      <c r="D23" s="306">
        <f>SUM(D21:D22)</f>
        <v>0</v>
      </c>
      <c r="E23" s="306">
        <f t="shared" ref="E23:O23" si="0">SUM(E21:E22)</f>
        <v>60473</v>
      </c>
      <c r="F23" s="306">
        <f t="shared" si="0"/>
        <v>61149</v>
      </c>
      <c r="G23" s="306">
        <f t="shared" si="0"/>
        <v>56500</v>
      </c>
      <c r="H23" s="306">
        <f t="shared" si="0"/>
        <v>48250</v>
      </c>
      <c r="I23" s="306">
        <f t="shared" si="0"/>
        <v>45628</v>
      </c>
      <c r="J23" s="306">
        <f t="shared" si="0"/>
        <v>59000</v>
      </c>
      <c r="K23" s="306">
        <f t="shared" si="0"/>
        <v>49000</v>
      </c>
      <c r="L23" s="306">
        <f t="shared" si="0"/>
        <v>63000</v>
      </c>
      <c r="M23" s="306">
        <f t="shared" si="0"/>
        <v>56000</v>
      </c>
      <c r="N23" s="306">
        <f t="shared" si="0"/>
        <v>56000</v>
      </c>
      <c r="O23" s="306">
        <f t="shared" si="0"/>
        <v>65000</v>
      </c>
      <c r="P23" s="322">
        <f>SUM(D23:O23)</f>
        <v>620000</v>
      </c>
      <c r="U23" s="1">
        <f>U22/7046</f>
        <v>21288.674425205791</v>
      </c>
    </row>
    <row r="24" spans="1:21" ht="14.4" thickBot="1">
      <c r="D24" s="308" t="s">
        <v>100</v>
      </c>
      <c r="E24" s="308" t="s">
        <v>101</v>
      </c>
      <c r="F24" s="308" t="s">
        <v>102</v>
      </c>
      <c r="G24" s="308" t="s">
        <v>104</v>
      </c>
      <c r="H24" s="308" t="s">
        <v>105</v>
      </c>
      <c r="I24" s="308" t="s">
        <v>106</v>
      </c>
      <c r="J24" s="308" t="s">
        <v>107</v>
      </c>
      <c r="K24" s="308" t="s">
        <v>108</v>
      </c>
      <c r="L24" s="308" t="s">
        <v>109</v>
      </c>
      <c r="M24" s="308" t="s">
        <v>110</v>
      </c>
      <c r="N24" s="308" t="s">
        <v>111</v>
      </c>
      <c r="O24" s="308" t="s">
        <v>112</v>
      </c>
      <c r="P24" s="309" t="s">
        <v>85</v>
      </c>
      <c r="U24">
        <f>21289</f>
        <v>21289</v>
      </c>
    </row>
    <row r="25" spans="1:21">
      <c r="C25" s="537" t="s">
        <v>42</v>
      </c>
      <c r="D25" s="538"/>
      <c r="E25" s="538"/>
      <c r="F25" s="538"/>
      <c r="G25" s="538"/>
      <c r="H25" s="538"/>
      <c r="I25" s="538">
        <v>135000</v>
      </c>
      <c r="J25" s="538"/>
      <c r="K25" s="538"/>
      <c r="L25" s="538"/>
      <c r="M25" s="538"/>
      <c r="N25" s="538"/>
      <c r="O25" s="538">
        <v>135000</v>
      </c>
      <c r="P25" s="539">
        <f>SUM(D25:O25)</f>
        <v>270000</v>
      </c>
      <c r="Q25" s="6"/>
    </row>
    <row r="26" spans="1:21" ht="14.4" thickBot="1">
      <c r="C26" s="17" t="s">
        <v>130</v>
      </c>
      <c r="D26" s="540"/>
      <c r="E26" s="540"/>
      <c r="F26" s="579"/>
      <c r="G26" s="540">
        <v>3000</v>
      </c>
      <c r="H26" s="540">
        <v>1000</v>
      </c>
      <c r="I26" s="540">
        <v>1000</v>
      </c>
      <c r="J26" s="540">
        <v>1000</v>
      </c>
      <c r="K26" s="540">
        <v>2000</v>
      </c>
      <c r="L26" s="540">
        <v>2000</v>
      </c>
      <c r="M26" s="540">
        <v>3000</v>
      </c>
      <c r="N26" s="540">
        <v>4000</v>
      </c>
      <c r="O26" s="540">
        <v>4289</v>
      </c>
      <c r="P26" s="541">
        <f>SUM(D26:O26)</f>
        <v>21289</v>
      </c>
    </row>
    <row r="29" spans="1:21">
      <c r="C29" t="s">
        <v>8</v>
      </c>
      <c r="D29" s="1">
        <f>D23*3974</f>
        <v>0</v>
      </c>
      <c r="E29" s="1">
        <f t="shared" ref="E29:O29" si="1">E23*3974</f>
        <v>240319702</v>
      </c>
      <c r="F29" s="1">
        <f t="shared" si="1"/>
        <v>243006126</v>
      </c>
      <c r="G29" s="1">
        <f t="shared" si="1"/>
        <v>224531000</v>
      </c>
      <c r="H29" s="1">
        <f t="shared" si="1"/>
        <v>191745500</v>
      </c>
      <c r="I29" s="1">
        <f t="shared" si="1"/>
        <v>181325672</v>
      </c>
      <c r="J29" s="1">
        <f t="shared" si="1"/>
        <v>234466000</v>
      </c>
      <c r="K29" s="1">
        <f t="shared" si="1"/>
        <v>194726000</v>
      </c>
      <c r="L29" s="1">
        <f t="shared" si="1"/>
        <v>250362000</v>
      </c>
      <c r="M29" s="1">
        <f t="shared" si="1"/>
        <v>222544000</v>
      </c>
      <c r="N29" s="1">
        <f t="shared" si="1"/>
        <v>222544000</v>
      </c>
      <c r="O29" s="1">
        <f t="shared" si="1"/>
        <v>258310000</v>
      </c>
    </row>
    <row r="30" spans="1:21">
      <c r="C30" t="s">
        <v>42</v>
      </c>
      <c r="D30" s="1">
        <f>D25*1403</f>
        <v>0</v>
      </c>
      <c r="E30" s="1">
        <f t="shared" ref="E30:O30" si="2">E25*1403</f>
        <v>0</v>
      </c>
      <c r="F30" s="1">
        <f t="shared" si="2"/>
        <v>0</v>
      </c>
      <c r="G30" s="1">
        <f t="shared" si="2"/>
        <v>0</v>
      </c>
      <c r="H30" s="1">
        <f t="shared" si="2"/>
        <v>0</v>
      </c>
      <c r="I30" s="1">
        <f t="shared" si="2"/>
        <v>189405000</v>
      </c>
      <c r="J30" s="1">
        <f t="shared" si="2"/>
        <v>0</v>
      </c>
      <c r="K30" s="1">
        <f t="shared" si="2"/>
        <v>0</v>
      </c>
      <c r="L30" s="1">
        <f t="shared" si="2"/>
        <v>0</v>
      </c>
      <c r="M30" s="1">
        <f t="shared" si="2"/>
        <v>0</v>
      </c>
      <c r="N30" s="1">
        <f t="shared" si="2"/>
        <v>0</v>
      </c>
      <c r="O30" s="1">
        <f t="shared" si="2"/>
        <v>189405000</v>
      </c>
    </row>
    <row r="31" spans="1:21">
      <c r="C31" t="s">
        <v>130</v>
      </c>
      <c r="D31" s="1">
        <f>D26*6584.07079646018</f>
        <v>0</v>
      </c>
      <c r="E31" s="1">
        <f t="shared" ref="E31:O31" si="3">E26*6584.07079646018</f>
        <v>0</v>
      </c>
      <c r="F31" s="1">
        <f t="shared" si="3"/>
        <v>0</v>
      </c>
      <c r="G31" s="1">
        <f t="shared" si="3"/>
        <v>19752212.389380541</v>
      </c>
      <c r="H31" s="1">
        <f t="shared" si="3"/>
        <v>6584070.7964601796</v>
      </c>
      <c r="I31" s="1">
        <f t="shared" si="3"/>
        <v>6584070.7964601796</v>
      </c>
      <c r="J31" s="1">
        <f t="shared" si="3"/>
        <v>6584070.7964601796</v>
      </c>
      <c r="K31" s="1">
        <f t="shared" si="3"/>
        <v>13168141.592920359</v>
      </c>
      <c r="L31" s="1">
        <f t="shared" si="3"/>
        <v>13168141.592920359</v>
      </c>
      <c r="M31" s="1">
        <f t="shared" si="3"/>
        <v>19752212.389380541</v>
      </c>
      <c r="N31" s="1">
        <f t="shared" si="3"/>
        <v>26336283.185840718</v>
      </c>
      <c r="O31" s="1">
        <f t="shared" si="3"/>
        <v>28239079.646017712</v>
      </c>
    </row>
    <row r="32" spans="1:21">
      <c r="C32" t="s">
        <v>779</v>
      </c>
      <c r="D32" s="6">
        <f>SUM(D29:D31)</f>
        <v>0</v>
      </c>
      <c r="E32" s="6">
        <f t="shared" ref="E32:O32" si="4">SUM(E29:E31)</f>
        <v>240319702</v>
      </c>
      <c r="F32" s="6">
        <f t="shared" si="4"/>
        <v>243006126</v>
      </c>
      <c r="G32" s="6">
        <f t="shared" si="4"/>
        <v>244283212.38938054</v>
      </c>
      <c r="H32" s="6">
        <f t="shared" si="4"/>
        <v>198329570.79646018</v>
      </c>
      <c r="I32" s="6">
        <f t="shared" si="4"/>
        <v>377314742.79646015</v>
      </c>
      <c r="J32" s="6">
        <f t="shared" si="4"/>
        <v>241050070.79646018</v>
      </c>
      <c r="K32" s="6">
        <f t="shared" si="4"/>
        <v>207894141.59292036</v>
      </c>
      <c r="L32" s="6">
        <f t="shared" si="4"/>
        <v>263530141.59292036</v>
      </c>
      <c r="M32" s="6">
        <f t="shared" si="4"/>
        <v>242296212.38938054</v>
      </c>
      <c r="N32" s="6">
        <f t="shared" si="4"/>
        <v>248880283.18584073</v>
      </c>
      <c r="O32" s="6">
        <f t="shared" si="4"/>
        <v>475954079.64601773</v>
      </c>
    </row>
    <row r="34" spans="3:16">
      <c r="C34" t="s">
        <v>764</v>
      </c>
      <c r="D34" s="138">
        <v>2.5000000000000001E-3</v>
      </c>
      <c r="E34" s="138">
        <v>2.5000000000000001E-3</v>
      </c>
      <c r="F34" s="138">
        <v>2.5000000000000001E-3</v>
      </c>
      <c r="G34" s="138">
        <v>2.5000000000000001E-3</v>
      </c>
      <c r="H34" s="138">
        <v>2.5000000000000001E-3</v>
      </c>
      <c r="I34" s="138">
        <v>2.5000000000000001E-3</v>
      </c>
      <c r="J34" s="138">
        <v>2.5000000000000001E-3</v>
      </c>
      <c r="K34" s="138">
        <v>2.5000000000000001E-3</v>
      </c>
      <c r="L34" s="138">
        <v>2.5000000000000001E-3</v>
      </c>
      <c r="M34" s="138">
        <v>2.5000000000000001E-3</v>
      </c>
      <c r="N34" s="138">
        <v>2.5000000000000001E-3</v>
      </c>
      <c r="O34" s="138">
        <v>2.5000000000000001E-3</v>
      </c>
    </row>
    <row r="35" spans="3:16">
      <c r="C35" t="s">
        <v>839</v>
      </c>
      <c r="D35" s="8">
        <v>1</v>
      </c>
      <c r="E35" s="8">
        <v>1</v>
      </c>
      <c r="F35" s="8">
        <v>1</v>
      </c>
      <c r="G35" s="8">
        <v>1</v>
      </c>
      <c r="H35" s="8">
        <v>1</v>
      </c>
      <c r="I35" s="8">
        <v>1</v>
      </c>
      <c r="J35" s="8">
        <v>1</v>
      </c>
      <c r="K35" s="8">
        <v>1</v>
      </c>
      <c r="L35" s="8">
        <v>1</v>
      </c>
      <c r="M35" s="8">
        <v>1</v>
      </c>
      <c r="N35" s="8">
        <v>1</v>
      </c>
      <c r="O35" s="8">
        <v>1</v>
      </c>
    </row>
    <row r="36" spans="3:16">
      <c r="C36" t="s">
        <v>840</v>
      </c>
      <c r="D36" s="1">
        <f>D34*D35*D32+1000000</f>
        <v>1000000</v>
      </c>
      <c r="E36" s="7">
        <f t="shared" ref="E36:O36" si="5">E34*E35*E32</f>
        <v>600799.255</v>
      </c>
      <c r="F36" s="7">
        <f t="shared" si="5"/>
        <v>607515.31500000006</v>
      </c>
      <c r="G36" s="7">
        <f t="shared" si="5"/>
        <v>610708.03097345133</v>
      </c>
      <c r="H36" s="7">
        <f t="shared" si="5"/>
        <v>495823.92699115048</v>
      </c>
      <c r="I36" s="7">
        <f t="shared" si="5"/>
        <v>943286.85699115042</v>
      </c>
      <c r="J36" s="7">
        <f t="shared" si="5"/>
        <v>602625.17699115048</v>
      </c>
      <c r="K36" s="7">
        <f t="shared" si="5"/>
        <v>519735.35398230091</v>
      </c>
      <c r="L36" s="7">
        <f t="shared" si="5"/>
        <v>658825.35398230096</v>
      </c>
      <c r="M36" s="7">
        <f t="shared" si="5"/>
        <v>605740.53097345133</v>
      </c>
      <c r="N36" s="7">
        <f t="shared" si="5"/>
        <v>622200.70796460181</v>
      </c>
      <c r="O36" s="7">
        <f t="shared" si="5"/>
        <v>1189885.1991150444</v>
      </c>
      <c r="P36" s="1">
        <f>SUM(D36:O36)</f>
        <v>8457145.707964601</v>
      </c>
    </row>
    <row r="37" spans="3:16">
      <c r="C37" t="s">
        <v>841</v>
      </c>
      <c r="D37" s="1">
        <v>1000000</v>
      </c>
      <c r="G37" s="7">
        <f>G35*G34*G32</f>
        <v>610708.03097345133</v>
      </c>
      <c r="H37" s="7">
        <f t="shared" ref="H37:I37" si="6">H35*H34*H32</f>
        <v>495823.92699115048</v>
      </c>
      <c r="I37" s="7">
        <f t="shared" si="6"/>
        <v>943286.85699115042</v>
      </c>
      <c r="M37" s="7">
        <f t="shared" ref="M37:O37" si="7">M35*M34*M32</f>
        <v>605740.53097345133</v>
      </c>
      <c r="N37" s="7">
        <f t="shared" si="7"/>
        <v>622200.70796460181</v>
      </c>
      <c r="O37" s="7">
        <f t="shared" si="7"/>
        <v>1189885.1991150444</v>
      </c>
      <c r="P37" s="1">
        <f>SUM(D37:O37)</f>
        <v>5467645.2530088499</v>
      </c>
    </row>
    <row r="38" spans="3:16">
      <c r="C38" t="s">
        <v>842</v>
      </c>
      <c r="D38" s="1">
        <v>1000000</v>
      </c>
      <c r="M38" s="7">
        <f>M35*M34*M32</f>
        <v>605740.53097345133</v>
      </c>
      <c r="N38" s="7">
        <f t="shared" ref="N38:O38" si="8">N35*N34*N32</f>
        <v>622200.70796460181</v>
      </c>
      <c r="O38" s="7">
        <f t="shared" si="8"/>
        <v>1189885.1991150444</v>
      </c>
      <c r="P38" s="1">
        <f>SUM(D38:O38)</f>
        <v>3417826.4380530976</v>
      </c>
    </row>
    <row r="39" spans="3:16">
      <c r="C39" t="s">
        <v>843</v>
      </c>
      <c r="D39" s="1">
        <v>1000000</v>
      </c>
      <c r="H39" s="7">
        <f>H35*H34*H32</f>
        <v>495823.92699115048</v>
      </c>
      <c r="I39" s="7">
        <f>I35*I34*I32</f>
        <v>943286.85699115042</v>
      </c>
      <c r="N39" s="7">
        <f>N35*N34*N32</f>
        <v>622200.70796460181</v>
      </c>
      <c r="O39" s="7">
        <f>O35*O34*O32</f>
        <v>1189885.1991150444</v>
      </c>
      <c r="P39" s="1">
        <f>SUM(D39:O39)</f>
        <v>4251196.6910619475</v>
      </c>
    </row>
    <row r="40" spans="3:16">
      <c r="C40" t="s">
        <v>844</v>
      </c>
      <c r="D40" s="1">
        <v>1000000</v>
      </c>
      <c r="N40" s="7">
        <f>N35*N34*N32</f>
        <v>622200.70796460181</v>
      </c>
      <c r="O40" s="7">
        <f>O35*O34*O32</f>
        <v>1189885.1991150444</v>
      </c>
      <c r="P40" s="1">
        <f>SUM(D40:O40)</f>
        <v>2812085.9070796464</v>
      </c>
    </row>
    <row r="42" spans="3:16">
      <c r="D42">
        <v>6584.0707964601779</v>
      </c>
    </row>
  </sheetData>
  <phoneticPr fontId="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DD37A-8BC4-45A8-A58E-709B3A0D9E0A}">
  <sheetPr>
    <tabColor rgb="FF92D050"/>
  </sheetPr>
  <dimension ref="A5:AB107"/>
  <sheetViews>
    <sheetView topLeftCell="A43" zoomScale="70" zoomScaleNormal="70" workbookViewId="0">
      <selection activeCell="G80" sqref="G80"/>
    </sheetView>
  </sheetViews>
  <sheetFormatPr defaultRowHeight="13.8" outlineLevelRow="1"/>
  <cols>
    <col min="1" max="1" width="13.44140625" bestFit="1" customWidth="1"/>
    <col min="3" max="3" width="22.5546875" customWidth="1"/>
    <col min="4" max="4" width="11.88671875" customWidth="1"/>
    <col min="5" max="5" width="10.21875" bestFit="1" customWidth="1"/>
    <col min="6" max="7" width="11.21875" bestFit="1" customWidth="1"/>
    <col min="8" max="8" width="11.33203125" bestFit="1" customWidth="1"/>
    <col min="9" max="12" width="10" bestFit="1" customWidth="1"/>
    <col min="13" max="13" width="10.21875" customWidth="1"/>
    <col min="14" max="14" width="10.44140625" customWidth="1"/>
    <col min="15" max="15" width="11.33203125" customWidth="1"/>
    <col min="16" max="16" width="10" bestFit="1" customWidth="1"/>
    <col min="17" max="18" width="11.109375" bestFit="1" customWidth="1"/>
    <col min="19" max="19" width="13" customWidth="1"/>
  </cols>
  <sheetData>
    <row r="5" spans="3:15" ht="14.4" thickBot="1"/>
    <row r="6" spans="3:15" ht="14.4" thickBot="1">
      <c r="C6" s="148" t="s">
        <v>86</v>
      </c>
      <c r="D6" s="149" t="s">
        <v>79</v>
      </c>
      <c r="E6" s="149" t="s">
        <v>80</v>
      </c>
      <c r="F6" s="149" t="s">
        <v>81</v>
      </c>
      <c r="G6" s="149" t="s">
        <v>82</v>
      </c>
      <c r="H6" s="150" t="s">
        <v>85</v>
      </c>
      <c r="L6" t="s">
        <v>42</v>
      </c>
      <c r="M6" s="5" t="s">
        <v>119</v>
      </c>
      <c r="N6" s="5"/>
    </row>
    <row r="7" spans="3:15">
      <c r="C7" s="14" t="s">
        <v>84</v>
      </c>
      <c r="D7" s="144">
        <v>44998</v>
      </c>
      <c r="E7" s="144">
        <v>51322</v>
      </c>
      <c r="F7" s="144">
        <v>49345</v>
      </c>
      <c r="G7" s="144">
        <v>54827</v>
      </c>
      <c r="H7" s="91">
        <f>SUM(D7:G7)</f>
        <v>200492</v>
      </c>
      <c r="L7" t="s">
        <v>77</v>
      </c>
      <c r="M7" s="1">
        <f>M9-M8</f>
        <v>238000</v>
      </c>
    </row>
    <row r="8" spans="3:15">
      <c r="C8" s="15" t="s">
        <v>83</v>
      </c>
      <c r="D8" s="141">
        <f>D7/$H$7</f>
        <v>0.22443788280829161</v>
      </c>
      <c r="E8" s="141">
        <f t="shared" ref="E8:G8" si="0">E7/$H$7</f>
        <v>0.25598028849031385</v>
      </c>
      <c r="F8" s="141">
        <f t="shared" si="0"/>
        <v>0.24611954591704407</v>
      </c>
      <c r="G8" s="141">
        <f t="shared" si="0"/>
        <v>0.27346228278435047</v>
      </c>
      <c r="H8" s="142">
        <f>SUM(D8:G8)</f>
        <v>1</v>
      </c>
      <c r="L8" t="s">
        <v>18</v>
      </c>
      <c r="M8" s="1">
        <v>32000</v>
      </c>
      <c r="N8" s="1"/>
      <c r="O8" s="1">
        <f>M8*1403</f>
        <v>44896000</v>
      </c>
    </row>
    <row r="9" spans="3:15" ht="14.4" thickBot="1">
      <c r="C9" s="38" t="s">
        <v>89</v>
      </c>
      <c r="D9" s="143"/>
      <c r="E9" s="143">
        <f>E7/D7-1</f>
        <v>0.14053957953686824</v>
      </c>
      <c r="F9" s="143">
        <f>F7/E7-1</f>
        <v>-3.8521491757920634E-2</v>
      </c>
      <c r="G9" s="143">
        <f>G7/F7-1</f>
        <v>0.11109534907285434</v>
      </c>
      <c r="H9" s="39"/>
      <c r="L9" s="105" t="s">
        <v>78</v>
      </c>
      <c r="M9" s="184">
        <v>270000</v>
      </c>
      <c r="O9" s="1"/>
    </row>
    <row r="10" spans="3:15">
      <c r="C10" s="151" t="s">
        <v>88</v>
      </c>
      <c r="D10" s="152">
        <f>D11*$H$10</f>
        <v>58548</v>
      </c>
      <c r="E10" s="152">
        <f>E11*$H$10</f>
        <v>58072</v>
      </c>
      <c r="F10" s="152">
        <f>F11*$H$10</f>
        <v>58310</v>
      </c>
      <c r="G10" s="152">
        <f>G11*$H$10</f>
        <v>63070</v>
      </c>
      <c r="H10" s="153">
        <f>M7</f>
        <v>238000</v>
      </c>
      <c r="O10" s="1"/>
    </row>
    <row r="11" spans="3:15">
      <c r="C11" s="15" t="s">
        <v>83</v>
      </c>
      <c r="D11" s="141">
        <v>0.246</v>
      </c>
      <c r="E11" s="141">
        <v>0.24399999999999999</v>
      </c>
      <c r="F11" s="141">
        <v>0.245</v>
      </c>
      <c r="G11" s="141">
        <v>0.26500000000000001</v>
      </c>
      <c r="H11" s="142">
        <f>SUM(D11:G11)</f>
        <v>1</v>
      </c>
      <c r="L11" t="s">
        <v>8</v>
      </c>
      <c r="M11" s="185" t="s">
        <v>119</v>
      </c>
      <c r="O11" s="1"/>
    </row>
    <row r="12" spans="3:15" ht="14.4" thickBot="1">
      <c r="C12" s="323" t="s">
        <v>89</v>
      </c>
      <c r="D12" s="324">
        <f>D10/G7-1</f>
        <v>6.7868021230415687E-2</v>
      </c>
      <c r="E12" s="324">
        <f>E10/D10-1</f>
        <v>-8.1300813008130524E-3</v>
      </c>
      <c r="F12" s="324">
        <f>F10/E10-1</f>
        <v>4.098360655737654E-3</v>
      </c>
      <c r="G12" s="324">
        <f>G10/F10-1</f>
        <v>8.163265306122458E-2</v>
      </c>
      <c r="H12" s="303">
        <f>H10/H7-1</f>
        <v>0.18707978373201928</v>
      </c>
      <c r="L12" t="s">
        <v>77</v>
      </c>
      <c r="M12" s="1">
        <v>480000</v>
      </c>
      <c r="O12" s="1"/>
    </row>
    <row r="13" spans="3:15" ht="14.4" thickBot="1">
      <c r="C13" s="310" t="s">
        <v>804</v>
      </c>
      <c r="D13" s="325">
        <f>D10/D7-1</f>
        <v>0.30112449442197442</v>
      </c>
      <c r="E13" s="325">
        <f t="shared" ref="E13:H13" si="1">E10/E7-1</f>
        <v>0.13152254393827212</v>
      </c>
      <c r="F13" s="325">
        <f t="shared" si="1"/>
        <v>0.18168000810619112</v>
      </c>
      <c r="G13" s="325">
        <f t="shared" si="1"/>
        <v>0.15034563262626088</v>
      </c>
      <c r="H13" s="326">
        <f t="shared" si="1"/>
        <v>0.18707978373201928</v>
      </c>
      <c r="L13" t="s">
        <v>18</v>
      </c>
      <c r="M13" s="182">
        <v>20000</v>
      </c>
      <c r="O13" s="1">
        <f>14000*3974</f>
        <v>55636000</v>
      </c>
    </row>
    <row r="14" spans="3:15" ht="14.4" thickBot="1">
      <c r="L14" s="105" t="s">
        <v>78</v>
      </c>
      <c r="M14" s="183">
        <f>SUM(M12:M13)</f>
        <v>500000</v>
      </c>
      <c r="N14" s="1"/>
    </row>
    <row r="15" spans="3:15" ht="14.4" thickBot="1">
      <c r="C15" s="148" t="s">
        <v>90</v>
      </c>
      <c r="D15" s="149" t="s">
        <v>79</v>
      </c>
      <c r="E15" s="149" t="s">
        <v>80</v>
      </c>
      <c r="F15" s="149" t="s">
        <v>81</v>
      </c>
      <c r="G15" s="149" t="s">
        <v>82</v>
      </c>
      <c r="H15" s="150" t="s">
        <v>85</v>
      </c>
    </row>
    <row r="16" spans="3:15">
      <c r="C16" s="14" t="s">
        <v>84</v>
      </c>
      <c r="D16" s="144"/>
      <c r="E16" s="144"/>
      <c r="F16" s="144"/>
      <c r="G16" s="144"/>
      <c r="H16" s="91"/>
    </row>
    <row r="17" spans="3:12">
      <c r="C17" s="15" t="s">
        <v>83</v>
      </c>
      <c r="D17" s="141"/>
      <c r="E17" s="141"/>
      <c r="F17" s="141"/>
      <c r="G17" s="141"/>
      <c r="H17" s="142"/>
    </row>
    <row r="18" spans="3:12" ht="14.4" thickBot="1">
      <c r="C18" s="38" t="s">
        <v>89</v>
      </c>
      <c r="D18" s="143"/>
      <c r="E18" s="143"/>
      <c r="F18" s="143"/>
      <c r="G18" s="143"/>
      <c r="H18" s="39"/>
    </row>
    <row r="19" spans="3:12">
      <c r="C19" s="151" t="s">
        <v>88</v>
      </c>
      <c r="D19" s="152">
        <f>SUM(E61:G61)</f>
        <v>6820</v>
      </c>
      <c r="E19" s="152">
        <f>SUM(H61:J61)</f>
        <v>7640</v>
      </c>
      <c r="F19" s="152">
        <f>SUM(K61:M61)</f>
        <v>8325</v>
      </c>
      <c r="G19" s="152">
        <f>SUM(N61:P61)</f>
        <v>9215</v>
      </c>
      <c r="H19" s="153">
        <f>SUM(D19:G19)</f>
        <v>32000</v>
      </c>
    </row>
    <row r="20" spans="3:12">
      <c r="C20" s="15" t="s">
        <v>83</v>
      </c>
      <c r="D20" s="141">
        <f>D19/$H$19</f>
        <v>0.21312500000000001</v>
      </c>
      <c r="E20" s="141">
        <f t="shared" ref="E20:G20" si="2">E19/$H$19</f>
        <v>0.23874999999999999</v>
      </c>
      <c r="F20" s="141">
        <f t="shared" si="2"/>
        <v>0.26015624999999998</v>
      </c>
      <c r="G20" s="141">
        <f t="shared" si="2"/>
        <v>0.28796875</v>
      </c>
      <c r="H20" s="142">
        <f>H19/$H$19</f>
        <v>1</v>
      </c>
    </row>
    <row r="21" spans="3:12" ht="14.4" thickBot="1">
      <c r="C21" s="38" t="s">
        <v>89</v>
      </c>
      <c r="D21" s="143"/>
      <c r="E21" s="143">
        <f>E19/D19-1</f>
        <v>0.12023460410557174</v>
      </c>
      <c r="F21" s="143">
        <f t="shared" ref="F21:G21" si="3">F19/E19-1</f>
        <v>8.9659685863874294E-2</v>
      </c>
      <c r="G21" s="143">
        <f t="shared" si="3"/>
        <v>0.10690690690690685</v>
      </c>
      <c r="H21" s="39" t="e">
        <f>H19/H16-1</f>
        <v>#DIV/0!</v>
      </c>
    </row>
    <row r="22" spans="3:12" ht="14.4" thickBot="1">
      <c r="C22" s="310" t="s">
        <v>804</v>
      </c>
      <c r="D22" s="325">
        <f>IFERROR(D19/D16-1,0)</f>
        <v>0</v>
      </c>
      <c r="E22" s="325">
        <f t="shared" ref="E22:H22" si="4">IFERROR(E19/E16-1,0)</f>
        <v>0</v>
      </c>
      <c r="F22" s="325">
        <f t="shared" si="4"/>
        <v>0</v>
      </c>
      <c r="G22" s="325">
        <f t="shared" si="4"/>
        <v>0</v>
      </c>
      <c r="H22" s="326">
        <f t="shared" si="4"/>
        <v>0</v>
      </c>
    </row>
    <row r="23" spans="3:12" ht="14.4" thickBot="1"/>
    <row r="24" spans="3:12" ht="14.4" thickBot="1">
      <c r="C24" s="148" t="s">
        <v>87</v>
      </c>
      <c r="D24" s="149" t="s">
        <v>79</v>
      </c>
      <c r="E24" s="149" t="s">
        <v>80</v>
      </c>
      <c r="F24" s="149" t="s">
        <v>81</v>
      </c>
      <c r="G24" s="149" t="s">
        <v>82</v>
      </c>
      <c r="H24" s="150" t="s">
        <v>85</v>
      </c>
    </row>
    <row r="25" spans="3:12">
      <c r="C25" s="14" t="s">
        <v>84</v>
      </c>
      <c r="D25" s="144">
        <v>30424</v>
      </c>
      <c r="E25" s="144">
        <v>56055</v>
      </c>
      <c r="F25" s="144">
        <v>62162</v>
      </c>
      <c r="G25" s="145">
        <f>92143-10000+4216</f>
        <v>86359</v>
      </c>
      <c r="H25" s="91">
        <f>SUM(D25:G25)</f>
        <v>235000</v>
      </c>
    </row>
    <row r="26" spans="3:12">
      <c r="C26" s="15" t="s">
        <v>83</v>
      </c>
      <c r="D26" s="141">
        <f>D25/$H$25</f>
        <v>0.12946382978723403</v>
      </c>
      <c r="E26" s="141">
        <f>E25/$H$25</f>
        <v>0.23853191489361703</v>
      </c>
      <c r="F26" s="141">
        <f>F25/$H$25</f>
        <v>0.26451914893617023</v>
      </c>
      <c r="G26" s="141">
        <f>G25/$H$25</f>
        <v>0.36748510638297871</v>
      </c>
      <c r="H26" s="142">
        <f>SUM(D26:G26)</f>
        <v>1</v>
      </c>
    </row>
    <row r="27" spans="3:12" ht="14.4" thickBot="1">
      <c r="C27" s="38" t="s">
        <v>89</v>
      </c>
      <c r="D27" s="146"/>
      <c r="E27" s="147">
        <f>E25/D25-1</f>
        <v>0.84245990007888505</v>
      </c>
      <c r="F27" s="147">
        <f t="shared" ref="F27:G27" si="5">F25/E25-1</f>
        <v>0.10894657033270905</v>
      </c>
      <c r="G27" s="147">
        <f t="shared" si="5"/>
        <v>0.38925710240983236</v>
      </c>
      <c r="H27" s="39"/>
      <c r="I27" t="s">
        <v>854</v>
      </c>
    </row>
    <row r="28" spans="3:12">
      <c r="C28" s="151" t="s">
        <v>88</v>
      </c>
      <c r="D28" s="152">
        <f>96937-D37</f>
        <v>94889</v>
      </c>
      <c r="E28" s="152">
        <f>114003-E37</f>
        <v>108115</v>
      </c>
      <c r="F28" s="152">
        <f>136239-F37</f>
        <v>127004</v>
      </c>
      <c r="G28" s="152">
        <f>150522+2299-G37</f>
        <v>139992</v>
      </c>
      <c r="H28" s="153">
        <f>SUM(D28:G28)</f>
        <v>470000</v>
      </c>
      <c r="I28" s="425">
        <v>14895</v>
      </c>
      <c r="J28" s="426">
        <v>18024</v>
      </c>
      <c r="K28" s="426">
        <v>18910</v>
      </c>
      <c r="L28" s="426">
        <v>18910</v>
      </c>
    </row>
    <row r="29" spans="3:12">
      <c r="C29" s="15" t="s">
        <v>83</v>
      </c>
      <c r="D29" s="141">
        <f>22.5%-1%</f>
        <v>0.215</v>
      </c>
      <c r="E29" s="141">
        <f>24%-1%</f>
        <v>0.22999999999999998</v>
      </c>
      <c r="F29" s="141">
        <f>26%</f>
        <v>0.26</v>
      </c>
      <c r="G29" s="141">
        <f>27.5%+2%</f>
        <v>0.29500000000000004</v>
      </c>
      <c r="H29" s="154">
        <f>SUM(D29:G29)</f>
        <v>1</v>
      </c>
    </row>
    <row r="30" spans="3:12" ht="14.4" thickBot="1">
      <c r="C30" s="38" t="s">
        <v>89</v>
      </c>
      <c r="D30" s="143">
        <f>D28/G25-1</f>
        <v>9.8773723642006095E-2</v>
      </c>
      <c r="E30" s="143">
        <f>E28/D28-1</f>
        <v>0.13938391172844056</v>
      </c>
      <c r="F30" s="143">
        <f>F28/E28-1</f>
        <v>0.17471211210285342</v>
      </c>
      <c r="G30" s="143">
        <f>G28/F28-1</f>
        <v>0.10226449560643758</v>
      </c>
      <c r="H30" s="181">
        <f>H28/H25-1</f>
        <v>1</v>
      </c>
    </row>
    <row r="31" spans="3:12" ht="14.4" thickBot="1">
      <c r="C31" s="310" t="s">
        <v>804</v>
      </c>
      <c r="D31" s="325">
        <f>IFERROR(D28/D25-1,0)</f>
        <v>2.1188864054693664</v>
      </c>
      <c r="E31" s="325">
        <f t="shared" ref="E31:H31" si="6">IFERROR(E28/E25-1,0)</f>
        <v>0.92873071090892867</v>
      </c>
      <c r="F31" s="325">
        <f t="shared" si="6"/>
        <v>1.0431131559473634</v>
      </c>
      <c r="G31" s="325">
        <f t="shared" si="6"/>
        <v>0.62104702462974326</v>
      </c>
      <c r="H31" s="326">
        <f t="shared" si="6"/>
        <v>1</v>
      </c>
    </row>
    <row r="32" spans="3:12" ht="14.4" thickBot="1"/>
    <row r="33" spans="3:10" ht="14.4" thickBot="1">
      <c r="C33" s="148" t="s">
        <v>91</v>
      </c>
      <c r="D33" s="149" t="s">
        <v>79</v>
      </c>
      <c r="E33" s="149" t="s">
        <v>80</v>
      </c>
      <c r="F33" s="149" t="s">
        <v>81</v>
      </c>
      <c r="G33" s="149" t="s">
        <v>82</v>
      </c>
      <c r="H33" s="150" t="s">
        <v>85</v>
      </c>
    </row>
    <row r="34" spans="3:10">
      <c r="C34" s="14" t="s">
        <v>84</v>
      </c>
      <c r="D34" s="144"/>
      <c r="E34" s="144"/>
      <c r="F34" s="144"/>
      <c r="G34" s="145"/>
      <c r="H34" s="91">
        <f>SUM(D34:G34)</f>
        <v>0</v>
      </c>
    </row>
    <row r="35" spans="3:10">
      <c r="C35" s="15" t="s">
        <v>83</v>
      </c>
      <c r="D35" s="141">
        <f>D34/$H$25</f>
        <v>0</v>
      </c>
      <c r="E35" s="141">
        <f>E34/$H$25</f>
        <v>0</v>
      </c>
      <c r="F35" s="141">
        <f>F34/$H$25</f>
        <v>0</v>
      </c>
      <c r="G35" s="141">
        <f>G34/$H$25</f>
        <v>0</v>
      </c>
      <c r="H35" s="142">
        <f>SUM(D35:G35)</f>
        <v>0</v>
      </c>
    </row>
    <row r="36" spans="3:10" ht="14.4" thickBot="1">
      <c r="C36" s="38" t="s">
        <v>89</v>
      </c>
      <c r="D36" s="146"/>
      <c r="E36" s="147" t="e">
        <f>E34/D34-1</f>
        <v>#DIV/0!</v>
      </c>
      <c r="F36" s="147" t="e">
        <f t="shared" ref="F36:G36" si="7">F34/E34-1</f>
        <v>#DIV/0!</v>
      </c>
      <c r="G36" s="147" t="e">
        <f t="shared" si="7"/>
        <v>#DIV/0!</v>
      </c>
      <c r="H36" s="39"/>
    </row>
    <row r="37" spans="3:10">
      <c r="C37" s="151" t="s">
        <v>88</v>
      </c>
      <c r="D37" s="152">
        <f>SUM(E65:G65)</f>
        <v>2048</v>
      </c>
      <c r="E37" s="152">
        <f>SUM(H65:J65)</f>
        <v>5888</v>
      </c>
      <c r="F37" s="152">
        <f>SUM(K65:M65)</f>
        <v>9235</v>
      </c>
      <c r="G37" s="152">
        <f>SUM(N65:P65)</f>
        <v>12829</v>
      </c>
      <c r="H37" s="153">
        <v>20000</v>
      </c>
    </row>
    <row r="38" spans="3:10">
      <c r="C38" s="15" t="s">
        <v>83</v>
      </c>
      <c r="D38" s="141">
        <f>D37/$H$37</f>
        <v>0.1024</v>
      </c>
      <c r="E38" s="141">
        <f t="shared" ref="E38:G38" si="8">E37/$H$37</f>
        <v>0.2944</v>
      </c>
      <c r="F38" s="141">
        <f t="shared" si="8"/>
        <v>0.46174999999999999</v>
      </c>
      <c r="G38" s="141">
        <f t="shared" si="8"/>
        <v>0.64144999999999996</v>
      </c>
      <c r="H38" s="154">
        <f>SUM(D38:G38)</f>
        <v>1.5</v>
      </c>
      <c r="I38">
        <f>5000-784</f>
        <v>4216</v>
      </c>
    </row>
    <row r="39" spans="3:10" ht="14.4" thickBot="1">
      <c r="C39" s="38" t="s">
        <v>89</v>
      </c>
      <c r="D39" s="143" t="str">
        <f>IFERROR(D37/G34-1,"")</f>
        <v/>
      </c>
      <c r="E39" s="143">
        <f>IFERROR(E37/D37-1,"")</f>
        <v>1.875</v>
      </c>
      <c r="F39" s="143">
        <f t="shared" ref="F39:G39" si="9">IFERROR(F37/E37-1,"")</f>
        <v>0.56844429347826098</v>
      </c>
      <c r="G39" s="143">
        <f t="shared" si="9"/>
        <v>0.38917162966973473</v>
      </c>
      <c r="H39" s="39"/>
    </row>
    <row r="40" spans="3:10" ht="14.4" thickBot="1">
      <c r="C40" s="310" t="s">
        <v>804</v>
      </c>
      <c r="D40" s="325">
        <f>IFERROR(D37/D34-1,0)</f>
        <v>0</v>
      </c>
      <c r="E40" s="325">
        <f t="shared" ref="E40:H40" si="10">IFERROR(E37/E34-1,0)</f>
        <v>0</v>
      </c>
      <c r="F40" s="325">
        <f t="shared" si="10"/>
        <v>0</v>
      </c>
      <c r="G40" s="325">
        <f t="shared" si="10"/>
        <v>0</v>
      </c>
      <c r="H40" s="326">
        <f t="shared" si="10"/>
        <v>0</v>
      </c>
    </row>
    <row r="41" spans="3:10" ht="14.4" thickBot="1"/>
    <row r="42" spans="3:10" ht="14.4" thickBot="1">
      <c r="C42" s="148" t="s">
        <v>46</v>
      </c>
      <c r="D42" s="149" t="s">
        <v>79</v>
      </c>
      <c r="E42" s="149" t="s">
        <v>80</v>
      </c>
      <c r="F42" s="149" t="s">
        <v>81</v>
      </c>
      <c r="G42" s="149" t="s">
        <v>82</v>
      </c>
      <c r="H42" s="150" t="s">
        <v>85</v>
      </c>
    </row>
    <row r="43" spans="3:10">
      <c r="C43" s="14" t="s">
        <v>84</v>
      </c>
      <c r="D43" s="144"/>
      <c r="E43" s="144"/>
      <c r="F43" s="144"/>
      <c r="G43" s="145"/>
      <c r="H43" s="91">
        <f>SUM(D43:G43)</f>
        <v>0</v>
      </c>
    </row>
    <row r="44" spans="3:10">
      <c r="C44" s="15" t="s">
        <v>83</v>
      </c>
      <c r="D44" s="141">
        <f>D43/$H$25</f>
        <v>0</v>
      </c>
      <c r="E44" s="141">
        <f>E43/$H$25</f>
        <v>0</v>
      </c>
      <c r="F44" s="141">
        <f>F43/$H$25</f>
        <v>0</v>
      </c>
      <c r="G44" s="141">
        <f>G43/$H$25</f>
        <v>0</v>
      </c>
      <c r="H44" s="142">
        <f>SUM(D44:G44)</f>
        <v>0</v>
      </c>
      <c r="J44" s="155"/>
    </row>
    <row r="45" spans="3:10" ht="14.4" thickBot="1">
      <c r="C45" s="38" t="s">
        <v>89</v>
      </c>
      <c r="D45" s="146"/>
      <c r="E45" s="147" t="e">
        <f>E43/D43-1</f>
        <v>#DIV/0!</v>
      </c>
      <c r="F45" s="147" t="e">
        <f t="shared" ref="F45:G45" si="11">F43/E43-1</f>
        <v>#DIV/0!</v>
      </c>
      <c r="G45" s="147" t="e">
        <f t="shared" si="11"/>
        <v>#DIV/0!</v>
      </c>
      <c r="H45" s="39"/>
      <c r="J45" s="156"/>
    </row>
    <row r="46" spans="3:10">
      <c r="C46" s="151" t="s">
        <v>88</v>
      </c>
      <c r="D46" s="152">
        <f>D47*$H$46</f>
        <v>767.52</v>
      </c>
      <c r="E46" s="152">
        <f t="shared" ref="E46:G46" si="12">E47*$H$46</f>
        <v>1151.28</v>
      </c>
      <c r="F46" s="152">
        <f t="shared" si="12"/>
        <v>1918.8</v>
      </c>
      <c r="G46" s="152">
        <f t="shared" si="12"/>
        <v>2558.4</v>
      </c>
      <c r="H46" s="153">
        <v>6396</v>
      </c>
      <c r="J46" s="156"/>
    </row>
    <row r="47" spans="3:10">
      <c r="C47" s="15" t="s">
        <v>83</v>
      </c>
      <c r="D47" s="141">
        <v>0.12</v>
      </c>
      <c r="E47" s="141">
        <v>0.18</v>
      </c>
      <c r="F47" s="141">
        <v>0.3</v>
      </c>
      <c r="G47" s="141">
        <v>0.4</v>
      </c>
      <c r="H47" s="154">
        <f>SUM(D47:G47)</f>
        <v>1</v>
      </c>
    </row>
    <row r="48" spans="3:10" ht="14.4" thickBot="1">
      <c r="C48" s="38" t="s">
        <v>89</v>
      </c>
      <c r="D48" s="143" t="e">
        <f>D46/G43-1</f>
        <v>#DIV/0!</v>
      </c>
      <c r="E48" s="143">
        <f>E46/D46-1</f>
        <v>0.5</v>
      </c>
      <c r="F48" s="143">
        <f>F46/E46-1</f>
        <v>0.66666666666666674</v>
      </c>
      <c r="G48" s="143">
        <f>G46/F46-1</f>
        <v>0.33333333333333348</v>
      </c>
      <c r="H48" s="39"/>
    </row>
    <row r="49" spans="1:19" ht="14.4" thickBot="1">
      <c r="C49" s="310" t="s">
        <v>804</v>
      </c>
      <c r="D49" s="325">
        <f>IFERROR(D46/D43-1,0)</f>
        <v>0</v>
      </c>
      <c r="E49" s="325">
        <f t="shared" ref="E49:H49" si="13">IFERROR(E46/E43-1,0)</f>
        <v>0</v>
      </c>
      <c r="F49" s="325">
        <f t="shared" si="13"/>
        <v>0</v>
      </c>
      <c r="G49" s="325">
        <f t="shared" si="13"/>
        <v>0</v>
      </c>
      <c r="H49" s="326">
        <f t="shared" si="13"/>
        <v>0</v>
      </c>
    </row>
    <row r="50" spans="1:19">
      <c r="C50" t="s">
        <v>92</v>
      </c>
      <c r="D50" s="8">
        <v>0.15</v>
      </c>
      <c r="E50" s="8">
        <v>0.2</v>
      </c>
      <c r="F50" s="8">
        <v>0.3</v>
      </c>
      <c r="G50" s="8">
        <v>0.35</v>
      </c>
    </row>
    <row r="53" spans="1:19">
      <c r="E53" s="4" t="s">
        <v>100</v>
      </c>
      <c r="F53" s="4" t="s">
        <v>101</v>
      </c>
      <c r="G53" s="4" t="s">
        <v>103</v>
      </c>
      <c r="H53" s="4" t="s">
        <v>104</v>
      </c>
      <c r="I53" s="4" t="s">
        <v>105</v>
      </c>
      <c r="J53" s="4" t="s">
        <v>106</v>
      </c>
      <c r="K53" s="4" t="s">
        <v>107</v>
      </c>
      <c r="L53" s="4" t="s">
        <v>108</v>
      </c>
      <c r="M53" s="4" t="s">
        <v>109</v>
      </c>
      <c r="N53" s="4" t="s">
        <v>110</v>
      </c>
      <c r="O53" s="4" t="s">
        <v>111</v>
      </c>
      <c r="P53" s="4" t="s">
        <v>112</v>
      </c>
      <c r="Q53" s="4" t="s">
        <v>85</v>
      </c>
    </row>
    <row r="54" spans="1:19">
      <c r="D54" s="177" t="s">
        <v>113</v>
      </c>
      <c r="E54" s="178">
        <v>6.25E-2</v>
      </c>
      <c r="F54" s="178">
        <v>7.9375000000000001E-2</v>
      </c>
      <c r="G54" s="178">
        <v>7.8125E-2</v>
      </c>
      <c r="H54" s="178">
        <v>7.8125E-2</v>
      </c>
      <c r="I54" s="178">
        <v>7.9375000000000001E-2</v>
      </c>
      <c r="J54" s="178">
        <v>8.2500000000000004E-2</v>
      </c>
      <c r="K54" s="178">
        <v>8.1250000000000003E-2</v>
      </c>
      <c r="L54" s="178">
        <v>8.5000000000000006E-2</v>
      </c>
      <c r="M54" s="178">
        <v>9.375E-2</v>
      </c>
      <c r="N54" s="178">
        <v>9.2499999999999999E-2</v>
      </c>
      <c r="O54" s="178">
        <v>9.375E-2</v>
      </c>
      <c r="P54" s="178">
        <v>9.375E-2</v>
      </c>
    </row>
    <row r="55" spans="1:19">
      <c r="D55" s="177" t="s">
        <v>114</v>
      </c>
      <c r="E55" s="179">
        <v>5.0000000000000001E-3</v>
      </c>
      <c r="F55" s="179">
        <v>1.2500000000000001E-2</v>
      </c>
      <c r="G55" s="179">
        <v>2.5000000000000001E-2</v>
      </c>
      <c r="H55" s="179">
        <v>3.7499999999999999E-2</v>
      </c>
      <c r="I55" s="179">
        <v>0.05</v>
      </c>
      <c r="J55" s="179">
        <v>7.4999999999999997E-2</v>
      </c>
      <c r="K55" s="179">
        <v>8.7499999999999994E-2</v>
      </c>
      <c r="L55" s="179">
        <v>0.11249999999999999</v>
      </c>
      <c r="M55" s="179">
        <v>0.125</v>
      </c>
      <c r="N55" s="179">
        <v>0.14499999999999999</v>
      </c>
      <c r="O55" s="179">
        <v>0.15</v>
      </c>
      <c r="P55" s="179">
        <v>0.17499999999999999</v>
      </c>
    </row>
    <row r="57" spans="1:19">
      <c r="D57" t="s">
        <v>117</v>
      </c>
      <c r="E57" s="1">
        <f>E54*$M$8</f>
        <v>2000</v>
      </c>
      <c r="F57" s="1">
        <f t="shared" ref="F57:P57" si="14">F54*$M$8</f>
        <v>2540</v>
      </c>
      <c r="G57" s="1">
        <f t="shared" si="14"/>
        <v>2500</v>
      </c>
      <c r="H57" s="1">
        <f t="shared" si="14"/>
        <v>2500</v>
      </c>
      <c r="I57" s="1">
        <f t="shared" si="14"/>
        <v>2540</v>
      </c>
      <c r="J57" s="1">
        <f t="shared" si="14"/>
        <v>2640</v>
      </c>
      <c r="K57" s="1">
        <f t="shared" si="14"/>
        <v>2600</v>
      </c>
      <c r="L57" s="1">
        <f t="shared" si="14"/>
        <v>2720</v>
      </c>
      <c r="M57" s="1">
        <f t="shared" si="14"/>
        <v>3000</v>
      </c>
      <c r="N57" s="1">
        <f t="shared" si="14"/>
        <v>2960</v>
      </c>
      <c r="O57" s="1">
        <f t="shared" si="14"/>
        <v>3000</v>
      </c>
      <c r="P57" s="1">
        <f t="shared" si="14"/>
        <v>3000</v>
      </c>
      <c r="Q57" s="1">
        <f>SUM(E57:P57)</f>
        <v>32000</v>
      </c>
    </row>
    <row r="58" spans="1:19" ht="14.4" thickBot="1">
      <c r="D58" t="s">
        <v>118</v>
      </c>
      <c r="E58" s="1">
        <f t="shared" ref="E58:P58" si="15">E55*$M$13</f>
        <v>100</v>
      </c>
      <c r="F58" s="1">
        <f t="shared" si="15"/>
        <v>250</v>
      </c>
      <c r="G58" s="1">
        <f t="shared" si="15"/>
        <v>500</v>
      </c>
      <c r="H58" s="1">
        <f t="shared" si="15"/>
        <v>750</v>
      </c>
      <c r="I58" s="1">
        <f t="shared" si="15"/>
        <v>1000</v>
      </c>
      <c r="J58" s="1">
        <f t="shared" si="15"/>
        <v>1500</v>
      </c>
      <c r="K58" s="1">
        <f t="shared" si="15"/>
        <v>1750</v>
      </c>
      <c r="L58" s="1">
        <f t="shared" si="15"/>
        <v>2250</v>
      </c>
      <c r="M58" s="1">
        <f t="shared" si="15"/>
        <v>2500</v>
      </c>
      <c r="N58" s="1">
        <f t="shared" si="15"/>
        <v>2900</v>
      </c>
      <c r="O58" s="1">
        <f t="shared" si="15"/>
        <v>3000</v>
      </c>
      <c r="P58" s="1">
        <f t="shared" si="15"/>
        <v>3500</v>
      </c>
      <c r="Q58" s="1">
        <f>SUM(E58:P58)</f>
        <v>20000</v>
      </c>
    </row>
    <row r="59" spans="1:19">
      <c r="A59" s="14"/>
      <c r="B59" s="24"/>
      <c r="C59" s="24"/>
      <c r="D59" s="24"/>
      <c r="E59" s="308" t="s">
        <v>100</v>
      </c>
      <c r="F59" s="308" t="s">
        <v>101</v>
      </c>
      <c r="G59" s="308" t="s">
        <v>103</v>
      </c>
      <c r="H59" s="308" t="s">
        <v>104</v>
      </c>
      <c r="I59" s="308" t="s">
        <v>105</v>
      </c>
      <c r="J59" s="308" t="s">
        <v>106</v>
      </c>
      <c r="K59" s="308" t="s">
        <v>107</v>
      </c>
      <c r="L59" s="308" t="s">
        <v>108</v>
      </c>
      <c r="M59" s="308" t="s">
        <v>109</v>
      </c>
      <c r="N59" s="308" t="s">
        <v>110</v>
      </c>
      <c r="O59" s="308" t="s">
        <v>111</v>
      </c>
      <c r="P59" s="308" t="s">
        <v>112</v>
      </c>
      <c r="Q59" s="309" t="s">
        <v>85</v>
      </c>
      <c r="R59" s="536" t="s">
        <v>923</v>
      </c>
      <c r="S59" s="133" t="s">
        <v>124</v>
      </c>
    </row>
    <row r="60" spans="1:19">
      <c r="A60" s="15" t="s">
        <v>780</v>
      </c>
      <c r="B60" s="10" t="s">
        <v>42</v>
      </c>
      <c r="C60" s="10" t="s">
        <v>779</v>
      </c>
      <c r="D60" s="10" t="s">
        <v>777</v>
      </c>
      <c r="E60" s="416">
        <f>'1. Velsipity Summary'!D25</f>
        <v>18579</v>
      </c>
      <c r="F60" s="416">
        <f>'1. Velsipity Summary'!E25</f>
        <v>18579</v>
      </c>
      <c r="G60" s="416">
        <f>'1. Velsipity Summary'!F25</f>
        <v>18578</v>
      </c>
      <c r="H60" s="416">
        <f>'1. Velsipity Summary'!G25</f>
        <v>20070</v>
      </c>
      <c r="I60" s="416">
        <f>'1. Velsipity Summary'!H25</f>
        <v>20070</v>
      </c>
      <c r="J60" s="416">
        <f>'1. Velsipity Summary'!I25</f>
        <v>20074</v>
      </c>
      <c r="K60" s="416">
        <f>'1. Velsipity Summary'!J25</f>
        <v>19518</v>
      </c>
      <c r="L60" s="416">
        <f>'1. Velsipity Summary'!K25</f>
        <v>19518</v>
      </c>
      <c r="M60" s="416">
        <f>'1. Velsipity Summary'!L25</f>
        <v>19516</v>
      </c>
      <c r="N60" s="416">
        <f>'1. Velsipity Summary'!M25</f>
        <v>21166</v>
      </c>
      <c r="O60" s="416">
        <f>'1. Velsipity Summary'!N25</f>
        <v>21166</v>
      </c>
      <c r="P60" s="416">
        <f>'1. Velsipity Summary'!O25</f>
        <v>21166</v>
      </c>
      <c r="Q60" s="232">
        <f>SUM(E60:P60)</f>
        <v>238000</v>
      </c>
      <c r="R60" s="1">
        <f>SUM(E60:J60)</f>
        <v>115950</v>
      </c>
      <c r="S60" s="1">
        <f>SUM(K60:P60)</f>
        <v>122050</v>
      </c>
    </row>
    <row r="61" spans="1:19">
      <c r="A61" s="15" t="s">
        <v>780</v>
      </c>
      <c r="B61" s="10" t="s">
        <v>42</v>
      </c>
      <c r="C61" s="10" t="s">
        <v>779</v>
      </c>
      <c r="D61" s="10" t="s">
        <v>115</v>
      </c>
      <c r="E61" s="546">
        <f>E107</f>
        <v>2300</v>
      </c>
      <c r="F61" s="546">
        <f t="shared" ref="F61:P61" si="16">F107</f>
        <v>2090</v>
      </c>
      <c r="G61" s="546">
        <f t="shared" si="16"/>
        <v>2430</v>
      </c>
      <c r="H61" s="546">
        <f t="shared" si="16"/>
        <v>2470</v>
      </c>
      <c r="I61" s="546">
        <f t="shared" si="16"/>
        <v>2480</v>
      </c>
      <c r="J61" s="546">
        <f t="shared" si="16"/>
        <v>2690</v>
      </c>
      <c r="K61" s="546">
        <f t="shared" si="16"/>
        <v>2530</v>
      </c>
      <c r="L61" s="546">
        <f t="shared" si="16"/>
        <v>2600</v>
      </c>
      <c r="M61" s="546">
        <f t="shared" si="16"/>
        <v>3195</v>
      </c>
      <c r="N61" s="546">
        <f t="shared" si="16"/>
        <v>2745</v>
      </c>
      <c r="O61" s="546">
        <f t="shared" si="16"/>
        <v>3020</v>
      </c>
      <c r="P61" s="546">
        <f t="shared" si="16"/>
        <v>3450</v>
      </c>
      <c r="Q61" s="232">
        <f>SUM(E61:P61)</f>
        <v>32000</v>
      </c>
      <c r="S61" s="6"/>
    </row>
    <row r="62" spans="1:19" ht="14.4" thickBot="1">
      <c r="A62" s="38" t="s">
        <v>780</v>
      </c>
      <c r="B62" s="146" t="s">
        <v>42</v>
      </c>
      <c r="C62" s="146" t="s">
        <v>779</v>
      </c>
      <c r="D62" s="146" t="s">
        <v>781</v>
      </c>
      <c r="E62" s="507">
        <f>SUM(E60:E61)</f>
        <v>20879</v>
      </c>
      <c r="F62" s="507">
        <f t="shared" ref="F62:P62" si="17">SUM(F60:F61)</f>
        <v>20669</v>
      </c>
      <c r="G62" s="507">
        <f t="shared" si="17"/>
        <v>21008</v>
      </c>
      <c r="H62" s="507">
        <f t="shared" si="17"/>
        <v>22540</v>
      </c>
      <c r="I62" s="507">
        <f t="shared" si="17"/>
        <v>22550</v>
      </c>
      <c r="J62" s="507">
        <f t="shared" si="17"/>
        <v>22764</v>
      </c>
      <c r="K62" s="507">
        <f t="shared" si="17"/>
        <v>22048</v>
      </c>
      <c r="L62" s="507">
        <f t="shared" si="17"/>
        <v>22118</v>
      </c>
      <c r="M62" s="507">
        <f t="shared" si="17"/>
        <v>22711</v>
      </c>
      <c r="N62" s="507">
        <f t="shared" si="17"/>
        <v>23911</v>
      </c>
      <c r="O62" s="507">
        <f t="shared" si="17"/>
        <v>24186</v>
      </c>
      <c r="P62" s="507">
        <f t="shared" si="17"/>
        <v>24616</v>
      </c>
      <c r="Q62" s="234">
        <f>SUM(E62:P62)</f>
        <v>270000</v>
      </c>
    </row>
    <row r="63" spans="1:19" ht="14.4" thickBot="1"/>
    <row r="64" spans="1:19">
      <c r="A64" s="14" t="s">
        <v>780</v>
      </c>
      <c r="B64" s="24" t="s">
        <v>8</v>
      </c>
      <c r="C64" s="24" t="s">
        <v>779</v>
      </c>
      <c r="D64" s="24" t="s">
        <v>778</v>
      </c>
      <c r="E64" s="506">
        <f>'1. Velsipity Summary'!D13</f>
        <v>30116</v>
      </c>
      <c r="F64" s="506">
        <f>'1. Velsipity Summary'!E13</f>
        <v>30116</v>
      </c>
      <c r="G64" s="506">
        <f>'1. Velsipity Summary'!F13</f>
        <v>30115</v>
      </c>
      <c r="H64" s="506">
        <f>'1. Velsipity Summary'!G13</f>
        <v>37251</v>
      </c>
      <c r="I64" s="506">
        <f>'1. Velsipity Summary'!H13</f>
        <v>37251</v>
      </c>
      <c r="J64" s="506">
        <f>'1. Velsipity Summary'!I13</f>
        <v>37253</v>
      </c>
      <c r="K64" s="506">
        <f>'1. Velsipity Summary'!J13</f>
        <v>39950</v>
      </c>
      <c r="L64" s="506">
        <f>'1. Velsipity Summary'!K13</f>
        <v>39950</v>
      </c>
      <c r="M64" s="506">
        <f>'1. Velsipity Summary'!L13</f>
        <v>39951</v>
      </c>
      <c r="N64" s="506">
        <f>'1. Velsipity Summary'!M13</f>
        <v>49349</v>
      </c>
      <c r="O64" s="506">
        <f>'1. Velsipity Summary'!N13</f>
        <v>49349</v>
      </c>
      <c r="P64" s="506">
        <f>'1. Velsipity Summary'!O13</f>
        <v>49349</v>
      </c>
      <c r="Q64" s="307">
        <f>SUM(E64:P64)</f>
        <v>470000</v>
      </c>
      <c r="R64" s="1">
        <f>SUM(E64:J64)</f>
        <v>202102</v>
      </c>
      <c r="S64" s="1">
        <f>SUM(K64:P64)</f>
        <v>267898</v>
      </c>
    </row>
    <row r="65" spans="1:28">
      <c r="A65" s="15" t="s">
        <v>780</v>
      </c>
      <c r="B65" s="10" t="s">
        <v>8</v>
      </c>
      <c r="C65" s="10" t="s">
        <v>779</v>
      </c>
      <c r="D65" s="10" t="s">
        <v>116</v>
      </c>
      <c r="E65" s="546">
        <f>E75</f>
        <v>365</v>
      </c>
      <c r="F65" s="546">
        <f t="shared" ref="F65:P65" si="18">F75</f>
        <v>663</v>
      </c>
      <c r="G65" s="546">
        <f t="shared" si="18"/>
        <v>1020</v>
      </c>
      <c r="H65" s="546">
        <f t="shared" si="18"/>
        <v>1604</v>
      </c>
      <c r="I65" s="546">
        <f t="shared" si="18"/>
        <v>1925</v>
      </c>
      <c r="J65" s="546">
        <f t="shared" si="18"/>
        <v>2359</v>
      </c>
      <c r="K65" s="546">
        <f t="shared" si="18"/>
        <v>2773</v>
      </c>
      <c r="L65" s="546">
        <f t="shared" si="18"/>
        <v>3044</v>
      </c>
      <c r="M65" s="546">
        <f t="shared" si="18"/>
        <v>3418</v>
      </c>
      <c r="N65" s="546">
        <f t="shared" si="18"/>
        <v>3802</v>
      </c>
      <c r="O65" s="546">
        <f t="shared" si="18"/>
        <v>4073</v>
      </c>
      <c r="P65" s="546">
        <f t="shared" si="18"/>
        <v>4954</v>
      </c>
      <c r="Q65" s="232">
        <f>SUM(E65:P65)</f>
        <v>30000</v>
      </c>
    </row>
    <row r="66" spans="1:28" ht="14.4" thickBot="1">
      <c r="A66" s="38" t="s">
        <v>780</v>
      </c>
      <c r="B66" s="146" t="s">
        <v>8</v>
      </c>
      <c r="C66" s="146" t="s">
        <v>779</v>
      </c>
      <c r="D66" s="146" t="s">
        <v>782</v>
      </c>
      <c r="E66" s="534">
        <f>SUM(E64:E65)</f>
        <v>30481</v>
      </c>
      <c r="F66" s="534">
        <f t="shared" ref="F66:P66" si="19">SUM(F64:F65)</f>
        <v>30779</v>
      </c>
      <c r="G66" s="534">
        <f t="shared" si="19"/>
        <v>31135</v>
      </c>
      <c r="H66" s="534">
        <f t="shared" si="19"/>
        <v>38855</v>
      </c>
      <c r="I66" s="534">
        <f t="shared" si="19"/>
        <v>39176</v>
      </c>
      <c r="J66" s="534">
        <f t="shared" si="19"/>
        <v>39612</v>
      </c>
      <c r="K66" s="534">
        <f t="shared" si="19"/>
        <v>42723</v>
      </c>
      <c r="L66" s="534">
        <f t="shared" si="19"/>
        <v>42994</v>
      </c>
      <c r="M66" s="534">
        <f t="shared" si="19"/>
        <v>43369</v>
      </c>
      <c r="N66" s="534">
        <f t="shared" si="19"/>
        <v>53151</v>
      </c>
      <c r="O66" s="534">
        <f t="shared" si="19"/>
        <v>53422</v>
      </c>
      <c r="P66" s="534">
        <f t="shared" si="19"/>
        <v>54303</v>
      </c>
      <c r="Q66" s="234">
        <f>SUM(E66:P66)</f>
        <v>500000</v>
      </c>
      <c r="S66" s="6">
        <f>500000-Q66</f>
        <v>0</v>
      </c>
    </row>
    <row r="67" spans="1:28" ht="14.4" thickBot="1"/>
    <row r="68" spans="1:28" ht="14.4" thickBot="1">
      <c r="A68" s="310" t="s">
        <v>780</v>
      </c>
      <c r="B68" s="311" t="s">
        <v>130</v>
      </c>
      <c r="C68" s="311" t="s">
        <v>779</v>
      </c>
      <c r="D68" s="311" t="s">
        <v>783</v>
      </c>
      <c r="E68" s="312">
        <v>0</v>
      </c>
      <c r="F68" s="312">
        <v>0</v>
      </c>
      <c r="G68" s="312">
        <v>0</v>
      </c>
      <c r="H68" s="312">
        <v>301</v>
      </c>
      <c r="I68" s="312">
        <v>578</v>
      </c>
      <c r="J68" s="312">
        <v>827</v>
      </c>
      <c r="K68" s="312">
        <v>1127</v>
      </c>
      <c r="L68" s="312">
        <v>1434</v>
      </c>
      <c r="M68" s="312">
        <v>1736</v>
      </c>
      <c r="N68" s="312">
        <v>2036</v>
      </c>
      <c r="O68" s="312">
        <v>2277</v>
      </c>
      <c r="P68" s="312">
        <v>2462</v>
      </c>
      <c r="Q68" s="313">
        <f>SUM(E68:P68)</f>
        <v>12778</v>
      </c>
      <c r="R68" s="6"/>
    </row>
    <row r="70" spans="1:28" ht="14.4" thickBot="1">
      <c r="H70" s="8">
        <v>5.3958835527535692E-2</v>
      </c>
      <c r="I70" s="8">
        <v>6.4713517522714634E-2</v>
      </c>
      <c r="J70" s="8">
        <v>8.1216391618765066E-2</v>
      </c>
      <c r="K70" s="8">
        <v>8.9375115890969775E-2</v>
      </c>
      <c r="L70" s="8">
        <v>9.7719265714815498E-2</v>
      </c>
      <c r="M70" s="8">
        <v>0.11292416094937882</v>
      </c>
      <c r="N70" s="8">
        <v>0.1450027813832746</v>
      </c>
      <c r="O70" s="8">
        <v>0.16002225106619691</v>
      </c>
      <c r="P70" s="8">
        <v>0.19506768032634897</v>
      </c>
      <c r="S70" s="7">
        <f>H70*10000+H74</f>
        <v>1354.5883552753569</v>
      </c>
      <c r="T70" s="7">
        <f t="shared" ref="T70:AA70" si="20">I70*10000+I74</f>
        <v>1625.1351752271462</v>
      </c>
      <c r="U70" s="7">
        <f t="shared" si="20"/>
        <v>1985.1639161876506</v>
      </c>
      <c r="V70" s="7">
        <f t="shared" si="20"/>
        <v>2362.7511589096976</v>
      </c>
      <c r="W70" s="7">
        <f t="shared" si="20"/>
        <v>2594.1926571481549</v>
      </c>
      <c r="X70" s="7">
        <f t="shared" si="20"/>
        <v>2896.241609493788</v>
      </c>
      <c r="Y70" s="7">
        <f t="shared" si="20"/>
        <v>3499.0278138327458</v>
      </c>
      <c r="Z70" s="7">
        <f t="shared" si="20"/>
        <v>3774.222510661969</v>
      </c>
      <c r="AA70" s="7">
        <f t="shared" si="20"/>
        <v>4713.67680326349</v>
      </c>
      <c r="AB70" s="7"/>
    </row>
    <row r="71" spans="1:28">
      <c r="D71" s="14" t="s">
        <v>116</v>
      </c>
      <c r="E71" s="308" t="s">
        <v>100</v>
      </c>
      <c r="F71" s="308" t="s">
        <v>101</v>
      </c>
      <c r="G71" s="308" t="s">
        <v>103</v>
      </c>
      <c r="H71" s="308" t="s">
        <v>104</v>
      </c>
      <c r="I71" s="308" t="s">
        <v>105</v>
      </c>
      <c r="J71" s="308" t="s">
        <v>106</v>
      </c>
      <c r="K71" s="308" t="s">
        <v>107</v>
      </c>
      <c r="L71" s="308" t="s">
        <v>108</v>
      </c>
      <c r="M71" s="308" t="s">
        <v>109</v>
      </c>
      <c r="N71" s="308" t="s">
        <v>110</v>
      </c>
      <c r="O71" s="308" t="s">
        <v>111</v>
      </c>
      <c r="P71" s="308" t="s">
        <v>112</v>
      </c>
      <c r="Q71" s="309" t="s">
        <v>85</v>
      </c>
    </row>
    <row r="72" spans="1:28" hidden="1" outlineLevel="1">
      <c r="D72" s="15" t="s">
        <v>845</v>
      </c>
      <c r="E72" s="97">
        <f>14607/Q65</f>
        <v>0.4869</v>
      </c>
      <c r="F72" s="97">
        <f>E72</f>
        <v>0.4869</v>
      </c>
      <c r="G72" s="97">
        <f t="shared" ref="G72:P72" si="21">F72</f>
        <v>0.4869</v>
      </c>
      <c r="H72" s="97">
        <f t="shared" si="21"/>
        <v>0.4869</v>
      </c>
      <c r="I72" s="97">
        <f t="shared" si="21"/>
        <v>0.4869</v>
      </c>
      <c r="J72" s="97">
        <f t="shared" si="21"/>
        <v>0.4869</v>
      </c>
      <c r="K72" s="97">
        <f t="shared" si="21"/>
        <v>0.4869</v>
      </c>
      <c r="L72" s="97">
        <f t="shared" si="21"/>
        <v>0.4869</v>
      </c>
      <c r="M72" s="97">
        <f t="shared" si="21"/>
        <v>0.4869</v>
      </c>
      <c r="N72" s="97">
        <f t="shared" si="21"/>
        <v>0.4869</v>
      </c>
      <c r="O72" s="97">
        <f t="shared" si="21"/>
        <v>0.4869</v>
      </c>
      <c r="P72" s="97">
        <f t="shared" si="21"/>
        <v>0.4869</v>
      </c>
      <c r="Q72" s="37"/>
    </row>
    <row r="73" spans="1:28" collapsed="1">
      <c r="C73" t="s">
        <v>116</v>
      </c>
      <c r="D73" s="15" t="s">
        <v>920</v>
      </c>
      <c r="E73" s="40">
        <v>365</v>
      </c>
      <c r="F73" s="40">
        <v>438</v>
      </c>
      <c r="G73" s="40">
        <v>657</v>
      </c>
      <c r="H73" s="40">
        <v>789</v>
      </c>
      <c r="I73" s="40">
        <v>947</v>
      </c>
      <c r="J73" s="40">
        <v>1186</v>
      </c>
      <c r="K73" s="40">
        <v>1304</v>
      </c>
      <c r="L73" s="40">
        <v>1427</v>
      </c>
      <c r="M73" s="40">
        <v>1651</v>
      </c>
      <c r="N73" s="40">
        <v>1753</v>
      </c>
      <c r="O73" s="40">
        <v>1899</v>
      </c>
      <c r="P73" s="40">
        <v>2191</v>
      </c>
      <c r="Q73" s="232">
        <f>SUM(E73:P73)</f>
        <v>14607</v>
      </c>
    </row>
    <row r="74" spans="1:28">
      <c r="C74" t="s">
        <v>116</v>
      </c>
      <c r="D74" s="15" t="s">
        <v>921</v>
      </c>
      <c r="E74" s="417">
        <f>SUM(E88:E99)</f>
        <v>0</v>
      </c>
      <c r="F74" s="10">
        <f t="shared" ref="F74:P74" si="22">SUM(F88:F99)</f>
        <v>225</v>
      </c>
      <c r="G74" s="10">
        <f t="shared" si="22"/>
        <v>363</v>
      </c>
      <c r="H74" s="40">
        <f t="shared" si="22"/>
        <v>815</v>
      </c>
      <c r="I74" s="40">
        <f t="shared" si="22"/>
        <v>978</v>
      </c>
      <c r="J74" s="40">
        <f t="shared" si="22"/>
        <v>1173</v>
      </c>
      <c r="K74" s="40">
        <f t="shared" si="22"/>
        <v>1469</v>
      </c>
      <c r="L74" s="40">
        <f t="shared" si="22"/>
        <v>1617</v>
      </c>
      <c r="M74" s="40">
        <f t="shared" si="22"/>
        <v>1767</v>
      </c>
      <c r="N74" s="40">
        <f t="shared" si="22"/>
        <v>2049</v>
      </c>
      <c r="O74" s="40">
        <f t="shared" si="22"/>
        <v>2174</v>
      </c>
      <c r="P74" s="40">
        <f t="shared" si="22"/>
        <v>2763</v>
      </c>
      <c r="Q74" s="232">
        <f>SUM(E74:P74)</f>
        <v>15393</v>
      </c>
    </row>
    <row r="75" spans="1:28" ht="14.4" thickBot="1">
      <c r="D75" s="38" t="s">
        <v>78</v>
      </c>
      <c r="E75" s="306">
        <f>SUM(E73:E74)</f>
        <v>365</v>
      </c>
      <c r="F75" s="306">
        <f t="shared" ref="F75:P75" si="23">SUM(F73:F74)</f>
        <v>663</v>
      </c>
      <c r="G75" s="306">
        <f t="shared" si="23"/>
        <v>1020</v>
      </c>
      <c r="H75" s="306">
        <f t="shared" si="23"/>
        <v>1604</v>
      </c>
      <c r="I75" s="306">
        <f t="shared" si="23"/>
        <v>1925</v>
      </c>
      <c r="J75" s="306">
        <f t="shared" si="23"/>
        <v>2359</v>
      </c>
      <c r="K75" s="306">
        <f t="shared" si="23"/>
        <v>2773</v>
      </c>
      <c r="L75" s="306">
        <f t="shared" si="23"/>
        <v>3044</v>
      </c>
      <c r="M75" s="306">
        <f t="shared" si="23"/>
        <v>3418</v>
      </c>
      <c r="N75" s="306">
        <f t="shared" si="23"/>
        <v>3802</v>
      </c>
      <c r="O75" s="306">
        <f t="shared" si="23"/>
        <v>4073</v>
      </c>
      <c r="P75" s="306">
        <f t="shared" si="23"/>
        <v>4954</v>
      </c>
      <c r="Q75" s="234">
        <f>SUM(E75:P75)</f>
        <v>30000</v>
      </c>
    </row>
    <row r="76" spans="1:28" hidden="1" outlineLevel="1">
      <c r="D76" s="427" t="s">
        <v>855</v>
      </c>
      <c r="E76" s="415">
        <f>1750*E75</f>
        <v>638750</v>
      </c>
      <c r="F76" s="415">
        <f t="shared" ref="F76:P76" si="24">1750*F75</f>
        <v>1160250</v>
      </c>
      <c r="G76" s="415">
        <f t="shared" si="24"/>
        <v>1785000</v>
      </c>
      <c r="H76" s="415">
        <f t="shared" si="24"/>
        <v>2807000</v>
      </c>
      <c r="I76" s="415">
        <f t="shared" si="24"/>
        <v>3368750</v>
      </c>
      <c r="J76" s="415">
        <f t="shared" si="24"/>
        <v>4128250</v>
      </c>
      <c r="K76" s="415">
        <f t="shared" si="24"/>
        <v>4852750</v>
      </c>
      <c r="L76" s="415">
        <f t="shared" si="24"/>
        <v>5327000</v>
      </c>
      <c r="M76" s="415">
        <f t="shared" si="24"/>
        <v>5981500</v>
      </c>
      <c r="N76" s="415">
        <f t="shared" si="24"/>
        <v>6653500</v>
      </c>
      <c r="O76" s="415">
        <f t="shared" si="24"/>
        <v>7127750</v>
      </c>
      <c r="P76" s="415">
        <f t="shared" si="24"/>
        <v>8669500</v>
      </c>
    </row>
    <row r="77" spans="1:28" ht="14.4" collapsed="1" thickBot="1">
      <c r="D77" s="310" t="s">
        <v>856</v>
      </c>
      <c r="E77" s="325">
        <f>E75/$Q$75</f>
        <v>1.2166666666666666E-2</v>
      </c>
      <c r="F77" s="325">
        <f t="shared" ref="F77:P77" si="25">F75/$Q$75</f>
        <v>2.2100000000000002E-2</v>
      </c>
      <c r="G77" s="325">
        <f t="shared" si="25"/>
        <v>3.4000000000000002E-2</v>
      </c>
      <c r="H77" s="325">
        <f t="shared" si="25"/>
        <v>5.3466666666666669E-2</v>
      </c>
      <c r="I77" s="325">
        <f t="shared" si="25"/>
        <v>6.4166666666666664E-2</v>
      </c>
      <c r="J77" s="325">
        <f t="shared" si="25"/>
        <v>7.8633333333333333E-2</v>
      </c>
      <c r="K77" s="325">
        <f t="shared" si="25"/>
        <v>9.243333333333334E-2</v>
      </c>
      <c r="L77" s="325">
        <f t="shared" si="25"/>
        <v>0.10146666666666666</v>
      </c>
      <c r="M77" s="325">
        <f t="shared" si="25"/>
        <v>0.11393333333333333</v>
      </c>
      <c r="N77" s="325">
        <f t="shared" si="25"/>
        <v>0.12673333333333334</v>
      </c>
      <c r="O77" s="325">
        <f t="shared" si="25"/>
        <v>0.13576666666666667</v>
      </c>
      <c r="P77" s="325">
        <f t="shared" si="25"/>
        <v>0.16513333333333333</v>
      </c>
      <c r="Q77" s="59">
        <f>SUM(E77:P77)</f>
        <v>1</v>
      </c>
    </row>
    <row r="78" spans="1:28" ht="14.4" thickBot="1">
      <c r="E78" s="95">
        <f t="shared" ref="E78:M78" si="26">E85/$Q$85</f>
        <v>2.4988019442732937E-2</v>
      </c>
      <c r="F78" s="95">
        <f t="shared" si="26"/>
        <v>2.9985623331279524E-2</v>
      </c>
      <c r="G78" s="9">
        <f t="shared" si="26"/>
        <v>4.4978434996919288E-2</v>
      </c>
      <c r="H78" s="9">
        <f t="shared" si="26"/>
        <v>5.4015198192647364E-2</v>
      </c>
      <c r="I78" s="9">
        <f t="shared" si="26"/>
        <v>6.483192989662491E-2</v>
      </c>
      <c r="J78" s="9">
        <f t="shared" si="26"/>
        <v>8.119394810707195E-2</v>
      </c>
      <c r="K78" s="9">
        <f t="shared" si="26"/>
        <v>8.9272266721434929E-2</v>
      </c>
      <c r="L78" s="9">
        <f t="shared" si="26"/>
        <v>9.7624426644759357E-2</v>
      </c>
      <c r="M78" s="9">
        <f t="shared" si="26"/>
        <v>0.11309646060108167</v>
      </c>
      <c r="N78" s="9">
        <f>N85/$Q$85</f>
        <v>0.12001095365235846</v>
      </c>
      <c r="O78" s="9">
        <f t="shared" ref="O78:P78" si="27">O85/$Q$85</f>
        <v>0.13000616142945162</v>
      </c>
      <c r="P78" s="9">
        <f t="shared" si="27"/>
        <v>0.14999657698363797</v>
      </c>
    </row>
    <row r="79" spans="1:28">
      <c r="C79" s="419" t="s">
        <v>906</v>
      </c>
      <c r="D79" s="420" t="s">
        <v>846</v>
      </c>
      <c r="E79" s="421" t="s">
        <v>100</v>
      </c>
      <c r="F79" s="421" t="s">
        <v>101</v>
      </c>
      <c r="G79" s="421" t="s">
        <v>103</v>
      </c>
      <c r="H79" s="421" t="s">
        <v>104</v>
      </c>
      <c r="I79" s="421" t="s">
        <v>105</v>
      </c>
      <c r="J79" s="421" t="s">
        <v>106</v>
      </c>
      <c r="K79" s="421" t="s">
        <v>107</v>
      </c>
      <c r="L79" s="421" t="s">
        <v>108</v>
      </c>
      <c r="M79" s="421" t="s">
        <v>109</v>
      </c>
      <c r="N79" s="421" t="s">
        <v>110</v>
      </c>
      <c r="O79" s="421" t="s">
        <v>111</v>
      </c>
      <c r="P79" s="421" t="s">
        <v>112</v>
      </c>
      <c r="Q79" s="422" t="s">
        <v>85</v>
      </c>
    </row>
    <row r="80" spans="1:28">
      <c r="B80" s="138">
        <v>0.33771882821424321</v>
      </c>
      <c r="C80" s="15" t="s">
        <v>847</v>
      </c>
      <c r="D80" s="10" t="s">
        <v>848</v>
      </c>
      <c r="E80" s="417">
        <f>ROUND($B80*E$73,0)</f>
        <v>123</v>
      </c>
      <c r="F80" s="417">
        <f t="shared" ref="F80:P84" si="28">ROUND($B80*F$73,0)</f>
        <v>148</v>
      </c>
      <c r="G80" s="417">
        <f t="shared" si="28"/>
        <v>222</v>
      </c>
      <c r="H80" s="417">
        <f t="shared" si="28"/>
        <v>266</v>
      </c>
      <c r="I80" s="417">
        <f t="shared" si="28"/>
        <v>320</v>
      </c>
      <c r="J80" s="417">
        <f t="shared" si="28"/>
        <v>401</v>
      </c>
      <c r="K80" s="417">
        <f t="shared" si="28"/>
        <v>440</v>
      </c>
      <c r="L80" s="417">
        <f t="shared" si="28"/>
        <v>482</v>
      </c>
      <c r="M80" s="417">
        <f t="shared" si="28"/>
        <v>558</v>
      </c>
      <c r="N80" s="417">
        <f t="shared" si="28"/>
        <v>592</v>
      </c>
      <c r="O80" s="417">
        <f>ROUND($B80*O$73,0)+1</f>
        <v>642</v>
      </c>
      <c r="P80" s="417">
        <f>ROUND($B80*P$73,0)</f>
        <v>740</v>
      </c>
      <c r="Q80" s="418">
        <f>SUM(E80:P80)</f>
        <v>4934</v>
      </c>
    </row>
    <row r="81" spans="2:19">
      <c r="B81" s="138">
        <v>0.30514337864198887</v>
      </c>
      <c r="C81" s="15" t="s">
        <v>847</v>
      </c>
      <c r="D81" s="10" t="s">
        <v>849</v>
      </c>
      <c r="E81" s="417">
        <f t="shared" ref="E81:E84" si="29">ROUND($B81*E$73,0)</f>
        <v>111</v>
      </c>
      <c r="F81" s="417">
        <f t="shared" si="28"/>
        <v>134</v>
      </c>
      <c r="G81" s="417">
        <f t="shared" si="28"/>
        <v>200</v>
      </c>
      <c r="H81" s="417">
        <f t="shared" si="28"/>
        <v>241</v>
      </c>
      <c r="I81" s="417">
        <f t="shared" si="28"/>
        <v>289</v>
      </c>
      <c r="J81" s="417">
        <f t="shared" si="28"/>
        <v>362</v>
      </c>
      <c r="K81" s="417">
        <f t="shared" si="28"/>
        <v>398</v>
      </c>
      <c r="L81" s="417">
        <f t="shared" si="28"/>
        <v>435</v>
      </c>
      <c r="M81" s="417">
        <f t="shared" si="28"/>
        <v>504</v>
      </c>
      <c r="N81" s="417">
        <f t="shared" si="28"/>
        <v>535</v>
      </c>
      <c r="O81" s="417">
        <f t="shared" si="28"/>
        <v>579</v>
      </c>
      <c r="P81" s="417">
        <f t="shared" si="28"/>
        <v>669</v>
      </c>
      <c r="Q81" s="418">
        <f t="shared" ref="Q81:Q85" si="30">SUM(E81:P81)</f>
        <v>4457</v>
      </c>
    </row>
    <row r="82" spans="2:19">
      <c r="B82" s="138">
        <v>0.208262939954202</v>
      </c>
      <c r="C82" s="15" t="s">
        <v>850</v>
      </c>
      <c r="D82" s="10" t="s">
        <v>851</v>
      </c>
      <c r="E82" s="417">
        <f t="shared" si="29"/>
        <v>76</v>
      </c>
      <c r="F82" s="417">
        <f t="shared" si="28"/>
        <v>91</v>
      </c>
      <c r="G82" s="417">
        <f t="shared" si="28"/>
        <v>137</v>
      </c>
      <c r="H82" s="417">
        <f t="shared" si="28"/>
        <v>164</v>
      </c>
      <c r="I82" s="417">
        <f t="shared" si="28"/>
        <v>197</v>
      </c>
      <c r="J82" s="417">
        <f t="shared" si="28"/>
        <v>247</v>
      </c>
      <c r="K82" s="417">
        <f t="shared" si="28"/>
        <v>272</v>
      </c>
      <c r="L82" s="417">
        <f t="shared" si="28"/>
        <v>297</v>
      </c>
      <c r="M82" s="417">
        <f t="shared" si="28"/>
        <v>344</v>
      </c>
      <c r="N82" s="417">
        <f t="shared" si="28"/>
        <v>365</v>
      </c>
      <c r="O82" s="417">
        <f t="shared" si="28"/>
        <v>395</v>
      </c>
      <c r="P82" s="417">
        <f t="shared" si="28"/>
        <v>456</v>
      </c>
      <c r="Q82" s="418">
        <f t="shared" si="30"/>
        <v>3041</v>
      </c>
    </row>
    <row r="83" spans="2:19">
      <c r="B83" s="138">
        <v>8.7183894101777598E-2</v>
      </c>
      <c r="C83" s="15" t="s">
        <v>850</v>
      </c>
      <c r="D83" s="10" t="s">
        <v>852</v>
      </c>
      <c r="E83" s="417">
        <f t="shared" si="29"/>
        <v>32</v>
      </c>
      <c r="F83" s="417">
        <f t="shared" si="28"/>
        <v>38</v>
      </c>
      <c r="G83" s="417">
        <f t="shared" si="28"/>
        <v>57</v>
      </c>
      <c r="H83" s="417">
        <f t="shared" si="28"/>
        <v>69</v>
      </c>
      <c r="I83" s="417">
        <f t="shared" si="28"/>
        <v>83</v>
      </c>
      <c r="J83" s="417">
        <f t="shared" si="28"/>
        <v>103</v>
      </c>
      <c r="K83" s="417">
        <f t="shared" si="28"/>
        <v>114</v>
      </c>
      <c r="L83" s="417">
        <f t="shared" si="28"/>
        <v>124</v>
      </c>
      <c r="M83" s="417">
        <f t="shared" si="28"/>
        <v>144</v>
      </c>
      <c r="N83" s="417">
        <f t="shared" si="28"/>
        <v>153</v>
      </c>
      <c r="O83" s="417">
        <f t="shared" si="28"/>
        <v>166</v>
      </c>
      <c r="P83" s="417">
        <f t="shared" si="28"/>
        <v>191</v>
      </c>
      <c r="Q83" s="418">
        <f t="shared" si="30"/>
        <v>1274</v>
      </c>
    </row>
    <row r="84" spans="2:19">
      <c r="B84" s="138">
        <v>6.1690959087788239E-2</v>
      </c>
      <c r="C84" s="15" t="s">
        <v>850</v>
      </c>
      <c r="D84" s="10" t="s">
        <v>853</v>
      </c>
      <c r="E84" s="417">
        <f t="shared" si="29"/>
        <v>23</v>
      </c>
      <c r="F84" s="417">
        <f t="shared" si="28"/>
        <v>27</v>
      </c>
      <c r="G84" s="417">
        <f t="shared" si="28"/>
        <v>41</v>
      </c>
      <c r="H84" s="417">
        <f t="shared" si="28"/>
        <v>49</v>
      </c>
      <c r="I84" s="417">
        <f t="shared" si="28"/>
        <v>58</v>
      </c>
      <c r="J84" s="417">
        <f t="shared" si="28"/>
        <v>73</v>
      </c>
      <c r="K84" s="417">
        <f t="shared" si="28"/>
        <v>80</v>
      </c>
      <c r="L84" s="417">
        <f t="shared" si="28"/>
        <v>88</v>
      </c>
      <c r="M84" s="417">
        <f t="shared" si="28"/>
        <v>102</v>
      </c>
      <c r="N84" s="417">
        <f t="shared" si="28"/>
        <v>108</v>
      </c>
      <c r="O84" s="417">
        <f t="shared" si="28"/>
        <v>117</v>
      </c>
      <c r="P84" s="417">
        <f t="shared" si="28"/>
        <v>135</v>
      </c>
      <c r="Q84" s="418">
        <f t="shared" si="30"/>
        <v>901</v>
      </c>
    </row>
    <row r="85" spans="2:19" ht="14.4" thickBot="1">
      <c r="C85" s="914" t="s">
        <v>78</v>
      </c>
      <c r="D85" s="915"/>
      <c r="E85" s="423">
        <f>SUM(E80:E84)</f>
        <v>365</v>
      </c>
      <c r="F85" s="423">
        <f t="shared" ref="F85:P85" si="31">SUM(F80:F84)</f>
        <v>438</v>
      </c>
      <c r="G85" s="423">
        <f t="shared" si="31"/>
        <v>657</v>
      </c>
      <c r="H85" s="423">
        <f t="shared" si="31"/>
        <v>789</v>
      </c>
      <c r="I85" s="423">
        <f t="shared" si="31"/>
        <v>947</v>
      </c>
      <c r="J85" s="423">
        <f t="shared" si="31"/>
        <v>1186</v>
      </c>
      <c r="K85" s="423">
        <f t="shared" si="31"/>
        <v>1304</v>
      </c>
      <c r="L85" s="423">
        <f t="shared" si="31"/>
        <v>1426</v>
      </c>
      <c r="M85" s="423">
        <f t="shared" si="31"/>
        <v>1652</v>
      </c>
      <c r="N85" s="423">
        <f t="shared" si="31"/>
        <v>1753</v>
      </c>
      <c r="O85" s="423">
        <f t="shared" si="31"/>
        <v>1899</v>
      </c>
      <c r="P85" s="423">
        <f t="shared" si="31"/>
        <v>2191</v>
      </c>
      <c r="Q85" s="424">
        <f t="shared" si="30"/>
        <v>14607</v>
      </c>
    </row>
    <row r="86" spans="2:19" ht="14.4" thickBot="1">
      <c r="F86" s="535">
        <f>E85/SUM($E$85:$O$85)/2</f>
        <v>1.4698775773195876E-2</v>
      </c>
      <c r="G86" s="535">
        <f>F85/SUM($E$85:$O$85)/3*2</f>
        <v>2.3518041237113402E-2</v>
      </c>
      <c r="H86" s="8">
        <f t="shared" ref="H86:O86" si="32">G85/SUM($E$85:$O$85)</f>
        <v>5.2915592783505154E-2</v>
      </c>
      <c r="I86" s="8">
        <f t="shared" si="32"/>
        <v>6.3547036082474223E-2</v>
      </c>
      <c r="J86" s="8">
        <f t="shared" si="32"/>
        <v>7.6272551546391759E-2</v>
      </c>
      <c r="K86" s="8">
        <f t="shared" si="32"/>
        <v>9.5521907216494839E-2</v>
      </c>
      <c r="L86" s="8">
        <f t="shared" si="32"/>
        <v>0.10502577319587629</v>
      </c>
      <c r="M86" s="8">
        <f t="shared" si="32"/>
        <v>0.11485180412371133</v>
      </c>
      <c r="N86" s="8">
        <f t="shared" si="32"/>
        <v>0.13305412371134021</v>
      </c>
      <c r="O86" s="8">
        <f t="shared" si="32"/>
        <v>0.14118878865979381</v>
      </c>
      <c r="P86" s="8">
        <f>1-SUM(E86:O86)</f>
        <v>0.17940560567010311</v>
      </c>
      <c r="S86" s="532"/>
    </row>
    <row r="87" spans="2:19">
      <c r="C87" s="419" t="s">
        <v>907</v>
      </c>
      <c r="D87" s="420" t="s">
        <v>846</v>
      </c>
      <c r="E87" s="421" t="s">
        <v>100</v>
      </c>
      <c r="F87" s="421" t="s">
        <v>101</v>
      </c>
      <c r="G87" s="421" t="s">
        <v>103</v>
      </c>
      <c r="H87" s="421" t="s">
        <v>104</v>
      </c>
      <c r="I87" s="421" t="s">
        <v>105</v>
      </c>
      <c r="J87" s="421" t="s">
        <v>106</v>
      </c>
      <c r="K87" s="421" t="s">
        <v>107</v>
      </c>
      <c r="L87" s="421" t="s">
        <v>108</v>
      </c>
      <c r="M87" s="421" t="s">
        <v>109</v>
      </c>
      <c r="N87" s="421" t="s">
        <v>110</v>
      </c>
      <c r="O87" s="421" t="s">
        <v>111</v>
      </c>
      <c r="P87" s="421" t="s">
        <v>112</v>
      </c>
      <c r="Q87" s="422" t="s">
        <v>85</v>
      </c>
    </row>
    <row r="88" spans="2:19">
      <c r="C88" s="15" t="s">
        <v>850</v>
      </c>
      <c r="D88" s="10" t="s">
        <v>908</v>
      </c>
      <c r="E88" s="417"/>
      <c r="F88" s="40">
        <f>ROUND(F$86*$Q88,0)</f>
        <v>75</v>
      </c>
      <c r="G88" s="40">
        <f t="shared" ref="G88:P99" si="33">ROUND(G$86*$Q88,0)</f>
        <v>120</v>
      </c>
      <c r="H88" s="40">
        <f t="shared" si="33"/>
        <v>270</v>
      </c>
      <c r="I88" s="40">
        <f t="shared" si="33"/>
        <v>324</v>
      </c>
      <c r="J88" s="40">
        <f t="shared" si="33"/>
        <v>389</v>
      </c>
      <c r="K88" s="40">
        <f t="shared" si="33"/>
        <v>487</v>
      </c>
      <c r="L88" s="40">
        <f t="shared" si="33"/>
        <v>536</v>
      </c>
      <c r="M88" s="40">
        <f t="shared" si="33"/>
        <v>586</v>
      </c>
      <c r="N88" s="40">
        <f t="shared" si="33"/>
        <v>679</v>
      </c>
      <c r="O88" s="40">
        <f t="shared" si="33"/>
        <v>720</v>
      </c>
      <c r="P88" s="40">
        <f>ROUND(P$86*$Q88,0)+1</f>
        <v>917</v>
      </c>
      <c r="Q88" s="46">
        <f>5101+2</f>
        <v>5103</v>
      </c>
      <c r="S88" s="6">
        <f>SUM(E88:P88)-Q88</f>
        <v>0</v>
      </c>
    </row>
    <row r="89" spans="2:19">
      <c r="C89" s="15" t="s">
        <v>862</v>
      </c>
      <c r="D89" s="10" t="s">
        <v>909</v>
      </c>
      <c r="E89" s="10"/>
      <c r="F89" s="40">
        <f t="shared" ref="F89:F99" si="34">ROUND(F$86*$Q89,0)</f>
        <v>35</v>
      </c>
      <c r="G89" s="40">
        <f t="shared" si="33"/>
        <v>56</v>
      </c>
      <c r="H89" s="40">
        <f t="shared" si="33"/>
        <v>125</v>
      </c>
      <c r="I89" s="40">
        <f t="shared" si="33"/>
        <v>151</v>
      </c>
      <c r="J89" s="40">
        <f t="shared" si="33"/>
        <v>181</v>
      </c>
      <c r="K89" s="40">
        <f t="shared" si="33"/>
        <v>226</v>
      </c>
      <c r="L89" s="40">
        <f t="shared" si="33"/>
        <v>249</v>
      </c>
      <c r="M89" s="40">
        <f t="shared" si="33"/>
        <v>272</v>
      </c>
      <c r="N89" s="40">
        <f t="shared" si="33"/>
        <v>315</v>
      </c>
      <c r="O89" s="40">
        <f t="shared" si="33"/>
        <v>334</v>
      </c>
      <c r="P89" s="40">
        <f t="shared" si="33"/>
        <v>425</v>
      </c>
      <c r="Q89" s="46">
        <v>2369</v>
      </c>
      <c r="S89" s="6">
        <f t="shared" ref="S89:S100" si="35">SUM(E89:P89)-Q89</f>
        <v>0</v>
      </c>
    </row>
    <row r="90" spans="2:19">
      <c r="C90" s="15" t="s">
        <v>850</v>
      </c>
      <c r="D90" s="10" t="s">
        <v>910</v>
      </c>
      <c r="E90" s="417"/>
      <c r="F90" s="40">
        <f t="shared" si="34"/>
        <v>27</v>
      </c>
      <c r="G90" s="40">
        <f t="shared" si="33"/>
        <v>44</v>
      </c>
      <c r="H90" s="40">
        <f t="shared" si="33"/>
        <v>99</v>
      </c>
      <c r="I90" s="40">
        <f t="shared" si="33"/>
        <v>119</v>
      </c>
      <c r="J90" s="40">
        <f t="shared" si="33"/>
        <v>142</v>
      </c>
      <c r="K90" s="40">
        <f t="shared" si="33"/>
        <v>178</v>
      </c>
      <c r="L90" s="40">
        <f t="shared" si="33"/>
        <v>196</v>
      </c>
      <c r="M90" s="40">
        <f t="shared" si="33"/>
        <v>215</v>
      </c>
      <c r="N90" s="40">
        <f t="shared" si="33"/>
        <v>249</v>
      </c>
      <c r="O90" s="40">
        <f t="shared" si="33"/>
        <v>264</v>
      </c>
      <c r="P90" s="40">
        <f t="shared" si="33"/>
        <v>335</v>
      </c>
      <c r="Q90" s="46">
        <v>1868</v>
      </c>
      <c r="S90" s="6">
        <f t="shared" si="35"/>
        <v>0</v>
      </c>
    </row>
    <row r="91" spans="2:19">
      <c r="C91" s="15" t="s">
        <v>868</v>
      </c>
      <c r="D91" s="10" t="s">
        <v>911</v>
      </c>
      <c r="E91" s="12"/>
      <c r="F91" s="40">
        <f t="shared" si="34"/>
        <v>21</v>
      </c>
      <c r="G91" s="40">
        <f t="shared" si="33"/>
        <v>34</v>
      </c>
      <c r="H91" s="40">
        <f t="shared" si="33"/>
        <v>77</v>
      </c>
      <c r="I91" s="40">
        <f t="shared" si="33"/>
        <v>93</v>
      </c>
      <c r="J91" s="40">
        <f t="shared" si="33"/>
        <v>111</v>
      </c>
      <c r="K91" s="40">
        <f t="shared" si="33"/>
        <v>139</v>
      </c>
      <c r="L91" s="40">
        <f t="shared" si="33"/>
        <v>153</v>
      </c>
      <c r="M91" s="40">
        <f t="shared" si="33"/>
        <v>167</v>
      </c>
      <c r="N91" s="40">
        <f t="shared" si="33"/>
        <v>194</v>
      </c>
      <c r="O91" s="40">
        <f t="shared" si="33"/>
        <v>206</v>
      </c>
      <c r="P91" s="40">
        <f>ROUND(P$86*$Q91,0)+1</f>
        <v>262</v>
      </c>
      <c r="Q91" s="46">
        <v>1457</v>
      </c>
      <c r="S91" s="6">
        <f t="shared" si="35"/>
        <v>0</v>
      </c>
    </row>
    <row r="92" spans="2:19">
      <c r="C92" s="15" t="s">
        <v>850</v>
      </c>
      <c r="D92" s="10" t="s">
        <v>912</v>
      </c>
      <c r="E92" s="417"/>
      <c r="F92" s="40">
        <f t="shared" si="34"/>
        <v>19</v>
      </c>
      <c r="G92" s="40">
        <f t="shared" si="33"/>
        <v>31</v>
      </c>
      <c r="H92" s="40">
        <f t="shared" si="33"/>
        <v>69</v>
      </c>
      <c r="I92" s="40">
        <f t="shared" si="33"/>
        <v>83</v>
      </c>
      <c r="J92" s="40">
        <f t="shared" si="33"/>
        <v>100</v>
      </c>
      <c r="K92" s="40">
        <f t="shared" si="33"/>
        <v>125</v>
      </c>
      <c r="L92" s="40">
        <f t="shared" si="33"/>
        <v>137</v>
      </c>
      <c r="M92" s="40">
        <f t="shared" si="33"/>
        <v>150</v>
      </c>
      <c r="N92" s="40">
        <f t="shared" si="33"/>
        <v>174</v>
      </c>
      <c r="O92" s="40">
        <f t="shared" si="33"/>
        <v>185</v>
      </c>
      <c r="P92" s="40">
        <f t="shared" si="33"/>
        <v>235</v>
      </c>
      <c r="Q92" s="46">
        <v>1308</v>
      </c>
      <c r="S92" s="6">
        <f t="shared" si="35"/>
        <v>0</v>
      </c>
    </row>
    <row r="93" spans="2:19">
      <c r="C93" s="15" t="s">
        <v>863</v>
      </c>
      <c r="D93" s="10" t="s">
        <v>913</v>
      </c>
      <c r="E93" s="10"/>
      <c r="F93" s="40">
        <f t="shared" si="34"/>
        <v>14</v>
      </c>
      <c r="G93" s="40">
        <f t="shared" si="33"/>
        <v>22</v>
      </c>
      <c r="H93" s="40">
        <f t="shared" si="33"/>
        <v>49</v>
      </c>
      <c r="I93" s="40">
        <f t="shared" si="33"/>
        <v>59</v>
      </c>
      <c r="J93" s="40">
        <f t="shared" si="33"/>
        <v>71</v>
      </c>
      <c r="K93" s="40">
        <f t="shared" si="33"/>
        <v>89</v>
      </c>
      <c r="L93" s="40">
        <f t="shared" si="33"/>
        <v>98</v>
      </c>
      <c r="M93" s="40">
        <f t="shared" si="33"/>
        <v>107</v>
      </c>
      <c r="N93" s="40">
        <f t="shared" si="33"/>
        <v>124</v>
      </c>
      <c r="O93" s="40">
        <f t="shared" si="33"/>
        <v>132</v>
      </c>
      <c r="P93" s="40">
        <f>ROUND(P$86*$Q93,0)+1</f>
        <v>169</v>
      </c>
      <c r="Q93" s="46">
        <v>934</v>
      </c>
      <c r="S93" s="6">
        <f t="shared" si="35"/>
        <v>0</v>
      </c>
    </row>
    <row r="94" spans="2:19">
      <c r="C94" s="15" t="s">
        <v>864</v>
      </c>
      <c r="D94" s="10" t="s">
        <v>914</v>
      </c>
      <c r="E94" s="417"/>
      <c r="F94" s="40">
        <f t="shared" si="34"/>
        <v>10</v>
      </c>
      <c r="G94" s="40">
        <f t="shared" si="33"/>
        <v>16</v>
      </c>
      <c r="H94" s="40">
        <f t="shared" si="33"/>
        <v>36</v>
      </c>
      <c r="I94" s="40">
        <f t="shared" si="33"/>
        <v>43</v>
      </c>
      <c r="J94" s="40">
        <f t="shared" si="33"/>
        <v>51</v>
      </c>
      <c r="K94" s="40">
        <f t="shared" si="33"/>
        <v>64</v>
      </c>
      <c r="L94" s="40">
        <f t="shared" si="33"/>
        <v>71</v>
      </c>
      <c r="M94" s="40">
        <f t="shared" si="33"/>
        <v>77</v>
      </c>
      <c r="N94" s="40">
        <f t="shared" si="33"/>
        <v>90</v>
      </c>
      <c r="O94" s="40">
        <f t="shared" si="33"/>
        <v>95</v>
      </c>
      <c r="P94" s="40">
        <f t="shared" si="33"/>
        <v>121</v>
      </c>
      <c r="Q94" s="46">
        <v>674</v>
      </c>
      <c r="S94" s="6">
        <f t="shared" si="35"/>
        <v>0</v>
      </c>
    </row>
    <row r="95" spans="2:19">
      <c r="C95" s="15" t="s">
        <v>850</v>
      </c>
      <c r="D95" s="10" t="s">
        <v>915</v>
      </c>
      <c r="E95" s="10"/>
      <c r="F95" s="40">
        <f t="shared" si="34"/>
        <v>9</v>
      </c>
      <c r="G95" s="40">
        <f t="shared" si="33"/>
        <v>15</v>
      </c>
      <c r="H95" s="40">
        <f t="shared" si="33"/>
        <v>34</v>
      </c>
      <c r="I95" s="40">
        <f t="shared" si="33"/>
        <v>40</v>
      </c>
      <c r="J95" s="40">
        <f t="shared" si="33"/>
        <v>49</v>
      </c>
      <c r="K95" s="40">
        <f t="shared" si="33"/>
        <v>61</v>
      </c>
      <c r="L95" s="40">
        <f t="shared" si="33"/>
        <v>67</v>
      </c>
      <c r="M95" s="40">
        <f t="shared" si="33"/>
        <v>73</v>
      </c>
      <c r="N95" s="40">
        <f t="shared" si="33"/>
        <v>85</v>
      </c>
      <c r="O95" s="40">
        <f t="shared" si="33"/>
        <v>90</v>
      </c>
      <c r="P95" s="40">
        <f>ROUND(P$86*$Q95,0)-1</f>
        <v>113</v>
      </c>
      <c r="Q95" s="46">
        <v>636</v>
      </c>
      <c r="S95" s="6">
        <f t="shared" si="35"/>
        <v>0</v>
      </c>
    </row>
    <row r="96" spans="2:19">
      <c r="C96" s="15" t="s">
        <v>850</v>
      </c>
      <c r="D96" s="10" t="s">
        <v>916</v>
      </c>
      <c r="E96" s="10"/>
      <c r="F96" s="40">
        <f t="shared" si="34"/>
        <v>9</v>
      </c>
      <c r="G96" s="40">
        <f t="shared" si="33"/>
        <v>15</v>
      </c>
      <c r="H96" s="40">
        <f t="shared" si="33"/>
        <v>34</v>
      </c>
      <c r="I96" s="40">
        <f t="shared" si="33"/>
        <v>40</v>
      </c>
      <c r="J96" s="40">
        <f t="shared" si="33"/>
        <v>48</v>
      </c>
      <c r="K96" s="40">
        <f t="shared" si="33"/>
        <v>61</v>
      </c>
      <c r="L96" s="40">
        <f t="shared" si="33"/>
        <v>67</v>
      </c>
      <c r="M96" s="40">
        <f t="shared" si="33"/>
        <v>73</v>
      </c>
      <c r="N96" s="40">
        <f t="shared" si="33"/>
        <v>84</v>
      </c>
      <c r="O96" s="40">
        <f t="shared" si="33"/>
        <v>90</v>
      </c>
      <c r="P96" s="40">
        <f>ROUND(P$86*$Q96,0)-1</f>
        <v>113</v>
      </c>
      <c r="Q96" s="46">
        <v>634</v>
      </c>
      <c r="S96" s="6">
        <f t="shared" si="35"/>
        <v>0</v>
      </c>
    </row>
    <row r="97" spans="3:27">
      <c r="C97" s="15" t="s">
        <v>863</v>
      </c>
      <c r="D97" s="10" t="s">
        <v>917</v>
      </c>
      <c r="E97" s="10"/>
      <c r="F97" s="40">
        <f t="shared" si="34"/>
        <v>4</v>
      </c>
      <c r="G97" s="40">
        <f t="shared" si="33"/>
        <v>6</v>
      </c>
      <c r="H97" s="40">
        <f t="shared" si="33"/>
        <v>13</v>
      </c>
      <c r="I97" s="40">
        <f t="shared" si="33"/>
        <v>16</v>
      </c>
      <c r="J97" s="40">
        <f t="shared" si="33"/>
        <v>19</v>
      </c>
      <c r="K97" s="40">
        <f t="shared" si="33"/>
        <v>24</v>
      </c>
      <c r="L97" s="40">
        <f t="shared" si="33"/>
        <v>26</v>
      </c>
      <c r="M97" s="40">
        <f t="shared" si="33"/>
        <v>28</v>
      </c>
      <c r="N97" s="40">
        <f t="shared" si="33"/>
        <v>33</v>
      </c>
      <c r="O97" s="40">
        <f t="shared" si="33"/>
        <v>35</v>
      </c>
      <c r="P97" s="533">
        <f t="shared" si="33"/>
        <v>44</v>
      </c>
      <c r="Q97" s="46">
        <v>248</v>
      </c>
      <c r="S97" s="6">
        <f t="shared" si="35"/>
        <v>0</v>
      </c>
      <c r="AA97">
        <v>21384</v>
      </c>
    </row>
    <row r="98" spans="3:27">
      <c r="C98" s="15" t="s">
        <v>850</v>
      </c>
      <c r="D98" s="10" t="s">
        <v>918</v>
      </c>
      <c r="E98" s="10"/>
      <c r="F98" s="40">
        <f t="shared" si="34"/>
        <v>2</v>
      </c>
      <c r="G98" s="40">
        <f t="shared" si="33"/>
        <v>4</v>
      </c>
      <c r="H98" s="40">
        <f t="shared" si="33"/>
        <v>9</v>
      </c>
      <c r="I98" s="40">
        <f t="shared" si="33"/>
        <v>10</v>
      </c>
      <c r="J98" s="40">
        <f t="shared" si="33"/>
        <v>12</v>
      </c>
      <c r="K98" s="40">
        <f t="shared" si="33"/>
        <v>15</v>
      </c>
      <c r="L98" s="40">
        <f t="shared" si="33"/>
        <v>17</v>
      </c>
      <c r="M98" s="40">
        <f t="shared" si="33"/>
        <v>19</v>
      </c>
      <c r="N98" s="40">
        <f t="shared" si="33"/>
        <v>22</v>
      </c>
      <c r="O98" s="40">
        <f t="shared" si="33"/>
        <v>23</v>
      </c>
      <c r="P98" s="40">
        <f t="shared" si="33"/>
        <v>29</v>
      </c>
      <c r="Q98" s="46">
        <v>162</v>
      </c>
      <c r="S98" s="6">
        <f t="shared" si="35"/>
        <v>0</v>
      </c>
    </row>
    <row r="99" spans="3:27">
      <c r="C99" s="15" t="s">
        <v>868</v>
      </c>
      <c r="D99" s="10" t="s">
        <v>919</v>
      </c>
      <c r="E99" s="10"/>
      <c r="F99" s="40">
        <f t="shared" si="34"/>
        <v>0</v>
      </c>
      <c r="G99" s="40">
        <f t="shared" si="33"/>
        <v>0</v>
      </c>
      <c r="H99" s="40">
        <f t="shared" si="33"/>
        <v>0</v>
      </c>
      <c r="I99" s="40">
        <f t="shared" si="33"/>
        <v>0</v>
      </c>
      <c r="J99" s="40">
        <f t="shared" si="33"/>
        <v>0</v>
      </c>
      <c r="K99" s="40">
        <f t="shared" si="33"/>
        <v>0</v>
      </c>
      <c r="L99" s="40">
        <f t="shared" si="33"/>
        <v>0</v>
      </c>
      <c r="M99" s="40">
        <f t="shared" si="33"/>
        <v>0</v>
      </c>
      <c r="N99" s="40">
        <f t="shared" si="33"/>
        <v>0</v>
      </c>
      <c r="O99" s="40"/>
      <c r="P99" s="40"/>
      <c r="Q99" s="46"/>
      <c r="S99" s="6">
        <f t="shared" si="35"/>
        <v>0</v>
      </c>
    </row>
    <row r="100" spans="3:27" ht="14.4" thickBot="1">
      <c r="C100" s="914" t="s">
        <v>78</v>
      </c>
      <c r="D100" s="915"/>
      <c r="E100" s="423">
        <f>SUM(E88:E99)</f>
        <v>0</v>
      </c>
      <c r="F100" s="423">
        <f t="shared" ref="F100:P100" si="36">SUM(F88:F99)</f>
        <v>225</v>
      </c>
      <c r="G100" s="423">
        <f t="shared" si="36"/>
        <v>363</v>
      </c>
      <c r="H100" s="423">
        <f t="shared" si="36"/>
        <v>815</v>
      </c>
      <c r="I100" s="423">
        <f t="shared" si="36"/>
        <v>978</v>
      </c>
      <c r="J100" s="423">
        <f t="shared" si="36"/>
        <v>1173</v>
      </c>
      <c r="K100" s="423">
        <f t="shared" si="36"/>
        <v>1469</v>
      </c>
      <c r="L100" s="423">
        <f t="shared" si="36"/>
        <v>1617</v>
      </c>
      <c r="M100" s="423">
        <f t="shared" si="36"/>
        <v>1767</v>
      </c>
      <c r="N100" s="423">
        <f t="shared" si="36"/>
        <v>2049</v>
      </c>
      <c r="O100" s="423">
        <f t="shared" si="36"/>
        <v>2174</v>
      </c>
      <c r="P100" s="423">
        <f t="shared" si="36"/>
        <v>2763</v>
      </c>
      <c r="Q100" s="424">
        <f>SUM(Q88:Q99)</f>
        <v>15393</v>
      </c>
      <c r="S100" s="2">
        <f t="shared" si="35"/>
        <v>0</v>
      </c>
    </row>
    <row r="103" spans="3:27" ht="14.4" thickBot="1"/>
    <row r="104" spans="3:27">
      <c r="C104" s="14"/>
      <c r="D104" s="24"/>
      <c r="E104" s="421" t="s">
        <v>100</v>
      </c>
      <c r="F104" s="421" t="s">
        <v>101</v>
      </c>
      <c r="G104" s="421" t="s">
        <v>103</v>
      </c>
      <c r="H104" s="421" t="s">
        <v>104</v>
      </c>
      <c r="I104" s="421" t="s">
        <v>105</v>
      </c>
      <c r="J104" s="421" t="s">
        <v>106</v>
      </c>
      <c r="K104" s="421" t="s">
        <v>107</v>
      </c>
      <c r="L104" s="421" t="s">
        <v>108</v>
      </c>
      <c r="M104" s="421" t="s">
        <v>109</v>
      </c>
      <c r="N104" s="421" t="s">
        <v>110</v>
      </c>
      <c r="O104" s="421" t="s">
        <v>111</v>
      </c>
      <c r="P104" s="421" t="s">
        <v>112</v>
      </c>
      <c r="Q104" s="422" t="s">
        <v>85</v>
      </c>
    </row>
    <row r="105" spans="3:27">
      <c r="C105" s="15" t="s">
        <v>115</v>
      </c>
      <c r="D105" s="542" t="s">
        <v>930</v>
      </c>
      <c r="E105" s="544">
        <v>1300</v>
      </c>
      <c r="F105" s="544">
        <v>1400</v>
      </c>
      <c r="G105" s="544">
        <v>1500</v>
      </c>
      <c r="H105" s="544">
        <v>1550</v>
      </c>
      <c r="I105" s="544">
        <v>1600</v>
      </c>
      <c r="J105" s="544">
        <v>1660</v>
      </c>
      <c r="K105" s="544">
        <v>1700</v>
      </c>
      <c r="L105" s="544">
        <v>1750</v>
      </c>
      <c r="M105" s="544">
        <v>1800</v>
      </c>
      <c r="N105" s="544">
        <v>1820</v>
      </c>
      <c r="O105" s="544">
        <v>1920</v>
      </c>
      <c r="P105" s="544">
        <v>2000</v>
      </c>
      <c r="Q105" s="46">
        <f>SUM(E105:P105)</f>
        <v>20000</v>
      </c>
    </row>
    <row r="106" spans="3:27" ht="14.4" thickBot="1">
      <c r="C106" s="38" t="s">
        <v>115</v>
      </c>
      <c r="D106" s="543" t="s">
        <v>931</v>
      </c>
      <c r="E106" s="545">
        <v>1000</v>
      </c>
      <c r="F106" s="545">
        <v>690</v>
      </c>
      <c r="G106" s="545">
        <v>930</v>
      </c>
      <c r="H106" s="545">
        <v>920</v>
      </c>
      <c r="I106" s="545">
        <v>880</v>
      </c>
      <c r="J106" s="545">
        <v>1030</v>
      </c>
      <c r="K106" s="545">
        <v>830</v>
      </c>
      <c r="L106" s="545">
        <v>850</v>
      </c>
      <c r="M106" s="545">
        <v>1395</v>
      </c>
      <c r="N106" s="545">
        <v>925</v>
      </c>
      <c r="O106" s="545">
        <v>1100</v>
      </c>
      <c r="P106" s="545">
        <v>1450</v>
      </c>
      <c r="Q106" s="47">
        <f>SUM(E106:P106)</f>
        <v>12000</v>
      </c>
    </row>
    <row r="107" spans="3:27">
      <c r="D107" t="s">
        <v>78</v>
      </c>
      <c r="E107" s="1">
        <f>SUM(E105:E106)</f>
        <v>2300</v>
      </c>
      <c r="F107" s="1">
        <f t="shared" ref="F107:Q107" si="37">SUM(F105:F106)</f>
        <v>2090</v>
      </c>
      <c r="G107" s="1">
        <f t="shared" si="37"/>
        <v>2430</v>
      </c>
      <c r="H107" s="1">
        <f t="shared" si="37"/>
        <v>2470</v>
      </c>
      <c r="I107" s="1">
        <f t="shared" si="37"/>
        <v>2480</v>
      </c>
      <c r="J107" s="1">
        <f t="shared" si="37"/>
        <v>2690</v>
      </c>
      <c r="K107" s="1">
        <f t="shared" si="37"/>
        <v>2530</v>
      </c>
      <c r="L107" s="1">
        <f t="shared" si="37"/>
        <v>2600</v>
      </c>
      <c r="M107" s="1">
        <f t="shared" si="37"/>
        <v>3195</v>
      </c>
      <c r="N107" s="1">
        <f t="shared" si="37"/>
        <v>2745</v>
      </c>
      <c r="O107" s="1">
        <f t="shared" si="37"/>
        <v>3020</v>
      </c>
      <c r="P107" s="1">
        <f t="shared" si="37"/>
        <v>3450</v>
      </c>
      <c r="Q107" s="1">
        <f t="shared" si="37"/>
        <v>32000</v>
      </c>
    </row>
  </sheetData>
  <mergeCells count="2">
    <mergeCell ref="C85:D85"/>
    <mergeCell ref="C100:D100"/>
  </mergeCells>
  <phoneticPr fontId="8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CDF26-36DF-4F85-A678-693036FAB845}">
  <dimension ref="B1:I27"/>
  <sheetViews>
    <sheetView topLeftCell="A5" zoomScale="85" zoomScaleNormal="85" workbookViewId="0">
      <selection activeCell="B10" activeCellId="1" sqref="B4:D15 B4:D15"/>
    </sheetView>
  </sheetViews>
  <sheetFormatPr defaultColWidth="8.6640625" defaultRowHeight="15.6"/>
  <cols>
    <col min="1" max="1" width="8.6640625" style="515"/>
    <col min="2" max="2" width="12.77734375" style="531" customWidth="1"/>
    <col min="3" max="3" width="14.6640625" style="531" customWidth="1"/>
    <col min="4" max="4" width="13.33203125" style="515" customWidth="1"/>
    <col min="5" max="5" width="10.5546875" style="515" customWidth="1"/>
    <col min="6" max="6" width="11.5546875" style="515" customWidth="1"/>
    <col min="7" max="7" width="13.44140625" style="515" customWidth="1"/>
    <col min="8" max="9" width="12.6640625" style="515" customWidth="1"/>
    <col min="10" max="16384" width="8.6640625" style="515"/>
  </cols>
  <sheetData>
    <row r="1" spans="2:9" ht="16.2">
      <c r="B1" s="509"/>
      <c r="C1" s="510"/>
      <c r="D1" s="511"/>
      <c r="E1" s="511"/>
      <c r="F1" s="510"/>
      <c r="G1" s="512" t="s">
        <v>871</v>
      </c>
      <c r="H1" s="513" t="s">
        <v>872</v>
      </c>
      <c r="I1" s="514" t="s">
        <v>873</v>
      </c>
    </row>
    <row r="2" spans="2:9" ht="16.2" thickBot="1">
      <c r="B2" s="510"/>
      <c r="C2" s="510"/>
      <c r="D2" s="511"/>
      <c r="E2" s="511"/>
      <c r="F2" s="516"/>
      <c r="G2" s="517">
        <v>30000</v>
      </c>
      <c r="H2" s="518">
        <v>14607</v>
      </c>
      <c r="I2" s="519">
        <f>G2-H2</f>
        <v>15393</v>
      </c>
    </row>
    <row r="3" spans="2:9">
      <c r="B3" s="520"/>
      <c r="C3" s="520"/>
      <c r="D3" s="521"/>
      <c r="E3" s="522"/>
      <c r="F3" s="522"/>
      <c r="G3" s="522"/>
      <c r="H3" s="522"/>
      <c r="I3" s="522"/>
    </row>
    <row r="4" spans="2:9">
      <c r="B4" s="520"/>
      <c r="C4" s="510"/>
      <c r="D4" s="511"/>
      <c r="E4" s="522">
        <v>93</v>
      </c>
      <c r="F4" s="522">
        <v>2659</v>
      </c>
      <c r="G4" s="522">
        <v>53738</v>
      </c>
      <c r="H4" s="522">
        <f>SUM(H6:H22)</f>
        <v>14607</v>
      </c>
      <c r="I4" s="522">
        <f>SUM(I6:I22)</f>
        <v>15393</v>
      </c>
    </row>
    <row r="5" spans="2:9" ht="46.2">
      <c r="B5" s="523" t="s">
        <v>874</v>
      </c>
      <c r="C5" s="523" t="s">
        <v>875</v>
      </c>
      <c r="D5" s="523" t="s">
        <v>18</v>
      </c>
      <c r="E5" s="523" t="s">
        <v>876</v>
      </c>
      <c r="F5" s="523" t="s">
        <v>877</v>
      </c>
      <c r="G5" s="524" t="s">
        <v>878</v>
      </c>
      <c r="H5" s="525" t="s">
        <v>879</v>
      </c>
      <c r="I5" s="526" t="s">
        <v>880</v>
      </c>
    </row>
    <row r="6" spans="2:9" ht="21" customHeight="1">
      <c r="B6" s="520" t="s">
        <v>881</v>
      </c>
      <c r="C6" s="520" t="s">
        <v>882</v>
      </c>
      <c r="D6" s="520" t="s">
        <v>582</v>
      </c>
      <c r="E6" s="520">
        <v>7</v>
      </c>
      <c r="F6" s="516">
        <v>650</v>
      </c>
      <c r="G6" s="516">
        <v>9329</v>
      </c>
      <c r="H6" s="527">
        <v>4933</v>
      </c>
      <c r="I6" s="528" t="s">
        <v>883</v>
      </c>
    </row>
    <row r="7" spans="2:9" ht="21" customHeight="1">
      <c r="B7" s="529" t="s">
        <v>881</v>
      </c>
      <c r="C7" s="529" t="s">
        <v>884</v>
      </c>
      <c r="D7" s="529" t="s">
        <v>582</v>
      </c>
      <c r="E7" s="529">
        <v>11</v>
      </c>
      <c r="F7" s="530">
        <v>332</v>
      </c>
      <c r="G7" s="530">
        <v>9112</v>
      </c>
      <c r="H7" s="527">
        <v>4457</v>
      </c>
      <c r="I7" s="528" t="s">
        <v>883</v>
      </c>
    </row>
    <row r="8" spans="2:9" ht="21" customHeight="1">
      <c r="B8" s="520" t="s">
        <v>885</v>
      </c>
      <c r="C8" s="520" t="s">
        <v>886</v>
      </c>
      <c r="D8" s="520" t="s">
        <v>582</v>
      </c>
      <c r="E8" s="520">
        <v>5</v>
      </c>
      <c r="F8" s="516">
        <v>725</v>
      </c>
      <c r="G8" s="516">
        <v>3085</v>
      </c>
      <c r="H8" s="527">
        <v>3042</v>
      </c>
      <c r="I8" s="528" t="s">
        <v>883</v>
      </c>
    </row>
    <row r="9" spans="2:9" ht="21" customHeight="1">
      <c r="B9" s="529" t="s">
        <v>885</v>
      </c>
      <c r="C9" s="529" t="s">
        <v>887</v>
      </c>
      <c r="D9" s="529" t="s">
        <v>582</v>
      </c>
      <c r="E9" s="529">
        <v>8</v>
      </c>
      <c r="F9" s="530">
        <v>41</v>
      </c>
      <c r="G9" s="530">
        <v>3241</v>
      </c>
      <c r="H9" s="527">
        <v>1274</v>
      </c>
      <c r="I9" s="528" t="s">
        <v>883</v>
      </c>
    </row>
    <row r="10" spans="2:9" ht="21" customHeight="1">
      <c r="B10" s="520" t="s">
        <v>885</v>
      </c>
      <c r="C10" s="520" t="s">
        <v>888</v>
      </c>
      <c r="D10" s="520" t="s">
        <v>582</v>
      </c>
      <c r="E10" s="520">
        <v>7</v>
      </c>
      <c r="F10" s="516">
        <v>236</v>
      </c>
      <c r="G10" s="516">
        <v>566</v>
      </c>
      <c r="H10" s="527">
        <v>901</v>
      </c>
      <c r="I10" s="528" t="s">
        <v>883</v>
      </c>
    </row>
    <row r="11" spans="2:9" ht="21" customHeight="1">
      <c r="B11" s="529" t="s">
        <v>885</v>
      </c>
      <c r="C11" s="529" t="s">
        <v>889</v>
      </c>
      <c r="D11" s="529" t="s">
        <v>890</v>
      </c>
      <c r="E11" s="529">
        <v>13</v>
      </c>
      <c r="F11" s="530">
        <v>36</v>
      </c>
      <c r="G11" s="530">
        <v>10644</v>
      </c>
      <c r="H11" s="527"/>
      <c r="I11" s="528">
        <v>5101</v>
      </c>
    </row>
    <row r="12" spans="2:9" ht="21" customHeight="1">
      <c r="B12" s="520" t="s">
        <v>891</v>
      </c>
      <c r="C12" s="520" t="s">
        <v>892</v>
      </c>
      <c r="D12" s="520" t="s">
        <v>890</v>
      </c>
      <c r="E12" s="520">
        <v>7</v>
      </c>
      <c r="F12" s="516">
        <v>286</v>
      </c>
      <c r="G12" s="516">
        <v>3270</v>
      </c>
      <c r="H12" s="527"/>
      <c r="I12" s="528">
        <v>2369</v>
      </c>
    </row>
    <row r="13" spans="2:9" ht="21" customHeight="1">
      <c r="B13" s="529" t="s">
        <v>885</v>
      </c>
      <c r="C13" s="529" t="s">
        <v>893</v>
      </c>
      <c r="D13" s="529" t="s">
        <v>890</v>
      </c>
      <c r="E13" s="529">
        <v>8</v>
      </c>
      <c r="F13" s="530">
        <v>161</v>
      </c>
      <c r="G13" s="530">
        <v>2806</v>
      </c>
      <c r="H13" s="527"/>
      <c r="I13" s="528">
        <v>1868</v>
      </c>
    </row>
    <row r="14" spans="2:9" ht="21" customHeight="1">
      <c r="B14" s="520" t="s">
        <v>894</v>
      </c>
      <c r="C14" s="520" t="s">
        <v>895</v>
      </c>
      <c r="D14" s="520" t="s">
        <v>890</v>
      </c>
      <c r="E14" s="520">
        <v>5</v>
      </c>
      <c r="F14" s="516">
        <v>0</v>
      </c>
      <c r="G14" s="516">
        <v>3006</v>
      </c>
      <c r="H14" s="527"/>
      <c r="I14" s="528">
        <v>1457</v>
      </c>
    </row>
    <row r="15" spans="2:9" ht="21" customHeight="1">
      <c r="B15" s="529" t="s">
        <v>885</v>
      </c>
      <c r="C15" s="529" t="s">
        <v>896</v>
      </c>
      <c r="D15" s="529" t="s">
        <v>890</v>
      </c>
      <c r="E15" s="529">
        <v>7</v>
      </c>
      <c r="F15" s="530">
        <v>5</v>
      </c>
      <c r="G15" s="530">
        <v>2747</v>
      </c>
      <c r="H15" s="527"/>
      <c r="I15" s="528">
        <v>1308</v>
      </c>
    </row>
    <row r="16" spans="2:9" ht="21" customHeight="1">
      <c r="B16" s="520" t="s">
        <v>897</v>
      </c>
      <c r="C16" s="520" t="s">
        <v>898</v>
      </c>
      <c r="D16" s="520" t="s">
        <v>890</v>
      </c>
      <c r="E16" s="520">
        <v>2</v>
      </c>
      <c r="F16" s="516">
        <v>129</v>
      </c>
      <c r="G16" s="516">
        <v>1353</v>
      </c>
      <c r="H16" s="527"/>
      <c r="I16" s="528">
        <v>934</v>
      </c>
    </row>
    <row r="17" spans="2:9" ht="21" customHeight="1">
      <c r="B17" s="529" t="s">
        <v>899</v>
      </c>
      <c r="C17" s="529" t="s">
        <v>900</v>
      </c>
      <c r="D17" s="529" t="s">
        <v>890</v>
      </c>
      <c r="E17" s="529">
        <v>3</v>
      </c>
      <c r="F17" s="530">
        <v>19</v>
      </c>
      <c r="G17" s="530">
        <v>1437</v>
      </c>
      <c r="H17" s="527"/>
      <c r="I17" s="528">
        <v>674</v>
      </c>
    </row>
    <row r="18" spans="2:9" ht="21" customHeight="1">
      <c r="B18" s="520" t="s">
        <v>885</v>
      </c>
      <c r="C18" s="520" t="s">
        <v>901</v>
      </c>
      <c r="D18" s="520" t="s">
        <v>890</v>
      </c>
      <c r="E18" s="520">
        <v>5</v>
      </c>
      <c r="F18" s="516">
        <v>26</v>
      </c>
      <c r="G18" s="516">
        <v>1224</v>
      </c>
      <c r="H18" s="527"/>
      <c r="I18" s="528">
        <v>636</v>
      </c>
    </row>
    <row r="19" spans="2:9" ht="21" customHeight="1">
      <c r="B19" s="529" t="s">
        <v>885</v>
      </c>
      <c r="C19" s="529" t="s">
        <v>902</v>
      </c>
      <c r="D19" s="529" t="s">
        <v>890</v>
      </c>
      <c r="E19" s="529">
        <v>2</v>
      </c>
      <c r="F19" s="530">
        <v>7</v>
      </c>
      <c r="G19" s="530">
        <v>1218</v>
      </c>
      <c r="H19" s="527"/>
      <c r="I19" s="528">
        <v>634</v>
      </c>
    </row>
    <row r="20" spans="2:9" ht="21" customHeight="1">
      <c r="B20" s="520" t="s">
        <v>897</v>
      </c>
      <c r="C20" s="520" t="s">
        <v>903</v>
      </c>
      <c r="D20" s="520" t="s">
        <v>890</v>
      </c>
      <c r="E20" s="520">
        <v>1</v>
      </c>
      <c r="F20" s="516">
        <v>6</v>
      </c>
      <c r="G20" s="516">
        <v>366</v>
      </c>
      <c r="H20" s="527"/>
      <c r="I20" s="528">
        <v>248</v>
      </c>
    </row>
    <row r="21" spans="2:9" ht="21" customHeight="1">
      <c r="B21" s="529" t="s">
        <v>885</v>
      </c>
      <c r="C21" s="529" t="s">
        <v>904</v>
      </c>
      <c r="D21" s="529" t="s">
        <v>890</v>
      </c>
      <c r="E21" s="529">
        <v>1</v>
      </c>
      <c r="F21" s="530">
        <v>0</v>
      </c>
      <c r="G21" s="530">
        <v>334</v>
      </c>
      <c r="H21" s="527"/>
      <c r="I21" s="528">
        <v>162</v>
      </c>
    </row>
    <row r="22" spans="2:9" ht="21" customHeight="1">
      <c r="B22" s="520" t="s">
        <v>894</v>
      </c>
      <c r="C22" s="520" t="s">
        <v>905</v>
      </c>
      <c r="D22" s="520" t="s">
        <v>890</v>
      </c>
      <c r="E22" s="520">
        <v>1</v>
      </c>
      <c r="F22" s="516">
        <v>0</v>
      </c>
      <c r="G22" s="516">
        <v>0</v>
      </c>
      <c r="H22" s="527"/>
      <c r="I22" s="528">
        <v>2</v>
      </c>
    </row>
    <row r="23" spans="2:9" ht="21" customHeight="1"/>
    <row r="24" spans="2:9" ht="21" customHeight="1"/>
    <row r="25" spans="2:9" ht="21" customHeight="1"/>
    <row r="26" spans="2:9" ht="21" customHeight="1"/>
    <row r="27" spans="2:9" ht="21" customHeight="1"/>
  </sheetData>
  <phoneticPr fontId="8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5AB58-AEB0-453E-8CB2-324C504B6710}">
  <sheetPr>
    <tabColor rgb="FFC00000"/>
  </sheetPr>
  <dimension ref="A1:AI65"/>
  <sheetViews>
    <sheetView topLeftCell="D1" zoomScaleNormal="100" workbookViewId="0">
      <pane xSplit="2" ySplit="3" topLeftCell="F4" activePane="bottomRight" state="frozen"/>
      <selection activeCell="B10" activeCellId="1" sqref="B4:D15 B4:D15"/>
      <selection pane="topRight" activeCell="B10" activeCellId="1" sqref="B4:D15 B4:D15"/>
      <selection pane="bottomLeft" activeCell="B10" activeCellId="1" sqref="B4:D15 B4:D15"/>
      <selection pane="bottomRight" activeCell="B10" activeCellId="1" sqref="B4:D15 B4:D15"/>
    </sheetView>
  </sheetViews>
  <sheetFormatPr defaultColWidth="8.5546875" defaultRowHeight="11.4" outlineLevelRow="1" outlineLevelCol="1"/>
  <cols>
    <col min="1" max="2" width="9.109375" style="428" hidden="1" customWidth="1" outlineLevel="1"/>
    <col min="3" max="3" width="8.5546875" style="428" collapsed="1"/>
    <col min="4" max="4" width="9.33203125" style="428" bestFit="1" customWidth="1"/>
    <col min="5" max="5" width="32.21875" style="428" bestFit="1" customWidth="1"/>
    <col min="6" max="8" width="10.21875" style="428" customWidth="1" outlineLevel="1"/>
    <col min="9" max="9" width="10.21875" style="428" bestFit="1" customWidth="1"/>
    <col min="10" max="22" width="9" style="428" bestFit="1" customWidth="1"/>
    <col min="23" max="25" width="10.21875" style="428" customWidth="1" outlineLevel="1"/>
    <col min="26" max="26" width="8.5546875" style="428"/>
    <col min="27" max="27" width="11.21875" style="428" bestFit="1" customWidth="1"/>
    <col min="28" max="28" width="10.33203125" style="428" customWidth="1"/>
    <col min="29" max="29" width="14.33203125" style="428" bestFit="1" customWidth="1"/>
    <col min="30" max="30" width="8.5546875" style="428"/>
    <col min="31" max="31" width="13.5546875" style="428" bestFit="1" customWidth="1"/>
    <col min="32" max="16384" width="8.5546875" style="428"/>
  </cols>
  <sheetData>
    <row r="1" spans="1:35" ht="12" thickBot="1">
      <c r="F1" s="428">
        <v>15309</v>
      </c>
      <c r="G1" s="428">
        <v>17837</v>
      </c>
      <c r="H1" s="428">
        <v>26105</v>
      </c>
    </row>
    <row r="2" spans="1:35" ht="12.6" thickBot="1">
      <c r="E2" s="429"/>
      <c r="F2" s="919">
        <v>2025</v>
      </c>
      <c r="G2" s="920"/>
      <c r="H2" s="920"/>
      <c r="I2" s="921"/>
      <c r="J2" s="922" t="s">
        <v>805</v>
      </c>
      <c r="K2" s="923"/>
      <c r="L2" s="923"/>
      <c r="M2" s="923"/>
      <c r="N2" s="923"/>
      <c r="O2" s="923"/>
      <c r="P2" s="923"/>
      <c r="Q2" s="923"/>
      <c r="R2" s="923"/>
      <c r="S2" s="923"/>
      <c r="T2" s="923"/>
      <c r="U2" s="923"/>
      <c r="V2" s="924"/>
      <c r="W2" s="925" t="s">
        <v>830</v>
      </c>
      <c r="X2" s="926"/>
      <c r="Y2" s="927"/>
      <c r="Z2" s="430"/>
    </row>
    <row r="3" spans="1:35" ht="12.6" thickBot="1">
      <c r="D3" s="928" t="s">
        <v>806</v>
      </c>
      <c r="E3" s="929"/>
      <c r="F3" s="432" t="s">
        <v>831</v>
      </c>
      <c r="G3" s="433" t="s">
        <v>832</v>
      </c>
      <c r="H3" s="434" t="s">
        <v>833</v>
      </c>
      <c r="I3" s="435" t="s">
        <v>161</v>
      </c>
      <c r="J3" s="436" t="s">
        <v>159</v>
      </c>
      <c r="K3" s="433" t="s">
        <v>160</v>
      </c>
      <c r="L3" s="433" t="s">
        <v>807</v>
      </c>
      <c r="M3" s="433" t="s">
        <v>104</v>
      </c>
      <c r="N3" s="433" t="s">
        <v>105</v>
      </c>
      <c r="O3" s="433" t="s">
        <v>106</v>
      </c>
      <c r="P3" s="433" t="s">
        <v>107</v>
      </c>
      <c r="Q3" s="433" t="s">
        <v>108</v>
      </c>
      <c r="R3" s="433" t="s">
        <v>109</v>
      </c>
      <c r="S3" s="433" t="s">
        <v>110</v>
      </c>
      <c r="T3" s="433" t="s">
        <v>111</v>
      </c>
      <c r="U3" s="434" t="s">
        <v>112</v>
      </c>
      <c r="V3" s="431" t="s">
        <v>161</v>
      </c>
      <c r="W3" s="437" t="s">
        <v>100</v>
      </c>
      <c r="X3" s="438" t="s">
        <v>101</v>
      </c>
      <c r="Y3" s="439" t="s">
        <v>103</v>
      </c>
      <c r="Z3" s="430"/>
      <c r="AA3" s="428" t="s">
        <v>834</v>
      </c>
      <c r="AC3" s="440" t="s">
        <v>808</v>
      </c>
      <c r="AF3" s="428" t="s">
        <v>858</v>
      </c>
      <c r="AG3" s="428" t="s">
        <v>859</v>
      </c>
      <c r="AH3" s="428" t="s">
        <v>78</v>
      </c>
    </row>
    <row r="4" spans="1:35">
      <c r="A4" s="428" t="s">
        <v>809</v>
      </c>
      <c r="D4" s="916" t="s">
        <v>809</v>
      </c>
      <c r="E4" s="333" t="s">
        <v>828</v>
      </c>
      <c r="F4" s="441">
        <v>35238</v>
      </c>
      <c r="G4" s="442">
        <v>40000</v>
      </c>
      <c r="H4" s="442">
        <v>40000</v>
      </c>
      <c r="I4" s="443">
        <v>370000</v>
      </c>
      <c r="J4" s="442">
        <f>43424+J6</f>
        <v>73424</v>
      </c>
      <c r="K4" s="442">
        <v>43424</v>
      </c>
      <c r="L4" s="442">
        <v>43424</v>
      </c>
      <c r="M4" s="442">
        <v>51642</v>
      </c>
      <c r="N4" s="442">
        <v>51642</v>
      </c>
      <c r="O4" s="442">
        <v>51642</v>
      </c>
      <c r="P4" s="442">
        <v>54224</v>
      </c>
      <c r="Q4" s="442">
        <v>54224</v>
      </c>
      <c r="R4" s="442">
        <v>54224</v>
      </c>
      <c r="S4" s="442">
        <v>57376</v>
      </c>
      <c r="T4" s="442">
        <v>57376</v>
      </c>
      <c r="U4" s="442">
        <v>57378</v>
      </c>
      <c r="V4" s="444">
        <f>SUM(J4:U4)</f>
        <v>650000</v>
      </c>
      <c r="W4" s="445"/>
      <c r="X4" s="446"/>
      <c r="Y4" s="447"/>
      <c r="AC4" s="428">
        <v>309.09508750000003</v>
      </c>
      <c r="AE4" s="448" t="s">
        <v>801</v>
      </c>
      <c r="AF4" s="428">
        <v>7000</v>
      </c>
      <c r="AG4" s="428">
        <v>86.25</v>
      </c>
      <c r="AH4" s="428">
        <f>AG4*AF4</f>
        <v>603750</v>
      </c>
    </row>
    <row r="5" spans="1:35">
      <c r="A5" s="428" t="s">
        <v>809</v>
      </c>
      <c r="D5" s="917"/>
      <c r="E5" s="336" t="s">
        <v>810</v>
      </c>
      <c r="F5" s="449">
        <v>23763</v>
      </c>
      <c r="G5" s="450">
        <v>55701</v>
      </c>
      <c r="H5" s="450">
        <v>32690</v>
      </c>
      <c r="I5" s="451">
        <v>350000</v>
      </c>
      <c r="J5" s="452">
        <f>[1]COGS!D23+[1]COGS!D24</f>
        <v>43424</v>
      </c>
      <c r="K5" s="452">
        <f>[1]COGS!E23+[1]COGS!E24</f>
        <v>43424</v>
      </c>
      <c r="L5" s="452">
        <f>[1]COGS!F23+[1]COGS!F24</f>
        <v>43424</v>
      </c>
      <c r="M5" s="452">
        <f>[1]COGS!G23+[1]COGS!G24</f>
        <v>51642</v>
      </c>
      <c r="N5" s="452">
        <f>[1]COGS!H23+[1]COGS!H24</f>
        <v>51642</v>
      </c>
      <c r="O5" s="452">
        <f>[1]COGS!I23+[1]COGS!I24</f>
        <v>51642</v>
      </c>
      <c r="P5" s="452">
        <f>[1]COGS!J23+[1]COGS!J24</f>
        <v>54224</v>
      </c>
      <c r="Q5" s="452">
        <f>[1]COGS!K23+[1]COGS!K24</f>
        <v>54224</v>
      </c>
      <c r="R5" s="452">
        <f>[1]COGS!L23+[1]COGS!L24</f>
        <v>54224</v>
      </c>
      <c r="S5" s="452">
        <f>[1]COGS!M23+[1]COGS!M24</f>
        <v>57376</v>
      </c>
      <c r="T5" s="452">
        <f>[1]COGS!N23+[1]COGS!N24</f>
        <v>57376</v>
      </c>
      <c r="U5" s="452">
        <f>[1]COGS!O23+[1]COGS!O24</f>
        <v>57378</v>
      </c>
      <c r="V5" s="453">
        <f>SUM(J5:U5)</f>
        <v>620000</v>
      </c>
      <c r="W5" s="454">
        <f>S5*(1+$AA5)</f>
        <v>60416.928</v>
      </c>
      <c r="X5" s="455">
        <f t="shared" ref="X5:Y5" si="0">T5*(1+$AA5)</f>
        <v>60416.928</v>
      </c>
      <c r="Y5" s="456">
        <f t="shared" si="0"/>
        <v>60419.034</v>
      </c>
      <c r="AA5" s="457">
        <v>5.2999999999999999E-2</v>
      </c>
      <c r="AC5" s="428">
        <v>309.09508750000003</v>
      </c>
      <c r="AE5" s="428" t="s">
        <v>860</v>
      </c>
      <c r="AF5" s="428">
        <v>1250</v>
      </c>
      <c r="AG5" s="428">
        <v>37</v>
      </c>
      <c r="AH5" s="428">
        <f>AG5*AF5</f>
        <v>46250</v>
      </c>
      <c r="AI5" s="457">
        <f>AH5/AH6</f>
        <v>7.1153846153846151E-2</v>
      </c>
    </row>
    <row r="6" spans="1:35">
      <c r="A6" s="428" t="s">
        <v>809</v>
      </c>
      <c r="D6" s="917"/>
      <c r="E6" s="336" t="s">
        <v>811</v>
      </c>
      <c r="F6" s="430">
        <v>0</v>
      </c>
      <c r="G6" s="428">
        <v>0</v>
      </c>
      <c r="H6" s="450">
        <v>20000</v>
      </c>
      <c r="I6" s="451">
        <v>20000</v>
      </c>
      <c r="J6" s="458">
        <v>30000</v>
      </c>
      <c r="V6" s="453">
        <f>SUM(J6:U6)</f>
        <v>30000</v>
      </c>
      <c r="W6" s="454"/>
      <c r="X6" s="455"/>
      <c r="Y6" s="456"/>
      <c r="AC6" s="428">
        <v>309.09508750000003</v>
      </c>
      <c r="AH6" s="428">
        <f>SUM(AH4:AH5)</f>
        <v>650000</v>
      </c>
    </row>
    <row r="7" spans="1:35" outlineLevel="1">
      <c r="A7" s="428" t="s">
        <v>809</v>
      </c>
      <c r="D7" s="917"/>
      <c r="E7" s="336" t="s">
        <v>812</v>
      </c>
      <c r="F7" s="430"/>
      <c r="I7" s="459"/>
      <c r="V7" s="453">
        <f>SUM(J7:U7)</f>
        <v>0</v>
      </c>
      <c r="W7" s="454"/>
      <c r="X7" s="455"/>
      <c r="Y7" s="456"/>
      <c r="AC7" s="428">
        <v>309.09508750000003</v>
      </c>
    </row>
    <row r="8" spans="1:35" ht="12" thickBot="1">
      <c r="A8" s="428" t="s">
        <v>809</v>
      </c>
      <c r="D8" s="917"/>
      <c r="E8" s="336" t="s">
        <v>813</v>
      </c>
      <c r="F8" s="460">
        <v>37349</v>
      </c>
      <c r="G8" s="461">
        <f>F8+G4-G5-G6-G7</f>
        <v>21648</v>
      </c>
      <c r="H8" s="461">
        <f>G8+H4-H5-H6-H7</f>
        <v>8958</v>
      </c>
      <c r="I8" s="462">
        <f>H8+I4-I5-I6-I7</f>
        <v>8958</v>
      </c>
      <c r="J8" s="450">
        <f>I8+J4-J5-J6-J7</f>
        <v>8958</v>
      </c>
      <c r="K8" s="450">
        <f>J8+K4-K5-K6</f>
        <v>8958</v>
      </c>
      <c r="L8" s="450">
        <f t="shared" ref="L8:U8" si="1">K8+L4-L5-L6</f>
        <v>8958</v>
      </c>
      <c r="M8" s="450">
        <f t="shared" si="1"/>
        <v>8958</v>
      </c>
      <c r="N8" s="450">
        <f t="shared" si="1"/>
        <v>8958</v>
      </c>
      <c r="O8" s="450">
        <f t="shared" si="1"/>
        <v>8958</v>
      </c>
      <c r="P8" s="450">
        <f t="shared" si="1"/>
        <v>8958</v>
      </c>
      <c r="Q8" s="450">
        <f t="shared" si="1"/>
        <v>8958</v>
      </c>
      <c r="R8" s="450">
        <f t="shared" si="1"/>
        <v>8958</v>
      </c>
      <c r="S8" s="450">
        <f t="shared" si="1"/>
        <v>8958</v>
      </c>
      <c r="T8" s="450">
        <f t="shared" si="1"/>
        <v>8958</v>
      </c>
      <c r="U8" s="450">
        <f t="shared" si="1"/>
        <v>8958</v>
      </c>
      <c r="V8" s="453">
        <f>U8</f>
        <v>8958</v>
      </c>
      <c r="W8" s="463"/>
      <c r="X8" s="464"/>
      <c r="Y8" s="465"/>
      <c r="AC8" s="428">
        <v>309.09508750000003</v>
      </c>
    </row>
    <row r="9" spans="1:35" ht="12">
      <c r="A9" s="428" t="s">
        <v>809</v>
      </c>
      <c r="D9" s="917"/>
      <c r="E9" s="340" t="s">
        <v>814</v>
      </c>
      <c r="F9" s="466">
        <f>IFERROR(F8/AVERAGE(F5),0)</f>
        <v>1.5717291587762487</v>
      </c>
      <c r="G9" s="467">
        <f>IFERROR(G8/AVERAGE(F5:G5),0)</f>
        <v>0.54485049833887045</v>
      </c>
      <c r="H9" s="467">
        <f>IFERROR(H8/AVERAGE(F5:H5),0)</f>
        <v>0.2396169552579489</v>
      </c>
      <c r="I9" s="468">
        <f>H9</f>
        <v>0.2396169552579489</v>
      </c>
      <c r="J9" s="467">
        <f>IFERROR(J8/AVERAGE(F5:H5),0)</f>
        <v>0.2396169552579489</v>
      </c>
      <c r="K9" s="467">
        <f>IFERROR(K8/AVERAGE(G5:H5,J5),0)</f>
        <v>0.20387664529833477</v>
      </c>
      <c r="L9" s="467">
        <f>IFERROR(L8/AVERAGE(J5:K5,H5),0)</f>
        <v>0.2248155398283391</v>
      </c>
      <c r="M9" s="467">
        <f>IFERROR(M8/AVERAGE(J5:L5),0)</f>
        <v>0.20629145173176125</v>
      </c>
      <c r="N9" s="467">
        <f t="shared" ref="N9:U9" si="2">IFERROR(N8/AVERAGE(K5:M5),0)</f>
        <v>0.19405011192143837</v>
      </c>
      <c r="O9" s="467">
        <f t="shared" si="2"/>
        <v>0.18318019467241051</v>
      </c>
      <c r="P9" s="467">
        <f t="shared" si="2"/>
        <v>0.1734634599744394</v>
      </c>
      <c r="Q9" s="467">
        <f t="shared" si="2"/>
        <v>0.17061990502069738</v>
      </c>
      <c r="R9" s="467">
        <f t="shared" si="2"/>
        <v>0.16786807420825783</v>
      </c>
      <c r="S9" s="467">
        <f t="shared" si="2"/>
        <v>0.16520359988197109</v>
      </c>
      <c r="T9" s="467">
        <f t="shared" si="2"/>
        <v>0.16206339251254342</v>
      </c>
      <c r="U9" s="467">
        <f t="shared" si="2"/>
        <v>0.15904033708929077</v>
      </c>
      <c r="V9" s="444">
        <f>U9</f>
        <v>0.15904033708929077</v>
      </c>
      <c r="W9" s="445"/>
      <c r="X9" s="446"/>
      <c r="Y9" s="447"/>
    </row>
    <row r="10" spans="1:35" ht="12.6" thickBot="1">
      <c r="A10" s="428" t="s">
        <v>809</v>
      </c>
      <c r="D10" s="917"/>
      <c r="E10" s="342" t="s">
        <v>815</v>
      </c>
      <c r="F10" s="469">
        <f>IFERROR(F8/AVERAGE(G5:H5,J5),0)</f>
        <v>0.85003224215756923</v>
      </c>
      <c r="G10" s="470">
        <f>IFERROR(G8/AVERAGE(H5,J5:K5),0)</f>
        <v>0.54329167294082215</v>
      </c>
      <c r="H10" s="470">
        <f>IFERROR(H8/AVERAGE(J5:L5),0)</f>
        <v>0.20629145173176125</v>
      </c>
      <c r="I10" s="471">
        <f>H10</f>
        <v>0.20629145173176125</v>
      </c>
      <c r="J10" s="470">
        <f>IFERROR(J8/AVERAGE(K5:M5),0)</f>
        <v>0.19405011192143837</v>
      </c>
      <c r="K10" s="470">
        <f t="shared" ref="K10:R10" si="3">IFERROR(K8/AVERAGE(L5:N5),0)</f>
        <v>0.18318019467241051</v>
      </c>
      <c r="L10" s="470">
        <f t="shared" si="3"/>
        <v>0.1734634599744394</v>
      </c>
      <c r="M10" s="470">
        <f t="shared" si="3"/>
        <v>0.17061990502069738</v>
      </c>
      <c r="N10" s="470">
        <f t="shared" si="3"/>
        <v>0.16786807420825783</v>
      </c>
      <c r="O10" s="470">
        <f t="shared" si="3"/>
        <v>0.16520359988197109</v>
      </c>
      <c r="P10" s="470">
        <f t="shared" si="3"/>
        <v>0.16206339251254342</v>
      </c>
      <c r="Q10" s="470">
        <f t="shared" si="3"/>
        <v>0.15904033708929077</v>
      </c>
      <c r="R10" s="470">
        <f t="shared" si="3"/>
        <v>0.15612618369836753</v>
      </c>
      <c r="S10" s="470">
        <f>IFERROR(S8/AVERAGE(T5:U5,W5),0)</f>
        <v>0.15341586818561581</v>
      </c>
      <c r="T10" s="470">
        <f>IFERROR(T8/AVERAGE(U5,W5:X5),0)</f>
        <v>0.15079804791438792</v>
      </c>
      <c r="U10" s="470">
        <f>IFERROR(U8/AVERAGE(W5:Y5),0)</f>
        <v>0.14826798072019706</v>
      </c>
      <c r="V10" s="472">
        <f>U10</f>
        <v>0.14826798072019706</v>
      </c>
      <c r="W10" s="463"/>
      <c r="X10" s="464"/>
      <c r="Y10" s="465"/>
    </row>
    <row r="11" spans="1:35" hidden="1" outlineLevel="1">
      <c r="A11" s="428" t="s">
        <v>809</v>
      </c>
      <c r="B11" s="428" t="s">
        <v>802</v>
      </c>
      <c r="D11" s="917"/>
      <c r="E11" s="473" t="s">
        <v>816</v>
      </c>
      <c r="F11" s="442">
        <f>F5</f>
        <v>23763</v>
      </c>
      <c r="G11" s="442">
        <f>G5</f>
        <v>55701</v>
      </c>
      <c r="H11" s="442">
        <f>H5</f>
        <v>32690</v>
      </c>
      <c r="I11" s="451">
        <v>350000</v>
      </c>
      <c r="J11" s="442">
        <f>J5</f>
        <v>43424</v>
      </c>
      <c r="K11" s="442">
        <f t="shared" ref="K11:U11" si="4">K5</f>
        <v>43424</v>
      </c>
      <c r="L11" s="442">
        <f t="shared" si="4"/>
        <v>43424</v>
      </c>
      <c r="M11" s="442">
        <f t="shared" si="4"/>
        <v>51642</v>
      </c>
      <c r="N11" s="442">
        <f t="shared" si="4"/>
        <v>51642</v>
      </c>
      <c r="O11" s="442">
        <f t="shared" si="4"/>
        <v>51642</v>
      </c>
      <c r="P11" s="442">
        <f t="shared" si="4"/>
        <v>54224</v>
      </c>
      <c r="Q11" s="442">
        <f t="shared" si="4"/>
        <v>54224</v>
      </c>
      <c r="R11" s="442">
        <f t="shared" si="4"/>
        <v>54224</v>
      </c>
      <c r="S11" s="442">
        <f t="shared" si="4"/>
        <v>57376</v>
      </c>
      <c r="T11" s="442">
        <f t="shared" si="4"/>
        <v>57376</v>
      </c>
      <c r="U11" s="442">
        <f t="shared" si="4"/>
        <v>57378</v>
      </c>
      <c r="V11" s="444">
        <f t="shared" ref="V11:V12" si="5">SUM(J11:U11)</f>
        <v>620000</v>
      </c>
      <c r="W11" s="445"/>
      <c r="X11" s="446"/>
      <c r="Y11" s="447"/>
      <c r="AC11" s="428">
        <v>3974.2367256637176</v>
      </c>
    </row>
    <row r="12" spans="1:35" collapsed="1">
      <c r="A12" s="428" t="s">
        <v>809</v>
      </c>
      <c r="B12" s="428" t="s">
        <v>837</v>
      </c>
      <c r="D12" s="917"/>
      <c r="E12" s="474" t="s">
        <v>817</v>
      </c>
      <c r="F12" s="452">
        <v>27353</v>
      </c>
      <c r="G12" s="452">
        <v>29142</v>
      </c>
      <c r="H12" s="452">
        <v>35648</v>
      </c>
      <c r="I12" s="451">
        <v>239999.54225923016</v>
      </c>
      <c r="J12" s="452">
        <v>34765</v>
      </c>
      <c r="K12" s="452">
        <v>34838</v>
      </c>
      <c r="L12" s="452">
        <v>35057</v>
      </c>
      <c r="M12" s="452">
        <v>37879.999999999993</v>
      </c>
      <c r="N12" s="452">
        <v>38095.999999999993</v>
      </c>
      <c r="O12" s="452">
        <v>38423.999999999993</v>
      </c>
      <c r="P12" s="452">
        <v>43386</v>
      </c>
      <c r="Q12" s="452">
        <v>43554</v>
      </c>
      <c r="R12" s="452">
        <v>43860</v>
      </c>
      <c r="S12" s="452">
        <v>49735.000000000007</v>
      </c>
      <c r="T12" s="452">
        <v>49962.000000000007</v>
      </c>
      <c r="U12" s="452">
        <v>50443.000000000007</v>
      </c>
      <c r="V12" s="453">
        <f t="shared" si="5"/>
        <v>500000</v>
      </c>
      <c r="W12" s="454">
        <f>S12*(1+$AA12)</f>
        <v>57195.250000000007</v>
      </c>
      <c r="X12" s="455">
        <f t="shared" ref="X12:Y12" si="6">T12*(1+$AA12)</f>
        <v>57456.3</v>
      </c>
      <c r="Y12" s="456">
        <f t="shared" si="6"/>
        <v>58009.450000000004</v>
      </c>
      <c r="AA12" s="457">
        <v>0.15</v>
      </c>
      <c r="AB12" s="428" t="s">
        <v>835</v>
      </c>
      <c r="AC12" s="428">
        <v>3974.2367256637176</v>
      </c>
    </row>
    <row r="13" spans="1:35" ht="12" thickBot="1">
      <c r="A13" s="428" t="s">
        <v>809</v>
      </c>
      <c r="B13" s="428" t="s">
        <v>34</v>
      </c>
      <c r="D13" s="917"/>
      <c r="E13" s="475" t="s">
        <v>818</v>
      </c>
      <c r="F13" s="450">
        <v>116293</v>
      </c>
      <c r="G13" s="450">
        <f>F13+G11-G12</f>
        <v>142852</v>
      </c>
      <c r="H13" s="450">
        <f>G13+H11-H12</f>
        <v>139894</v>
      </c>
      <c r="I13" s="451">
        <f>H13</f>
        <v>139894</v>
      </c>
      <c r="J13" s="450">
        <f>I13+J11-J12</f>
        <v>148553</v>
      </c>
      <c r="K13" s="450">
        <f t="shared" ref="K13:U13" si="7">J13+K11-K12</f>
        <v>157139</v>
      </c>
      <c r="L13" s="450">
        <f t="shared" si="7"/>
        <v>165506</v>
      </c>
      <c r="M13" s="450">
        <f t="shared" si="7"/>
        <v>179268</v>
      </c>
      <c r="N13" s="450">
        <f t="shared" si="7"/>
        <v>192814</v>
      </c>
      <c r="O13" s="450">
        <f t="shared" si="7"/>
        <v>206032</v>
      </c>
      <c r="P13" s="450">
        <f t="shared" si="7"/>
        <v>216870</v>
      </c>
      <c r="Q13" s="450">
        <f t="shared" si="7"/>
        <v>227540</v>
      </c>
      <c r="R13" s="450">
        <f t="shared" si="7"/>
        <v>237904</v>
      </c>
      <c r="S13" s="450">
        <f t="shared" si="7"/>
        <v>245545</v>
      </c>
      <c r="T13" s="450">
        <f t="shared" si="7"/>
        <v>252959</v>
      </c>
      <c r="U13" s="450">
        <f t="shared" si="7"/>
        <v>259894</v>
      </c>
      <c r="V13" s="453">
        <f>U13</f>
        <v>259894</v>
      </c>
      <c r="W13" s="463">
        <f>U13+W11-W12</f>
        <v>202698.75</v>
      </c>
      <c r="X13" s="464">
        <f t="shared" ref="X13:Y13" si="8">V13+X11-X12</f>
        <v>202437.7</v>
      </c>
      <c r="Y13" s="465">
        <f t="shared" si="8"/>
        <v>144689.29999999999</v>
      </c>
      <c r="AC13" s="428">
        <v>3974.2367256637176</v>
      </c>
    </row>
    <row r="14" spans="1:35" ht="12">
      <c r="A14" s="428" t="s">
        <v>809</v>
      </c>
      <c r="D14" s="917"/>
      <c r="E14" s="348" t="s">
        <v>819</v>
      </c>
      <c r="F14" s="476">
        <f>IFERROR(F13/AVERAGE(F12),0)</f>
        <v>4.2515628998647319</v>
      </c>
      <c r="G14" s="476">
        <f>IFERROR(G13/AVERAGE(F12:G12),0)</f>
        <v>5.0571555004867683</v>
      </c>
      <c r="H14" s="476">
        <f>IFERROR(H13/AVERAGE(F12:H12),0)</f>
        <v>4.5546813105716115</v>
      </c>
      <c r="I14" s="477">
        <f>H14</f>
        <v>4.5546813105716115</v>
      </c>
      <c r="J14" s="476">
        <f>IFERROR(J13/AVERAGE(F12:H12),0)</f>
        <v>4.8366018037181338</v>
      </c>
      <c r="K14" s="476">
        <f>IFERROR(K13/AVERAGE(G12:H12,J12),0)</f>
        <v>4.7352418261262619</v>
      </c>
      <c r="L14" s="476">
        <f>IFERROR(L13/AVERAGE(J12:K12,H12),0)</f>
        <v>4.7174658673076744</v>
      </c>
      <c r="M14" s="476">
        <f>IFERROR(M13/AVERAGE(J12:L12),0)</f>
        <v>5.1385820752914206</v>
      </c>
      <c r="N14" s="476">
        <f t="shared" ref="N14:U14" si="9">IFERROR(N13/AVERAGE(K12:M12),0)</f>
        <v>5.367125956854558</v>
      </c>
      <c r="O14" s="476">
        <f t="shared" si="9"/>
        <v>5.5667774445435141</v>
      </c>
      <c r="P14" s="476">
        <f t="shared" si="9"/>
        <v>5.6871503496503513</v>
      </c>
      <c r="Q14" s="476">
        <f t="shared" si="9"/>
        <v>5.6929594849298617</v>
      </c>
      <c r="R14" s="476">
        <f t="shared" si="9"/>
        <v>5.6931176414281612</v>
      </c>
      <c r="S14" s="476">
        <f t="shared" si="9"/>
        <v>5.6317660550458717</v>
      </c>
      <c r="T14" s="476">
        <f t="shared" si="9"/>
        <v>5.5332302823936006</v>
      </c>
      <c r="U14" s="476">
        <f t="shared" si="9"/>
        <v>5.4311667142668067</v>
      </c>
      <c r="V14" s="478">
        <f>U14</f>
        <v>5.4311667142668067</v>
      </c>
      <c r="W14" s="479"/>
      <c r="X14" s="480"/>
      <c r="Y14" s="481"/>
    </row>
    <row r="15" spans="1:35" ht="12.6" thickBot="1">
      <c r="A15" s="428" t="s">
        <v>809</v>
      </c>
      <c r="D15" s="918"/>
      <c r="E15" s="349" t="s">
        <v>820</v>
      </c>
      <c r="F15" s="482">
        <f>IFERROR(F13/AVERAGE(G12:H12,J12),0)</f>
        <v>3.5043845110742806</v>
      </c>
      <c r="G15" s="482">
        <f>IFERROR(G13/AVERAGE(H12,J12:K12),0)</f>
        <v>4.0717522873891934</v>
      </c>
      <c r="H15" s="482">
        <f>IFERROR(H13/AVERAGE(J12:L12),0)</f>
        <v>4.0099560481559342</v>
      </c>
      <c r="I15" s="483">
        <f>IFERROR(I13/AVERAGE(J12:L12),0)</f>
        <v>4.0099560481559342</v>
      </c>
      <c r="J15" s="482">
        <f>IFERROR(J13/AVERAGE(K12:M12),0)</f>
        <v>4.1350869867780098</v>
      </c>
      <c r="K15" s="482">
        <f t="shared" ref="K15:R15" si="10">IFERROR(K13/AVERAGE(L12:N12),0)</f>
        <v>4.2457377536408094</v>
      </c>
      <c r="L15" s="482">
        <f t="shared" si="10"/>
        <v>4.340192307692309</v>
      </c>
      <c r="M15" s="482">
        <f t="shared" si="10"/>
        <v>4.485213417176789</v>
      </c>
      <c r="N15" s="482">
        <f t="shared" si="10"/>
        <v>4.6140997415525984</v>
      </c>
      <c r="O15" s="482">
        <f t="shared" si="10"/>
        <v>4.7255045871559629</v>
      </c>
      <c r="P15" s="482">
        <f t="shared" si="10"/>
        <v>4.7438187664510858</v>
      </c>
      <c r="Q15" s="482">
        <f t="shared" si="10"/>
        <v>4.7550450343765887</v>
      </c>
      <c r="R15" s="482">
        <f t="shared" si="10"/>
        <v>4.7536432662847998</v>
      </c>
      <c r="S15" s="482">
        <f>IFERROR(S13/AVERAGE(T12:U12,W12),0)</f>
        <v>4.6740725347834147</v>
      </c>
      <c r="T15" s="482">
        <f>IFERROR(T13/AVERAGE(U12,W12:X12),0)</f>
        <v>4.5966205425921087</v>
      </c>
      <c r="U15" s="482">
        <f>IFERROR(U13/AVERAGE(W12:Y12),0)</f>
        <v>4.5156810165584576</v>
      </c>
      <c r="V15" s="484">
        <f>U15</f>
        <v>4.5156810165584576</v>
      </c>
      <c r="W15" s="485"/>
      <c r="X15" s="486"/>
      <c r="Y15" s="487"/>
    </row>
    <row r="16" spans="1:35" ht="12" thickBot="1"/>
    <row r="17" spans="1:29">
      <c r="A17" s="428" t="s">
        <v>821</v>
      </c>
      <c r="D17" s="916" t="s">
        <v>821</v>
      </c>
      <c r="E17" s="333" t="s">
        <v>828</v>
      </c>
      <c r="F17" s="441">
        <v>35238</v>
      </c>
      <c r="G17" s="442">
        <v>45000</v>
      </c>
      <c r="H17" s="442">
        <v>0</v>
      </c>
      <c r="I17" s="443">
        <v>180000</v>
      </c>
      <c r="J17" s="442">
        <v>21817</v>
      </c>
      <c r="K17" s="442">
        <v>21817</v>
      </c>
      <c r="L17" s="442">
        <v>21817</v>
      </c>
      <c r="M17" s="442">
        <v>19583</v>
      </c>
      <c r="N17" s="442">
        <v>19583</v>
      </c>
      <c r="O17" s="442">
        <v>19583</v>
      </c>
      <c r="P17" s="442">
        <v>22520</v>
      </c>
      <c r="Q17" s="442">
        <v>22520</v>
      </c>
      <c r="R17" s="442">
        <v>22520</v>
      </c>
      <c r="S17" s="442">
        <v>26080</v>
      </c>
      <c r="T17" s="442">
        <v>26080</v>
      </c>
      <c r="U17" s="442">
        <v>26080</v>
      </c>
      <c r="V17" s="444">
        <f>SUM(J17:U17)</f>
        <v>270000</v>
      </c>
      <c r="W17" s="445"/>
      <c r="X17" s="446"/>
      <c r="Y17" s="447"/>
      <c r="AC17" s="428">
        <v>160.06808115877851</v>
      </c>
    </row>
    <row r="18" spans="1:29">
      <c r="A18" s="428" t="s">
        <v>821</v>
      </c>
      <c r="D18" s="917"/>
      <c r="E18" s="336" t="s">
        <v>810</v>
      </c>
      <c r="F18" s="449">
        <v>23763</v>
      </c>
      <c r="G18" s="450">
        <v>19501</v>
      </c>
      <c r="H18" s="450">
        <v>60269</v>
      </c>
      <c r="I18" s="451">
        <v>180000</v>
      </c>
      <c r="J18" s="452">
        <f>[1]COGS!D25</f>
        <v>21817</v>
      </c>
      <c r="K18" s="452">
        <f>[1]COGS!E25</f>
        <v>21817</v>
      </c>
      <c r="L18" s="452">
        <f>[1]COGS!F25</f>
        <v>21817</v>
      </c>
      <c r="M18" s="452">
        <f>[1]COGS!G25</f>
        <v>19583</v>
      </c>
      <c r="N18" s="452">
        <f>[1]COGS!H25</f>
        <v>19583</v>
      </c>
      <c r="O18" s="452">
        <f>[1]COGS!I25</f>
        <v>19583</v>
      </c>
      <c r="P18" s="452">
        <f>[1]COGS!J25</f>
        <v>22520</v>
      </c>
      <c r="Q18" s="452">
        <f>[1]COGS!K25</f>
        <v>22520</v>
      </c>
      <c r="R18" s="452">
        <f>[1]COGS!L25</f>
        <v>22520</v>
      </c>
      <c r="S18" s="452">
        <f>[1]COGS!M25</f>
        <v>26080</v>
      </c>
      <c r="T18" s="452">
        <f>[1]COGS!N25</f>
        <v>26080</v>
      </c>
      <c r="U18" s="452">
        <f>[1]COGS!O25</f>
        <v>26080</v>
      </c>
      <c r="V18" s="453">
        <f>SUM(J18:U18)</f>
        <v>270000</v>
      </c>
      <c r="W18" s="454">
        <f>S18*(1+$AA18)</f>
        <v>26601.600000000002</v>
      </c>
      <c r="X18" s="455">
        <f t="shared" ref="X18:Y18" si="11">T18*(1+$AA18)</f>
        <v>26601.600000000002</v>
      </c>
      <c r="Y18" s="456">
        <f t="shared" si="11"/>
        <v>26601.600000000002</v>
      </c>
      <c r="AA18" s="428">
        <v>0.02</v>
      </c>
      <c r="AC18" s="428">
        <v>160.06808115877851</v>
      </c>
    </row>
    <row r="19" spans="1:29">
      <c r="A19" s="428" t="s">
        <v>821</v>
      </c>
      <c r="D19" s="917"/>
      <c r="E19" s="336" t="s">
        <v>811</v>
      </c>
      <c r="F19" s="430"/>
      <c r="I19" s="459"/>
      <c r="V19" s="453">
        <f>SUM(J19:U19)</f>
        <v>0</v>
      </c>
      <c r="W19" s="454"/>
      <c r="X19" s="455"/>
      <c r="Y19" s="456"/>
      <c r="AC19" s="428">
        <v>160.06808115877851</v>
      </c>
    </row>
    <row r="20" spans="1:29" hidden="1" outlineLevel="1">
      <c r="A20" s="428" t="s">
        <v>821</v>
      </c>
      <c r="D20" s="917"/>
      <c r="E20" s="336" t="s">
        <v>812</v>
      </c>
      <c r="F20" s="430"/>
      <c r="I20" s="459"/>
      <c r="V20" s="453">
        <f>SUM(J20:U20)</f>
        <v>0</v>
      </c>
      <c r="W20" s="454"/>
      <c r="X20" s="455"/>
      <c r="Y20" s="456"/>
      <c r="AC20" s="428">
        <v>160.06808115877851</v>
      </c>
    </row>
    <row r="21" spans="1:29" ht="12" collapsed="1" thickBot="1">
      <c r="A21" s="428" t="s">
        <v>821</v>
      </c>
      <c r="D21" s="917"/>
      <c r="E21" s="336" t="s">
        <v>813</v>
      </c>
      <c r="F21" s="460">
        <v>40333</v>
      </c>
      <c r="G21" s="461">
        <f>F21+G17-G18-G19-G20</f>
        <v>65832</v>
      </c>
      <c r="H21" s="461">
        <f>G21+H17-H18-H19-H20</f>
        <v>5563</v>
      </c>
      <c r="I21" s="462">
        <f>H21</f>
        <v>5563</v>
      </c>
      <c r="J21" s="450">
        <f>I21+J17-J18-J19-J20</f>
        <v>5563</v>
      </c>
      <c r="K21" s="488">
        <f t="shared" ref="K21:U21" si="12">J21+K17-K18-K19</f>
        <v>5563</v>
      </c>
      <c r="L21" s="488">
        <f t="shared" si="12"/>
        <v>5563</v>
      </c>
      <c r="M21" s="488">
        <f t="shared" si="12"/>
        <v>5563</v>
      </c>
      <c r="N21" s="488">
        <f t="shared" si="12"/>
        <v>5563</v>
      </c>
      <c r="O21" s="488">
        <f t="shared" si="12"/>
        <v>5563</v>
      </c>
      <c r="P21" s="488">
        <f t="shared" si="12"/>
        <v>5563</v>
      </c>
      <c r="Q21" s="488">
        <f t="shared" si="12"/>
        <v>5563</v>
      </c>
      <c r="R21" s="488">
        <f t="shared" si="12"/>
        <v>5563</v>
      </c>
      <c r="S21" s="488">
        <f t="shared" si="12"/>
        <v>5563</v>
      </c>
      <c r="T21" s="488">
        <f t="shared" si="12"/>
        <v>5563</v>
      </c>
      <c r="U21" s="488">
        <f t="shared" si="12"/>
        <v>5563</v>
      </c>
      <c r="V21" s="453">
        <f>U21</f>
        <v>5563</v>
      </c>
      <c r="W21" s="463"/>
      <c r="X21" s="464"/>
      <c r="Y21" s="465"/>
      <c r="AC21" s="428">
        <v>160.06808115877851</v>
      </c>
    </row>
    <row r="22" spans="1:29" ht="12">
      <c r="A22" s="428" t="s">
        <v>821</v>
      </c>
      <c r="D22" s="917"/>
      <c r="E22" s="340" t="s">
        <v>814</v>
      </c>
      <c r="F22" s="466">
        <f>IFERROR(F21/AVERAGE(F18),0)</f>
        <v>1.6973025291419435</v>
      </c>
      <c r="G22" s="467">
        <f>IFERROR(G21/AVERAGE(F18:G18),0)</f>
        <v>3.0432692307692308</v>
      </c>
      <c r="H22" s="467">
        <f>IFERROR(H21/AVERAGE(F18:H18),0)</f>
        <v>0.16119498131030685</v>
      </c>
      <c r="I22" s="468">
        <f>H22</f>
        <v>0.16119498131030685</v>
      </c>
      <c r="J22" s="467">
        <f>IFERROR(J21/AVERAGE(F18:H18),0)</f>
        <v>0.16119498131030685</v>
      </c>
      <c r="K22" s="467">
        <f>IFERROR(K21/AVERAGE(G18:H18,J18),0)</f>
        <v>0.16428283146465589</v>
      </c>
      <c r="L22" s="467">
        <f>IFERROR(L21/AVERAGE(J18:K18,H18),0)</f>
        <v>0.16062096378352886</v>
      </c>
      <c r="M22" s="467">
        <f>IFERROR(M21/AVERAGE(J18:L18),0)</f>
        <v>0.25498464500160423</v>
      </c>
      <c r="N22" s="467">
        <f t="shared" ref="N22:U22" si="13">IFERROR(N21/AVERAGE(K18:M18),0)</f>
        <v>0.26399544426341015</v>
      </c>
      <c r="O22" s="467">
        <f t="shared" si="13"/>
        <v>0.27366643162848658</v>
      </c>
      <c r="P22" s="467">
        <f t="shared" si="13"/>
        <v>0.28407292039013432</v>
      </c>
      <c r="Q22" s="467">
        <f t="shared" si="13"/>
        <v>0.27054761209999029</v>
      </c>
      <c r="R22" s="467">
        <f t="shared" si="13"/>
        <v>0.25825170604892994</v>
      </c>
      <c r="S22" s="467">
        <f t="shared" si="13"/>
        <v>0.24702486678507993</v>
      </c>
      <c r="T22" s="467">
        <f t="shared" si="13"/>
        <v>0.23465973003374577</v>
      </c>
      <c r="U22" s="467">
        <f t="shared" si="13"/>
        <v>0.22347348687734334</v>
      </c>
      <c r="V22" s="444">
        <f>U22</f>
        <v>0.22347348687734334</v>
      </c>
      <c r="W22" s="445"/>
      <c r="X22" s="446"/>
      <c r="Y22" s="447"/>
    </row>
    <row r="23" spans="1:29" ht="12.6" thickBot="1">
      <c r="A23" s="428" t="s">
        <v>821</v>
      </c>
      <c r="D23" s="917"/>
      <c r="E23" s="342" t="s">
        <v>815</v>
      </c>
      <c r="F23" s="469">
        <f>IFERROR(F21/AVERAGE(G18:H18,J18),0)</f>
        <v>1.1910874422908442</v>
      </c>
      <c r="G23" s="470">
        <f>IFERROR(G21/AVERAGE(H18,J18:K18),0)</f>
        <v>1.900772836202997</v>
      </c>
      <c r="H23" s="470">
        <f>IFERROR(H21/AVERAGE(J18:L18),0)</f>
        <v>0.25498464500160423</v>
      </c>
      <c r="I23" s="471">
        <f>H23</f>
        <v>0.25498464500160423</v>
      </c>
      <c r="J23" s="470">
        <f>IFERROR(J21/AVERAGE(K18:M18),0)</f>
        <v>0.26399544426341015</v>
      </c>
      <c r="K23" s="470">
        <f t="shared" ref="K23:R23" si="14">IFERROR(K21/AVERAGE(L18:N18),0)</f>
        <v>0.27366643162848658</v>
      </c>
      <c r="L23" s="470">
        <f t="shared" si="14"/>
        <v>0.28407292039013432</v>
      </c>
      <c r="M23" s="470">
        <f t="shared" si="14"/>
        <v>0.27054761209999029</v>
      </c>
      <c r="N23" s="470">
        <f t="shared" si="14"/>
        <v>0.25825170604892994</v>
      </c>
      <c r="O23" s="470">
        <f t="shared" si="14"/>
        <v>0.24702486678507993</v>
      </c>
      <c r="P23" s="470">
        <f t="shared" si="14"/>
        <v>0.23465973003374577</v>
      </c>
      <c r="Q23" s="470">
        <f t="shared" si="14"/>
        <v>0.22347348687734334</v>
      </c>
      <c r="R23" s="470">
        <f t="shared" si="14"/>
        <v>0.21330521472392638</v>
      </c>
      <c r="S23" s="470">
        <f>IFERROR(S21/AVERAGE(T18:U18,W18),0)</f>
        <v>0.21189259740787386</v>
      </c>
      <c r="T23" s="470">
        <f>IFERROR(T21/AVERAGE(U18,W18:X18),0)</f>
        <v>0.21049856716176943</v>
      </c>
      <c r="U23" s="470">
        <f>IFERROR(U21/AVERAGE(W18:Y18),0)</f>
        <v>0.20912275953326115</v>
      </c>
      <c r="V23" s="472">
        <f>U23</f>
        <v>0.20912275953326115</v>
      </c>
      <c r="W23" s="463"/>
      <c r="X23" s="464"/>
      <c r="Y23" s="465"/>
    </row>
    <row r="24" spans="1:29" hidden="1" outlineLevel="1">
      <c r="A24" s="428" t="s">
        <v>821</v>
      </c>
      <c r="D24" s="917"/>
      <c r="E24" s="489" t="s">
        <v>816</v>
      </c>
      <c r="F24" s="442">
        <f>F18</f>
        <v>23763</v>
      </c>
      <c r="G24" s="442">
        <f t="shared" ref="G24:H24" si="15">G18</f>
        <v>19501</v>
      </c>
      <c r="H24" s="442">
        <f t="shared" si="15"/>
        <v>60269</v>
      </c>
      <c r="I24" s="451">
        <v>180000</v>
      </c>
      <c r="J24" s="442">
        <f>J18</f>
        <v>21817</v>
      </c>
      <c r="K24" s="442">
        <f t="shared" ref="K24:U24" si="16">K18</f>
        <v>21817</v>
      </c>
      <c r="L24" s="442">
        <f t="shared" si="16"/>
        <v>21817</v>
      </c>
      <c r="M24" s="442">
        <f t="shared" si="16"/>
        <v>19583</v>
      </c>
      <c r="N24" s="442">
        <f t="shared" si="16"/>
        <v>19583</v>
      </c>
      <c r="O24" s="442">
        <f t="shared" si="16"/>
        <v>19583</v>
      </c>
      <c r="P24" s="442">
        <f t="shared" si="16"/>
        <v>22520</v>
      </c>
      <c r="Q24" s="442">
        <f t="shared" si="16"/>
        <v>22520</v>
      </c>
      <c r="R24" s="442">
        <f t="shared" si="16"/>
        <v>22520</v>
      </c>
      <c r="S24" s="442">
        <f t="shared" si="16"/>
        <v>26080</v>
      </c>
      <c r="T24" s="442">
        <f t="shared" si="16"/>
        <v>26080</v>
      </c>
      <c r="U24" s="442">
        <f t="shared" si="16"/>
        <v>26080</v>
      </c>
      <c r="V24" s="444">
        <f t="shared" ref="V24:V25" si="17">SUM(J24:U24)</f>
        <v>270000</v>
      </c>
      <c r="W24" s="445"/>
      <c r="X24" s="446"/>
      <c r="Y24" s="447"/>
      <c r="AC24" s="428">
        <v>1402.6539823008848</v>
      </c>
    </row>
    <row r="25" spans="1:29" collapsed="1">
      <c r="A25" s="428" t="s">
        <v>821</v>
      </c>
      <c r="B25" s="428" t="s">
        <v>837</v>
      </c>
      <c r="D25" s="917"/>
      <c r="E25" s="474" t="s">
        <v>817</v>
      </c>
      <c r="F25" s="452">
        <v>18275</v>
      </c>
      <c r="G25" s="452">
        <v>18275</v>
      </c>
      <c r="H25" s="452">
        <f>18277+5000</f>
        <v>23277</v>
      </c>
      <c r="I25" s="451">
        <v>205000</v>
      </c>
      <c r="J25" s="452">
        <v>20882</v>
      </c>
      <c r="K25" s="452">
        <v>21502</v>
      </c>
      <c r="L25" s="452">
        <v>23242</v>
      </c>
      <c r="M25" s="452">
        <v>21432</v>
      </c>
      <c r="N25" s="452">
        <v>22351</v>
      </c>
      <c r="O25" s="452">
        <v>23261</v>
      </c>
      <c r="P25" s="452">
        <v>21365</v>
      </c>
      <c r="Q25" s="452">
        <v>22547</v>
      </c>
      <c r="R25" s="452">
        <v>22960</v>
      </c>
      <c r="S25" s="452">
        <v>22351</v>
      </c>
      <c r="T25" s="452">
        <v>23723</v>
      </c>
      <c r="U25" s="452">
        <v>24384</v>
      </c>
      <c r="V25" s="453">
        <f t="shared" si="17"/>
        <v>270000</v>
      </c>
      <c r="W25" s="454">
        <f>S25*(1+$AA25)</f>
        <v>24228.484</v>
      </c>
      <c r="X25" s="455">
        <f t="shared" ref="X25:Y25" si="18">T25*(1+$AA25)</f>
        <v>25715.732</v>
      </c>
      <c r="Y25" s="456">
        <f t="shared" si="18"/>
        <v>26432.256000000001</v>
      </c>
      <c r="AA25" s="490">
        <v>8.4000000000000005E-2</v>
      </c>
      <c r="AB25" s="428" t="s">
        <v>835</v>
      </c>
      <c r="AC25" s="428">
        <v>1402.6539823008848</v>
      </c>
    </row>
    <row r="26" spans="1:29" ht="12" thickBot="1">
      <c r="A26" s="428" t="s">
        <v>821</v>
      </c>
      <c r="B26" s="428" t="s">
        <v>34</v>
      </c>
      <c r="D26" s="917"/>
      <c r="E26" s="475" t="s">
        <v>818</v>
      </c>
      <c r="F26" s="450">
        <v>76465</v>
      </c>
      <c r="G26" s="450">
        <f t="shared" ref="G26:H26" si="19">F26+G24-G25</f>
        <v>77691</v>
      </c>
      <c r="H26" s="450">
        <f t="shared" si="19"/>
        <v>114683</v>
      </c>
      <c r="I26" s="451">
        <f>H26</f>
        <v>114683</v>
      </c>
      <c r="J26" s="455">
        <f>I26+J24-J25</f>
        <v>115618</v>
      </c>
      <c r="K26" s="455">
        <f t="shared" ref="K26:U26" si="20">J26+K24-K25</f>
        <v>115933</v>
      </c>
      <c r="L26" s="455">
        <f t="shared" si="20"/>
        <v>114508</v>
      </c>
      <c r="M26" s="455">
        <f t="shared" si="20"/>
        <v>112659</v>
      </c>
      <c r="N26" s="455">
        <f t="shared" si="20"/>
        <v>109891</v>
      </c>
      <c r="O26" s="455">
        <f t="shared" si="20"/>
        <v>106213</v>
      </c>
      <c r="P26" s="455">
        <f t="shared" si="20"/>
        <v>107368</v>
      </c>
      <c r="Q26" s="455">
        <f t="shared" si="20"/>
        <v>107341</v>
      </c>
      <c r="R26" s="455">
        <f t="shared" si="20"/>
        <v>106901</v>
      </c>
      <c r="S26" s="455">
        <f t="shared" si="20"/>
        <v>110630</v>
      </c>
      <c r="T26" s="455">
        <f t="shared" si="20"/>
        <v>112987</v>
      </c>
      <c r="U26" s="455">
        <f t="shared" si="20"/>
        <v>114683</v>
      </c>
      <c r="V26" s="453">
        <f>U26</f>
        <v>114683</v>
      </c>
      <c r="W26" s="463"/>
      <c r="X26" s="464"/>
      <c r="Y26" s="465"/>
      <c r="AC26" s="428">
        <v>1402.6539823008848</v>
      </c>
    </row>
    <row r="27" spans="1:29" ht="12">
      <c r="A27" s="428" t="s">
        <v>821</v>
      </c>
      <c r="D27" s="917"/>
      <c r="E27" s="348" t="s">
        <v>819</v>
      </c>
      <c r="F27" s="476">
        <f>IFERROR(F26/AVERAGE(F25),0)</f>
        <v>4.1841313269493847</v>
      </c>
      <c r="G27" s="476">
        <f>IFERROR(G26/AVERAGE(F25:G25),0)</f>
        <v>4.2512175102599183</v>
      </c>
      <c r="H27" s="476">
        <f>IFERROR(H26/AVERAGE(F25:H25),0)</f>
        <v>5.7507312751767596</v>
      </c>
      <c r="I27" s="477">
        <f>H27</f>
        <v>5.7507312751767596</v>
      </c>
      <c r="J27" s="476">
        <f>IFERROR(J26/AVERAGE(F25:H25),0)</f>
        <v>5.7976164607952931</v>
      </c>
      <c r="K27" s="476">
        <f>IFERROR(K26/AVERAGE(G25:H25,J25),0)</f>
        <v>5.5706666239548968</v>
      </c>
      <c r="L27" s="476">
        <f>IFERROR(L26/AVERAGE(J25:K25,H25),0)</f>
        <v>5.2317814227623707</v>
      </c>
      <c r="M27" s="476">
        <f>IFERROR(M26/AVERAGE(J25:L25),0)</f>
        <v>5.1500472373754311</v>
      </c>
      <c r="N27" s="476">
        <f t="shared" ref="N27:U27" si="21">IFERROR(N26/AVERAGE(K25:M25),0)</f>
        <v>4.9817607591876207</v>
      </c>
      <c r="O27" s="476">
        <f t="shared" si="21"/>
        <v>4.7540320775829912</v>
      </c>
      <c r="P27" s="476">
        <f t="shared" si="21"/>
        <v>4.8043672811884734</v>
      </c>
      <c r="Q27" s="476">
        <f t="shared" si="21"/>
        <v>4.8079639279155533</v>
      </c>
      <c r="R27" s="476">
        <f t="shared" si="21"/>
        <v>4.7742843106605335</v>
      </c>
      <c r="S27" s="476">
        <f t="shared" si="21"/>
        <v>4.963063763608087</v>
      </c>
      <c r="T27" s="476">
        <f t="shared" si="21"/>
        <v>4.9951516401898086</v>
      </c>
      <c r="U27" s="476">
        <f t="shared" si="21"/>
        <v>4.9837616247066663</v>
      </c>
      <c r="V27" s="478">
        <f>U27</f>
        <v>4.9837616247066663</v>
      </c>
      <c r="W27" s="479"/>
      <c r="X27" s="480"/>
      <c r="Y27" s="481"/>
    </row>
    <row r="28" spans="1:29" ht="12.6" thickBot="1">
      <c r="A28" s="428" t="s">
        <v>821</v>
      </c>
      <c r="D28" s="918"/>
      <c r="E28" s="349" t="s">
        <v>820</v>
      </c>
      <c r="F28" s="482">
        <f>IFERROR(F26/AVERAGE(G25:H25,J25),0)</f>
        <v>3.6741999551526412</v>
      </c>
      <c r="G28" s="482">
        <f>IFERROR(G26/AVERAGE(H25,J25:K25),0)</f>
        <v>3.5496413396079864</v>
      </c>
      <c r="H28" s="482">
        <f>IFERROR(H26/AVERAGE(J25:L25),0)</f>
        <v>5.2425715417669831</v>
      </c>
      <c r="I28" s="483">
        <f>IFERROR(I26/AVERAGE(J25:L25),0)</f>
        <v>5.2425715417669831</v>
      </c>
      <c r="J28" s="482">
        <f>IFERROR(J26/AVERAGE(K25:M25),0)</f>
        <v>5.2413866054158609</v>
      </c>
      <c r="K28" s="482">
        <f t="shared" ref="K28:R28" si="22">IFERROR(K26/AVERAGE(L25:N25),0)</f>
        <v>5.1890936217829164</v>
      </c>
      <c r="L28" s="482">
        <f t="shared" si="22"/>
        <v>5.1238589582960445</v>
      </c>
      <c r="M28" s="482">
        <f t="shared" si="22"/>
        <v>5.0461651014527371</v>
      </c>
      <c r="N28" s="482">
        <f t="shared" si="22"/>
        <v>4.9078201062927072</v>
      </c>
      <c r="O28" s="482">
        <f t="shared" si="22"/>
        <v>4.7649090800334966</v>
      </c>
      <c r="P28" s="482">
        <f t="shared" si="22"/>
        <v>4.7467358307052967</v>
      </c>
      <c r="Q28" s="482">
        <f t="shared" si="22"/>
        <v>4.6647014514587015</v>
      </c>
      <c r="R28" s="482">
        <f t="shared" si="22"/>
        <v>4.5516903687303074</v>
      </c>
      <c r="S28" s="482">
        <f>IFERROR(S26/AVERAGE(T25:U25,W25),0)</f>
        <v>4.5882045940274629</v>
      </c>
      <c r="T28" s="482">
        <f>IFERROR(T26/AVERAGE(U25,W25:X25),0)</f>
        <v>4.5603273997589291</v>
      </c>
      <c r="U28" s="482">
        <f>IFERROR(U26/AVERAGE(W25:Y25),0)</f>
        <v>4.5046464047200283</v>
      </c>
      <c r="V28" s="484">
        <f>U28</f>
        <v>4.5046464047200283</v>
      </c>
      <c r="W28" s="485"/>
      <c r="X28" s="486"/>
      <c r="Y28" s="487"/>
    </row>
    <row r="29" spans="1:29" ht="12" thickBot="1"/>
    <row r="30" spans="1:29">
      <c r="A30" s="428" t="s">
        <v>822</v>
      </c>
      <c r="D30" s="916" t="s">
        <v>822</v>
      </c>
      <c r="E30" s="333" t="s">
        <v>838</v>
      </c>
      <c r="F30" s="441"/>
      <c r="G30" s="442"/>
      <c r="H30" s="442"/>
      <c r="I30" s="443"/>
      <c r="J30" s="442">
        <v>45000</v>
      </c>
      <c r="K30" s="442">
        <v>0</v>
      </c>
      <c r="L30" s="442">
        <v>0</v>
      </c>
      <c r="M30" s="442">
        <v>0</v>
      </c>
      <c r="N30" s="442">
        <v>0</v>
      </c>
      <c r="O30" s="442"/>
      <c r="P30" s="442">
        <v>0</v>
      </c>
      <c r="Q30" s="442">
        <v>0</v>
      </c>
      <c r="R30" s="442">
        <v>0</v>
      </c>
      <c r="S30" s="442">
        <v>5000</v>
      </c>
      <c r="T30" s="442">
        <v>5000</v>
      </c>
      <c r="U30" s="442">
        <v>5000</v>
      </c>
      <c r="V30" s="444">
        <f>SUM(J30:U30)</f>
        <v>60000</v>
      </c>
      <c r="W30" s="445"/>
      <c r="X30" s="446"/>
      <c r="Y30" s="447"/>
      <c r="AC30" s="428">
        <v>631.39163428571419</v>
      </c>
    </row>
    <row r="31" spans="1:29">
      <c r="A31" s="428" t="s">
        <v>822</v>
      </c>
      <c r="B31" s="428" t="s">
        <v>802</v>
      </c>
      <c r="D31" s="917"/>
      <c r="E31" s="336" t="s">
        <v>810</v>
      </c>
      <c r="F31" s="449"/>
      <c r="G31" s="450"/>
      <c r="H31" s="450"/>
      <c r="I31" s="451"/>
      <c r="J31" s="452">
        <v>690</v>
      </c>
      <c r="K31" s="452">
        <v>690</v>
      </c>
      <c r="L31" s="452">
        <v>690</v>
      </c>
      <c r="M31" s="452">
        <v>1380</v>
      </c>
      <c r="N31" s="452">
        <v>1380</v>
      </c>
      <c r="O31" s="452">
        <v>1380</v>
      </c>
      <c r="P31" s="452">
        <v>1676</v>
      </c>
      <c r="Q31" s="452">
        <v>1676</v>
      </c>
      <c r="R31" s="452">
        <v>1676</v>
      </c>
      <c r="S31" s="452">
        <v>3349</v>
      </c>
      <c r="T31" s="452">
        <v>3351</v>
      </c>
      <c r="U31" s="452">
        <v>3351</v>
      </c>
      <c r="V31" s="453">
        <f>SUM(J31:U31)</f>
        <v>21289</v>
      </c>
      <c r="W31" s="454">
        <f>S31*(1+$AA31)</f>
        <v>10047</v>
      </c>
      <c r="X31" s="455">
        <f t="shared" ref="X31:Y31" si="23">T31*(1+$AA31)</f>
        <v>10053</v>
      </c>
      <c r="Y31" s="456">
        <f t="shared" si="23"/>
        <v>10053</v>
      </c>
      <c r="AA31" s="490">
        <v>2</v>
      </c>
      <c r="AC31" s="428">
        <v>631.39163428571419</v>
      </c>
    </row>
    <row r="32" spans="1:29">
      <c r="A32" s="428" t="s">
        <v>822</v>
      </c>
      <c r="D32" s="917"/>
      <c r="E32" s="336" t="s">
        <v>811</v>
      </c>
      <c r="F32" s="430"/>
      <c r="I32" s="459"/>
      <c r="J32" s="452"/>
      <c r="K32" s="452"/>
      <c r="L32" s="452"/>
      <c r="M32" s="452">
        <v>100</v>
      </c>
      <c r="N32" s="452">
        <v>250</v>
      </c>
      <c r="O32" s="452">
        <f>3000+450</f>
        <v>3450</v>
      </c>
      <c r="P32" s="452">
        <f>4500+750</f>
        <v>5250</v>
      </c>
      <c r="Q32" s="452">
        <f>6000+1050</f>
        <v>7050</v>
      </c>
      <c r="R32" s="452">
        <f>4500+1350</f>
        <v>5850</v>
      </c>
      <c r="S32" s="452">
        <f>4500+1850</f>
        <v>6350</v>
      </c>
      <c r="T32" s="452">
        <f>4500+2350</f>
        <v>6850</v>
      </c>
      <c r="U32" s="452">
        <f>3000+2850</f>
        <v>5850</v>
      </c>
      <c r="V32" s="453">
        <f>SUM(J32:U32)</f>
        <v>41000</v>
      </c>
      <c r="W32" s="454"/>
      <c r="X32" s="455"/>
      <c r="Y32" s="456"/>
      <c r="AC32" s="428">
        <v>631.39163428571419</v>
      </c>
    </row>
    <row r="33" spans="1:29">
      <c r="A33" s="428" t="s">
        <v>822</v>
      </c>
      <c r="D33" s="917"/>
      <c r="E33" s="336" t="s">
        <v>812</v>
      </c>
      <c r="F33" s="430"/>
      <c r="I33" s="459"/>
      <c r="V33" s="453">
        <f>SUM(J33:U33)</f>
        <v>0</v>
      </c>
      <c r="W33" s="454"/>
      <c r="X33" s="455"/>
      <c r="Y33" s="456"/>
      <c r="AC33" s="428">
        <v>631.39163428571419</v>
      </c>
    </row>
    <row r="34" spans="1:29" ht="12" thickBot="1">
      <c r="A34" s="428" t="s">
        <v>822</v>
      </c>
      <c r="D34" s="917"/>
      <c r="E34" s="336" t="s">
        <v>813</v>
      </c>
      <c r="F34" s="460"/>
      <c r="G34" s="461"/>
      <c r="H34" s="461"/>
      <c r="I34" s="462"/>
      <c r="J34" s="450">
        <f>I34+J30-J31-J32-J33</f>
        <v>44310</v>
      </c>
      <c r="K34" s="450">
        <f>J34+K30-K31-K32</f>
        <v>43620</v>
      </c>
      <c r="L34" s="450">
        <f t="shared" ref="L34:U34" si="24">K34+L30-L31-L32</f>
        <v>42930</v>
      </c>
      <c r="M34" s="450">
        <f t="shared" si="24"/>
        <v>41450</v>
      </c>
      <c r="N34" s="450">
        <f t="shared" si="24"/>
        <v>39820</v>
      </c>
      <c r="O34" s="450">
        <f t="shared" si="24"/>
        <v>34990</v>
      </c>
      <c r="P34" s="450">
        <f t="shared" si="24"/>
        <v>28064</v>
      </c>
      <c r="Q34" s="450">
        <f t="shared" si="24"/>
        <v>19338</v>
      </c>
      <c r="R34" s="450">
        <f t="shared" si="24"/>
        <v>11812</v>
      </c>
      <c r="S34" s="450">
        <f t="shared" si="24"/>
        <v>7113</v>
      </c>
      <c r="T34" s="450">
        <f t="shared" si="24"/>
        <v>1912</v>
      </c>
      <c r="U34" s="450">
        <f t="shared" si="24"/>
        <v>-2289</v>
      </c>
      <c r="V34" s="453">
        <f>U34</f>
        <v>-2289</v>
      </c>
      <c r="W34" s="463"/>
      <c r="X34" s="464"/>
      <c r="Y34" s="465"/>
      <c r="AC34" s="428">
        <v>631.39163428571419</v>
      </c>
    </row>
    <row r="35" spans="1:29" ht="12">
      <c r="A35" s="428" t="s">
        <v>822</v>
      </c>
      <c r="D35" s="917"/>
      <c r="E35" s="340" t="s">
        <v>814</v>
      </c>
      <c r="F35" s="466">
        <f>IFERROR(F34/AVERAGE(F31),0)</f>
        <v>0</v>
      </c>
      <c r="G35" s="467">
        <f>IFERROR(G34/AVERAGE(F31:G31),0)</f>
        <v>0</v>
      </c>
      <c r="H35" s="467">
        <f>IFERROR(H34/AVERAGE(F31:H31),0)</f>
        <v>0</v>
      </c>
      <c r="I35" s="468">
        <f>H35</f>
        <v>0</v>
      </c>
      <c r="J35" s="467">
        <f>IFERROR(J34/AVERAGE(F31:H31),0)</f>
        <v>0</v>
      </c>
      <c r="K35" s="467">
        <f>IFERROR(K34/AVERAGE(G31:H31,J31),0)</f>
        <v>63.217391304347828</v>
      </c>
      <c r="L35" s="467">
        <f>IFERROR(L34/AVERAGE(J31:K31,H31),0)</f>
        <v>62.217391304347828</v>
      </c>
      <c r="M35" s="467">
        <f>IFERROR(M34/AVERAGE(J31:L31),0)</f>
        <v>60.072463768115945</v>
      </c>
      <c r="N35" s="467">
        <f t="shared" ref="N35:U35" si="25">IFERROR(N34/AVERAGE(K31:M31),0)</f>
        <v>43.282608695652172</v>
      </c>
      <c r="O35" s="467">
        <f t="shared" si="25"/>
        <v>30.42608695652174</v>
      </c>
      <c r="P35" s="467">
        <f t="shared" si="25"/>
        <v>20.33623188405797</v>
      </c>
      <c r="Q35" s="467">
        <f t="shared" si="25"/>
        <v>13.077998196573489</v>
      </c>
      <c r="R35" s="467">
        <f t="shared" si="25"/>
        <v>7.4885883347421816</v>
      </c>
      <c r="S35" s="467">
        <f t="shared" si="25"/>
        <v>4.2440334128878279</v>
      </c>
      <c r="T35" s="467">
        <f t="shared" si="25"/>
        <v>0.85599164303835251</v>
      </c>
      <c r="U35" s="467">
        <f t="shared" si="25"/>
        <v>-0.81984240687679089</v>
      </c>
      <c r="V35" s="478">
        <f>U35</f>
        <v>-0.81984240687679089</v>
      </c>
      <c r="W35" s="445"/>
      <c r="X35" s="446"/>
      <c r="Y35" s="447"/>
    </row>
    <row r="36" spans="1:29" ht="12.6" thickBot="1">
      <c r="A36" s="428" t="s">
        <v>822</v>
      </c>
      <c r="D36" s="917"/>
      <c r="E36" s="342" t="s">
        <v>815</v>
      </c>
      <c r="F36" s="469">
        <f>IFERROR(F34/AVERAGE(G31:H31,J31),0)</f>
        <v>0</v>
      </c>
      <c r="G36" s="470">
        <f>IFERROR(G34/AVERAGE(H31,J31:K31),0)</f>
        <v>0</v>
      </c>
      <c r="H36" s="470">
        <f>IFERROR(H34/AVERAGE(J31:L31),0)</f>
        <v>0</v>
      </c>
      <c r="I36" s="471">
        <f>H36</f>
        <v>0</v>
      </c>
      <c r="J36" s="470">
        <f>IFERROR(J34/AVERAGE(K31:M31),0)</f>
        <v>48.163043478260867</v>
      </c>
      <c r="K36" s="470">
        <f t="shared" ref="K36:R36" si="26">IFERROR(K34/AVERAGE(L31:N31),0)</f>
        <v>37.930434782608693</v>
      </c>
      <c r="L36" s="470">
        <f t="shared" si="26"/>
        <v>31.108695652173914</v>
      </c>
      <c r="M36" s="470">
        <f t="shared" si="26"/>
        <v>28.032010820559062</v>
      </c>
      <c r="N36" s="470">
        <f t="shared" si="26"/>
        <v>25.245139475908708</v>
      </c>
      <c r="O36" s="470">
        <f t="shared" si="26"/>
        <v>20.877088305489259</v>
      </c>
      <c r="P36" s="470">
        <f t="shared" si="26"/>
        <v>12.564094911207283</v>
      </c>
      <c r="Q36" s="470">
        <f t="shared" si="26"/>
        <v>6.9262177650429804</v>
      </c>
      <c r="R36" s="470">
        <f t="shared" si="26"/>
        <v>3.5256193413590684</v>
      </c>
      <c r="S36" s="470">
        <f>IFERROR(S34/AVERAGE(T31:U31,W31),0)</f>
        <v>1.2740462117141322</v>
      </c>
      <c r="T36" s="470">
        <f>IFERROR(T34/AVERAGE(U31,W31:X31),0)</f>
        <v>0.24459511321478827</v>
      </c>
      <c r="U36" s="470">
        <f>IFERROR(U34/AVERAGE(W31:Y31),0)</f>
        <v>-0.22773853347925579</v>
      </c>
      <c r="V36" s="484">
        <f>U36</f>
        <v>-0.22773853347925579</v>
      </c>
      <c r="W36" s="463"/>
      <c r="X36" s="464"/>
      <c r="Y36" s="465"/>
    </row>
    <row r="37" spans="1:29" ht="12" outlineLevel="1">
      <c r="A37" s="428" t="s">
        <v>822</v>
      </c>
      <c r="D37" s="917"/>
      <c r="E37" s="489" t="s">
        <v>816</v>
      </c>
      <c r="F37" s="442"/>
      <c r="G37" s="442"/>
      <c r="H37" s="442"/>
      <c r="I37" s="451"/>
      <c r="J37" s="491">
        <f>J31</f>
        <v>690</v>
      </c>
      <c r="K37" s="492">
        <f t="shared" ref="K37:U37" si="27">K31</f>
        <v>690</v>
      </c>
      <c r="L37" s="492">
        <f t="shared" si="27"/>
        <v>690</v>
      </c>
      <c r="M37" s="492">
        <f t="shared" si="27"/>
        <v>1380</v>
      </c>
      <c r="N37" s="492">
        <f t="shared" si="27"/>
        <v>1380</v>
      </c>
      <c r="O37" s="492">
        <f t="shared" si="27"/>
        <v>1380</v>
      </c>
      <c r="P37" s="492">
        <f t="shared" si="27"/>
        <v>1676</v>
      </c>
      <c r="Q37" s="492">
        <f t="shared" si="27"/>
        <v>1676</v>
      </c>
      <c r="R37" s="492">
        <f t="shared" si="27"/>
        <v>1676</v>
      </c>
      <c r="S37" s="492">
        <f t="shared" si="27"/>
        <v>3349</v>
      </c>
      <c r="T37" s="492">
        <f t="shared" si="27"/>
        <v>3351</v>
      </c>
      <c r="U37" s="492">
        <f t="shared" si="27"/>
        <v>3351</v>
      </c>
      <c r="V37" s="444">
        <f t="shared" ref="V37:V38" si="28">SUM(J37:U37)</f>
        <v>21289</v>
      </c>
      <c r="W37" s="445">
        <f>W31</f>
        <v>10047</v>
      </c>
      <c r="X37" s="446">
        <f>X31</f>
        <v>10053</v>
      </c>
      <c r="Y37" s="447">
        <f>Y31</f>
        <v>10053</v>
      </c>
      <c r="AC37" s="493">
        <v>7089.7640396269735</v>
      </c>
    </row>
    <row r="38" spans="1:29" ht="12">
      <c r="A38" s="428" t="s">
        <v>822</v>
      </c>
      <c r="B38" s="428" t="s">
        <v>837</v>
      </c>
      <c r="D38" s="917"/>
      <c r="E38" s="474" t="s">
        <v>817</v>
      </c>
      <c r="F38" s="452"/>
      <c r="G38" s="452"/>
      <c r="H38" s="452"/>
      <c r="I38" s="451"/>
      <c r="J38" s="428">
        <f>'[1]IN-MKT WP'!E68</f>
        <v>0</v>
      </c>
      <c r="K38" s="428">
        <f>'[1]IN-MKT WP'!F68</f>
        <v>0</v>
      </c>
      <c r="L38" s="428">
        <f>'[1]IN-MKT WP'!G68</f>
        <v>0</v>
      </c>
      <c r="M38" s="428">
        <f>'[1]IN-MKT WP'!H68</f>
        <v>301</v>
      </c>
      <c r="N38" s="428">
        <f>'[1]IN-MKT WP'!I68</f>
        <v>578</v>
      </c>
      <c r="O38" s="428">
        <f>'[1]IN-MKT WP'!J68</f>
        <v>827</v>
      </c>
      <c r="P38" s="428">
        <f>'[1]IN-MKT WP'!K68</f>
        <v>1127</v>
      </c>
      <c r="Q38" s="428">
        <f>'[1]IN-MKT WP'!L68</f>
        <v>1434</v>
      </c>
      <c r="R38" s="428">
        <f>'[1]IN-MKT WP'!M68</f>
        <v>1736</v>
      </c>
      <c r="S38" s="428">
        <f>'[1]IN-MKT WP'!N68</f>
        <v>2036</v>
      </c>
      <c r="T38" s="428">
        <f>'[1]IN-MKT WP'!O68</f>
        <v>2277</v>
      </c>
      <c r="U38" s="428">
        <f>'[1]IN-MKT WP'!P68</f>
        <v>2462</v>
      </c>
      <c r="V38" s="453">
        <f t="shared" si="28"/>
        <v>12778</v>
      </c>
      <c r="W38" s="454">
        <v>4000</v>
      </c>
      <c r="X38" s="455">
        <v>4000</v>
      </c>
      <c r="Y38" s="456">
        <v>4000</v>
      </c>
      <c r="AA38" s="490">
        <v>2</v>
      </c>
      <c r="AB38" s="428" t="s">
        <v>836</v>
      </c>
      <c r="AC38" s="493">
        <v>7089.7640396269735</v>
      </c>
    </row>
    <row r="39" spans="1:29" ht="12.6" thickBot="1">
      <c r="A39" s="428" t="s">
        <v>822</v>
      </c>
      <c r="B39" s="428" t="s">
        <v>34</v>
      </c>
      <c r="D39" s="917"/>
      <c r="E39" s="475" t="s">
        <v>818</v>
      </c>
      <c r="F39" s="450"/>
      <c r="G39" s="450"/>
      <c r="H39" s="450"/>
      <c r="I39" s="451"/>
      <c r="J39" s="488">
        <f>I39+J37-J38</f>
        <v>690</v>
      </c>
      <c r="K39" s="488">
        <f t="shared" ref="K39:U39" si="29">J39+K37-K38</f>
        <v>1380</v>
      </c>
      <c r="L39" s="488">
        <f t="shared" si="29"/>
        <v>2070</v>
      </c>
      <c r="M39" s="488">
        <f t="shared" si="29"/>
        <v>3149</v>
      </c>
      <c r="N39" s="488">
        <f t="shared" si="29"/>
        <v>3951</v>
      </c>
      <c r="O39" s="488">
        <f t="shared" si="29"/>
        <v>4504</v>
      </c>
      <c r="P39" s="488">
        <f t="shared" si="29"/>
        <v>5053</v>
      </c>
      <c r="Q39" s="488">
        <f t="shared" si="29"/>
        <v>5295</v>
      </c>
      <c r="R39" s="488">
        <f t="shared" si="29"/>
        <v>5235</v>
      </c>
      <c r="S39" s="488">
        <f t="shared" si="29"/>
        <v>6548</v>
      </c>
      <c r="T39" s="488">
        <f t="shared" si="29"/>
        <v>7622</v>
      </c>
      <c r="U39" s="488">
        <f t="shared" si="29"/>
        <v>8511</v>
      </c>
      <c r="V39" s="453">
        <f>U39</f>
        <v>8511</v>
      </c>
      <c r="W39" s="463"/>
      <c r="X39" s="464"/>
      <c r="Y39" s="465"/>
      <c r="AC39" s="493">
        <v>7089.7640396269735</v>
      </c>
    </row>
    <row r="40" spans="1:29" ht="12">
      <c r="A40" s="428" t="s">
        <v>822</v>
      </c>
      <c r="D40" s="917"/>
      <c r="E40" s="348" t="s">
        <v>819</v>
      </c>
      <c r="F40" s="476">
        <f>IFERROR(F39/AVERAGE(F38),0)</f>
        <v>0</v>
      </c>
      <c r="G40" s="476">
        <f>IFERROR(G39/AVERAGE(F38:G38),0)</f>
        <v>0</v>
      </c>
      <c r="H40" s="476">
        <f>IFERROR(H39/AVERAGE(F38:H38),0)</f>
        <v>0</v>
      </c>
      <c r="I40" s="477">
        <f>H40</f>
        <v>0</v>
      </c>
      <c r="J40" s="476">
        <f>IFERROR(J39/AVERAGE(F38:H38),0)</f>
        <v>0</v>
      </c>
      <c r="K40" s="476">
        <f>IFERROR(K39/AVERAGE(G38:H38,J38),0)</f>
        <v>0</v>
      </c>
      <c r="L40" s="476">
        <f>IFERROR(L39/AVERAGE(J38:K38,H38),0)</f>
        <v>0</v>
      </c>
      <c r="M40" s="476">
        <f>IFERROR(M39/AVERAGE(J38:L38),0)</f>
        <v>0</v>
      </c>
      <c r="N40" s="476">
        <f t="shared" ref="N40:T40" si="30">IFERROR(N39/AVERAGE(K38:M38),0)</f>
        <v>39.378737541528238</v>
      </c>
      <c r="O40" s="476">
        <f t="shared" si="30"/>
        <v>15.372013651877133</v>
      </c>
      <c r="P40" s="476">
        <f t="shared" si="30"/>
        <v>8.8856975381008212</v>
      </c>
      <c r="Q40" s="476">
        <f t="shared" si="30"/>
        <v>6.2736966824644549</v>
      </c>
      <c r="R40" s="476">
        <f t="shared" si="30"/>
        <v>4.635478158205431</v>
      </c>
      <c r="S40" s="476">
        <f t="shared" si="30"/>
        <v>4.5715615545729582</v>
      </c>
      <c r="T40" s="476">
        <f t="shared" si="30"/>
        <v>4.3922397233960817</v>
      </c>
      <c r="U40" s="476">
        <f>IFERROR(U39/AVERAGE(R38:T38),0)</f>
        <v>4.2210282691353944</v>
      </c>
      <c r="V40" s="478">
        <f>U40</f>
        <v>4.2210282691353944</v>
      </c>
      <c r="W40" s="479"/>
      <c r="X40" s="480"/>
      <c r="Y40" s="481"/>
    </row>
    <row r="41" spans="1:29" ht="12.6" thickBot="1">
      <c r="A41" s="428" t="s">
        <v>822</v>
      </c>
      <c r="D41" s="918"/>
      <c r="E41" s="349" t="s">
        <v>820</v>
      </c>
      <c r="F41" s="482">
        <f>IFERROR(F39/AVERAGE(G38:H38,J38),0)</f>
        <v>0</v>
      </c>
      <c r="G41" s="482">
        <f>IFERROR(G39/AVERAGE(H38,J38:K38),0)</f>
        <v>0</v>
      </c>
      <c r="H41" s="482">
        <f>IFERROR(H39/AVERAGE(J38:L38),0)</f>
        <v>0</v>
      </c>
      <c r="I41" s="483">
        <f>IFERROR(I39/AVERAGE(J38:L38),0)</f>
        <v>0</v>
      </c>
      <c r="J41" s="482">
        <f>IFERROR(J39/AVERAGE(K38:M38),0)</f>
        <v>6.8770764119601333</v>
      </c>
      <c r="K41" s="482">
        <f t="shared" ref="K41:R41" si="31">IFERROR(K39/AVERAGE(L38:N38),0)</f>
        <v>4.7098976109215016</v>
      </c>
      <c r="L41" s="482">
        <f t="shared" si="31"/>
        <v>3.6400937866354046</v>
      </c>
      <c r="M41" s="482">
        <f t="shared" si="31"/>
        <v>3.7310426540284358</v>
      </c>
      <c r="N41" s="482">
        <f t="shared" si="31"/>
        <v>3.4985242030696577</v>
      </c>
      <c r="O41" s="482">
        <f t="shared" si="31"/>
        <v>3.1445194321619736</v>
      </c>
      <c r="P41" s="482">
        <f t="shared" si="31"/>
        <v>2.9118325009604304</v>
      </c>
      <c r="Q41" s="482">
        <f t="shared" si="31"/>
        <v>2.6260538932054884</v>
      </c>
      <c r="R41" s="482">
        <f t="shared" si="31"/>
        <v>2.318081180811808</v>
      </c>
      <c r="S41" s="482">
        <f>IFERROR(S39/AVERAGE(T38:U38,W38),0)</f>
        <v>2.2478544455887399</v>
      </c>
      <c r="T41" s="482">
        <f>IFERROR(T39/AVERAGE(U38,W38:X38),0)</f>
        <v>2.1856241636398392</v>
      </c>
      <c r="U41" s="482">
        <f>IFERROR(U39/AVERAGE(W38:Y38),0)</f>
        <v>2.1277499999999998</v>
      </c>
      <c r="V41" s="484">
        <f>U41</f>
        <v>2.1277499999999998</v>
      </c>
      <c r="W41" s="485"/>
      <c r="X41" s="486"/>
      <c r="Y41" s="487"/>
    </row>
    <row r="42" spans="1:29" ht="12" thickBot="1"/>
    <row r="43" spans="1:29">
      <c r="D43" s="916" t="s">
        <v>823</v>
      </c>
      <c r="E43" s="333" t="s">
        <v>838</v>
      </c>
      <c r="F43" s="494">
        <f>SUMIFS(F$4:F$41,$E$4:$E$41,$E43,$A$4:$A$41,"Nefecon")*SUMIFS($AC$4:$AC$41,$E$4:$E$41,$E43,$A$4:$A$41,"Nefecon")/10^6+SUMIFS(F$4:F$41,$E$4:$E$41,$E43,$A$4:$A$41,"Xerava")*SUMIFS($AC$4:$AC$41,$E$4:$E$41,$E43,$A$4:$A$41,"Xerava")/10^6+SUMIFS(F$4:F$41,$E$4:$E$41,$E43,$A$4:$A$41,"Velsipity")*SUMIFS($AC$4:$AC$41,$E$4:$E$41,$E43,$A$4:$A$41,"Velsipity")/10^6</f>
        <v>16.532371737198037</v>
      </c>
      <c r="G43" s="476">
        <f t="shared" ref="G43:U43" si="32">SUMIFS(G$4:G$41,$E$4:$E$41,$E43,$A$4:$A$41,"Nefecon")*SUMIFS($AC$4:$AC$41,$E$4:$E$41,$E43,$A$4:$A$41,"Nefecon")/10^6+SUMIFS(G$4:G$41,$E$4:$E$41,$E43,$A$4:$A$41,"Xerava")*SUMIFS($AC$4:$AC$41,$E$4:$E$41,$E43,$A$4:$A$41,"Xerava")/10^6+SUMIFS(G$4:G$41,$E$4:$E$41,$E43,$A$4:$A$41,"Velsipity")*SUMIFS($AC$4:$AC$41,$E$4:$E$41,$E43,$A$4:$A$41,"Velsipity")/10^6</f>
        <v>19.566867152145033</v>
      </c>
      <c r="H43" s="476">
        <f t="shared" si="32"/>
        <v>12.363803500000001</v>
      </c>
      <c r="I43" s="495">
        <f>SUMIFS(I$4:I$41,$E$4:$E$41,$E43,$A$4:$A$41,"Nefecon")*SUMIFS($AC$4:$AC$41,$E$4:$E$41,$E43,$A$4:$A$41,"Nefecon")/10^6+SUMIFS(I$4:I$41,$E$4:$E$41,$E43,$A$4:$A$41,"Xerava")*SUMIFS($AC$4:$AC$41,$E$4:$E$41,$E43,$A$4:$A$41,"Xerava")/10^6+SUMIFS(I$4:I$41,$E$4:$E$41,$E43,$A$4:$A$41,"Velsipity")*SUMIFS($AC$4:$AC$41,$E$4:$E$41,$E43,$A$4:$A$41,"Velsipity")/10^6</f>
        <v>143.17743698358015</v>
      </c>
      <c r="J43" s="476">
        <f t="shared" si="32"/>
        <v>54.599826574098216</v>
      </c>
      <c r="K43" s="476">
        <f>SUMIFS(K$4:K$41,$E$4:$E$41,$E43,$A$4:$A$41,"Nefecon")*SUMIFS($AC$4:$AC$41,$E$4:$E$41,$E43,$A$4:$A$41,"Nefecon")/10^6+SUMIFS(K$4:K$41,$E$4:$E$41,$E43,$A$4:$A$41,"Xerava")*SUMIFS($AC$4:$AC$41,$E$4:$E$41,$E43,$A$4:$A$41,"Xerava")/10^6+SUMIFS(K$4:K$41,$E$4:$E$41,$E43,$A$4:$A$41,"Velsipity")*SUMIFS($AC$4:$AC$41,$E$4:$E$41,$E43,$A$4:$A$41,"Velsipity")/10^6</f>
        <v>16.91435040624107</v>
      </c>
      <c r="L43" s="476">
        <f t="shared" si="32"/>
        <v>16.91435040624107</v>
      </c>
      <c r="M43" s="476">
        <f t="shared" si="32"/>
        <v>19.096901742007361</v>
      </c>
      <c r="N43" s="476">
        <f t="shared" si="32"/>
        <v>19.096901742007361</v>
      </c>
      <c r="O43" s="476">
        <f t="shared" si="32"/>
        <v>19.096901742007361</v>
      </c>
      <c r="P43" s="476">
        <f t="shared" si="32"/>
        <v>20.365105212295695</v>
      </c>
      <c r="Q43" s="476">
        <f t="shared" si="32"/>
        <v>20.365105212295695</v>
      </c>
      <c r="R43" s="476">
        <f t="shared" si="32"/>
        <v>20.365105212295695</v>
      </c>
      <c r="S43" s="476">
        <f t="shared" si="32"/>
        <v>25.066173468449517</v>
      </c>
      <c r="T43" s="476">
        <f t="shared" si="32"/>
        <v>25.066173468449517</v>
      </c>
      <c r="U43" s="476">
        <f t="shared" si="32"/>
        <v>25.066791658624517</v>
      </c>
      <c r="V43" s="444">
        <f>SUM(J43:U43)</f>
        <v>282.01368684501313</v>
      </c>
      <c r="W43" s="445"/>
      <c r="X43" s="446"/>
      <c r="Y43" s="447"/>
    </row>
    <row r="44" spans="1:29">
      <c r="D44" s="917"/>
      <c r="E44" s="336" t="s">
        <v>810</v>
      </c>
      <c r="F44" s="496">
        <f t="shared" ref="F44:U47" si="33">SUMIFS(F$4:F$41,$E$4:$E$41,$E44,$A$4:$A$41,"Nefecon")*SUMIFS($AC$4:$AC$41,$E$4:$E$41,$E44,$A$4:$A$41,"Nefecon")/10^6+SUMIFS(F$4:F$41,$E$4:$E$41,$E44,$A$4:$A$41,"Xerava")*SUMIFS($AC$4:$AC$41,$E$4:$E$41,$E44,$A$4:$A$41,"Xerava")/10^6+SUMIFS(F$4:F$41,$E$4:$E$41,$E44,$A$4:$A$41,"Velsipity")*SUMIFS($AC$4:$AC$41,$E$4:$E$41,$E44,$A$4:$A$41,"Velsipity")/10^6</f>
        <v>11.148724376838555</v>
      </c>
      <c r="G44" s="497">
        <f t="shared" si="33"/>
        <v>20.338393119514841</v>
      </c>
      <c r="H44" s="497">
        <f t="shared" si="33"/>
        <v>19.751461593733424</v>
      </c>
      <c r="I44" s="498">
        <f t="shared" si="33"/>
        <v>136.99553523358014</v>
      </c>
      <c r="J44" s="499">
        <f t="shared" si="33"/>
        <v>17.350010633898211</v>
      </c>
      <c r="K44" s="499">
        <f>SUMIFS(K$4:K$41,$E$4:$E$41,$E44,$A$4:$A$41,"Nefecon")*SUMIFS($AC$4:$AC$41,$E$4:$E$41,$E44,$A$4:$A$41,"Nefecon")/10^6+SUMIFS(K$4:K$41,$E$4:$E$41,$E44,$A$4:$A$41,"Xerava")*SUMIFS($AC$4:$AC$41,$E$4:$E$41,$E44,$A$4:$A$41,"Xerava")/10^6+SUMIFS(K$4:K$41,$E$4:$E$41,$E44,$A$4:$A$41,"Velsipity")*SUMIFS($AC$4:$AC$41,$E$4:$E$41,$E44,$A$4:$A$41,"Velsipity")/10^6</f>
        <v>17.350010633898211</v>
      </c>
      <c r="L44" s="499">
        <f t="shared" si="33"/>
        <v>17.350010633898211</v>
      </c>
      <c r="M44" s="499">
        <f t="shared" si="33"/>
        <v>19.968222197321648</v>
      </c>
      <c r="N44" s="499">
        <f t="shared" si="33"/>
        <v>19.968222197321648</v>
      </c>
      <c r="O44" s="499">
        <f t="shared" si="33"/>
        <v>19.968222197321648</v>
      </c>
      <c r="P44" s="499">
        <f t="shared" si="33"/>
        <v>21.423317591358554</v>
      </c>
      <c r="Q44" s="499">
        <f t="shared" si="33"/>
        <v>21.423317591358554</v>
      </c>
      <c r="R44" s="499">
        <f t="shared" si="33"/>
        <v>21.423317591358554</v>
      </c>
      <c r="S44" s="499">
        <f t="shared" si="33"/>
        <v>24.023745880243801</v>
      </c>
      <c r="T44" s="499">
        <f t="shared" si="33"/>
        <v>24.025008663512374</v>
      </c>
      <c r="U44" s="499">
        <f t="shared" si="33"/>
        <v>24.025626853687374</v>
      </c>
      <c r="V44" s="453">
        <f>SUM(J44:U44)</f>
        <v>248.29903266517886</v>
      </c>
      <c r="W44" s="454"/>
      <c r="X44" s="455"/>
      <c r="Y44" s="456"/>
    </row>
    <row r="45" spans="1:29">
      <c r="D45" s="917"/>
      <c r="E45" s="336" t="s">
        <v>811</v>
      </c>
      <c r="F45" s="496">
        <f t="shared" si="33"/>
        <v>0</v>
      </c>
      <c r="G45" s="499">
        <f t="shared" si="33"/>
        <v>0</v>
      </c>
      <c r="H45" s="499">
        <f t="shared" si="33"/>
        <v>6.1819017500000006</v>
      </c>
      <c r="I45" s="498">
        <f t="shared" si="33"/>
        <v>6.1819017500000006</v>
      </c>
      <c r="J45" s="499">
        <f t="shared" si="33"/>
        <v>9.2728526250000023</v>
      </c>
      <c r="K45" s="499">
        <f t="shared" si="33"/>
        <v>0</v>
      </c>
      <c r="L45" s="499">
        <f t="shared" si="33"/>
        <v>0</v>
      </c>
      <c r="M45" s="499">
        <f t="shared" si="33"/>
        <v>6.3139163428571413E-2</v>
      </c>
      <c r="N45" s="499">
        <f t="shared" si="33"/>
        <v>0.15784790857142855</v>
      </c>
      <c r="O45" s="499">
        <f t="shared" si="33"/>
        <v>2.1783011382857138</v>
      </c>
      <c r="P45" s="499">
        <f t="shared" si="33"/>
        <v>3.3148060799999994</v>
      </c>
      <c r="Q45" s="499">
        <f t="shared" si="33"/>
        <v>4.4513110217142851</v>
      </c>
      <c r="R45" s="499">
        <f t="shared" si="33"/>
        <v>3.6936410605714278</v>
      </c>
      <c r="S45" s="499">
        <f t="shared" si="33"/>
        <v>4.0093368777142855</v>
      </c>
      <c r="T45" s="499">
        <f t="shared" si="33"/>
        <v>4.3250326948571418</v>
      </c>
      <c r="U45" s="499">
        <f t="shared" si="33"/>
        <v>3.6936410605714278</v>
      </c>
      <c r="V45" s="453">
        <f>SUM(J45:U45)</f>
        <v>35.159909630714289</v>
      </c>
      <c r="W45" s="454"/>
      <c r="X45" s="455"/>
      <c r="Y45" s="456"/>
    </row>
    <row r="46" spans="1:29" hidden="1" outlineLevel="1">
      <c r="D46" s="917"/>
      <c r="E46" s="336" t="s">
        <v>812</v>
      </c>
      <c r="F46" s="496">
        <f t="shared" si="33"/>
        <v>0</v>
      </c>
      <c r="G46" s="499">
        <f t="shared" si="33"/>
        <v>0</v>
      </c>
      <c r="H46" s="499">
        <f t="shared" si="33"/>
        <v>0</v>
      </c>
      <c r="I46" s="498">
        <f t="shared" si="33"/>
        <v>0</v>
      </c>
      <c r="J46" s="499">
        <f t="shared" si="33"/>
        <v>0</v>
      </c>
      <c r="K46" s="499">
        <f t="shared" si="33"/>
        <v>0</v>
      </c>
      <c r="L46" s="499">
        <f t="shared" si="33"/>
        <v>0</v>
      </c>
      <c r="M46" s="499">
        <f t="shared" si="33"/>
        <v>0</v>
      </c>
      <c r="N46" s="499">
        <f t="shared" si="33"/>
        <v>0</v>
      </c>
      <c r="O46" s="499">
        <f t="shared" si="33"/>
        <v>0</v>
      </c>
      <c r="P46" s="499">
        <f t="shared" si="33"/>
        <v>0</v>
      </c>
      <c r="Q46" s="499">
        <f t="shared" si="33"/>
        <v>0</v>
      </c>
      <c r="R46" s="499">
        <f t="shared" si="33"/>
        <v>0</v>
      </c>
      <c r="S46" s="499">
        <f t="shared" si="33"/>
        <v>0</v>
      </c>
      <c r="T46" s="499">
        <f t="shared" si="33"/>
        <v>0</v>
      </c>
      <c r="U46" s="499">
        <f t="shared" si="33"/>
        <v>0</v>
      </c>
      <c r="V46" s="453">
        <f>SUM(J46:U46)</f>
        <v>0</v>
      </c>
      <c r="W46" s="454"/>
      <c r="X46" s="455"/>
      <c r="Y46" s="456"/>
    </row>
    <row r="47" spans="1:29" ht="12" collapsed="1" thickBot="1">
      <c r="D47" s="917"/>
      <c r="E47" s="336" t="s">
        <v>813</v>
      </c>
      <c r="F47" s="460">
        <f t="shared" si="33"/>
        <v>18.000418340414512</v>
      </c>
      <c r="G47" s="461">
        <f>F47+G43-G44-G45-G46</f>
        <v>17.228892373044708</v>
      </c>
      <c r="H47" s="461">
        <f>G47+H43-H44-H45-H46</f>
        <v>3.6593325293112864</v>
      </c>
      <c r="I47" s="462"/>
      <c r="J47" s="488">
        <f>I47+J43-J44-J45-J46</f>
        <v>27.976963315200006</v>
      </c>
      <c r="K47" s="488">
        <f>J47+K43-K44-K45-K46</f>
        <v>27.541303087542868</v>
      </c>
      <c r="L47" s="488">
        <f t="shared" ref="L47:U47" si="34">K47+L43-L44-L45</f>
        <v>27.10564285988573</v>
      </c>
      <c r="M47" s="488">
        <f t="shared" si="34"/>
        <v>26.171183241142877</v>
      </c>
      <c r="N47" s="488">
        <f t="shared" si="34"/>
        <v>25.142014877257161</v>
      </c>
      <c r="O47" s="488">
        <f t="shared" si="34"/>
        <v>22.092393283657159</v>
      </c>
      <c r="P47" s="488">
        <f t="shared" si="34"/>
        <v>17.719374824594301</v>
      </c>
      <c r="Q47" s="488">
        <f t="shared" si="34"/>
        <v>12.20985142381716</v>
      </c>
      <c r="R47" s="488">
        <f t="shared" si="34"/>
        <v>7.4579979841828763</v>
      </c>
      <c r="S47" s="488">
        <f t="shared" si="34"/>
        <v>4.4910886946743078</v>
      </c>
      <c r="T47" s="488">
        <f t="shared" si="34"/>
        <v>1.207220804754308</v>
      </c>
      <c r="U47" s="488">
        <f t="shared" si="34"/>
        <v>-1.4452554508799778</v>
      </c>
      <c r="V47" s="453">
        <f>U47</f>
        <v>-1.4452554508799778</v>
      </c>
      <c r="W47" s="463"/>
      <c r="X47" s="464"/>
      <c r="Y47" s="465"/>
    </row>
    <row r="48" spans="1:29" ht="12">
      <c r="D48" s="917"/>
      <c r="E48" s="340" t="s">
        <v>814</v>
      </c>
      <c r="F48" s="494">
        <f>IFERROR(F47/AVERAGE(F44),0)</f>
        <v>1.6145720112886039</v>
      </c>
      <c r="G48" s="476">
        <f>IFERROR(G47/AVERAGE(F44:G44),0)</f>
        <v>1.0943454811346278</v>
      </c>
      <c r="H48" s="476">
        <f>IFERROR(H47/AVERAGE(F44:H44),0)</f>
        <v>0.21425257653286064</v>
      </c>
      <c r="I48" s="495">
        <f>H48</f>
        <v>0.21425257653286064</v>
      </c>
      <c r="J48" s="467">
        <f>IFERROR(J47/AVERAGE(F44:H44),0)</f>
        <v>1.6380409339227406</v>
      </c>
      <c r="K48" s="467">
        <f>IFERROR(K47/AVERAGE(G44:H44,J44),0)</f>
        <v>1.4384419037767335</v>
      </c>
      <c r="L48" s="467">
        <f>IFERROR(L47/AVERAGE(J44:K44,H44),0)</f>
        <v>1.4933831790485153</v>
      </c>
      <c r="M48" s="467">
        <f>IFERROR(M47/AVERAGE(J44:L44),0)</f>
        <v>1.5084246225192497</v>
      </c>
      <c r="N48" s="467">
        <f t="shared" ref="N48:U48" si="35">IFERROR(N47/AVERAGE(K44:M44),0)</f>
        <v>1.3797049228387639</v>
      </c>
      <c r="O48" s="467">
        <f t="shared" si="35"/>
        <v>1.1569432917074476</v>
      </c>
      <c r="P48" s="467">
        <f t="shared" si="35"/>
        <v>0.88737868847287837</v>
      </c>
      <c r="Q48" s="467">
        <f t="shared" si="35"/>
        <v>0.59696376071028223</v>
      </c>
      <c r="R48" s="467">
        <f t="shared" si="35"/>
        <v>0.35618952085145722</v>
      </c>
      <c r="S48" s="467">
        <f t="shared" si="35"/>
        <v>0.20963553733086895</v>
      </c>
      <c r="T48" s="467">
        <f t="shared" si="35"/>
        <v>5.4159440348530333E-2</v>
      </c>
      <c r="U48" s="467">
        <f t="shared" si="35"/>
        <v>-6.2410206279832785E-2</v>
      </c>
      <c r="V48" s="444">
        <f>U48</f>
        <v>-6.2410206279832785E-2</v>
      </c>
      <c r="W48" s="445"/>
      <c r="X48" s="446"/>
      <c r="Y48" s="447"/>
    </row>
    <row r="49" spans="4:28" ht="12.6" thickBot="1">
      <c r="D49" s="917"/>
      <c r="E49" s="342" t="s">
        <v>815</v>
      </c>
      <c r="F49" s="500">
        <f>IFERROR(F47/AVERAGE(G44:H44,J44),0)</f>
        <v>0.94013547376684847</v>
      </c>
      <c r="G49" s="482">
        <f>IFERROR(G47/AVERAGE(H44,J44:K44),0)</f>
        <v>0.94922441782849842</v>
      </c>
      <c r="H49" s="482">
        <f>IFERROR(H47/AVERAGE(J44:L44),0)</f>
        <v>0.21091240844323939</v>
      </c>
      <c r="I49" s="483">
        <f>H49</f>
        <v>0.21091240844323939</v>
      </c>
      <c r="J49" s="501">
        <f>IFERROR(J47/AVERAGE(K44:M44),0)</f>
        <v>1.5352768742085785</v>
      </c>
      <c r="K49" s="501">
        <f t="shared" ref="K49:R49" si="36">IFERROR(K47/AVERAGE(L44:N44),0)</f>
        <v>1.4422939806881636</v>
      </c>
      <c r="L49" s="501">
        <f t="shared" si="36"/>
        <v>1.3574389643721727</v>
      </c>
      <c r="M49" s="501">
        <f t="shared" si="36"/>
        <v>1.2795608584880125</v>
      </c>
      <c r="N49" s="501">
        <f t="shared" si="36"/>
        <v>1.2007675855320861</v>
      </c>
      <c r="O49" s="501">
        <f t="shared" si="36"/>
        <v>1.0312311895412729</v>
      </c>
      <c r="P49" s="501">
        <f t="shared" si="36"/>
        <v>0.79494274787715924</v>
      </c>
      <c r="Q49" s="501">
        <f t="shared" si="36"/>
        <v>0.52725581871534588</v>
      </c>
      <c r="R49" s="501">
        <f t="shared" si="36"/>
        <v>0.31042921935285911</v>
      </c>
      <c r="S49" s="501">
        <f>IFERROR(S47/AVERAGE(T44:U44,W44),0)</f>
        <v>0.18693150033641992</v>
      </c>
      <c r="T49" s="501">
        <f>IFERROR(T47/AVERAGE(U44,W44:X44),0)</f>
        <v>5.0247213615116471E-2</v>
      </c>
      <c r="U49" s="501">
        <f>IFERROR(U47/AVERAGE(W44:Y44),0)</f>
        <v>0</v>
      </c>
      <c r="V49" s="453">
        <f>U49</f>
        <v>0</v>
      </c>
      <c r="W49" s="463"/>
      <c r="X49" s="464"/>
      <c r="Y49" s="465"/>
    </row>
    <row r="50" spans="4:28" hidden="1" outlineLevel="1">
      <c r="D50" s="917"/>
      <c r="E50" s="489" t="s">
        <v>816</v>
      </c>
      <c r="F50" s="442">
        <f t="shared" ref="F50:W52" si="37">SUMIFS(F$4:F$41,$E$4:$E$41,$E50,$A$4:$A$41,"Nefecon")*SUMIFS($AC$4:$AC$41,$E$4:$E$41,$E50,$A$4:$A$41,"Nefecon")/10^6+SUMIFS(F$4:F$41,$E$4:$E$41,$E50,$A$4:$A$41,"Xerava")*SUMIFS($AC$4:$AC$41,$E$4:$E$41,$E50,$A$4:$A$41,"Xerava")/10^6+SUMIFS(F$4:F$41,$E$4:$E$41,$E50,$A$4:$A$41,"Velsipity")*SUMIFS($AC$4:$AC$41,$E$4:$E$41,$E50,$A$4:$A$41,"Velsipity")/10^6</f>
        <v>127.77105389336285</v>
      </c>
      <c r="G50" s="442">
        <f t="shared" si="37"/>
        <v>248.72211516504427</v>
      </c>
      <c r="H50" s="442">
        <f t="shared" si="37"/>
        <v>214.45435142123898</v>
      </c>
      <c r="I50" s="451">
        <f t="shared" si="37"/>
        <v>1643.4605707964606</v>
      </c>
      <c r="J50" s="442">
        <f t="shared" si="37"/>
        <v>208.07089469442229</v>
      </c>
      <c r="K50" s="442">
        <f t="shared" si="37"/>
        <v>208.07089469442229</v>
      </c>
      <c r="L50" s="442">
        <f t="shared" si="37"/>
        <v>208.07089469442229</v>
      </c>
      <c r="M50" s="442">
        <f t="shared" si="37"/>
        <v>242.48958029680915</v>
      </c>
      <c r="N50" s="442">
        <f t="shared" si="37"/>
        <v>242.48958029680915</v>
      </c>
      <c r="O50" s="442">
        <f t="shared" si="37"/>
        <v>242.48958029680915</v>
      </c>
      <c r="P50" s="442">
        <f t="shared" si="37"/>
        <v>258.96922442422016</v>
      </c>
      <c r="Q50" s="442">
        <f t="shared" si="37"/>
        <v>258.96922442422016</v>
      </c>
      <c r="R50" s="442">
        <f t="shared" si="37"/>
        <v>258.96922442422016</v>
      </c>
      <c r="S50" s="442">
        <f t="shared" si="37"/>
        <v>288.35064199879929</v>
      </c>
      <c r="T50" s="442">
        <f t="shared" si="37"/>
        <v>288.36482152687853</v>
      </c>
      <c r="U50" s="442">
        <f t="shared" si="37"/>
        <v>288.37277000032987</v>
      </c>
      <c r="V50" s="444">
        <f t="shared" ref="V50:V51" si="38">SUM(J50:U50)</f>
        <v>2993.6773317723628</v>
      </c>
      <c r="W50" s="445">
        <f t="shared" si="37"/>
        <v>71.230859306132203</v>
      </c>
      <c r="X50" s="446">
        <f t="shared" ref="W50:Y51" si="39">SUMIFS(X$4:X$41,$E$4:$E$41,$E50,$A$4:$A$41,"Nefecon")*SUMIFS($AC$4:$AC$41,$E$4:$E$41,$E50,$A$4:$A$41,"Nefecon")/10^6+SUMIFS(X$4:X$41,$E$4:$E$41,$E50,$A$4:$A$41,"Xerava")*SUMIFS($AC$4:$AC$41,$E$4:$E$41,$E50,$A$4:$A$41,"Xerava")/10^6+SUMIFS(X$4:X$41,$E$4:$E$41,$E50,$A$4:$A$41,"Velsipity")*SUMIFS($AC$4:$AC$41,$E$4:$E$41,$E50,$A$4:$A$41,"Velsipity")/10^6</f>
        <v>71.273397890369964</v>
      </c>
      <c r="Y50" s="447">
        <f t="shared" si="39"/>
        <v>71.273397890369964</v>
      </c>
    </row>
    <row r="51" spans="4:28" collapsed="1">
      <c r="D51" s="917"/>
      <c r="E51" s="474" t="s">
        <v>817</v>
      </c>
      <c r="F51" s="452">
        <f t="shared" si="37"/>
        <v>134.34079868362835</v>
      </c>
      <c r="G51" s="452">
        <f t="shared" si="37"/>
        <v>141.45070818584071</v>
      </c>
      <c r="H51" s="452">
        <f t="shared" si="37"/>
        <v>174.3231675424779</v>
      </c>
      <c r="I51" s="451">
        <f t="shared" si="37"/>
        <v>1241.3590613607953</v>
      </c>
      <c r="J51" s="452">
        <f t="shared" si="37"/>
        <v>167.45456022610622</v>
      </c>
      <c r="K51" s="452">
        <f t="shared" si="37"/>
        <v>168.61432497610622</v>
      </c>
      <c r="L51" s="452">
        <f t="shared" si="37"/>
        <v>171.92530074823011</v>
      </c>
      <c r="M51" s="452">
        <f t="shared" si="37"/>
        <v>182.73978629274188</v>
      </c>
      <c r="N51" s="452">
        <f t="shared" si="37"/>
        <v>186.85112507419643</v>
      </c>
      <c r="O51" s="452">
        <f t="shared" si="37"/>
        <v>191.19644108997505</v>
      </c>
      <c r="P51" s="452">
        <f t="shared" si="37"/>
        <v>210.38410098416406</v>
      </c>
      <c r="Q51" s="452">
        <f t="shared" si="37"/>
        <v>214.88626732132067</v>
      </c>
      <c r="R51" s="452">
        <f t="shared" si="37"/>
        <v>218.82278859403141</v>
      </c>
      <c r="S51" s="452">
        <f t="shared" si="37"/>
        <v>243.44414229397262</v>
      </c>
      <c r="T51" s="452">
        <f t="shared" si="37"/>
        <v>247.97936842796517</v>
      </c>
      <c r="U51" s="452">
        <f t="shared" si="37"/>
        <v>252.12973692264131</v>
      </c>
      <c r="V51" s="453">
        <f t="shared" si="38"/>
        <v>2456.4279429514509</v>
      </c>
      <c r="W51" s="454">
        <f t="shared" si="39"/>
        <v>289.65069880973891</v>
      </c>
      <c r="X51" s="455">
        <f t="shared" si="39"/>
        <v>292.77426763684247</v>
      </c>
      <c r="Y51" s="456">
        <f t="shared" si="39"/>
        <v>295.9776519236575</v>
      </c>
      <c r="AA51" s="448"/>
      <c r="AB51" s="448"/>
    </row>
    <row r="52" spans="4:28" ht="12" thickBot="1">
      <c r="D52" s="917"/>
      <c r="E52" s="475" t="s">
        <v>818</v>
      </c>
      <c r="F52" s="450">
        <f t="shared" si="37"/>
        <v>569.4298482942479</v>
      </c>
      <c r="G52" s="450">
        <f t="shared" ref="G52:H52" si="40">F52+G50-G51</f>
        <v>676.70125527345135</v>
      </c>
      <c r="H52" s="450">
        <f t="shared" si="40"/>
        <v>716.83243915221237</v>
      </c>
      <c r="I52" s="451">
        <f t="shared" si="37"/>
        <v>716.83243915221249</v>
      </c>
      <c r="J52" s="450">
        <f>I52+J50-J51</f>
        <v>757.44877362052853</v>
      </c>
      <c r="K52" s="450">
        <f t="shared" ref="K52:U52" si="41">J52+K50-K51</f>
        <v>796.90534333884466</v>
      </c>
      <c r="L52" s="450">
        <f t="shared" si="41"/>
        <v>833.05093728503687</v>
      </c>
      <c r="M52" s="450">
        <f t="shared" si="41"/>
        <v>892.80073128910408</v>
      </c>
      <c r="N52" s="450">
        <f t="shared" si="41"/>
        <v>948.4391865117168</v>
      </c>
      <c r="O52" s="450">
        <f t="shared" si="41"/>
        <v>999.73232571855101</v>
      </c>
      <c r="P52" s="450">
        <f t="shared" si="41"/>
        <v>1048.3174491586071</v>
      </c>
      <c r="Q52" s="450">
        <f t="shared" si="41"/>
        <v>1092.4004062615065</v>
      </c>
      <c r="R52" s="450">
        <f t="shared" si="41"/>
        <v>1132.5468420916952</v>
      </c>
      <c r="S52" s="450">
        <f t="shared" si="41"/>
        <v>1177.453341796522</v>
      </c>
      <c r="T52" s="450">
        <f t="shared" si="41"/>
        <v>1217.8387948954353</v>
      </c>
      <c r="U52" s="450">
        <f t="shared" si="41"/>
        <v>1254.0818279731238</v>
      </c>
      <c r="V52" s="453">
        <f>U52</f>
        <v>1254.0818279731238</v>
      </c>
      <c r="W52" s="463"/>
      <c r="X52" s="464"/>
      <c r="Y52" s="465"/>
    </row>
    <row r="53" spans="4:28" ht="12">
      <c r="D53" s="917"/>
      <c r="E53" s="348" t="s">
        <v>819</v>
      </c>
      <c r="F53" s="476">
        <f>IFERROR(F52/AVERAGE(F51),0)</f>
        <v>4.2386963147007277</v>
      </c>
      <c r="G53" s="476">
        <f>IFERROR(G52/AVERAGE(F51:G51),0)</f>
        <v>4.9073393372750322</v>
      </c>
      <c r="H53" s="476">
        <f>IFERROR(H52/AVERAGE(F51:H51),0)</f>
        <v>4.7776654255188582</v>
      </c>
      <c r="I53" s="477">
        <f>H53</f>
        <v>4.7776654255188582</v>
      </c>
      <c r="J53" s="476">
        <f>IFERROR(J52/AVERAGE(F51:H51),0)</f>
        <v>5.048372003934988</v>
      </c>
      <c r="K53" s="476">
        <f>IFERROR(K52/AVERAGE(G51:H51,J51),0)</f>
        <v>4.9473827534479193</v>
      </c>
      <c r="L53" s="476">
        <f>IFERROR(L52/AVERAGE(J51:K51,H51),0)</f>
        <v>4.8965355130739932</v>
      </c>
      <c r="M53" s="476">
        <f>IFERROR(M52/AVERAGE(J51:L51),0)</f>
        <v>5.2725056072366225</v>
      </c>
      <c r="N53" s="476">
        <f t="shared" ref="N53:U53" si="42">IFERROR(N52/AVERAGE(K51:M51),0)</f>
        <v>5.4374727806839225</v>
      </c>
      <c r="O53" s="476">
        <f t="shared" si="42"/>
        <v>5.5385174258047716</v>
      </c>
      <c r="P53" s="476">
        <f t="shared" si="42"/>
        <v>5.6081014197221144</v>
      </c>
      <c r="Q53" s="476">
        <f t="shared" si="42"/>
        <v>5.5693828217412742</v>
      </c>
      <c r="R53" s="476">
        <f t="shared" si="42"/>
        <v>5.5114735692047931</v>
      </c>
      <c r="S53" s="476">
        <f t="shared" si="42"/>
        <v>5.4842377807479847</v>
      </c>
      <c r="T53" s="476">
        <f t="shared" si="42"/>
        <v>5.3954059352414285</v>
      </c>
      <c r="U53" s="476">
        <f t="shared" si="42"/>
        <v>5.2970997350394518</v>
      </c>
      <c r="V53" s="478">
        <f>U53</f>
        <v>5.2970997350394518</v>
      </c>
      <c r="W53" s="479"/>
      <c r="X53" s="480"/>
      <c r="Y53" s="481"/>
    </row>
    <row r="54" spans="4:28" ht="12.6" thickBot="1">
      <c r="D54" s="918"/>
      <c r="E54" s="349" t="s">
        <v>820</v>
      </c>
      <c r="F54" s="482">
        <f>IFERROR(F52/AVERAGE(G51:H51,J51),0)</f>
        <v>3.5351593941459587</v>
      </c>
      <c r="G54" s="482">
        <f>IFERROR(G52/AVERAGE(H51,J51:K51),0)</f>
        <v>3.9775379630290955</v>
      </c>
      <c r="H54" s="482">
        <f>IFERROR(H52/AVERAGE(J51:L51),0)</f>
        <v>4.2333108860943325</v>
      </c>
      <c r="I54" s="483">
        <f>IFERROR(I52/AVERAGE(J51:L51),0)</f>
        <v>4.2333108860943334</v>
      </c>
      <c r="J54" s="482">
        <f>IFERROR(J52/AVERAGE(K51:M51),0)</f>
        <v>4.3425104612895096</v>
      </c>
      <c r="K54" s="482">
        <f t="shared" ref="K54:R54" si="43">IFERROR(K52/AVERAGE(L51:N51),0)</f>
        <v>4.4148558741729458</v>
      </c>
      <c r="L54" s="482">
        <f t="shared" si="43"/>
        <v>4.4565070893732868</v>
      </c>
      <c r="M54" s="482">
        <f t="shared" si="43"/>
        <v>4.5517641952334351</v>
      </c>
      <c r="N54" s="482">
        <f t="shared" si="43"/>
        <v>4.6155243334599314</v>
      </c>
      <c r="O54" s="482">
        <f t="shared" si="43"/>
        <v>4.6564645890556369</v>
      </c>
      <c r="P54" s="482">
        <f t="shared" si="43"/>
        <v>4.6443734679130015</v>
      </c>
      <c r="Q54" s="482">
        <f t="shared" si="43"/>
        <v>4.6141757048797833</v>
      </c>
      <c r="R54" s="482">
        <f t="shared" si="43"/>
        <v>4.5694649805351517</v>
      </c>
      <c r="S54" s="482">
        <f>IFERROR(S52/AVERAGE(T51:U51,W51),0)</f>
        <v>4.4727017085214795</v>
      </c>
      <c r="T54" s="482">
        <f>IFERROR(T52/AVERAGE(U51,W51:X51),0)</f>
        <v>4.3778033602069595</v>
      </c>
      <c r="U54" s="482">
        <f>IFERROR(U52/AVERAGE(W51:Y51),0)</f>
        <v>4.2830535852679104</v>
      </c>
      <c r="V54" s="484">
        <f>U54</f>
        <v>4.2830535852679104</v>
      </c>
      <c r="W54" s="485"/>
      <c r="X54" s="486"/>
      <c r="Y54" s="487"/>
    </row>
    <row r="57" spans="4:28">
      <c r="U57" s="448"/>
    </row>
    <row r="58" spans="4:28">
      <c r="U58" s="448"/>
    </row>
    <row r="65" spans="8:8">
      <c r="H65" s="452">
        <f>35000+37024+39548</f>
        <v>111572</v>
      </c>
    </row>
  </sheetData>
  <mergeCells count="8">
    <mergeCell ref="D30:D41"/>
    <mergeCell ref="D43:D54"/>
    <mergeCell ref="F2:I2"/>
    <mergeCell ref="J2:V2"/>
    <mergeCell ref="W2:Y2"/>
    <mergeCell ref="D3:E3"/>
    <mergeCell ref="D4:D15"/>
    <mergeCell ref="D17:D28"/>
  </mergeCells>
  <phoneticPr fontId="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041CE-E805-411E-850D-318F2B8F2A14}">
  <dimension ref="A1:AE65"/>
  <sheetViews>
    <sheetView zoomScale="70" zoomScaleNormal="70" workbookViewId="0">
      <pane xSplit="5" ySplit="3" topLeftCell="I32" activePane="bottomRight" state="frozen"/>
      <selection activeCell="B10" activeCellId="1" sqref="B4:D15 B4:D15"/>
      <selection pane="topRight" activeCell="B10" activeCellId="1" sqref="B4:D15 B4:D15"/>
      <selection pane="bottomLeft" activeCell="B10" activeCellId="1" sqref="B4:D15 B4:D15"/>
      <selection pane="bottomRight" activeCell="B10" activeCellId="1" sqref="B4:D15 B4:D15"/>
    </sheetView>
  </sheetViews>
  <sheetFormatPr defaultColWidth="8.6640625" defaultRowHeight="13.8" outlineLevelRow="1" outlineLevelCol="1"/>
  <cols>
    <col min="1" max="2" width="8.6640625" style="327" hidden="1" customWidth="1" outlineLevel="1"/>
    <col min="3" max="3" width="8.6640625" style="327" collapsed="1"/>
    <col min="4" max="4" width="8.6640625" style="327"/>
    <col min="5" max="5" width="27.21875" style="327" bestFit="1" customWidth="1"/>
    <col min="6" max="7" width="8.5546875" style="327" hidden="1" customWidth="1" outlineLevel="1"/>
    <col min="8" max="8" width="11.109375" style="327" hidden="1" customWidth="1" outlineLevel="1"/>
    <col min="9" max="9" width="11.109375" style="327" bestFit="1" customWidth="1" collapsed="1"/>
    <col min="10" max="10" width="13.6640625" style="327" bestFit="1" customWidth="1"/>
    <col min="11" max="11" width="11.109375" style="327" bestFit="1" customWidth="1"/>
    <col min="12" max="20" width="12.109375" style="327" bestFit="1" customWidth="1"/>
    <col min="21" max="21" width="16.21875" style="327" bestFit="1" customWidth="1"/>
    <col min="22" max="22" width="11.109375" style="327" bestFit="1" customWidth="1"/>
    <col min="23" max="25" width="11.109375" style="327" hidden="1" customWidth="1" outlineLevel="1"/>
    <col min="26" max="26" width="8.6640625" style="327" collapsed="1"/>
    <col min="27" max="27" width="14.77734375" style="327" bestFit="1" customWidth="1"/>
    <col min="28" max="30" width="8.6640625" style="327"/>
    <col min="31" max="31" width="13.6640625" style="327" bestFit="1" customWidth="1"/>
    <col min="32" max="16384" width="8.6640625" style="327"/>
  </cols>
  <sheetData>
    <row r="1" spans="1:31" ht="14.4" thickBot="1">
      <c r="E1" s="327" t="s">
        <v>829</v>
      </c>
      <c r="J1" s="413">
        <f>J4-5000</f>
        <v>68424</v>
      </c>
      <c r="K1" s="327">
        <f t="shared" ref="K1:U1" si="0">K4-5000</f>
        <v>38424</v>
      </c>
      <c r="L1" s="327">
        <f t="shared" si="0"/>
        <v>38424</v>
      </c>
      <c r="M1" s="327">
        <f t="shared" si="0"/>
        <v>46642</v>
      </c>
      <c r="N1" s="327">
        <f t="shared" si="0"/>
        <v>46642</v>
      </c>
      <c r="O1" s="327">
        <f t="shared" si="0"/>
        <v>46642</v>
      </c>
      <c r="P1" s="327">
        <f t="shared" si="0"/>
        <v>49224</v>
      </c>
      <c r="Q1" s="327">
        <f t="shared" si="0"/>
        <v>49224</v>
      </c>
      <c r="R1" s="327">
        <f t="shared" si="0"/>
        <v>49224</v>
      </c>
      <c r="S1" s="327">
        <f t="shared" si="0"/>
        <v>52376</v>
      </c>
      <c r="T1" s="327">
        <f t="shared" si="0"/>
        <v>52376</v>
      </c>
      <c r="U1" s="327">
        <f t="shared" si="0"/>
        <v>52378</v>
      </c>
    </row>
    <row r="2" spans="1:31" ht="14.4" thickBot="1">
      <c r="F2" s="941">
        <v>2025</v>
      </c>
      <c r="G2" s="942"/>
      <c r="H2" s="942"/>
      <c r="I2" s="943"/>
      <c r="J2" s="936" t="s">
        <v>805</v>
      </c>
      <c r="K2" s="937"/>
      <c r="L2" s="937"/>
      <c r="M2" s="937"/>
      <c r="N2" s="937"/>
      <c r="O2" s="937"/>
      <c r="P2" s="937"/>
      <c r="Q2" s="937"/>
      <c r="R2" s="937"/>
      <c r="S2" s="937"/>
      <c r="T2" s="937"/>
      <c r="U2" s="937"/>
      <c r="V2" s="938"/>
      <c r="W2" s="933" t="s">
        <v>830</v>
      </c>
      <c r="X2" s="934"/>
      <c r="Y2" s="935"/>
    </row>
    <row r="3" spans="1:31" ht="14.4" thickBot="1">
      <c r="D3" s="939" t="s">
        <v>806</v>
      </c>
      <c r="E3" s="940"/>
      <c r="F3" s="376" t="s">
        <v>831</v>
      </c>
      <c r="G3" s="330" t="s">
        <v>832</v>
      </c>
      <c r="H3" s="331" t="s">
        <v>833</v>
      </c>
      <c r="I3" s="328" t="s">
        <v>161</v>
      </c>
      <c r="J3" s="329" t="s">
        <v>159</v>
      </c>
      <c r="K3" s="330" t="s">
        <v>160</v>
      </c>
      <c r="L3" s="330" t="s">
        <v>807</v>
      </c>
      <c r="M3" s="330" t="s">
        <v>104</v>
      </c>
      <c r="N3" s="330" t="s">
        <v>105</v>
      </c>
      <c r="O3" s="330" t="s">
        <v>106</v>
      </c>
      <c r="P3" s="330" t="s">
        <v>107</v>
      </c>
      <c r="Q3" s="330" t="s">
        <v>108</v>
      </c>
      <c r="R3" s="330" t="s">
        <v>109</v>
      </c>
      <c r="S3" s="330" t="s">
        <v>110</v>
      </c>
      <c r="T3" s="330" t="s">
        <v>111</v>
      </c>
      <c r="U3" s="331" t="s">
        <v>112</v>
      </c>
      <c r="V3" s="366" t="s">
        <v>161</v>
      </c>
      <c r="W3" s="379" t="s">
        <v>100</v>
      </c>
      <c r="X3" s="380" t="s">
        <v>101</v>
      </c>
      <c r="Y3" s="381" t="s">
        <v>103</v>
      </c>
      <c r="AA3" s="394" t="s">
        <v>834</v>
      </c>
      <c r="AC3" s="332" t="s">
        <v>808</v>
      </c>
    </row>
    <row r="4" spans="1:31">
      <c r="A4" s="327" t="s">
        <v>809</v>
      </c>
      <c r="B4" s="398"/>
      <c r="D4" s="930" t="s">
        <v>809</v>
      </c>
      <c r="E4" s="333" t="s">
        <v>828</v>
      </c>
      <c r="F4" s="368">
        <v>35238</v>
      </c>
      <c r="G4" s="354">
        <v>40000</v>
      </c>
      <c r="H4" s="354">
        <v>40000</v>
      </c>
      <c r="I4" s="353">
        <v>370000</v>
      </c>
      <c r="J4" s="414">
        <f>43424+30000</f>
        <v>73424</v>
      </c>
      <c r="K4" s="354">
        <f>43424</f>
        <v>43424</v>
      </c>
      <c r="L4" s="354">
        <v>43424</v>
      </c>
      <c r="M4" s="354">
        <v>51642</v>
      </c>
      <c r="N4" s="354">
        <v>51642</v>
      </c>
      <c r="O4" s="354">
        <v>51642</v>
      </c>
      <c r="P4" s="354">
        <v>54224</v>
      </c>
      <c r="Q4" s="354">
        <v>54224</v>
      </c>
      <c r="R4" s="354">
        <v>54224</v>
      </c>
      <c r="S4" s="354">
        <v>57376</v>
      </c>
      <c r="T4" s="354">
        <v>57376</v>
      </c>
      <c r="U4" s="354">
        <v>57378</v>
      </c>
      <c r="V4" s="335">
        <f>SUM(J4:U4)</f>
        <v>650000</v>
      </c>
      <c r="W4" s="382"/>
      <c r="X4" s="383"/>
      <c r="Y4" s="384"/>
      <c r="AC4" s="403">
        <v>323.45373250578479</v>
      </c>
      <c r="AE4" s="402"/>
    </row>
    <row r="5" spans="1:31">
      <c r="A5" s="327" t="s">
        <v>809</v>
      </c>
      <c r="B5" s="398"/>
      <c r="D5" s="931"/>
      <c r="E5" s="336" t="s">
        <v>810</v>
      </c>
      <c r="F5" s="369">
        <v>23763</v>
      </c>
      <c r="G5" s="367">
        <v>55701</v>
      </c>
      <c r="H5" s="367">
        <v>32690</v>
      </c>
      <c r="I5" s="355">
        <v>350000</v>
      </c>
      <c r="J5" s="352">
        <f>'To-MKT Phasing-Mainland'!D23</f>
        <v>0</v>
      </c>
      <c r="K5" s="352">
        <f>'To-MKT Phasing-Mainland'!E23</f>
        <v>60473</v>
      </c>
      <c r="L5" s="352">
        <f>'To-MKT Phasing-Mainland'!F23</f>
        <v>61149</v>
      </c>
      <c r="M5" s="352">
        <f>'To-MKT Phasing-Mainland'!G23</f>
        <v>56500</v>
      </c>
      <c r="N5" s="352">
        <f>'To-MKT Phasing-Mainland'!H23</f>
        <v>48250</v>
      </c>
      <c r="O5" s="352">
        <f>'To-MKT Phasing-Mainland'!I23</f>
        <v>45628</v>
      </c>
      <c r="P5" s="352">
        <f>'To-MKT Phasing-Mainland'!J23</f>
        <v>59000</v>
      </c>
      <c r="Q5" s="352">
        <f>'To-MKT Phasing-Mainland'!K23</f>
        <v>49000</v>
      </c>
      <c r="R5" s="352">
        <f>'To-MKT Phasing-Mainland'!L23</f>
        <v>63000</v>
      </c>
      <c r="S5" s="352">
        <f>'To-MKT Phasing-Mainland'!M23</f>
        <v>56000</v>
      </c>
      <c r="T5" s="352">
        <f>'To-MKT Phasing-Mainland'!N23</f>
        <v>56000</v>
      </c>
      <c r="U5" s="352">
        <f>'To-MKT Phasing-Mainland'!O23</f>
        <v>65000</v>
      </c>
      <c r="V5" s="338">
        <f>SUM(J5:U5)</f>
        <v>620000</v>
      </c>
      <c r="W5" s="385">
        <f>S5*(1+$AA5)</f>
        <v>58968</v>
      </c>
      <c r="X5" s="347">
        <f t="shared" ref="X5:Y5" si="1">T5*(1+$AA5)</f>
        <v>58968</v>
      </c>
      <c r="Y5" s="386">
        <f t="shared" si="1"/>
        <v>68445</v>
      </c>
      <c r="AA5" s="395">
        <v>5.2999999999999999E-2</v>
      </c>
      <c r="AC5" s="403">
        <v>323.45373250578479</v>
      </c>
    </row>
    <row r="6" spans="1:31">
      <c r="A6" s="327" t="s">
        <v>809</v>
      </c>
      <c r="D6" s="931"/>
      <c r="E6" s="336" t="s">
        <v>811</v>
      </c>
      <c r="F6" s="370"/>
      <c r="H6" s="367">
        <v>20000</v>
      </c>
      <c r="I6" s="355">
        <v>20000</v>
      </c>
      <c r="J6" s="352">
        <v>30000</v>
      </c>
      <c r="K6" s="352"/>
      <c r="V6" s="338">
        <f>SUM(J6:U6)</f>
        <v>30000</v>
      </c>
      <c r="W6" s="385"/>
      <c r="X6" s="347"/>
      <c r="Y6" s="386"/>
      <c r="AC6" s="403">
        <v>323.45373250578479</v>
      </c>
    </row>
    <row r="7" spans="1:31">
      <c r="A7" s="327" t="s">
        <v>809</v>
      </c>
      <c r="D7" s="931"/>
      <c r="E7" s="336" t="s">
        <v>812</v>
      </c>
      <c r="F7" s="370"/>
      <c r="I7" s="337"/>
      <c r="V7" s="338">
        <f>SUM(J7:U7)</f>
        <v>0</v>
      </c>
      <c r="W7" s="385"/>
      <c r="X7" s="347"/>
      <c r="Y7" s="386"/>
      <c r="AC7" s="403">
        <v>323.45373250578479</v>
      </c>
    </row>
    <row r="8" spans="1:31" ht="14.4" thickBot="1">
      <c r="A8" s="327" t="s">
        <v>809</v>
      </c>
      <c r="D8" s="931"/>
      <c r="E8" s="336" t="s">
        <v>813</v>
      </c>
      <c r="F8" s="371">
        <v>37349</v>
      </c>
      <c r="G8" s="372">
        <f>F8+G4-G5-G6-G7</f>
        <v>21648</v>
      </c>
      <c r="H8" s="372">
        <f>G8+H4-H5-H6-H7</f>
        <v>8958</v>
      </c>
      <c r="I8" s="373">
        <f>H8+I4-I5-I6-I7</f>
        <v>8958</v>
      </c>
      <c r="J8" s="351">
        <f>I8+J4-J5-J6-J7</f>
        <v>52382</v>
      </c>
      <c r="K8" s="351">
        <f t="shared" ref="K8:U8" si="2">J8+K4-K5-K6</f>
        <v>35333</v>
      </c>
      <c r="L8" s="351">
        <f t="shared" si="2"/>
        <v>17608</v>
      </c>
      <c r="M8" s="351">
        <f t="shared" si="2"/>
        <v>12750</v>
      </c>
      <c r="N8" s="351">
        <f t="shared" si="2"/>
        <v>16142</v>
      </c>
      <c r="O8" s="351">
        <f t="shared" si="2"/>
        <v>22156</v>
      </c>
      <c r="P8" s="351">
        <f t="shared" si="2"/>
        <v>17380</v>
      </c>
      <c r="Q8" s="351">
        <f t="shared" si="2"/>
        <v>22604</v>
      </c>
      <c r="R8" s="351">
        <f t="shared" si="2"/>
        <v>13828</v>
      </c>
      <c r="S8" s="351">
        <f t="shared" si="2"/>
        <v>15204</v>
      </c>
      <c r="T8" s="351">
        <f t="shared" si="2"/>
        <v>16580</v>
      </c>
      <c r="U8" s="351">
        <f t="shared" si="2"/>
        <v>8958</v>
      </c>
      <c r="V8" s="338">
        <f>U8</f>
        <v>8958</v>
      </c>
      <c r="W8" s="387"/>
      <c r="X8" s="388"/>
      <c r="Y8" s="389"/>
      <c r="AC8" s="403">
        <v>323.45373250578479</v>
      </c>
    </row>
    <row r="9" spans="1:31">
      <c r="A9" s="327" t="s">
        <v>809</v>
      </c>
      <c r="D9" s="931"/>
      <c r="E9" s="340" t="s">
        <v>814</v>
      </c>
      <c r="F9" s="374">
        <f>IFERROR(F8/AVERAGE(F5),0)</f>
        <v>1.5717291587762487</v>
      </c>
      <c r="G9" s="341">
        <f>IFERROR(G8/AVERAGE(F5:G5),0)</f>
        <v>0.54485049833887045</v>
      </c>
      <c r="H9" s="341">
        <f>IFERROR(H8/AVERAGE(F5:H5),0)</f>
        <v>0.2396169552579489</v>
      </c>
      <c r="I9" s="377">
        <f>H9</f>
        <v>0.2396169552579489</v>
      </c>
      <c r="J9" s="341">
        <f>IFERROR(J8/AVERAGE(F5:H5),0)</f>
        <v>1.4011626870196339</v>
      </c>
      <c r="K9" s="341">
        <f>IFERROR(K8/AVERAGE(G5:H5,J5),0)</f>
        <v>1.1992058014956273</v>
      </c>
      <c r="L9" s="341">
        <f>IFERROR(L8/AVERAGE(J5:K5,H5),0)</f>
        <v>0.567006214913646</v>
      </c>
      <c r="M9" s="341">
        <f>IFERROR(M8/AVERAGE(J5:L5),0)</f>
        <v>0.3144990215585996</v>
      </c>
      <c r="N9" s="341">
        <f t="shared" ref="N9:U9" si="3">IFERROR(N8/AVERAGE(K5:M5),0)</f>
        <v>0.27186984201839187</v>
      </c>
      <c r="O9" s="341">
        <f t="shared" si="3"/>
        <v>0.40065340960463897</v>
      </c>
      <c r="P9" s="341">
        <f t="shared" si="3"/>
        <v>0.34672624985037703</v>
      </c>
      <c r="Q9" s="341">
        <f t="shared" si="3"/>
        <v>0.44356938212169178</v>
      </c>
      <c r="R9" s="341">
        <f t="shared" si="3"/>
        <v>0.27002890098159188</v>
      </c>
      <c r="S9" s="341">
        <f t="shared" si="3"/>
        <v>0.26673684210526316</v>
      </c>
      <c r="T9" s="341">
        <f t="shared" si="3"/>
        <v>0.2960714285714286</v>
      </c>
      <c r="U9" s="341">
        <f t="shared" si="3"/>
        <v>0.15356571428571428</v>
      </c>
      <c r="V9" s="335">
        <f>U9</f>
        <v>0.15356571428571428</v>
      </c>
      <c r="W9" s="382"/>
      <c r="X9" s="383"/>
      <c r="Y9" s="384"/>
    </row>
    <row r="10" spans="1:31" ht="14.4" thickBot="1">
      <c r="A10" s="327" t="s">
        <v>809</v>
      </c>
      <c r="D10" s="931"/>
      <c r="E10" s="342" t="s">
        <v>815</v>
      </c>
      <c r="F10" s="375">
        <f>IFERROR(F8/AVERAGE(G5:H5,J5),0)</f>
        <v>1.2676290572569604</v>
      </c>
      <c r="G10" s="350">
        <f>IFERROR(G8/AVERAGE(H5,J5:K5),0)</f>
        <v>0.69710078035271517</v>
      </c>
      <c r="H10" s="350">
        <f>IFERROR(H8/AVERAGE(J5:L5),0)</f>
        <v>0.22096331255858317</v>
      </c>
      <c r="I10" s="378">
        <f>H10</f>
        <v>0.22096331255858317</v>
      </c>
      <c r="J10" s="343">
        <f>IFERROR(J8/AVERAGE(K5:M5),0)</f>
        <v>0.88223801664028023</v>
      </c>
      <c r="K10" s="343">
        <f t="shared" ref="K10:R10" si="4">IFERROR(K8/AVERAGE(L5:N5),0)</f>
        <v>0.63893694356204678</v>
      </c>
      <c r="L10" s="343">
        <f t="shared" si="4"/>
        <v>0.35127478753541075</v>
      </c>
      <c r="M10" s="343">
        <f t="shared" si="4"/>
        <v>0.25019950548803621</v>
      </c>
      <c r="N10" s="343">
        <f t="shared" si="4"/>
        <v>0.31521597625432862</v>
      </c>
      <c r="O10" s="343">
        <f t="shared" si="4"/>
        <v>0.38870175438596494</v>
      </c>
      <c r="P10" s="343">
        <f t="shared" si="4"/>
        <v>0.31035714285714283</v>
      </c>
      <c r="Q10" s="343">
        <f t="shared" si="4"/>
        <v>0.38749714285714282</v>
      </c>
      <c r="R10" s="343">
        <f t="shared" si="4"/>
        <v>0.23437288135593221</v>
      </c>
      <c r="S10" s="343">
        <f>IFERROR(S8/AVERAGE(T5:U5,W5),0)</f>
        <v>0.25344505689900426</v>
      </c>
      <c r="T10" s="343">
        <f>IFERROR(T8/AVERAGE(U5,W5:X5),0)</f>
        <v>0.27189836882844276</v>
      </c>
      <c r="U10" s="343">
        <f>IFERROR(U8/AVERAGE(W5:Y5),0)</f>
        <v>0.14418851706987301</v>
      </c>
      <c r="V10" s="338">
        <f>U10</f>
        <v>0.14418851706987301</v>
      </c>
      <c r="W10" s="387"/>
      <c r="X10" s="388"/>
      <c r="Y10" s="389"/>
    </row>
    <row r="11" spans="1:31" hidden="1" outlineLevel="1">
      <c r="A11" s="327" t="s">
        <v>809</v>
      </c>
      <c r="B11" s="398" t="s">
        <v>802</v>
      </c>
      <c r="D11" s="931"/>
      <c r="E11" s="365" t="s">
        <v>816</v>
      </c>
      <c r="F11" s="354">
        <f>F5</f>
        <v>23763</v>
      </c>
      <c r="G11" s="354">
        <f>G5</f>
        <v>55701</v>
      </c>
      <c r="H11" s="354">
        <f>H5</f>
        <v>32690</v>
      </c>
      <c r="I11" s="355">
        <v>350000</v>
      </c>
      <c r="J11" s="354">
        <f>J5</f>
        <v>0</v>
      </c>
      <c r="K11" s="354">
        <f t="shared" ref="K11:U11" si="5">K5</f>
        <v>60473</v>
      </c>
      <c r="L11" s="354">
        <f t="shared" si="5"/>
        <v>61149</v>
      </c>
      <c r="M11" s="354">
        <f t="shared" si="5"/>
        <v>56500</v>
      </c>
      <c r="N11" s="354">
        <f t="shared" si="5"/>
        <v>48250</v>
      </c>
      <c r="O11" s="354">
        <f t="shared" si="5"/>
        <v>45628</v>
      </c>
      <c r="P11" s="354">
        <f t="shared" si="5"/>
        <v>59000</v>
      </c>
      <c r="Q11" s="354">
        <f t="shared" si="5"/>
        <v>49000</v>
      </c>
      <c r="R11" s="354">
        <f t="shared" si="5"/>
        <v>63000</v>
      </c>
      <c r="S11" s="354">
        <f t="shared" si="5"/>
        <v>56000</v>
      </c>
      <c r="T11" s="354">
        <f t="shared" si="5"/>
        <v>56000</v>
      </c>
      <c r="U11" s="354">
        <f t="shared" si="5"/>
        <v>65000</v>
      </c>
      <c r="V11" s="335">
        <f t="shared" ref="V11:V12" si="6">SUM(J11:U11)</f>
        <v>620000</v>
      </c>
      <c r="W11" s="382"/>
      <c r="X11" s="383"/>
      <c r="Y11" s="384"/>
      <c r="AC11" s="327">
        <v>3974.2367256637176</v>
      </c>
    </row>
    <row r="12" spans="1:31" collapsed="1">
      <c r="A12" s="327" t="s">
        <v>809</v>
      </c>
      <c r="B12" s="398" t="s">
        <v>837</v>
      </c>
      <c r="D12" s="931"/>
      <c r="E12" s="345" t="s">
        <v>817</v>
      </c>
      <c r="F12" s="352">
        <v>27353</v>
      </c>
      <c r="G12" s="352">
        <v>29142</v>
      </c>
      <c r="H12" s="352">
        <v>35648</v>
      </c>
      <c r="I12" s="355">
        <v>239999.54225923016</v>
      </c>
      <c r="J12" s="352">
        <f>'IN-MKT WP'!E66</f>
        <v>30481</v>
      </c>
      <c r="K12" s="352">
        <f>'IN-MKT WP'!F66</f>
        <v>30779</v>
      </c>
      <c r="L12" s="352">
        <f>'IN-MKT WP'!G66</f>
        <v>31135</v>
      </c>
      <c r="M12" s="352">
        <f>'IN-MKT WP'!H66</f>
        <v>38855</v>
      </c>
      <c r="N12" s="352">
        <f>'IN-MKT WP'!I66</f>
        <v>39176</v>
      </c>
      <c r="O12" s="352">
        <f>'IN-MKT WP'!J66</f>
        <v>39612</v>
      </c>
      <c r="P12" s="352">
        <f>'IN-MKT WP'!K66</f>
        <v>42723</v>
      </c>
      <c r="Q12" s="352">
        <f>'IN-MKT WP'!L66</f>
        <v>42994</v>
      </c>
      <c r="R12" s="352">
        <f>'IN-MKT WP'!M66</f>
        <v>43369</v>
      </c>
      <c r="S12" s="352">
        <f>'IN-MKT WP'!N66</f>
        <v>53151</v>
      </c>
      <c r="T12" s="352">
        <f>'IN-MKT WP'!O66</f>
        <v>53422</v>
      </c>
      <c r="U12" s="352">
        <f>'IN-MKT WP'!P66</f>
        <v>54303</v>
      </c>
      <c r="V12" s="338">
        <f t="shared" si="6"/>
        <v>500000</v>
      </c>
      <c r="W12" s="385">
        <f>S12*(1+$AA12)</f>
        <v>55968.002999999997</v>
      </c>
      <c r="X12" s="347">
        <f t="shared" ref="X12:Y12" si="7">T12*(1+$AA12)</f>
        <v>56253.365999999995</v>
      </c>
      <c r="Y12" s="386">
        <f t="shared" si="7"/>
        <v>57181.058999999994</v>
      </c>
      <c r="AA12" s="395">
        <v>5.2999999999999999E-2</v>
      </c>
      <c r="AB12" s="394" t="s">
        <v>835</v>
      </c>
      <c r="AC12" s="327">
        <v>3974.2367256637176</v>
      </c>
    </row>
    <row r="13" spans="1:31" ht="14.4" thickBot="1">
      <c r="A13" s="327" t="s">
        <v>809</v>
      </c>
      <c r="B13" s="398" t="s">
        <v>34</v>
      </c>
      <c r="D13" s="931"/>
      <c r="E13" s="346" t="s">
        <v>818</v>
      </c>
      <c r="F13" s="351">
        <v>116293</v>
      </c>
      <c r="G13" s="351">
        <f>F13+G11-G12</f>
        <v>142852</v>
      </c>
      <c r="H13" s="351">
        <f>G13+H11-H12</f>
        <v>139894</v>
      </c>
      <c r="I13" s="356">
        <v>128859.45774076981</v>
      </c>
      <c r="J13" s="351">
        <f>I13+J11-J12</f>
        <v>98378.457740769809</v>
      </c>
      <c r="K13" s="351">
        <f t="shared" ref="K13:U13" si="8">J13+K11-K12</f>
        <v>128072.45774076981</v>
      </c>
      <c r="L13" s="351">
        <f t="shared" si="8"/>
        <v>158086.45774076981</v>
      </c>
      <c r="M13" s="351">
        <f t="shared" si="8"/>
        <v>175731.45774076981</v>
      </c>
      <c r="N13" s="351">
        <f t="shared" si="8"/>
        <v>184805.45774076981</v>
      </c>
      <c r="O13" s="351">
        <f t="shared" si="8"/>
        <v>190821.45774076981</v>
      </c>
      <c r="P13" s="351">
        <f t="shared" si="8"/>
        <v>207098.45774076981</v>
      </c>
      <c r="Q13" s="351">
        <f t="shared" si="8"/>
        <v>213104.45774076981</v>
      </c>
      <c r="R13" s="351">
        <f t="shared" si="8"/>
        <v>232735.45774076984</v>
      </c>
      <c r="S13" s="351">
        <f t="shared" si="8"/>
        <v>235584.45774076984</v>
      </c>
      <c r="T13" s="351">
        <f t="shared" si="8"/>
        <v>238162.45774076984</v>
      </c>
      <c r="U13" s="351">
        <f t="shared" si="8"/>
        <v>248859.45774076984</v>
      </c>
      <c r="V13" s="338">
        <f>U13</f>
        <v>248859.45774076984</v>
      </c>
      <c r="W13" s="387">
        <f>U13+W11-W12</f>
        <v>192891.45474076984</v>
      </c>
      <c r="X13" s="388">
        <f t="shared" ref="X13:Y13" si="9">V13+X11-X12</f>
        <v>192606.09174076986</v>
      </c>
      <c r="Y13" s="389">
        <f t="shared" si="9"/>
        <v>135710.39574076986</v>
      </c>
      <c r="AC13" s="327">
        <v>3974.2367256637176</v>
      </c>
    </row>
    <row r="14" spans="1:31">
      <c r="A14" s="327" t="s">
        <v>809</v>
      </c>
      <c r="D14" s="931"/>
      <c r="E14" s="348" t="s">
        <v>819</v>
      </c>
      <c r="F14" s="359">
        <f>IFERROR(F13/AVERAGE(F12),0)</f>
        <v>4.2515628998647319</v>
      </c>
      <c r="G14" s="359">
        <f>IFERROR(G13/AVERAGE(F12:G12),0)</f>
        <v>5.0571555004867683</v>
      </c>
      <c r="H14" s="359">
        <f>IFERROR(H13/AVERAGE(F12:H12),0)</f>
        <v>4.5546813105716115</v>
      </c>
      <c r="I14" s="397">
        <f>H14</f>
        <v>4.5546813105716115</v>
      </c>
      <c r="J14" s="359">
        <f>IFERROR(J13/AVERAGE(F12:H12),0)</f>
        <v>3.2030145884365546</v>
      </c>
      <c r="K14" s="359">
        <f>IFERROR(K13/AVERAGE(G12:H12,J12),0)</f>
        <v>4.0328890556655166</v>
      </c>
      <c r="L14" s="359">
        <f>IFERROR(L13/AVERAGE(J12:K12,H12),0)</f>
        <v>4.8939135388441555</v>
      </c>
      <c r="M14" s="359">
        <f>IFERROR(M13/AVERAGE(J12:L12),0)</f>
        <v>5.7058755692657552</v>
      </c>
      <c r="N14" s="359">
        <f t="shared" ref="N14:U14" si="10">IFERROR(N13/AVERAGE(K12:M12),0)</f>
        <v>5.5018544713385014</v>
      </c>
      <c r="O14" s="359">
        <f t="shared" si="10"/>
        <v>5.2439804813065374</v>
      </c>
      <c r="P14" s="359">
        <f t="shared" si="10"/>
        <v>5.281192873543767</v>
      </c>
      <c r="Q14" s="359">
        <f t="shared" si="10"/>
        <v>5.2613621254232905</v>
      </c>
      <c r="R14" s="359">
        <f t="shared" si="10"/>
        <v>5.5709881449808858</v>
      </c>
      <c r="S14" s="359">
        <f t="shared" si="10"/>
        <v>5.4750582806989883</v>
      </c>
      <c r="T14" s="359">
        <f t="shared" si="10"/>
        <v>5.1212593232385961</v>
      </c>
      <c r="U14" s="359">
        <f t="shared" si="10"/>
        <v>4.9791144123881868</v>
      </c>
      <c r="V14" s="357">
        <f>U14</f>
        <v>4.9791144123881868</v>
      </c>
      <c r="W14" s="390"/>
      <c r="X14" s="361"/>
      <c r="Y14" s="391"/>
    </row>
    <row r="15" spans="1:31" ht="14.4" thickBot="1">
      <c r="A15" s="327" t="s">
        <v>809</v>
      </c>
      <c r="D15" s="932"/>
      <c r="E15" s="349" t="s">
        <v>820</v>
      </c>
      <c r="F15" s="360">
        <f>IFERROR(F13/AVERAGE(G12:H12,J12),0)</f>
        <v>3.6619642913373429</v>
      </c>
      <c r="G15" s="360">
        <f>IFERROR(G13/AVERAGE(H12,J12:K12),0)</f>
        <v>4.4222974367441283</v>
      </c>
      <c r="H15" s="360">
        <f>IFERROR(H13/AVERAGE(J12:L12),0)</f>
        <v>4.5422587802370256</v>
      </c>
      <c r="I15" s="363">
        <f>IFERROR(I13/AVERAGE(J12:L12),0)</f>
        <v>4.1839750335224792</v>
      </c>
      <c r="J15" s="360">
        <f>IFERROR(J13/AVERAGE(K12:M12),0)</f>
        <v>2.9288310216664795</v>
      </c>
      <c r="K15" s="360">
        <f t="shared" ref="K15:R15" si="11">IFERROR(K13/AVERAGE(L12:N12),0)</f>
        <v>3.5195699505552045</v>
      </c>
      <c r="L15" s="360">
        <f t="shared" si="11"/>
        <v>4.0313437537491339</v>
      </c>
      <c r="M15" s="360">
        <f t="shared" si="11"/>
        <v>4.3386555391882995</v>
      </c>
      <c r="N15" s="360">
        <f t="shared" si="11"/>
        <v>4.423687839385213</v>
      </c>
      <c r="O15" s="360">
        <f t="shared" si="11"/>
        <v>4.4347518183405592</v>
      </c>
      <c r="P15" s="360">
        <f t="shared" si="11"/>
        <v>4.4532833495011932</v>
      </c>
      <c r="Q15" s="360">
        <f t="shared" si="11"/>
        <v>4.2637378000981005</v>
      </c>
      <c r="R15" s="360">
        <f t="shared" si="11"/>
        <v>4.3400281783628971</v>
      </c>
      <c r="S15" s="360">
        <f>IFERROR(S13/AVERAGE(T12:U12,W12),0)</f>
        <v>4.3175539593608017</v>
      </c>
      <c r="T15" s="360">
        <f>IFERROR(T13/AVERAGE(U12,W12:X12),0)</f>
        <v>4.2905874828584967</v>
      </c>
      <c r="U15" s="360">
        <f>IFERROR(U13/AVERAGE(W12:Y12),0)</f>
        <v>4.4071291187296886</v>
      </c>
      <c r="V15" s="358">
        <f>U15</f>
        <v>4.4071291187296886</v>
      </c>
      <c r="W15" s="392"/>
      <c r="X15" s="362"/>
      <c r="Y15" s="393"/>
    </row>
    <row r="16" spans="1:31" ht="14.4" thickBot="1"/>
    <row r="17" spans="1:29">
      <c r="A17" s="327" t="s">
        <v>821</v>
      </c>
      <c r="D17" s="930" t="s">
        <v>821</v>
      </c>
      <c r="E17" s="333" t="s">
        <v>828</v>
      </c>
      <c r="F17" s="368">
        <v>35238</v>
      </c>
      <c r="G17" s="354">
        <v>45000</v>
      </c>
      <c r="H17" s="354"/>
      <c r="I17" s="353">
        <v>180000</v>
      </c>
      <c r="J17" s="354">
        <f>'To-MKT Phasing-Mainland'!D25</f>
        <v>0</v>
      </c>
      <c r="K17" s="354">
        <f>'To-MKT Phasing-Mainland'!E25</f>
        <v>0</v>
      </c>
      <c r="L17" s="354">
        <f>'To-MKT Phasing-Mainland'!F25</f>
        <v>0</v>
      </c>
      <c r="M17" s="354">
        <f>'To-MKT Phasing-Mainland'!G25</f>
        <v>0</v>
      </c>
      <c r="N17" s="354">
        <f>'To-MKT Phasing-Mainland'!H25</f>
        <v>0</v>
      </c>
      <c r="O17" s="354">
        <f>'To-MKT Phasing-Mainland'!I25</f>
        <v>135000</v>
      </c>
      <c r="P17" s="354">
        <f>'To-MKT Phasing-Mainland'!J25</f>
        <v>0</v>
      </c>
      <c r="Q17" s="354">
        <f>'To-MKT Phasing-Mainland'!K25</f>
        <v>0</v>
      </c>
      <c r="R17" s="354">
        <f>'To-MKT Phasing-Mainland'!L25</f>
        <v>0</v>
      </c>
      <c r="S17" s="354">
        <f>'To-MKT Phasing-Mainland'!M25</f>
        <v>0</v>
      </c>
      <c r="T17" s="354">
        <f>'To-MKT Phasing-Mainland'!N25</f>
        <v>0</v>
      </c>
      <c r="U17" s="354">
        <f>'To-MKT Phasing-Mainland'!O25</f>
        <v>135000</v>
      </c>
      <c r="V17" s="335">
        <f>SUM(J17:U17)</f>
        <v>270000</v>
      </c>
      <c r="W17" s="382"/>
      <c r="X17" s="383"/>
      <c r="Y17" s="384"/>
      <c r="AC17" s="327">
        <v>160.06808115877851</v>
      </c>
    </row>
    <row r="18" spans="1:29">
      <c r="A18" s="327" t="s">
        <v>821</v>
      </c>
      <c r="B18" s="398"/>
      <c r="D18" s="931"/>
      <c r="E18" s="336" t="s">
        <v>810</v>
      </c>
      <c r="F18" s="369">
        <v>23763</v>
      </c>
      <c r="G18" s="367">
        <v>19501</v>
      </c>
      <c r="H18" s="367">
        <v>60269</v>
      </c>
      <c r="I18" s="355">
        <v>180000</v>
      </c>
      <c r="J18" s="352">
        <f>'To-MKT Phasing-Mainland'!D25</f>
        <v>0</v>
      </c>
      <c r="K18" s="352">
        <f>'To-MKT Phasing-Mainland'!E25</f>
        <v>0</v>
      </c>
      <c r="L18" s="352">
        <f>'To-MKT Phasing-Mainland'!F25</f>
        <v>0</v>
      </c>
      <c r="M18" s="352">
        <f>'To-MKT Phasing-Mainland'!G25</f>
        <v>0</v>
      </c>
      <c r="N18" s="352">
        <f>'To-MKT Phasing-Mainland'!H25</f>
        <v>0</v>
      </c>
      <c r="O18" s="352">
        <f>'To-MKT Phasing-Mainland'!I25</f>
        <v>135000</v>
      </c>
      <c r="P18" s="352">
        <f>'To-MKT Phasing-Mainland'!J25</f>
        <v>0</v>
      </c>
      <c r="Q18" s="352">
        <f>'To-MKT Phasing-Mainland'!K25</f>
        <v>0</v>
      </c>
      <c r="R18" s="352">
        <f>'To-MKT Phasing-Mainland'!L25</f>
        <v>0</v>
      </c>
      <c r="S18" s="352">
        <f>'To-MKT Phasing-Mainland'!M25</f>
        <v>0</v>
      </c>
      <c r="T18" s="352">
        <f>'To-MKT Phasing-Mainland'!N25</f>
        <v>0</v>
      </c>
      <c r="U18" s="352">
        <f>'To-MKT Phasing-Mainland'!O25</f>
        <v>135000</v>
      </c>
      <c r="V18" s="338">
        <f>SUM(J18:U18)</f>
        <v>270000</v>
      </c>
      <c r="W18" s="385">
        <f>S18*(1+$AA18)</f>
        <v>0</v>
      </c>
      <c r="X18" s="347">
        <f t="shared" ref="X18" si="12">T18*(1+$AA18)</f>
        <v>0</v>
      </c>
      <c r="Y18" s="386">
        <f t="shared" ref="Y18" si="13">U18*(1+$AA18)</f>
        <v>137700</v>
      </c>
      <c r="AA18" s="327">
        <v>0.02</v>
      </c>
      <c r="AC18" s="327">
        <v>160.06808115877851</v>
      </c>
    </row>
    <row r="19" spans="1:29">
      <c r="A19" s="327" t="s">
        <v>821</v>
      </c>
      <c r="D19" s="931"/>
      <c r="E19" s="336" t="s">
        <v>811</v>
      </c>
      <c r="F19" s="370"/>
      <c r="I19" s="337"/>
      <c r="V19" s="338">
        <f>SUM(J19:U19)</f>
        <v>0</v>
      </c>
      <c r="W19" s="385"/>
      <c r="X19" s="347"/>
      <c r="Y19" s="386"/>
      <c r="AC19" s="327">
        <v>160.06808115877851</v>
      </c>
    </row>
    <row r="20" spans="1:29">
      <c r="A20" s="327" t="s">
        <v>821</v>
      </c>
      <c r="D20" s="931"/>
      <c r="E20" s="336" t="s">
        <v>812</v>
      </c>
      <c r="F20" s="370"/>
      <c r="I20" s="337"/>
      <c r="V20" s="338">
        <f>SUM(J20:U20)</f>
        <v>0</v>
      </c>
      <c r="W20" s="385"/>
      <c r="X20" s="347"/>
      <c r="Y20" s="386"/>
      <c r="AC20" s="327">
        <v>160.06808115877851</v>
      </c>
    </row>
    <row r="21" spans="1:29" ht="14.4" thickBot="1">
      <c r="A21" s="327" t="s">
        <v>821</v>
      </c>
      <c r="D21" s="931"/>
      <c r="E21" s="336" t="s">
        <v>813</v>
      </c>
      <c r="F21" s="371">
        <v>40333</v>
      </c>
      <c r="G21" s="372">
        <f>F21+G17-G18-G19-G20</f>
        <v>65832</v>
      </c>
      <c r="H21" s="372">
        <f>G21+H17-H18-H19-H20</f>
        <v>5563</v>
      </c>
      <c r="I21" s="373">
        <f>H21</f>
        <v>5563</v>
      </c>
      <c r="J21" s="351">
        <f>I21+J17-J18-J19-J20</f>
        <v>5563</v>
      </c>
      <c r="K21" s="339">
        <f t="shared" ref="K21:U21" si="14">J21+K17-K18-K19</f>
        <v>5563</v>
      </c>
      <c r="L21" s="339">
        <f t="shared" si="14"/>
        <v>5563</v>
      </c>
      <c r="M21" s="339">
        <f t="shared" si="14"/>
        <v>5563</v>
      </c>
      <c r="N21" s="339">
        <f t="shared" si="14"/>
        <v>5563</v>
      </c>
      <c r="O21" s="339">
        <f t="shared" si="14"/>
        <v>5563</v>
      </c>
      <c r="P21" s="339">
        <f t="shared" si="14"/>
        <v>5563</v>
      </c>
      <c r="Q21" s="339">
        <f t="shared" si="14"/>
        <v>5563</v>
      </c>
      <c r="R21" s="339">
        <f t="shared" si="14"/>
        <v>5563</v>
      </c>
      <c r="S21" s="339">
        <f t="shared" si="14"/>
        <v>5563</v>
      </c>
      <c r="T21" s="339">
        <f t="shared" si="14"/>
        <v>5563</v>
      </c>
      <c r="U21" s="339">
        <f t="shared" si="14"/>
        <v>5563</v>
      </c>
      <c r="V21" s="338">
        <f>U21</f>
        <v>5563</v>
      </c>
      <c r="W21" s="387"/>
      <c r="X21" s="388"/>
      <c r="Y21" s="389"/>
      <c r="AC21" s="327">
        <v>160.06808115877851</v>
      </c>
    </row>
    <row r="22" spans="1:29">
      <c r="A22" s="327" t="s">
        <v>821</v>
      </c>
      <c r="D22" s="931"/>
      <c r="E22" s="340" t="s">
        <v>814</v>
      </c>
      <c r="F22" s="374">
        <f>IFERROR(F21/AVERAGE(F18),0)</f>
        <v>1.6973025291419435</v>
      </c>
      <c r="G22" s="341">
        <f>IFERROR(G21/AVERAGE(F18:G18),0)</f>
        <v>3.0432692307692308</v>
      </c>
      <c r="H22" s="341">
        <f>IFERROR(H21/AVERAGE(F18:H18),0)</f>
        <v>0.16119498131030685</v>
      </c>
      <c r="I22" s="377">
        <f>H22</f>
        <v>0.16119498131030685</v>
      </c>
      <c r="J22" s="341">
        <f>IFERROR(J21/AVERAGE(F18:H18),0)</f>
        <v>0.16119498131030685</v>
      </c>
      <c r="K22" s="341">
        <f>IFERROR(K21/AVERAGE(G18:H18,J18),0)</f>
        <v>0.20921399022188794</v>
      </c>
      <c r="L22" s="341">
        <f>IFERROR(L21/AVERAGE(J18:K18,H18),0)</f>
        <v>0.27690852677164046</v>
      </c>
      <c r="M22" s="341">
        <f>IFERROR(M21/AVERAGE(J18:L18),0)</f>
        <v>0</v>
      </c>
      <c r="N22" s="341">
        <f t="shared" ref="N22" si="15">IFERROR(N21/AVERAGE(K18:M18),0)</f>
        <v>0</v>
      </c>
      <c r="O22" s="341">
        <f t="shared" ref="O22" si="16">IFERROR(O21/AVERAGE(L18:N18),0)</f>
        <v>0</v>
      </c>
      <c r="P22" s="341">
        <f t="shared" ref="P22" si="17">IFERROR(P21/AVERAGE(M18:O18),0)</f>
        <v>0.12362222222222222</v>
      </c>
      <c r="Q22" s="341">
        <f t="shared" ref="Q22" si="18">IFERROR(Q21/AVERAGE(N18:P18),0)</f>
        <v>0.12362222222222222</v>
      </c>
      <c r="R22" s="341">
        <f t="shared" ref="R22" si="19">IFERROR(R21/AVERAGE(O18:Q18),0)</f>
        <v>0.12362222222222222</v>
      </c>
      <c r="S22" s="341">
        <f t="shared" ref="S22" si="20">IFERROR(S21/AVERAGE(P18:R18),0)</f>
        <v>0</v>
      </c>
      <c r="T22" s="341">
        <f t="shared" ref="T22" si="21">IFERROR(T21/AVERAGE(Q18:S18),0)</f>
        <v>0</v>
      </c>
      <c r="U22" s="341">
        <f t="shared" ref="U22" si="22">IFERROR(U21/AVERAGE(R18:T18),0)</f>
        <v>0</v>
      </c>
      <c r="V22" s="335">
        <f>U22</f>
        <v>0</v>
      </c>
      <c r="W22" s="382"/>
      <c r="X22" s="383"/>
      <c r="Y22" s="384"/>
    </row>
    <row r="23" spans="1:29" ht="14.4" thickBot="1">
      <c r="A23" s="327" t="s">
        <v>821</v>
      </c>
      <c r="D23" s="931"/>
      <c r="E23" s="342" t="s">
        <v>815</v>
      </c>
      <c r="F23" s="375">
        <f>IFERROR(F21/AVERAGE(G18:H18,J18),0)</f>
        <v>1.5168484392628807</v>
      </c>
      <c r="G23" s="350">
        <f>IFERROR(G21/AVERAGE(H18,J18:K18),0)</f>
        <v>3.2769085267716402</v>
      </c>
      <c r="H23" s="350">
        <f>IFERROR(H21/AVERAGE(J18:L18),0)</f>
        <v>0</v>
      </c>
      <c r="I23" s="378">
        <f>H23</f>
        <v>0</v>
      </c>
      <c r="J23" s="343">
        <f>IFERROR(J21/AVERAGE(K18:M18),0)</f>
        <v>0</v>
      </c>
      <c r="K23" s="343">
        <f t="shared" ref="K23" si="23">IFERROR(K21/AVERAGE(L18:N18),0)</f>
        <v>0</v>
      </c>
      <c r="L23" s="343">
        <f t="shared" ref="L23" si="24">IFERROR(L21/AVERAGE(M18:O18),0)</f>
        <v>0.12362222222222222</v>
      </c>
      <c r="M23" s="343">
        <f t="shared" ref="M23" si="25">IFERROR(M21/AVERAGE(N18:P18),0)</f>
        <v>0.12362222222222222</v>
      </c>
      <c r="N23" s="343">
        <f t="shared" ref="N23" si="26">IFERROR(N21/AVERAGE(O18:Q18),0)</f>
        <v>0.12362222222222222</v>
      </c>
      <c r="O23" s="343">
        <f t="shared" ref="O23" si="27">IFERROR(O21/AVERAGE(P18:R18),0)</f>
        <v>0</v>
      </c>
      <c r="P23" s="343">
        <f t="shared" ref="P23" si="28">IFERROR(P21/AVERAGE(Q18:S18),0)</f>
        <v>0</v>
      </c>
      <c r="Q23" s="343">
        <f t="shared" ref="Q23" si="29">IFERROR(Q21/AVERAGE(R18:T18),0)</f>
        <v>0</v>
      </c>
      <c r="R23" s="343">
        <f t="shared" ref="R23" si="30">IFERROR(R21/AVERAGE(S18:U18),0)</f>
        <v>0.12362222222222222</v>
      </c>
      <c r="S23" s="343">
        <f>IFERROR(S21/AVERAGE(T18:U18,W18),0)</f>
        <v>0.12362222222222222</v>
      </c>
      <c r="T23" s="343">
        <f>IFERROR(T21/AVERAGE(U18,W18:X18),0)</f>
        <v>0.12362222222222222</v>
      </c>
      <c r="U23" s="343">
        <f>IFERROR(U21/AVERAGE(W18:Y18),0)</f>
        <v>0.12119825708061002</v>
      </c>
      <c r="V23" s="338">
        <f>U23</f>
        <v>0.12119825708061002</v>
      </c>
      <c r="W23" s="387"/>
      <c r="X23" s="388"/>
      <c r="Y23" s="389"/>
    </row>
    <row r="24" spans="1:29" outlineLevel="1">
      <c r="A24" s="327" t="s">
        <v>821</v>
      </c>
      <c r="D24" s="931"/>
      <c r="E24" s="344" t="s">
        <v>816</v>
      </c>
      <c r="F24" s="354">
        <f>F18</f>
        <v>23763</v>
      </c>
      <c r="G24" s="354">
        <f t="shared" ref="G24:H24" si="31">G18</f>
        <v>19501</v>
      </c>
      <c r="H24" s="354">
        <f t="shared" si="31"/>
        <v>60269</v>
      </c>
      <c r="I24" s="355">
        <v>180000</v>
      </c>
      <c r="J24" s="354">
        <f>'To-MKT Phasing-Mainland'!D25</f>
        <v>0</v>
      </c>
      <c r="K24" s="354">
        <f>'To-MKT Phasing-Mainland'!E25</f>
        <v>0</v>
      </c>
      <c r="L24" s="354">
        <f>'To-MKT Phasing-Mainland'!F25</f>
        <v>0</v>
      </c>
      <c r="M24" s="354">
        <f>'To-MKT Phasing-Mainland'!G25</f>
        <v>0</v>
      </c>
      <c r="N24" s="354">
        <f>'To-MKT Phasing-Mainland'!H25</f>
        <v>0</v>
      </c>
      <c r="O24" s="354">
        <f>'To-MKT Phasing-Mainland'!I25</f>
        <v>135000</v>
      </c>
      <c r="P24" s="354">
        <f>'To-MKT Phasing-Mainland'!J25</f>
        <v>0</v>
      </c>
      <c r="Q24" s="354">
        <f>'To-MKT Phasing-Mainland'!K25</f>
        <v>0</v>
      </c>
      <c r="R24" s="354">
        <f>'To-MKT Phasing-Mainland'!L25</f>
        <v>0</v>
      </c>
      <c r="S24" s="354">
        <f>'To-MKT Phasing-Mainland'!M25</f>
        <v>0</v>
      </c>
      <c r="T24" s="354">
        <f>'To-MKT Phasing-Mainland'!N25</f>
        <v>0</v>
      </c>
      <c r="U24" s="354">
        <f>'To-MKT Phasing-Mainland'!O25</f>
        <v>135000</v>
      </c>
      <c r="V24" s="335">
        <f t="shared" ref="V24:V25" si="32">SUM(J24:U24)</f>
        <v>270000</v>
      </c>
      <c r="W24" s="382"/>
      <c r="X24" s="383"/>
      <c r="Y24" s="384"/>
      <c r="AC24" s="327">
        <v>1402.6539823008848</v>
      </c>
    </row>
    <row r="25" spans="1:29">
      <c r="A25" s="327" t="s">
        <v>821</v>
      </c>
      <c r="B25" s="398" t="s">
        <v>837</v>
      </c>
      <c r="D25" s="931"/>
      <c r="E25" s="345" t="s">
        <v>817</v>
      </c>
      <c r="F25" s="352">
        <v>18275</v>
      </c>
      <c r="G25" s="352">
        <v>18275</v>
      </c>
      <c r="H25" s="352">
        <v>18277</v>
      </c>
      <c r="I25" s="355">
        <v>200000</v>
      </c>
      <c r="J25" s="352">
        <f>'IN-MKT WP'!E62</f>
        <v>20879</v>
      </c>
      <c r="K25" s="352">
        <f>'IN-MKT WP'!F62</f>
        <v>20669</v>
      </c>
      <c r="L25" s="352">
        <f>'IN-MKT WP'!G62</f>
        <v>21008</v>
      </c>
      <c r="M25" s="352">
        <f>'IN-MKT WP'!H62</f>
        <v>22540</v>
      </c>
      <c r="N25" s="352">
        <f>'IN-MKT WP'!I62</f>
        <v>22550</v>
      </c>
      <c r="O25" s="352">
        <f>'IN-MKT WP'!J62</f>
        <v>22764</v>
      </c>
      <c r="P25" s="352">
        <f>'IN-MKT WP'!K62</f>
        <v>22048</v>
      </c>
      <c r="Q25" s="352">
        <f>'IN-MKT WP'!L62</f>
        <v>22118</v>
      </c>
      <c r="R25" s="352">
        <f>'IN-MKT WP'!M62</f>
        <v>22711</v>
      </c>
      <c r="S25" s="352">
        <f>'IN-MKT WP'!N62</f>
        <v>23911</v>
      </c>
      <c r="T25" s="352">
        <f>'IN-MKT WP'!O62</f>
        <v>24186</v>
      </c>
      <c r="U25" s="352">
        <f>'IN-MKT WP'!P62</f>
        <v>24616</v>
      </c>
      <c r="V25" s="338">
        <f t="shared" si="32"/>
        <v>270000</v>
      </c>
      <c r="W25" s="385">
        <f>S25*(1+$AA25)</f>
        <v>24389.22</v>
      </c>
      <c r="X25" s="347">
        <f t="shared" ref="X25" si="33">T25*(1+$AA25)</f>
        <v>24669.72</v>
      </c>
      <c r="Y25" s="386">
        <f t="shared" ref="Y25" si="34">U25*(1+$AA25)</f>
        <v>25108.32</v>
      </c>
      <c r="AA25" s="396">
        <v>0.02</v>
      </c>
      <c r="AB25" s="394" t="s">
        <v>835</v>
      </c>
      <c r="AC25" s="327">
        <v>1402.6539823008848</v>
      </c>
    </row>
    <row r="26" spans="1:29" ht="14.4" thickBot="1">
      <c r="A26" s="327" t="s">
        <v>821</v>
      </c>
      <c r="B26" s="398" t="s">
        <v>34</v>
      </c>
      <c r="D26" s="931"/>
      <c r="E26" s="346" t="s">
        <v>818</v>
      </c>
      <c r="F26" s="351">
        <v>76465</v>
      </c>
      <c r="G26" s="351">
        <f t="shared" ref="G26:H26" si="35">F26+G24-G25</f>
        <v>77691</v>
      </c>
      <c r="H26" s="351">
        <f t="shared" si="35"/>
        <v>119683</v>
      </c>
      <c r="I26" s="356">
        <f>H26</f>
        <v>119683</v>
      </c>
      <c r="J26" s="347">
        <f>I26+J24-J25</f>
        <v>98804</v>
      </c>
      <c r="K26" s="347">
        <f t="shared" ref="K26:U26" si="36">J26+K24-K25</f>
        <v>78135</v>
      </c>
      <c r="L26" s="347">
        <f t="shared" si="36"/>
        <v>57127</v>
      </c>
      <c r="M26" s="347">
        <f t="shared" si="36"/>
        <v>34587</v>
      </c>
      <c r="N26" s="347">
        <f t="shared" si="36"/>
        <v>12037</v>
      </c>
      <c r="O26" s="347">
        <f t="shared" si="36"/>
        <v>124273</v>
      </c>
      <c r="P26" s="347">
        <f t="shared" si="36"/>
        <v>102225</v>
      </c>
      <c r="Q26" s="347">
        <f t="shared" si="36"/>
        <v>80107</v>
      </c>
      <c r="R26" s="347">
        <f t="shared" si="36"/>
        <v>57396</v>
      </c>
      <c r="S26" s="347">
        <f t="shared" si="36"/>
        <v>33485</v>
      </c>
      <c r="T26" s="347">
        <f t="shared" si="36"/>
        <v>9299</v>
      </c>
      <c r="U26" s="347">
        <f t="shared" si="36"/>
        <v>119683</v>
      </c>
      <c r="V26" s="338">
        <f>U26</f>
        <v>119683</v>
      </c>
      <c r="W26" s="387"/>
      <c r="X26" s="388"/>
      <c r="Y26" s="389"/>
      <c r="AC26" s="327">
        <v>1402.6539823008848</v>
      </c>
    </row>
    <row r="27" spans="1:29">
      <c r="A27" s="327" t="s">
        <v>821</v>
      </c>
      <c r="D27" s="931"/>
      <c r="E27" s="348" t="s">
        <v>819</v>
      </c>
      <c r="F27" s="359">
        <f>IFERROR(F26/AVERAGE(F25),0)</f>
        <v>4.1841313269493847</v>
      </c>
      <c r="G27" s="359">
        <f>IFERROR(G26/AVERAGE(F25:G25),0)</f>
        <v>4.2512175102599183</v>
      </c>
      <c r="H27" s="359">
        <f>IFERROR(H26/AVERAGE(F25:H25),0)</f>
        <v>6.5487624710452872</v>
      </c>
      <c r="I27" s="397">
        <f>H27</f>
        <v>6.5487624710452872</v>
      </c>
      <c r="J27" s="359">
        <f>IFERROR(J26/AVERAGE(F25:H25),0)</f>
        <v>5.4063144071351701</v>
      </c>
      <c r="K27" s="359">
        <f>IFERROR(K26/AVERAGE(G25:H25,J25),0)</f>
        <v>4.0815065034563212</v>
      </c>
      <c r="L27" s="359">
        <f>IFERROR(L26/AVERAGE(J25:K25,H25),0)</f>
        <v>2.8647053907229418</v>
      </c>
      <c r="M27" s="359">
        <f>IFERROR(M26/AVERAGE(J25:L25),0)</f>
        <v>1.6586898139267217</v>
      </c>
      <c r="N27" s="359">
        <f t="shared" ref="N27" si="37">IFERROR(N26/AVERAGE(K25:M25),0)</f>
        <v>0.56232773253188406</v>
      </c>
      <c r="O27" s="359">
        <f t="shared" ref="O27" si="38">IFERROR(O26/AVERAGE(L25:N25),0)</f>
        <v>5.6403975914551117</v>
      </c>
      <c r="P27" s="359">
        <f t="shared" ref="P27" si="39">IFERROR(P26/AVERAGE(M25:O25),0)</f>
        <v>4.5196303828808917</v>
      </c>
      <c r="Q27" s="359">
        <f t="shared" ref="Q27" si="40">IFERROR(Q26/AVERAGE(N25:P25),0)</f>
        <v>3.567604881090229</v>
      </c>
      <c r="R27" s="359">
        <f t="shared" ref="R27" si="41">IFERROR(R26/AVERAGE(O25:Q25),0)</f>
        <v>2.572658000896459</v>
      </c>
      <c r="S27" s="359">
        <f t="shared" ref="S27" si="42">IFERROR(S26/AVERAGE(P25:R25),0)</f>
        <v>1.5020859189257891</v>
      </c>
      <c r="T27" s="359">
        <f t="shared" ref="T27" si="43">IFERROR(T26/AVERAGE(Q25:S25),0)</f>
        <v>0.40583357579284263</v>
      </c>
      <c r="U27" s="359">
        <f t="shared" ref="U27" si="44">IFERROR(U26/AVERAGE(R25:T25),0)</f>
        <v>5.0707405942831318</v>
      </c>
      <c r="V27" s="357">
        <f>U27</f>
        <v>5.0707405942831318</v>
      </c>
      <c r="W27" s="390"/>
      <c r="X27" s="361"/>
      <c r="Y27" s="391"/>
    </row>
    <row r="28" spans="1:29" ht="14.4" thickBot="1">
      <c r="A28" s="327" t="s">
        <v>821</v>
      </c>
      <c r="D28" s="932"/>
      <c r="E28" s="349" t="s">
        <v>820</v>
      </c>
      <c r="F28" s="360">
        <f>IFERROR(F26/AVERAGE(G25:H25,J25),0)</f>
        <v>3.9942713865334052</v>
      </c>
      <c r="G28" s="360">
        <f>IFERROR(G26/AVERAGE(H25,J25:K25),0)</f>
        <v>3.8959130798161303</v>
      </c>
      <c r="H28" s="360">
        <f>IFERROR(H26/AVERAGE(J25:L25),0)</f>
        <v>5.7396412814118554</v>
      </c>
      <c r="I28" s="363">
        <f>IFERROR(I26/AVERAGE(J25:L25),0)</f>
        <v>5.7396412814118554</v>
      </c>
      <c r="J28" s="360">
        <f>IFERROR(J26/AVERAGE(K25:M25),0)</f>
        <v>4.6157870968746595</v>
      </c>
      <c r="K28" s="360">
        <f t="shared" ref="K28" si="45">IFERROR(K26/AVERAGE(L25:N25),0)</f>
        <v>3.5463251535598657</v>
      </c>
      <c r="L28" s="360">
        <f t="shared" ref="L28" si="46">IFERROR(L26/AVERAGE(M25:O25),0)</f>
        <v>2.5257317181006278</v>
      </c>
      <c r="M28" s="360">
        <f t="shared" ref="M28" si="47">IFERROR(M26/AVERAGE(N25:P25),0)</f>
        <v>1.5403491582791484</v>
      </c>
      <c r="N28" s="360">
        <f t="shared" ref="N28" si="48">IFERROR(N26/AVERAGE(O25:Q25),0)</f>
        <v>0.5395338413267593</v>
      </c>
      <c r="O28" s="360">
        <f t="shared" ref="O28" si="49">IFERROR(O26/AVERAGE(P25:R25),0)</f>
        <v>5.5746968314966283</v>
      </c>
      <c r="P28" s="360">
        <f t="shared" ref="P28" si="50">IFERROR(P26/AVERAGE(Q25:S25),0)</f>
        <v>4.4613762001745707</v>
      </c>
      <c r="Q28" s="360">
        <f t="shared" ref="Q28" si="51">IFERROR(Q26/AVERAGE(R25:T25),0)</f>
        <v>3.3939809061123034</v>
      </c>
      <c r="R28" s="360">
        <f t="shared" ref="R28" si="52">IFERROR(R26/AVERAGE(S25:U25),0)</f>
        <v>2.3680497297594654</v>
      </c>
      <c r="S28" s="360">
        <f>IFERROR(S26/AVERAGE(T25:U25,W25),0)</f>
        <v>1.3725006906566115</v>
      </c>
      <c r="T28" s="360">
        <f>IFERROR(T26/AVERAGE(U25,W25:X25),0)</f>
        <v>0.3786497824090525</v>
      </c>
      <c r="U28" s="360">
        <f>IFERROR(U26/AVERAGE(W25:Y25),0)</f>
        <v>4.8410713837884796</v>
      </c>
      <c r="V28" s="358">
        <f>U28</f>
        <v>4.8410713837884796</v>
      </c>
      <c r="W28" s="392"/>
      <c r="X28" s="362"/>
      <c r="Y28" s="393"/>
    </row>
    <row r="29" spans="1:29" ht="14.4" thickBot="1"/>
    <row r="30" spans="1:29">
      <c r="A30" s="398" t="s">
        <v>822</v>
      </c>
      <c r="D30" s="930" t="s">
        <v>822</v>
      </c>
      <c r="E30" s="333" t="s">
        <v>838</v>
      </c>
      <c r="F30" s="368"/>
      <c r="G30" s="354"/>
      <c r="H30" s="354"/>
      <c r="I30" s="353"/>
      <c r="J30" s="354">
        <v>45000</v>
      </c>
      <c r="K30" s="354">
        <v>0</v>
      </c>
      <c r="L30" s="354">
        <v>0</v>
      </c>
      <c r="M30" s="354">
        <v>0</v>
      </c>
      <c r="N30" s="354">
        <v>0</v>
      </c>
      <c r="O30" s="354"/>
      <c r="P30" s="354">
        <v>0</v>
      </c>
      <c r="Q30" s="354">
        <v>0</v>
      </c>
      <c r="R30" s="354">
        <v>0</v>
      </c>
      <c r="S30" s="354">
        <v>5000</v>
      </c>
      <c r="T30" s="354">
        <v>5000</v>
      </c>
      <c r="U30" s="354">
        <v>5000</v>
      </c>
      <c r="V30" s="335">
        <f>SUM(J30:U30)</f>
        <v>60000</v>
      </c>
      <c r="W30" s="382"/>
      <c r="X30" s="383"/>
      <c r="Y30" s="384"/>
      <c r="AC30" s="327">
        <v>631.39163428571419</v>
      </c>
    </row>
    <row r="31" spans="1:29">
      <c r="A31" s="398" t="s">
        <v>822</v>
      </c>
      <c r="B31" s="398" t="s">
        <v>802</v>
      </c>
      <c r="D31" s="931"/>
      <c r="E31" s="336" t="s">
        <v>810</v>
      </c>
      <c r="F31" s="369"/>
      <c r="G31" s="367"/>
      <c r="H31" s="367"/>
      <c r="I31" s="355"/>
      <c r="J31" s="352">
        <f>'To-MKT Phasing-Mainland'!D26</f>
        <v>0</v>
      </c>
      <c r="K31" s="352">
        <f>'To-MKT Phasing-Mainland'!E26</f>
        <v>0</v>
      </c>
      <c r="L31" s="352">
        <f>'To-MKT Phasing-Mainland'!F26</f>
        <v>0</v>
      </c>
      <c r="M31" s="352">
        <f>'To-MKT Phasing-Mainland'!G26</f>
        <v>3000</v>
      </c>
      <c r="N31" s="352">
        <f>'To-MKT Phasing-Mainland'!H26</f>
        <v>1000</v>
      </c>
      <c r="O31" s="352">
        <f>'To-MKT Phasing-Mainland'!I26</f>
        <v>1000</v>
      </c>
      <c r="P31" s="352">
        <f>'To-MKT Phasing-Mainland'!J26</f>
        <v>1000</v>
      </c>
      <c r="Q31" s="352">
        <f>'To-MKT Phasing-Mainland'!K26</f>
        <v>2000</v>
      </c>
      <c r="R31" s="352">
        <f>'To-MKT Phasing-Mainland'!L26</f>
        <v>2000</v>
      </c>
      <c r="S31" s="352">
        <f>'To-MKT Phasing-Mainland'!M26</f>
        <v>3000</v>
      </c>
      <c r="T31" s="352">
        <f>'To-MKT Phasing-Mainland'!N26</f>
        <v>4000</v>
      </c>
      <c r="U31" s="352">
        <f>'To-MKT Phasing-Mainland'!O26</f>
        <v>4289</v>
      </c>
      <c r="V31" s="338">
        <f>SUM(J31:U31)</f>
        <v>21289</v>
      </c>
      <c r="W31" s="385">
        <f>S31*(1+$AA31)</f>
        <v>9000</v>
      </c>
      <c r="X31" s="347">
        <f t="shared" ref="X31:Y31" si="53">T31*(1+$AA31)</f>
        <v>12000</v>
      </c>
      <c r="Y31" s="386">
        <f t="shared" si="53"/>
        <v>12867</v>
      </c>
      <c r="AA31" s="396">
        <v>2</v>
      </c>
      <c r="AC31" s="327">
        <v>631.39163428571419</v>
      </c>
    </row>
    <row r="32" spans="1:29">
      <c r="A32" s="398" t="s">
        <v>822</v>
      </c>
      <c r="D32" s="931"/>
      <c r="E32" s="336" t="s">
        <v>811</v>
      </c>
      <c r="F32" s="370"/>
      <c r="I32" s="337"/>
      <c r="J32" s="352"/>
      <c r="K32" s="352"/>
      <c r="L32" s="352"/>
      <c r="M32" s="352">
        <v>100</v>
      </c>
      <c r="N32" s="352">
        <v>250</v>
      </c>
      <c r="O32" s="352">
        <f>3000+450</f>
        <v>3450</v>
      </c>
      <c r="P32" s="352">
        <f>4500+750</f>
        <v>5250</v>
      </c>
      <c r="Q32" s="352">
        <f>6000+1050</f>
        <v>7050</v>
      </c>
      <c r="R32" s="352">
        <f>4500+1350</f>
        <v>5850</v>
      </c>
      <c r="S32" s="352">
        <f>4500+1850</f>
        <v>6350</v>
      </c>
      <c r="T32" s="352">
        <f>4500+2350</f>
        <v>6850</v>
      </c>
      <c r="U32" s="352">
        <f>3000+2850</f>
        <v>5850</v>
      </c>
      <c r="V32" s="338">
        <f>SUM(J32:U32)</f>
        <v>41000</v>
      </c>
      <c r="W32" s="385"/>
      <c r="X32" s="347"/>
      <c r="Y32" s="386"/>
      <c r="AC32" s="327">
        <v>631.39163428571419</v>
      </c>
    </row>
    <row r="33" spans="1:29">
      <c r="A33" s="398" t="s">
        <v>822</v>
      </c>
      <c r="D33" s="931"/>
      <c r="E33" s="336" t="s">
        <v>812</v>
      </c>
      <c r="F33" s="370"/>
      <c r="I33" s="337"/>
      <c r="V33" s="338">
        <f>SUM(J33:U33)</f>
        <v>0</v>
      </c>
      <c r="W33" s="385"/>
      <c r="X33" s="347"/>
      <c r="Y33" s="386"/>
      <c r="AC33" s="327">
        <v>631.39163428571419</v>
      </c>
    </row>
    <row r="34" spans="1:29" ht="14.4" thickBot="1">
      <c r="A34" s="398" t="s">
        <v>822</v>
      </c>
      <c r="D34" s="931"/>
      <c r="E34" s="336" t="s">
        <v>813</v>
      </c>
      <c r="F34" s="371"/>
      <c r="G34" s="372"/>
      <c r="H34" s="372"/>
      <c r="I34" s="373"/>
      <c r="J34" s="351">
        <f>I34+J30-J31-J32-J33</f>
        <v>45000</v>
      </c>
      <c r="K34" s="351">
        <f t="shared" ref="K34:U34" si="54">J34+K30-K31-K32</f>
        <v>45000</v>
      </c>
      <c r="L34" s="351">
        <f t="shared" si="54"/>
        <v>45000</v>
      </c>
      <c r="M34" s="351">
        <f t="shared" si="54"/>
        <v>41900</v>
      </c>
      <c r="N34" s="351">
        <f t="shared" si="54"/>
        <v>40650</v>
      </c>
      <c r="O34" s="351">
        <f t="shared" si="54"/>
        <v>36200</v>
      </c>
      <c r="P34" s="351">
        <f t="shared" si="54"/>
        <v>29950</v>
      </c>
      <c r="Q34" s="351">
        <f t="shared" si="54"/>
        <v>20900</v>
      </c>
      <c r="R34" s="351">
        <f t="shared" si="54"/>
        <v>13050</v>
      </c>
      <c r="S34" s="351">
        <f t="shared" si="54"/>
        <v>8700</v>
      </c>
      <c r="T34" s="351">
        <f t="shared" si="54"/>
        <v>2850</v>
      </c>
      <c r="U34" s="351">
        <f t="shared" si="54"/>
        <v>-2289</v>
      </c>
      <c r="V34" s="338">
        <f>U34</f>
        <v>-2289</v>
      </c>
      <c r="W34" s="387"/>
      <c r="X34" s="388"/>
      <c r="Y34" s="389"/>
      <c r="AC34" s="327">
        <v>631.39163428571419</v>
      </c>
    </row>
    <row r="35" spans="1:29">
      <c r="A35" s="398" t="s">
        <v>822</v>
      </c>
      <c r="D35" s="931"/>
      <c r="E35" s="340" t="s">
        <v>814</v>
      </c>
      <c r="F35" s="374">
        <f>IFERROR(F34/AVERAGE(F31),0)</f>
        <v>0</v>
      </c>
      <c r="G35" s="341">
        <f>IFERROR(G34/AVERAGE(F31:G31),0)</f>
        <v>0</v>
      </c>
      <c r="H35" s="341">
        <f>IFERROR(H34/AVERAGE(F31:H31),0)</f>
        <v>0</v>
      </c>
      <c r="I35" s="377">
        <f>H35</f>
        <v>0</v>
      </c>
      <c r="J35" s="341">
        <f>IFERROR(J34/AVERAGE(F31:H31),0)</f>
        <v>0</v>
      </c>
      <c r="K35" s="341">
        <f>IFERROR(K34/AVERAGE(G31:H31,J31),0)</f>
        <v>0</v>
      </c>
      <c r="L35" s="341">
        <f>IFERROR(L34/AVERAGE(J31:K31,H31),0)</f>
        <v>0</v>
      </c>
      <c r="M35" s="341">
        <f>IFERROR(M34/AVERAGE(J31:L31),0)</f>
        <v>0</v>
      </c>
      <c r="N35" s="341">
        <f t="shared" ref="N35" si="55">IFERROR(N34/AVERAGE(K31:M31),0)</f>
        <v>40.65</v>
      </c>
      <c r="O35" s="341">
        <f t="shared" ref="O35" si="56">IFERROR(O34/AVERAGE(L31:N31),0)</f>
        <v>27.150000000000002</v>
      </c>
      <c r="P35" s="341">
        <f t="shared" ref="P35" si="57">IFERROR(P34/AVERAGE(M31:O31),0)</f>
        <v>17.97</v>
      </c>
      <c r="Q35" s="341">
        <f t="shared" ref="Q35" si="58">IFERROR(Q34/AVERAGE(N31:P31),0)</f>
        <v>20.9</v>
      </c>
      <c r="R35" s="341">
        <f t="shared" ref="R35" si="59">IFERROR(R34/AVERAGE(O31:Q31),0)</f>
        <v>9.7875000000000014</v>
      </c>
      <c r="S35" s="341">
        <f t="shared" ref="S35" si="60">IFERROR(S34/AVERAGE(P31:R31),0)</f>
        <v>5.22</v>
      </c>
      <c r="T35" s="341">
        <f t="shared" ref="T35" si="61">IFERROR(T34/AVERAGE(Q31:S31),0)</f>
        <v>1.2214285714285713</v>
      </c>
      <c r="U35" s="341">
        <f t="shared" ref="U35" si="62">IFERROR(U34/AVERAGE(R31:T31),0)</f>
        <v>-0.76300000000000001</v>
      </c>
      <c r="V35" s="357">
        <f>U35</f>
        <v>-0.76300000000000001</v>
      </c>
      <c r="W35" s="382"/>
      <c r="X35" s="383"/>
      <c r="Y35" s="384"/>
    </row>
    <row r="36" spans="1:29" ht="14.4" thickBot="1">
      <c r="A36" s="398" t="s">
        <v>822</v>
      </c>
      <c r="D36" s="931"/>
      <c r="E36" s="342" t="s">
        <v>815</v>
      </c>
      <c r="F36" s="375">
        <f>IFERROR(F34/AVERAGE(G31:H31,J31),0)</f>
        <v>0</v>
      </c>
      <c r="G36" s="350">
        <f>IFERROR(G34/AVERAGE(H31,J31:K31),0)</f>
        <v>0</v>
      </c>
      <c r="H36" s="350">
        <f>IFERROR(H34/AVERAGE(J31:L31),0)</f>
        <v>0</v>
      </c>
      <c r="I36" s="378">
        <f>H36</f>
        <v>0</v>
      </c>
      <c r="J36" s="343">
        <f>IFERROR(J34/AVERAGE(K31:M31),0)</f>
        <v>45</v>
      </c>
      <c r="K36" s="343">
        <f t="shared" ref="K36" si="63">IFERROR(K34/AVERAGE(L31:N31),0)</f>
        <v>33.75</v>
      </c>
      <c r="L36" s="343">
        <f t="shared" ref="L36" si="64">IFERROR(L34/AVERAGE(M31:O31),0)</f>
        <v>27</v>
      </c>
      <c r="M36" s="343">
        <f t="shared" ref="M36" si="65">IFERROR(M34/AVERAGE(N31:P31),0)</f>
        <v>41.9</v>
      </c>
      <c r="N36" s="343">
        <f t="shared" ref="N36" si="66">IFERROR(N34/AVERAGE(O31:Q31),0)</f>
        <v>30.487500000000001</v>
      </c>
      <c r="O36" s="343">
        <f t="shared" ref="O36" si="67">IFERROR(O34/AVERAGE(P31:R31),0)</f>
        <v>21.72</v>
      </c>
      <c r="P36" s="343">
        <f t="shared" ref="P36" si="68">IFERROR(P34/AVERAGE(Q31:S31),0)</f>
        <v>12.835714285714285</v>
      </c>
      <c r="Q36" s="343">
        <f t="shared" ref="Q36" si="69">IFERROR(Q34/AVERAGE(R31:T31),0)</f>
        <v>6.9666666666666668</v>
      </c>
      <c r="R36" s="343">
        <f t="shared" ref="R36" si="70">IFERROR(R34/AVERAGE(S31:U31),0)</f>
        <v>3.4679776773850652</v>
      </c>
      <c r="S36" s="343">
        <f>IFERROR(S34/AVERAGE(T31:U31,W31),0)</f>
        <v>1.5096304008328996</v>
      </c>
      <c r="T36" s="343">
        <f>IFERROR(T34/AVERAGE(U31,W31:X31),0)</f>
        <v>0.33809166040571004</v>
      </c>
      <c r="U36" s="343">
        <f>IFERROR(U34/AVERAGE(W31:Y31),0)</f>
        <v>-0.20276375232527238</v>
      </c>
      <c r="V36" s="399">
        <f>U36</f>
        <v>-0.20276375232527238</v>
      </c>
      <c r="W36" s="387"/>
      <c r="X36" s="388"/>
      <c r="Y36" s="389"/>
    </row>
    <row r="37" spans="1:29" hidden="1" outlineLevel="1">
      <c r="A37" s="398" t="s">
        <v>822</v>
      </c>
      <c r="D37" s="931"/>
      <c r="E37" s="344" t="s">
        <v>816</v>
      </c>
      <c r="F37" s="354"/>
      <c r="G37" s="354"/>
      <c r="H37" s="354"/>
      <c r="I37" s="355"/>
      <c r="J37" s="334">
        <f>'To-MKT Phasing-Mainland'!D26</f>
        <v>0</v>
      </c>
      <c r="K37" s="334">
        <f>'To-MKT Phasing-Mainland'!E26</f>
        <v>0</v>
      </c>
      <c r="L37" s="334">
        <f>'To-MKT Phasing-Mainland'!F26</f>
        <v>0</v>
      </c>
      <c r="M37" s="334">
        <f>'To-MKT Phasing-Mainland'!G26</f>
        <v>3000</v>
      </c>
      <c r="N37" s="334">
        <f>'To-MKT Phasing-Mainland'!H26</f>
        <v>1000</v>
      </c>
      <c r="O37" s="334">
        <f>'To-MKT Phasing-Mainland'!I26</f>
        <v>1000</v>
      </c>
      <c r="P37" s="334">
        <f>'To-MKT Phasing-Mainland'!J26</f>
        <v>1000</v>
      </c>
      <c r="Q37" s="334">
        <f>'To-MKT Phasing-Mainland'!K26</f>
        <v>2000</v>
      </c>
      <c r="R37" s="334">
        <f>'To-MKT Phasing-Mainland'!L26</f>
        <v>2000</v>
      </c>
      <c r="S37" s="334">
        <f>'To-MKT Phasing-Mainland'!M26</f>
        <v>3000</v>
      </c>
      <c r="T37" s="334">
        <f>'To-MKT Phasing-Mainland'!N26</f>
        <v>4000</v>
      </c>
      <c r="U37" s="334">
        <f>'To-MKT Phasing-Mainland'!O26</f>
        <v>4289</v>
      </c>
      <c r="V37" s="335">
        <f t="shared" ref="V37:V38" si="71">SUM(J37:U37)</f>
        <v>21289</v>
      </c>
      <c r="W37" s="382">
        <f>W31</f>
        <v>9000</v>
      </c>
      <c r="X37" s="383">
        <f>X31</f>
        <v>12000</v>
      </c>
      <c r="Y37" s="384">
        <f>Y31</f>
        <v>12867</v>
      </c>
      <c r="AC37" s="400">
        <v>7089.7640396269735</v>
      </c>
    </row>
    <row r="38" spans="1:29" collapsed="1">
      <c r="A38" s="398" t="s">
        <v>822</v>
      </c>
      <c r="B38" s="398" t="s">
        <v>837</v>
      </c>
      <c r="D38" s="931"/>
      <c r="E38" s="345" t="s">
        <v>817</v>
      </c>
      <c r="F38" s="352"/>
      <c r="G38" s="352"/>
      <c r="H38" s="352"/>
      <c r="I38" s="355"/>
      <c r="J38" s="327">
        <f>'IN-MKT WP'!E68</f>
        <v>0</v>
      </c>
      <c r="K38" s="327">
        <f>'IN-MKT WP'!F68</f>
        <v>0</v>
      </c>
      <c r="L38" s="327">
        <f>'IN-MKT WP'!G68</f>
        <v>0</v>
      </c>
      <c r="M38" s="327">
        <f>'IN-MKT WP'!H68</f>
        <v>301</v>
      </c>
      <c r="N38" s="327">
        <f>'IN-MKT WP'!I68</f>
        <v>578</v>
      </c>
      <c r="O38" s="327">
        <f>'IN-MKT WP'!J68</f>
        <v>827</v>
      </c>
      <c r="P38" s="327">
        <f>'IN-MKT WP'!K68</f>
        <v>1127</v>
      </c>
      <c r="Q38" s="327">
        <f>'IN-MKT WP'!L68</f>
        <v>1434</v>
      </c>
      <c r="R38" s="327">
        <f>'IN-MKT WP'!M68</f>
        <v>1736</v>
      </c>
      <c r="S38" s="327">
        <f>'IN-MKT WP'!N68</f>
        <v>2036</v>
      </c>
      <c r="T38" s="327">
        <f>'IN-MKT WP'!O68</f>
        <v>2277</v>
      </c>
      <c r="U38" s="327">
        <f>'IN-MKT WP'!P68</f>
        <v>2462</v>
      </c>
      <c r="V38" s="338">
        <f t="shared" si="71"/>
        <v>12778</v>
      </c>
      <c r="W38" s="385">
        <f>S38*(1+$AA38)</f>
        <v>6108</v>
      </c>
      <c r="X38" s="347">
        <f t="shared" ref="X38" si="72">T38*(1+$AA38)</f>
        <v>6831</v>
      </c>
      <c r="Y38" s="386">
        <f t="shared" ref="Y38" si="73">U38*(1+$AA38)</f>
        <v>7386</v>
      </c>
      <c r="AA38" s="396">
        <v>2</v>
      </c>
      <c r="AB38" s="394" t="s">
        <v>836</v>
      </c>
      <c r="AC38" s="400">
        <v>7089.7640396269735</v>
      </c>
    </row>
    <row r="39" spans="1:29" ht="14.4" thickBot="1">
      <c r="A39" s="398" t="s">
        <v>822</v>
      </c>
      <c r="B39" s="398" t="s">
        <v>34</v>
      </c>
      <c r="D39" s="931"/>
      <c r="E39" s="346" t="s">
        <v>818</v>
      </c>
      <c r="F39" s="351"/>
      <c r="G39" s="351"/>
      <c r="H39" s="351"/>
      <c r="I39" s="356"/>
      <c r="J39" s="339">
        <f>I39+J37-J38</f>
        <v>0</v>
      </c>
      <c r="K39" s="339">
        <f t="shared" ref="K39:U39" si="74">J39+K37-K38</f>
        <v>0</v>
      </c>
      <c r="L39" s="339">
        <f t="shared" si="74"/>
        <v>0</v>
      </c>
      <c r="M39" s="339">
        <f t="shared" si="74"/>
        <v>2699</v>
      </c>
      <c r="N39" s="339">
        <f t="shared" si="74"/>
        <v>3121</v>
      </c>
      <c r="O39" s="339">
        <f t="shared" si="74"/>
        <v>3294</v>
      </c>
      <c r="P39" s="339">
        <f t="shared" si="74"/>
        <v>3167</v>
      </c>
      <c r="Q39" s="339">
        <f t="shared" si="74"/>
        <v>3733</v>
      </c>
      <c r="R39" s="339">
        <f t="shared" si="74"/>
        <v>3997</v>
      </c>
      <c r="S39" s="339">
        <f t="shared" si="74"/>
        <v>4961</v>
      </c>
      <c r="T39" s="339">
        <f t="shared" si="74"/>
        <v>6684</v>
      </c>
      <c r="U39" s="339">
        <f t="shared" si="74"/>
        <v>8511</v>
      </c>
      <c r="V39" s="338">
        <f>U39</f>
        <v>8511</v>
      </c>
      <c r="W39" s="387"/>
      <c r="X39" s="388"/>
      <c r="Y39" s="389"/>
      <c r="AC39" s="400">
        <v>7089.7640396269735</v>
      </c>
    </row>
    <row r="40" spans="1:29">
      <c r="A40" s="398" t="s">
        <v>822</v>
      </c>
      <c r="D40" s="931"/>
      <c r="E40" s="348" t="s">
        <v>819</v>
      </c>
      <c r="F40" s="359">
        <f>IFERROR(F39/AVERAGE(F38),0)</f>
        <v>0</v>
      </c>
      <c r="G40" s="359">
        <f>IFERROR(G39/AVERAGE(F38:G38),0)</f>
        <v>0</v>
      </c>
      <c r="H40" s="359">
        <f>IFERROR(H39/AVERAGE(F38:H38),0)</f>
        <v>0</v>
      </c>
      <c r="I40" s="397">
        <f>H40</f>
        <v>0</v>
      </c>
      <c r="J40" s="359">
        <f>IFERROR(J39/AVERAGE(F38:H38),0)</f>
        <v>0</v>
      </c>
      <c r="K40" s="359">
        <f>IFERROR(K39/AVERAGE(G38:H38,J38),0)</f>
        <v>0</v>
      </c>
      <c r="L40" s="359">
        <f>IFERROR(L39/AVERAGE(J38:K38,H38),0)</f>
        <v>0</v>
      </c>
      <c r="M40" s="359">
        <f>IFERROR(M39/AVERAGE(J38:L38),0)</f>
        <v>0</v>
      </c>
      <c r="N40" s="359">
        <f t="shared" ref="N40" si="75">IFERROR(N39/AVERAGE(K38:M38),0)</f>
        <v>31.106312292358805</v>
      </c>
      <c r="O40" s="359">
        <f t="shared" ref="O40" si="76">IFERROR(O39/AVERAGE(L38:N38),0)</f>
        <v>11.242320819112628</v>
      </c>
      <c r="P40" s="359">
        <f t="shared" ref="P40" si="77">IFERROR(P39/AVERAGE(M38:O38),0)</f>
        <v>5.5691676436107862</v>
      </c>
      <c r="Q40" s="359">
        <f t="shared" ref="Q40" si="78">IFERROR(Q39/AVERAGE(N38:P38),0)</f>
        <v>4.4229857819905209</v>
      </c>
      <c r="R40" s="359">
        <f t="shared" ref="R40" si="79">IFERROR(R39/AVERAGE(O38:Q38),0)</f>
        <v>3.5392561983471076</v>
      </c>
      <c r="S40" s="359">
        <f t="shared" ref="S40" si="80">IFERROR(S39/AVERAGE(P38:R38),0)</f>
        <v>3.4635792413311615</v>
      </c>
      <c r="T40" s="359">
        <f t="shared" ref="T40" si="81">IFERROR(T39/AVERAGE(Q38:S38),0)</f>
        <v>3.8517095658855167</v>
      </c>
      <c r="U40" s="359">
        <f t="shared" ref="U40" si="82">IFERROR(U39/AVERAGE(R38:T38),0)</f>
        <v>4.2210282691353944</v>
      </c>
      <c r="V40" s="357">
        <f>U40</f>
        <v>4.2210282691353944</v>
      </c>
      <c r="W40" s="390"/>
      <c r="X40" s="361"/>
      <c r="Y40" s="391"/>
    </row>
    <row r="41" spans="1:29" ht="14.4" thickBot="1">
      <c r="A41" s="398" t="s">
        <v>822</v>
      </c>
      <c r="D41" s="932"/>
      <c r="E41" s="349" t="s">
        <v>820</v>
      </c>
      <c r="F41" s="360">
        <f>IFERROR(F39/AVERAGE(G38:H38,J38),0)</f>
        <v>0</v>
      </c>
      <c r="G41" s="360">
        <f>IFERROR(G39/AVERAGE(H38,J38:K38),0)</f>
        <v>0</v>
      </c>
      <c r="H41" s="360">
        <f>IFERROR(H39/AVERAGE(J38:L38),0)</f>
        <v>0</v>
      </c>
      <c r="I41" s="363">
        <f>IFERROR(I39/AVERAGE(J38:L38),0)</f>
        <v>0</v>
      </c>
      <c r="J41" s="360">
        <f>IFERROR(J39/AVERAGE(K38:M38),0)</f>
        <v>0</v>
      </c>
      <c r="K41" s="360">
        <f t="shared" ref="K41" si="83">IFERROR(K39/AVERAGE(L38:N38),0)</f>
        <v>0</v>
      </c>
      <c r="L41" s="360">
        <f t="shared" ref="L41" si="84">IFERROR(L39/AVERAGE(M38:O38),0)</f>
        <v>0</v>
      </c>
      <c r="M41" s="360">
        <f t="shared" ref="M41" si="85">IFERROR(M39/AVERAGE(N38:P38),0)</f>
        <v>3.1978672985781991</v>
      </c>
      <c r="N41" s="360">
        <f t="shared" ref="N41" si="86">IFERROR(N39/AVERAGE(O38:Q38),0)</f>
        <v>2.7635773317591501</v>
      </c>
      <c r="O41" s="360">
        <f t="shared" ref="O41" si="87">IFERROR(O39/AVERAGE(P38:R38),0)</f>
        <v>2.2997440074470563</v>
      </c>
      <c r="P41" s="360">
        <f t="shared" ref="P41" si="88">IFERROR(P39/AVERAGE(Q38:S38),0)</f>
        <v>1.8250096043027277</v>
      </c>
      <c r="Q41" s="360">
        <f t="shared" ref="Q41" si="89">IFERROR(Q39/AVERAGE(R38:T38),0)</f>
        <v>1.8513803934534634</v>
      </c>
      <c r="R41" s="360">
        <f t="shared" ref="R41" si="90">IFERROR(R39/AVERAGE(S38:U38),0)</f>
        <v>1.7698892988929888</v>
      </c>
      <c r="S41" s="360">
        <f>IFERROR(S39/AVERAGE(T38:U38,W38),0)</f>
        <v>1.372084447312621</v>
      </c>
      <c r="T41" s="360">
        <f>IFERROR(T39/AVERAGE(U38,W38:X38),0)</f>
        <v>1.301993377053438</v>
      </c>
      <c r="U41" s="360">
        <f>IFERROR(U39/AVERAGE(W38:Y38),0)</f>
        <v>1.2562361623616236</v>
      </c>
      <c r="V41" s="358">
        <f>U41</f>
        <v>1.2562361623616236</v>
      </c>
      <c r="W41" s="392"/>
      <c r="X41" s="362"/>
      <c r="Y41" s="393"/>
    </row>
    <row r="42" spans="1:29" ht="14.4" thickBot="1"/>
    <row r="43" spans="1:29">
      <c r="D43" s="930" t="s">
        <v>823</v>
      </c>
      <c r="E43" s="333" t="s">
        <v>838</v>
      </c>
      <c r="F43" s="406">
        <f t="shared" ref="F43:U47" si="91">SUMIFS(F$4:F$41,$E$4:$E$41,$E43,$A$4:$A$41,"Nefecon")*SUMIFS($AC$4:$AC$41,$E$4:$E$41,$E43,$A$4:$A$41,"Nefecon")/10^6+SUMIFS(F$4:F$41,$E$4:$E$41,$E43,$A$4:$A$41,"Xerava")*SUMIFS($AC$4:$AC$41,$E$4:$E$41,$E43,$A$4:$A$41,"Xerava")/10^6+SUMIFS(F$4:F$41,$E$4:$E$41,$E43,$A$4:$A$41,"Velsipity")*SUMIFS($AC$4:$AC$41,$E$4:$E$41,$E43,$A$4:$A$41,"Velsipity")/10^6</f>
        <v>17.03834166991188</v>
      </c>
      <c r="G43" s="401">
        <f t="shared" si="91"/>
        <v>20.141212952376424</v>
      </c>
      <c r="H43" s="401">
        <f t="shared" si="91"/>
        <v>12.938149300231391</v>
      </c>
      <c r="I43" s="404">
        <f>SUMIFS(I$4:I$41,$E$4:$E$41,$E43,$A$4:$A$41,"Nefecon")*SUMIFS($AC$4:$AC$41,$E$4:$E$41,$E43,$A$4:$A$41,"Nefecon")/10^6+SUMIFS(I$4:I$41,$E$4:$E$41,$E43,$A$4:$A$41,"Xerava")*SUMIFS($AC$4:$AC$41,$E$4:$E$41,$E43,$A$4:$A$41,"Xerava")/10^6+SUMIFS(I$4:I$41,$E$4:$E$41,$E43,$A$4:$A$41,"Velsipity")*SUMIFS($AC$4:$AC$41,$E$4:$E$41,$E43,$A$4:$A$41,"Velsipity")/10^6</f>
        <v>148.49013563572049</v>
      </c>
      <c r="J43" s="401">
        <f t="shared" si="91"/>
        <v>52.161890398361884</v>
      </c>
      <c r="K43" s="401">
        <f t="shared" si="91"/>
        <v>14.045654880331197</v>
      </c>
      <c r="L43" s="401">
        <f t="shared" si="91"/>
        <v>14.045654880331197</v>
      </c>
      <c r="M43" s="401">
        <f t="shared" si="91"/>
        <v>16.703797654063738</v>
      </c>
      <c r="N43" s="401">
        <f t="shared" si="91"/>
        <v>16.703797654063738</v>
      </c>
      <c r="O43" s="401">
        <f t="shared" si="91"/>
        <v>38.312988610498834</v>
      </c>
      <c r="P43" s="401">
        <f t="shared" si="91"/>
        <v>17.538955191393672</v>
      </c>
      <c r="Q43" s="401">
        <f t="shared" si="91"/>
        <v>17.538955191393672</v>
      </c>
      <c r="R43" s="401">
        <f t="shared" si="91"/>
        <v>17.538955191393672</v>
      </c>
      <c r="S43" s="401">
        <f t="shared" si="91"/>
        <v>21.715439527680477</v>
      </c>
      <c r="T43" s="401">
        <f t="shared" si="91"/>
        <v>21.715439527680477</v>
      </c>
      <c r="U43" s="401">
        <f t="shared" si="91"/>
        <v>43.325277391580592</v>
      </c>
      <c r="V43" s="335">
        <f>SUM(J43:U43)</f>
        <v>291.34680609877319</v>
      </c>
      <c r="W43" s="382"/>
      <c r="X43" s="383"/>
      <c r="Y43" s="384"/>
    </row>
    <row r="44" spans="1:29">
      <c r="D44" s="931"/>
      <c r="E44" s="336" t="s">
        <v>810</v>
      </c>
      <c r="F44" s="407">
        <f t="shared" si="91"/>
        <v>11.489928858111018</v>
      </c>
      <c r="G44" s="408">
        <f t="shared" si="91"/>
        <v>21.138184004982058</v>
      </c>
      <c r="H44" s="408">
        <f t="shared" si="91"/>
        <v>20.220845698972525</v>
      </c>
      <c r="I44" s="405">
        <f t="shared" ref="I44:I46" si="92">SUMIFS(I$4:I$41,$E$4:$E$41,$E44,$A$4:$A$41,"Nefecon")*SUMIFS($AC$4:$AC$41,$E$4:$E$41,$E44,$A$4:$A$41,"Nefecon")/10^6+SUMIFS(I$4:I$41,$E$4:$E$41,$E44,$A$4:$A$41,"Xerava")*SUMIFS($AC$4:$AC$41,$E$4:$E$41,$E44,$A$4:$A$41,"Xerava")/10^6+SUMIFS(I$4:I$41,$E$4:$E$41,$E44,$A$4:$A$41,"Velsipity")*SUMIFS($AC$4:$AC$41,$E$4:$E$41,$E44,$A$4:$A$41,"Velsipity")/10^6</f>
        <v>142.02106098560481</v>
      </c>
      <c r="J44" s="403">
        <f t="shared" si="91"/>
        <v>0</v>
      </c>
      <c r="K44" s="403">
        <f t="shared" si="91"/>
        <v>19.56021756582232</v>
      </c>
      <c r="L44" s="403">
        <f t="shared" si="91"/>
        <v>19.778872288996233</v>
      </c>
      <c r="M44" s="403">
        <f t="shared" si="91"/>
        <v>20.169310789433979</v>
      </c>
      <c r="N44" s="403">
        <f t="shared" si="91"/>
        <v>16.23803422768983</v>
      </c>
      <c r="O44" s="403">
        <f t="shared" si="91"/>
        <v>36.999129497494764</v>
      </c>
      <c r="P44" s="403">
        <f t="shared" si="91"/>
        <v>19.715161852127014</v>
      </c>
      <c r="Q44" s="403">
        <f t="shared" si="91"/>
        <v>17.11201616135488</v>
      </c>
      <c r="R44" s="403">
        <f t="shared" si="91"/>
        <v>21.640368416435873</v>
      </c>
      <c r="S44" s="403">
        <f t="shared" si="91"/>
        <v>20.007583923181087</v>
      </c>
      <c r="T44" s="403">
        <f t="shared" si="91"/>
        <v>20.638975557466804</v>
      </c>
      <c r="U44" s="403">
        <f t="shared" si="91"/>
        <v>45.34172228876254</v>
      </c>
      <c r="V44" s="338">
        <f>SUM(J44:U44)</f>
        <v>257.20139256876536</v>
      </c>
      <c r="W44" s="385"/>
      <c r="X44" s="347"/>
      <c r="Y44" s="386"/>
    </row>
    <row r="45" spans="1:29">
      <c r="D45" s="931"/>
      <c r="E45" s="336" t="s">
        <v>811</v>
      </c>
      <c r="F45" s="407">
        <f t="shared" si="91"/>
        <v>0</v>
      </c>
      <c r="G45" s="403">
        <f t="shared" si="91"/>
        <v>0</v>
      </c>
      <c r="H45" s="403">
        <f t="shared" si="91"/>
        <v>6.4690746501156955</v>
      </c>
      <c r="I45" s="405">
        <f t="shared" si="92"/>
        <v>6.4690746501156955</v>
      </c>
      <c r="J45" s="403">
        <f t="shared" si="91"/>
        <v>9.7036119751735441</v>
      </c>
      <c r="K45" s="403">
        <f t="shared" si="91"/>
        <v>0</v>
      </c>
      <c r="L45" s="403">
        <f t="shared" si="91"/>
        <v>0</v>
      </c>
      <c r="M45" s="403">
        <f t="shared" si="91"/>
        <v>6.3139163428571413E-2</v>
      </c>
      <c r="N45" s="403">
        <f t="shared" si="91"/>
        <v>0.15784790857142855</v>
      </c>
      <c r="O45" s="403">
        <f t="shared" si="91"/>
        <v>2.1783011382857138</v>
      </c>
      <c r="P45" s="403">
        <f t="shared" si="91"/>
        <v>3.3148060799999994</v>
      </c>
      <c r="Q45" s="403">
        <f t="shared" si="91"/>
        <v>4.4513110217142851</v>
      </c>
      <c r="R45" s="403">
        <f t="shared" si="91"/>
        <v>3.6936410605714278</v>
      </c>
      <c r="S45" s="403">
        <f t="shared" si="91"/>
        <v>4.0093368777142855</v>
      </c>
      <c r="T45" s="403">
        <f t="shared" si="91"/>
        <v>4.3250326948571418</v>
      </c>
      <c r="U45" s="403">
        <f t="shared" si="91"/>
        <v>3.6936410605714278</v>
      </c>
      <c r="V45" s="338">
        <f>SUM(J45:U45)</f>
        <v>35.590668980887827</v>
      </c>
      <c r="W45" s="385"/>
      <c r="X45" s="347"/>
      <c r="Y45" s="386"/>
    </row>
    <row r="46" spans="1:29">
      <c r="D46" s="931"/>
      <c r="E46" s="336" t="s">
        <v>812</v>
      </c>
      <c r="F46" s="407">
        <f t="shared" si="91"/>
        <v>0</v>
      </c>
      <c r="G46" s="403">
        <f t="shared" si="91"/>
        <v>0</v>
      </c>
      <c r="H46" s="403">
        <f t="shared" si="91"/>
        <v>0</v>
      </c>
      <c r="I46" s="405">
        <f t="shared" si="92"/>
        <v>0</v>
      </c>
      <c r="J46" s="403">
        <f t="shared" si="91"/>
        <v>0</v>
      </c>
      <c r="K46" s="403">
        <f t="shared" si="91"/>
        <v>0</v>
      </c>
      <c r="L46" s="403">
        <f t="shared" si="91"/>
        <v>0</v>
      </c>
      <c r="M46" s="403">
        <f t="shared" si="91"/>
        <v>0</v>
      </c>
      <c r="N46" s="403">
        <f t="shared" si="91"/>
        <v>0</v>
      </c>
      <c r="O46" s="403">
        <f t="shared" si="91"/>
        <v>0</v>
      </c>
      <c r="P46" s="403">
        <f t="shared" si="91"/>
        <v>0</v>
      </c>
      <c r="Q46" s="403">
        <f t="shared" si="91"/>
        <v>0</v>
      </c>
      <c r="R46" s="403">
        <f t="shared" si="91"/>
        <v>0</v>
      </c>
      <c r="S46" s="403">
        <f t="shared" si="91"/>
        <v>0</v>
      </c>
      <c r="T46" s="403">
        <f t="shared" si="91"/>
        <v>0</v>
      </c>
      <c r="U46" s="403">
        <f t="shared" si="91"/>
        <v>0</v>
      </c>
      <c r="V46" s="338">
        <f>SUM(J46:U46)</f>
        <v>0</v>
      </c>
      <c r="W46" s="385"/>
      <c r="X46" s="347"/>
      <c r="Y46" s="386"/>
    </row>
    <row r="47" spans="1:29" ht="14.4" thickBot="1">
      <c r="D47" s="931"/>
      <c r="E47" s="336" t="s">
        <v>813</v>
      </c>
      <c r="F47" s="371">
        <f t="shared" si="91"/>
        <v>18.536699372735569</v>
      </c>
      <c r="G47" s="372">
        <f>F47+G43-G44-G45-G46</f>
        <v>17.539728320129932</v>
      </c>
      <c r="H47" s="372">
        <f>G47+H43-H44-H45-H46</f>
        <v>3.7879572712731022</v>
      </c>
      <c r="I47" s="373"/>
      <c r="J47" s="339">
        <f>I47+J43-J44-J45-J46</f>
        <v>42.458278423188339</v>
      </c>
      <c r="K47" s="339">
        <f>J47+K43-K44-K45-K46</f>
        <v>36.943715737697218</v>
      </c>
      <c r="L47" s="339">
        <f t="shared" ref="L47:U47" si="93">K47+L43-L44-L45</f>
        <v>31.210498329032184</v>
      </c>
      <c r="M47" s="339">
        <f t="shared" si="93"/>
        <v>27.681846030233377</v>
      </c>
      <c r="N47" s="339">
        <f t="shared" si="93"/>
        <v>27.989761548035855</v>
      </c>
      <c r="O47" s="339">
        <f t="shared" si="93"/>
        <v>27.125319522754214</v>
      </c>
      <c r="P47" s="339">
        <f t="shared" si="93"/>
        <v>21.634306782020872</v>
      </c>
      <c r="Q47" s="339">
        <f t="shared" si="93"/>
        <v>17.609934790345374</v>
      </c>
      <c r="R47" s="339">
        <f t="shared" si="93"/>
        <v>9.8148805047317449</v>
      </c>
      <c r="S47" s="339">
        <f t="shared" si="93"/>
        <v>7.5133992315168472</v>
      </c>
      <c r="T47" s="339">
        <f t="shared" si="93"/>
        <v>4.2648305068733778</v>
      </c>
      <c r="U47" s="339">
        <f t="shared" si="93"/>
        <v>-1.4452554508799955</v>
      </c>
      <c r="V47" s="338">
        <f>U47</f>
        <v>-1.4452554508799955</v>
      </c>
      <c r="W47" s="387"/>
      <c r="X47" s="388"/>
      <c r="Y47" s="389"/>
    </row>
    <row r="48" spans="1:29">
      <c r="D48" s="931"/>
      <c r="E48" s="340" t="s">
        <v>814</v>
      </c>
      <c r="F48" s="409">
        <f>IFERROR(F47/AVERAGE(F44),0)</f>
        <v>1.6132997516037766</v>
      </c>
      <c r="G48" s="359">
        <f>IFERROR(G47/AVERAGE(F44:G44),0)</f>
        <v>1.0751298056204652</v>
      </c>
      <c r="H48" s="359">
        <f>IFERROR(H47/AVERAGE(F44:H44),0)</f>
        <v>0.21502546356658328</v>
      </c>
      <c r="I48" s="410">
        <f>H48</f>
        <v>0.21502546356658328</v>
      </c>
      <c r="J48" s="341">
        <f>IFERROR(J47/AVERAGE(F44:H44),0)</f>
        <v>2.410167366306311</v>
      </c>
      <c r="K48" s="341">
        <f>IFERROR(K47/AVERAGE(G44:H44,J44),0)</f>
        <v>2.6797327695164577</v>
      </c>
      <c r="L48" s="341">
        <f>IFERROR(L47/AVERAGE(J44:K44,H44),0)</f>
        <v>2.3536699952903941</v>
      </c>
      <c r="M48" s="341">
        <f>IFERROR(M47/AVERAGE(J44:L44),0)</f>
        <v>2.1110182873366115</v>
      </c>
      <c r="N48" s="341">
        <f t="shared" ref="N48" si="94">IFERROR(N47/AVERAGE(K44:M44),0)</f>
        <v>1.4110492591808133</v>
      </c>
      <c r="O48" s="341">
        <f t="shared" ref="O48" si="95">IFERROR(O47/AVERAGE(L44:N44),0)</f>
        <v>1.448325985800059</v>
      </c>
      <c r="P48" s="341">
        <f t="shared" ref="P48" si="96">IFERROR(P47/AVERAGE(M44:O44),0)</f>
        <v>0.88415798163876536</v>
      </c>
      <c r="Q48" s="341">
        <f t="shared" ref="Q48" si="97">IFERROR(Q47/AVERAGE(N44:P44),0)</f>
        <v>0.72416888636469112</v>
      </c>
      <c r="R48" s="341">
        <f t="shared" ref="R48" si="98">IFERROR(R47/AVERAGE(O44:Q44),0)</f>
        <v>0.39883670884958383</v>
      </c>
      <c r="S48" s="341">
        <f t="shared" ref="S48" si="99">IFERROR(S47/AVERAGE(P44:R44),0)</f>
        <v>0.3855163944936254</v>
      </c>
      <c r="T48" s="341">
        <f t="shared" ref="T48" si="100">IFERROR(T47/AVERAGE(Q44:S44),0)</f>
        <v>0.21774163341167421</v>
      </c>
      <c r="U48" s="341">
        <f t="shared" ref="U48" si="101">IFERROR(U47/AVERAGE(R44:T44),0)</f>
        <v>-6.9609571366305648E-2</v>
      </c>
      <c r="V48" s="335">
        <f>U48</f>
        <v>-6.9609571366305648E-2</v>
      </c>
      <c r="W48" s="382"/>
      <c r="X48" s="383"/>
      <c r="Y48" s="384"/>
    </row>
    <row r="49" spans="4:28" ht="14.4" thickBot="1">
      <c r="D49" s="931"/>
      <c r="E49" s="342" t="s">
        <v>815</v>
      </c>
      <c r="F49" s="411">
        <f>IFERROR(F47/AVERAGE(G44:H44,J44),0)</f>
        <v>1.3445696989571663</v>
      </c>
      <c r="G49" s="360">
        <f>IFERROR(G47/AVERAGE(H44,J44:K44),0)</f>
        <v>1.3227194207993012</v>
      </c>
      <c r="H49" s="360">
        <f>IFERROR(H47/AVERAGE(J44:L44),0)</f>
        <v>0.28886971853588456</v>
      </c>
      <c r="I49" s="412">
        <f>H49</f>
        <v>0.28886971853588456</v>
      </c>
      <c r="J49" s="343">
        <f>IFERROR(J47/AVERAGE(K44:M44),0)</f>
        <v>2.1404513294017957</v>
      </c>
      <c r="K49" s="343">
        <f t="shared" ref="K49" si="102">IFERROR(K47/AVERAGE(L44:N44),0)</f>
        <v>1.972568229842721</v>
      </c>
      <c r="L49" s="343">
        <f t="shared" ref="L49" si="103">IFERROR(L47/AVERAGE(M44:O44),0)</f>
        <v>1.2755209347160552</v>
      </c>
      <c r="M49" s="343">
        <f t="shared" ref="M49" si="104">IFERROR(M47/AVERAGE(N44:P44),0)</f>
        <v>1.138353540254069</v>
      </c>
      <c r="N49" s="343">
        <f t="shared" ref="N49" si="105">IFERROR(N47/AVERAGE(O44:Q44),0)</f>
        <v>1.1373897391742482</v>
      </c>
      <c r="O49" s="343">
        <f t="shared" ref="O49" si="106">IFERROR(O47/AVERAGE(P44:R44),0)</f>
        <v>1.3918141522460512</v>
      </c>
      <c r="P49" s="343">
        <f t="shared" ref="P49" si="107">IFERROR(P47/AVERAGE(Q44:S44),0)</f>
        <v>1.1045431439431284</v>
      </c>
      <c r="Q49" s="343">
        <f t="shared" ref="Q49" si="108">IFERROR(Q47/AVERAGE(R44:T44),0)</f>
        <v>0.84816840635207469</v>
      </c>
      <c r="R49" s="343">
        <f t="shared" ref="R49" si="109">IFERROR(R47/AVERAGE(S44:U44),0)</f>
        <v>0.34242621097087561</v>
      </c>
      <c r="S49" s="343">
        <f>IFERROR(S47/AVERAGE(T44:U44,W44),0)</f>
        <v>0.22774537029078185</v>
      </c>
      <c r="T49" s="343">
        <f>IFERROR(T47/AVERAGE(U44,W44:X44),0)</f>
        <v>9.4059737733658402E-2</v>
      </c>
      <c r="U49" s="343">
        <f>IFERROR(U47/AVERAGE(W44:Y44),0)</f>
        <v>0</v>
      </c>
      <c r="V49" s="338">
        <f>U49</f>
        <v>0</v>
      </c>
      <c r="W49" s="387"/>
      <c r="X49" s="388"/>
      <c r="Y49" s="389"/>
    </row>
    <row r="50" spans="4:28" hidden="1" outlineLevel="1">
      <c r="D50" s="931"/>
      <c r="E50" s="344" t="s">
        <v>816</v>
      </c>
      <c r="F50" s="354">
        <f t="shared" ref="F50:W52" si="110">SUMIFS(F$4:F$41,$E$4:$E$41,$E50,$A$4:$A$41,"Nefecon")*SUMIFS($AC$4:$AC$41,$E$4:$E$41,$E50,$A$4:$A$41,"Nefecon")/10^6+SUMIFS(F$4:F$41,$E$4:$E$41,$E50,$A$4:$A$41,"Xerava")*SUMIFS($AC$4:$AC$41,$E$4:$E$41,$E50,$A$4:$A$41,"Xerava")/10^6+SUMIFS(F$4:F$41,$E$4:$E$41,$E50,$A$4:$A$41,"Velsipity")*SUMIFS($AC$4:$AC$41,$E$4:$E$41,$E50,$A$4:$A$41,"Velsipity")/10^6</f>
        <v>127.77105389336285</v>
      </c>
      <c r="G50" s="354">
        <f t="shared" si="110"/>
        <v>248.72211516504427</v>
      </c>
      <c r="H50" s="354">
        <f t="shared" si="110"/>
        <v>214.45435142123898</v>
      </c>
      <c r="I50" s="355">
        <f t="shared" si="110"/>
        <v>1643.4605707964606</v>
      </c>
      <c r="J50" s="354">
        <f t="shared" si="110"/>
        <v>0</v>
      </c>
      <c r="K50" s="354">
        <f t="shared" si="110"/>
        <v>240.334017511062</v>
      </c>
      <c r="L50" s="354">
        <f t="shared" si="110"/>
        <v>243.02060153761067</v>
      </c>
      <c r="M50" s="354">
        <f t="shared" si="110"/>
        <v>245.81366711888097</v>
      </c>
      <c r="N50" s="354">
        <f t="shared" si="110"/>
        <v>198.84668605290133</v>
      </c>
      <c r="O50" s="354">
        <f t="shared" si="110"/>
        <v>377.78452496883051</v>
      </c>
      <c r="P50" s="354">
        <f t="shared" si="110"/>
        <v>241.5697308537863</v>
      </c>
      <c r="Q50" s="354">
        <f t="shared" si="110"/>
        <v>208.91712763677609</v>
      </c>
      <c r="R50" s="354">
        <f t="shared" si="110"/>
        <v>264.55644179606816</v>
      </c>
      <c r="S50" s="354">
        <f t="shared" si="110"/>
        <v>243.82654875604911</v>
      </c>
      <c r="T50" s="354">
        <f t="shared" si="110"/>
        <v>250.91631279567608</v>
      </c>
      <c r="U50" s="354">
        <f t="shared" si="110"/>
        <v>478.09167274472117</v>
      </c>
      <c r="V50" s="335">
        <f t="shared" ref="V50:V51" si="111">SUM(J50:U50)</f>
        <v>2993.6773317723623</v>
      </c>
      <c r="W50" s="382">
        <f t="shared" si="110"/>
        <v>63.807876356642758</v>
      </c>
      <c r="X50" s="383">
        <f t="shared" ref="W50:Y51" si="112">SUMIFS(X$4:X$41,$E$4:$E$41,$E50,$A$4:$A$41,"Nefecon")*SUMIFS($AC$4:$AC$41,$E$4:$E$41,$E50,$A$4:$A$41,"Nefecon")/10^6+SUMIFS(X$4:X$41,$E$4:$E$41,$E50,$A$4:$A$41,"Xerava")*SUMIFS($AC$4:$AC$41,$E$4:$E$41,$E50,$A$4:$A$41,"Xerava")/10^6+SUMIFS(X$4:X$41,$E$4:$E$41,$E50,$A$4:$A$41,"Velsipity")*SUMIFS($AC$4:$AC$41,$E$4:$E$41,$E50,$A$4:$A$41,"Velsipity")/10^6</f>
        <v>85.077168475523678</v>
      </c>
      <c r="Y50" s="384">
        <f t="shared" si="112"/>
        <v>91.223993897880277</v>
      </c>
    </row>
    <row r="51" spans="4:28" collapsed="1">
      <c r="D51" s="931"/>
      <c r="E51" s="345" t="s">
        <v>817</v>
      </c>
      <c r="F51" s="352">
        <f t="shared" si="110"/>
        <v>134.34079868362835</v>
      </c>
      <c r="G51" s="352">
        <f t="shared" si="110"/>
        <v>141.45070818584071</v>
      </c>
      <c r="H51" s="352">
        <f t="shared" si="110"/>
        <v>167.3098976309735</v>
      </c>
      <c r="I51" s="355">
        <f t="shared" si="110"/>
        <v>1234.3457914492908</v>
      </c>
      <c r="J51" s="352">
        <f t="shared" si="110"/>
        <v>150.42472213141593</v>
      </c>
      <c r="K51" s="352">
        <f t="shared" si="110"/>
        <v>151.31448733938055</v>
      </c>
      <c r="L51" s="352">
        <f t="shared" si="110"/>
        <v>153.20481531371684</v>
      </c>
      <c r="M51" s="352">
        <f t="shared" si="110"/>
        <v>188.1688077126534</v>
      </c>
      <c r="N51" s="352">
        <f t="shared" si="110"/>
        <v>191.42242888039115</v>
      </c>
      <c r="O51" s="352">
        <f t="shared" si="110"/>
        <v>195.22071529086006</v>
      </c>
      <c r="P51" s="352">
        <f t="shared" si="110"/>
        <v>208.70719470496053</v>
      </c>
      <c r="Q51" s="352">
        <f t="shared" si="110"/>
        <v>212.05895619654191</v>
      </c>
      <c r="R51" s="352">
        <f t="shared" si="110"/>
        <v>216.5221775201376</v>
      </c>
      <c r="S51" s="352">
        <f t="shared" si="110"/>
        <v>259.20827516122927</v>
      </c>
      <c r="T51" s="352">
        <f t="shared" si="110"/>
        <v>262.37965629256695</v>
      </c>
      <c r="U51" s="352">
        <f t="shared" si="110"/>
        <v>267.79570640759704</v>
      </c>
      <c r="V51" s="338">
        <f t="shared" si="111"/>
        <v>2456.4279429514513</v>
      </c>
      <c r="W51" s="385">
        <f t="shared" si="112"/>
        <v>299.94400829691102</v>
      </c>
      <c r="X51" s="347">
        <f t="shared" si="112"/>
        <v>306.59745225434233</v>
      </c>
      <c r="Y51" s="386">
        <f t="shared" si="112"/>
        <v>314.83434692371361</v>
      </c>
      <c r="AA51" s="402"/>
      <c r="AB51" s="402"/>
    </row>
    <row r="52" spans="4:28" ht="14.4" thickBot="1">
      <c r="D52" s="931"/>
      <c r="E52" s="346" t="s">
        <v>818</v>
      </c>
      <c r="F52" s="351">
        <f t="shared" si="110"/>
        <v>569.4298482942479</v>
      </c>
      <c r="G52" s="351">
        <f t="shared" ref="G52:H52" si="113">F52+G50-G51</f>
        <v>676.70125527345135</v>
      </c>
      <c r="H52" s="351">
        <f t="shared" si="113"/>
        <v>723.84570906371675</v>
      </c>
      <c r="I52" s="356">
        <f t="shared" si="110"/>
        <v>679.99182596619607</v>
      </c>
      <c r="J52" s="351">
        <f>I52+J50-J51</f>
        <v>529.56710383478014</v>
      </c>
      <c r="K52" s="351">
        <f t="shared" ref="K52:U52" si="114">J52+K50-K51</f>
        <v>618.58663400646162</v>
      </c>
      <c r="L52" s="351">
        <f t="shared" si="114"/>
        <v>708.40242023035546</v>
      </c>
      <c r="M52" s="351">
        <f t="shared" si="114"/>
        <v>766.04727963658297</v>
      </c>
      <c r="N52" s="351">
        <f t="shared" si="114"/>
        <v>773.4715368090931</v>
      </c>
      <c r="O52" s="351">
        <f t="shared" si="114"/>
        <v>956.03534648706352</v>
      </c>
      <c r="P52" s="351">
        <f t="shared" si="114"/>
        <v>988.89788263588935</v>
      </c>
      <c r="Q52" s="351">
        <f t="shared" si="114"/>
        <v>985.75605407612352</v>
      </c>
      <c r="R52" s="351">
        <f t="shared" si="114"/>
        <v>1033.7903183520541</v>
      </c>
      <c r="S52" s="351">
        <f t="shared" si="114"/>
        <v>1018.4085919468739</v>
      </c>
      <c r="T52" s="351">
        <f t="shared" si="114"/>
        <v>1006.945248449983</v>
      </c>
      <c r="U52" s="351">
        <f t="shared" si="114"/>
        <v>1217.2412147871071</v>
      </c>
      <c r="V52" s="338">
        <f>U52</f>
        <v>1217.2412147871071</v>
      </c>
      <c r="W52" s="387"/>
      <c r="X52" s="388"/>
      <c r="Y52" s="389"/>
    </row>
    <row r="53" spans="4:28">
      <c r="D53" s="931"/>
      <c r="E53" s="348" t="s">
        <v>819</v>
      </c>
      <c r="F53" s="359">
        <f>IFERROR(F52/AVERAGE(F51),0)</f>
        <v>4.2386963147007277</v>
      </c>
      <c r="G53" s="359">
        <f>IFERROR(G52/AVERAGE(F51:G51),0)</f>
        <v>4.9073393372750322</v>
      </c>
      <c r="H53" s="359">
        <f>IFERROR(H52/AVERAGE(F51:H51),0)</f>
        <v>4.9007678719487826</v>
      </c>
      <c r="I53" s="397">
        <f>H53</f>
        <v>4.9007678719487826</v>
      </c>
      <c r="J53" s="359">
        <f>IFERROR(J52/AVERAGE(F51:H51),0)</f>
        <v>3.5854124933218392</v>
      </c>
      <c r="K53" s="359">
        <f>IFERROR(K52/AVERAGE(G51:H51,J51),0)</f>
        <v>4.0414181139267775</v>
      </c>
      <c r="L53" s="359">
        <f>IFERROR(L52/AVERAGE(J51:K51,H51),0)</f>
        <v>4.5308843541406816</v>
      </c>
      <c r="M53" s="359">
        <f>IFERROR(M52/AVERAGE(J51:L51),0)</f>
        <v>5.051482630194509</v>
      </c>
      <c r="N53" s="359">
        <f t="shared" ref="N53" si="115">IFERROR(N52/AVERAGE(K51:M51),0)</f>
        <v>4.7097028761353741</v>
      </c>
      <c r="O53" s="359">
        <f t="shared" ref="O53" si="116">IFERROR(O52/AVERAGE(L51:N51),0)</f>
        <v>5.3831217952851977</v>
      </c>
      <c r="P53" s="359">
        <f t="shared" ref="P53" si="117">IFERROR(P52/AVERAGE(M51:O51),0)</f>
        <v>5.1611551189646354</v>
      </c>
      <c r="Q53" s="359">
        <f t="shared" ref="Q53" si="118">IFERROR(Q52/AVERAGE(N51:P51),0)</f>
        <v>4.9672738371335017</v>
      </c>
      <c r="R53" s="359">
        <f t="shared" ref="R53" si="119">IFERROR(R52/AVERAGE(O51:Q51),0)</f>
        <v>5.0348004564234579</v>
      </c>
      <c r="S53" s="359">
        <f t="shared" ref="S53" si="120">IFERROR(S52/AVERAGE(P51:R51),0)</f>
        <v>4.7941028253372249</v>
      </c>
      <c r="T53" s="359">
        <f t="shared" ref="T53" si="121">IFERROR(T52/AVERAGE(Q51:S51),0)</f>
        <v>4.3920940135997144</v>
      </c>
      <c r="U53" s="359">
        <f t="shared" ref="U53" si="122">IFERROR(U52/AVERAGE(R51:T51),0)</f>
        <v>4.947396872043492</v>
      </c>
      <c r="V53" s="357">
        <f>U53</f>
        <v>4.947396872043492</v>
      </c>
      <c r="W53" s="390"/>
      <c r="X53" s="361"/>
      <c r="Y53" s="391"/>
    </row>
    <row r="54" spans="4:28" ht="14.4" thickBot="1">
      <c r="D54" s="932"/>
      <c r="E54" s="349" t="s">
        <v>820</v>
      </c>
      <c r="F54" s="360">
        <f>IFERROR(F52/AVERAGE(G51:H51,J51),0)</f>
        <v>3.7202616044285746</v>
      </c>
      <c r="G54" s="360">
        <f>IFERROR(G52/AVERAGE(H51,J51:K51),0)</f>
        <v>4.3281262773620002</v>
      </c>
      <c r="H54" s="360">
        <f>IFERROR(H52/AVERAGE(J51:L51),0)</f>
        <v>4.7731962810583362</v>
      </c>
      <c r="I54" s="363">
        <f>IFERROR(I52/AVERAGE(J51:L51),0)</f>
        <v>4.4840142232109406</v>
      </c>
      <c r="J54" s="360">
        <f>IFERROR(J52/AVERAGE(K51:M51),0)</f>
        <v>3.2245578451750254</v>
      </c>
      <c r="K54" s="360">
        <f t="shared" ref="K54" si="123">IFERROR(K52/AVERAGE(L51:N51),0)</f>
        <v>3.4830586588958816</v>
      </c>
      <c r="L54" s="360">
        <f t="shared" ref="L54" si="124">IFERROR(L52/AVERAGE(M51:O51),0)</f>
        <v>3.6972217674421231</v>
      </c>
      <c r="M54" s="360">
        <f t="shared" ref="M54" si="125">IFERROR(M52/AVERAGE(N51:P51),0)</f>
        <v>3.8601503834662139</v>
      </c>
      <c r="N54" s="360">
        <f t="shared" ref="N54" si="126">IFERROR(N52/AVERAGE(O51:Q51),0)</f>
        <v>3.7669871514803566</v>
      </c>
      <c r="O54" s="360">
        <f t="shared" ref="O54" si="127">IFERROR(O52/AVERAGE(P51:R51),0)</f>
        <v>4.5004841789030952</v>
      </c>
      <c r="P54" s="360">
        <f t="shared" ref="P54" si="128">IFERROR(P52/AVERAGE(Q51:S51),0)</f>
        <v>4.3133750092890626</v>
      </c>
      <c r="Q54" s="360">
        <f t="shared" ref="Q54" si="129">IFERROR(Q52/AVERAGE(R51:T51),0)</f>
        <v>4.0065406587363324</v>
      </c>
      <c r="R54" s="360">
        <f t="shared" ref="R54" si="130">IFERROR(R52/AVERAGE(S51:U51),0)</f>
        <v>3.9288513294479102</v>
      </c>
      <c r="S54" s="360">
        <f>IFERROR(S52/AVERAGE(T51:U51,W51),0)</f>
        <v>3.6804655843302649</v>
      </c>
      <c r="T54" s="360">
        <f>IFERROR(T52/AVERAGE(U51,W51:X51),0)</f>
        <v>3.4550009533017154</v>
      </c>
      <c r="U54" s="360">
        <f>IFERROR(U52/AVERAGE(W51:Y51),0)</f>
        <v>3.9633378852966423</v>
      </c>
      <c r="V54" s="358">
        <f>U54</f>
        <v>3.9633378852966423</v>
      </c>
      <c r="W54" s="392"/>
      <c r="X54" s="362"/>
      <c r="Y54" s="393"/>
    </row>
    <row r="57" spans="4:28">
      <c r="U57" s="402"/>
    </row>
    <row r="58" spans="4:28">
      <c r="U58" s="402">
        <f>U13*AC13+U26*AC26+U39*AC39</f>
        <v>1217241214.7871072</v>
      </c>
    </row>
    <row r="65" spans="8:8">
      <c r="H65" s="352">
        <f>35000+37024+39548</f>
        <v>111572</v>
      </c>
    </row>
  </sheetData>
  <mergeCells count="8">
    <mergeCell ref="D30:D41"/>
    <mergeCell ref="D43:D54"/>
    <mergeCell ref="W2:Y2"/>
    <mergeCell ref="J2:V2"/>
    <mergeCell ref="D3:E3"/>
    <mergeCell ref="D4:D15"/>
    <mergeCell ref="D17:D28"/>
    <mergeCell ref="F2:I2"/>
  </mergeCells>
  <phoneticPr fontId="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1CFF0-202A-4E39-BE4E-B01DA8742213}">
  <sheetPr>
    <tabColor rgb="FF92D050"/>
  </sheetPr>
  <dimension ref="A1:Z39"/>
  <sheetViews>
    <sheetView topLeftCell="E12" zoomScale="70" zoomScaleNormal="70" workbookViewId="0">
      <selection activeCell="B10" activeCellId="1" sqref="B4:D15 B4:D15"/>
    </sheetView>
  </sheetViews>
  <sheetFormatPr defaultRowHeight="13.8" outlineLevelRow="1" outlineLevelCol="1"/>
  <cols>
    <col min="3" max="3" width="17.6640625" customWidth="1"/>
    <col min="4" max="4" width="24.21875" customWidth="1"/>
    <col min="5" max="7" width="11.109375" bestFit="1" customWidth="1"/>
    <col min="8" max="8" width="10.77734375" customWidth="1"/>
    <col min="10" max="10" width="6.6640625" hidden="1" customWidth="1" outlineLevel="1"/>
    <col min="11" max="11" width="8.21875" hidden="1" customWidth="1" outlineLevel="1"/>
    <col min="12" max="12" width="19.77734375" hidden="1" customWidth="1" outlineLevel="1"/>
    <col min="13" max="13" width="24.77734375" customWidth="1" collapsed="1"/>
    <col min="14" max="14" width="10.109375" bestFit="1" customWidth="1"/>
    <col min="15" max="15" width="10.77734375" bestFit="1" customWidth="1"/>
    <col min="16" max="16" width="8.5546875" bestFit="1" customWidth="1"/>
    <col min="17" max="17" width="9.44140625" bestFit="1" customWidth="1"/>
    <col min="19" max="19" width="6.6640625" hidden="1" customWidth="1" outlineLevel="1"/>
    <col min="20" max="20" width="8.21875" hidden="1" customWidth="1" outlineLevel="1"/>
    <col min="21" max="21" width="19.77734375" hidden="1" customWidth="1" outlineLevel="1"/>
    <col min="22" max="22" width="27.109375" customWidth="1" collapsed="1"/>
    <col min="23" max="23" width="8.5546875" bestFit="1" customWidth="1"/>
    <col min="24" max="24" width="10.77734375" bestFit="1" customWidth="1"/>
    <col min="25" max="25" width="8.5546875" bestFit="1" customWidth="1"/>
    <col min="26" max="26" width="9.44140625" bestFit="1" customWidth="1"/>
  </cols>
  <sheetData>
    <row r="1" spans="4:26">
      <c r="D1" t="s">
        <v>732</v>
      </c>
      <c r="E1">
        <f>10^6</f>
        <v>1000000</v>
      </c>
    </row>
    <row r="2" spans="4:26">
      <c r="D2" t="s">
        <v>8</v>
      </c>
      <c r="E2" s="8">
        <v>0.7</v>
      </c>
      <c r="N2" s="8"/>
      <c r="W2" s="8"/>
    </row>
    <row r="3" spans="4:26">
      <c r="D3" t="s">
        <v>42</v>
      </c>
      <c r="E3" s="8">
        <v>0.3</v>
      </c>
      <c r="N3" s="8"/>
      <c r="W3" s="8"/>
    </row>
    <row r="4" spans="4:26">
      <c r="D4" t="s">
        <v>130</v>
      </c>
      <c r="E4" s="8">
        <v>0</v>
      </c>
      <c r="N4" s="2">
        <f>N20</f>
        <v>-110.7</v>
      </c>
      <c r="O4" s="7">
        <f>N4+15</f>
        <v>-95.7</v>
      </c>
      <c r="W4" s="8"/>
    </row>
    <row r="6" spans="4:26" ht="14.4" thickBot="1"/>
    <row r="7" spans="4:26" ht="14.4" thickBot="1">
      <c r="D7" s="287" t="s">
        <v>8</v>
      </c>
      <c r="E7" s="288" t="s">
        <v>25</v>
      </c>
      <c r="F7" s="288" t="s">
        <v>767</v>
      </c>
      <c r="G7" s="288" t="s">
        <v>139</v>
      </c>
      <c r="H7" s="289" t="s">
        <v>768</v>
      </c>
      <c r="M7" s="287" t="s">
        <v>42</v>
      </c>
      <c r="N7" s="288" t="s">
        <v>25</v>
      </c>
      <c r="O7" s="288" t="s">
        <v>767</v>
      </c>
      <c r="P7" s="288" t="s">
        <v>139</v>
      </c>
      <c r="Q7" s="289" t="s">
        <v>768</v>
      </c>
      <c r="V7" s="287" t="s">
        <v>130</v>
      </c>
      <c r="W7" s="288" t="s">
        <v>25</v>
      </c>
      <c r="X7" s="288" t="s">
        <v>767</v>
      </c>
      <c r="Y7" s="288" t="s">
        <v>139</v>
      </c>
      <c r="Z7" s="289" t="s">
        <v>768</v>
      </c>
    </row>
    <row r="8" spans="4:26">
      <c r="D8" s="292" t="s">
        <v>772</v>
      </c>
      <c r="E8" s="299">
        <f>E9*E10/$E$1</f>
        <v>939.36</v>
      </c>
      <c r="F8" s="299">
        <f>F9*F10/$E$1</f>
        <v>1669.1794247787614</v>
      </c>
      <c r="G8" s="299">
        <f>F8-E8</f>
        <v>729.81942477876134</v>
      </c>
      <c r="H8" s="300">
        <f>IFERROR(G8/E8,"")</f>
        <v>0.77693261878168252</v>
      </c>
      <c r="M8" s="292" t="s">
        <v>772</v>
      </c>
      <c r="N8" s="144">
        <f>N9*N10/$E$1</f>
        <v>280.53399999999999</v>
      </c>
      <c r="O8" s="144">
        <f>O9*O10/$E$1</f>
        <v>357.68085000000002</v>
      </c>
      <c r="P8" s="144">
        <f>O8-N8</f>
        <v>77.146850000000029</v>
      </c>
      <c r="Q8" s="293">
        <f>IFERROR(P8/N8,"")</f>
        <v>0.27500000000000013</v>
      </c>
      <c r="V8" s="292" t="s">
        <v>772</v>
      </c>
      <c r="W8" s="144"/>
      <c r="X8" s="144">
        <f>X9*X10/$E$1</f>
        <v>42.276000000000003</v>
      </c>
      <c r="Y8" s="144">
        <f>X8-W8</f>
        <v>42.276000000000003</v>
      </c>
      <c r="Z8" s="293" t="str">
        <f>IFERROR(Y8/W8,"")</f>
        <v/>
      </c>
    </row>
    <row r="9" spans="4:26">
      <c r="D9" s="280" t="s">
        <v>24</v>
      </c>
      <c r="E9" s="40">
        <v>3914</v>
      </c>
      <c r="F9" s="40">
        <v>3974.2367256637176</v>
      </c>
      <c r="G9" s="40">
        <f t="shared" ref="G9:G10" si="0">F9-E9</f>
        <v>60.236725663717607</v>
      </c>
      <c r="H9" s="281">
        <f t="shared" ref="H9:H36" si="1">IFERROR(G9/E9,"")</f>
        <v>1.5390067875247217E-2</v>
      </c>
      <c r="M9" s="280" t="s">
        <v>24</v>
      </c>
      <c r="N9" s="40">
        <v>1402.67</v>
      </c>
      <c r="O9" s="40">
        <v>1402.67</v>
      </c>
      <c r="P9" s="40">
        <f t="shared" ref="P9:P39" si="2">O9-N9</f>
        <v>0</v>
      </c>
      <c r="Q9" s="281">
        <f t="shared" ref="Q9:Q36" si="3">IFERROR(P9/N9,"")</f>
        <v>0</v>
      </c>
      <c r="V9" s="280" t="s">
        <v>24</v>
      </c>
      <c r="W9" s="40"/>
      <c r="X9" s="40">
        <v>7046</v>
      </c>
      <c r="Y9" s="40">
        <f t="shared" ref="Y9:Y39" si="4">X9-W9</f>
        <v>7046</v>
      </c>
      <c r="Z9" s="281" t="str">
        <f t="shared" ref="Z9:Z36" si="5">IFERROR(Y9/W9,"")</f>
        <v/>
      </c>
    </row>
    <row r="10" spans="4:26" ht="14.4" thickBot="1">
      <c r="D10" s="285" t="s">
        <v>9</v>
      </c>
      <c r="E10" s="294">
        <v>240000</v>
      </c>
      <c r="F10" s="294">
        <v>420000</v>
      </c>
      <c r="G10" s="294">
        <f t="shared" si="0"/>
        <v>180000</v>
      </c>
      <c r="H10" s="181">
        <f t="shared" si="1"/>
        <v>0.75</v>
      </c>
      <c r="M10" s="285" t="s">
        <v>9</v>
      </c>
      <c r="N10" s="294">
        <v>200000</v>
      </c>
      <c r="O10" s="294">
        <v>255000</v>
      </c>
      <c r="P10" s="294">
        <f t="shared" si="2"/>
        <v>55000</v>
      </c>
      <c r="Q10" s="181">
        <f t="shared" si="3"/>
        <v>0.27500000000000002</v>
      </c>
      <c r="V10" s="285" t="s">
        <v>9</v>
      </c>
      <c r="W10" s="294"/>
      <c r="X10" s="294">
        <v>6000</v>
      </c>
      <c r="Y10" s="294">
        <f t="shared" si="4"/>
        <v>6000</v>
      </c>
      <c r="Z10" s="181" t="str">
        <f t="shared" si="5"/>
        <v/>
      </c>
    </row>
    <row r="11" spans="4:26" ht="14.4">
      <c r="D11" s="296" t="s">
        <v>10</v>
      </c>
      <c r="E11" s="144">
        <f>-104.4</f>
        <v>-104.4</v>
      </c>
      <c r="F11" s="144">
        <f>-321*F10/$E$1</f>
        <v>-134.82</v>
      </c>
      <c r="G11" s="144">
        <f t="shared" ref="G11:G18" si="6">F11-E11</f>
        <v>-30.419999999999987</v>
      </c>
      <c r="H11" s="293">
        <f t="shared" si="1"/>
        <v>0.29137931034482745</v>
      </c>
      <c r="M11" s="296" t="s">
        <v>10</v>
      </c>
      <c r="N11" s="144">
        <v>-32.6</v>
      </c>
      <c r="O11" s="144">
        <f>-162.792465042921*O10/$E$1</f>
        <v>-41.512078585944856</v>
      </c>
      <c r="P11" s="144">
        <f t="shared" si="2"/>
        <v>-8.9120785859448546</v>
      </c>
      <c r="Q11" s="293">
        <f t="shared" si="3"/>
        <v>0.27337664374063969</v>
      </c>
      <c r="V11" s="296" t="s">
        <v>10</v>
      </c>
      <c r="W11" s="144"/>
      <c r="X11" s="25">
        <f>-631.39*X10/$E$1</f>
        <v>-3.7883399999999998</v>
      </c>
      <c r="Y11" s="144">
        <f t="shared" si="4"/>
        <v>-3.7883399999999998</v>
      </c>
      <c r="Z11" s="293" t="str">
        <f t="shared" si="5"/>
        <v/>
      </c>
    </row>
    <row r="12" spans="4:26" ht="14.4">
      <c r="D12" s="282" t="s">
        <v>11</v>
      </c>
      <c r="E12" s="40">
        <v>-91.1</v>
      </c>
      <c r="F12" s="40">
        <f>-'Royalty&amp;Milestone'!E12*F8</f>
        <v>-188.3367795825952</v>
      </c>
      <c r="G12" s="40">
        <f t="shared" si="6"/>
        <v>-97.236779582595204</v>
      </c>
      <c r="H12" s="281">
        <f t="shared" si="1"/>
        <v>1.0673631128715171</v>
      </c>
      <c r="M12" s="282" t="s">
        <v>11</v>
      </c>
      <c r="N12" s="40">
        <v>-28.1</v>
      </c>
      <c r="O12" s="40">
        <f>-10%*O8</f>
        <v>-35.768085000000006</v>
      </c>
      <c r="P12" s="40">
        <f t="shared" si="2"/>
        <v>-7.6680850000000049</v>
      </c>
      <c r="Q12" s="281">
        <f t="shared" si="3"/>
        <v>0.27288558718861228</v>
      </c>
      <c r="V12" s="282" t="s">
        <v>11</v>
      </c>
      <c r="W12" s="40"/>
      <c r="X12" s="40">
        <f>-9%*X8</f>
        <v>-3.80484</v>
      </c>
      <c r="Y12" s="40">
        <f t="shared" si="4"/>
        <v>-3.80484</v>
      </c>
      <c r="Z12" s="281" t="str">
        <f t="shared" si="5"/>
        <v/>
      </c>
    </row>
    <row r="13" spans="4:26" ht="14.4">
      <c r="D13" s="282" t="s">
        <v>12</v>
      </c>
      <c r="E13" s="40">
        <f>-36.5</f>
        <v>-36.5</v>
      </c>
      <c r="F13" s="40">
        <f>-25*10^6/$E$1*7.05</f>
        <v>-176.25</v>
      </c>
      <c r="G13" s="40">
        <f t="shared" si="6"/>
        <v>-139.75</v>
      </c>
      <c r="H13" s="281">
        <f t="shared" si="1"/>
        <v>3.8287671232876712</v>
      </c>
      <c r="M13" s="282" t="s">
        <v>12</v>
      </c>
      <c r="N13" s="40"/>
      <c r="O13" s="40">
        <f>-5*7.05*10^6/$E$1</f>
        <v>-35.25</v>
      </c>
      <c r="P13" s="40">
        <f t="shared" si="2"/>
        <v>-35.25</v>
      </c>
      <c r="Q13" s="281" t="str">
        <f t="shared" si="3"/>
        <v/>
      </c>
      <c r="V13" s="282" t="s">
        <v>12</v>
      </c>
      <c r="W13" s="40"/>
      <c r="X13" s="40"/>
      <c r="Y13" s="40">
        <f t="shared" si="4"/>
        <v>0</v>
      </c>
      <c r="Z13" s="281" t="str">
        <f t="shared" si="5"/>
        <v/>
      </c>
    </row>
    <row r="14" spans="4:26" ht="14.4">
      <c r="D14" s="282" t="s">
        <v>13</v>
      </c>
      <c r="E14" s="40">
        <v>-61.7</v>
      </c>
      <c r="F14" s="40">
        <f>-62*10^6/$E$1</f>
        <v>-62</v>
      </c>
      <c r="G14" s="40">
        <f t="shared" si="6"/>
        <v>-0.29999999999999716</v>
      </c>
      <c r="H14" s="281">
        <f t="shared" si="1"/>
        <v>4.8622366288492242E-3</v>
      </c>
      <c r="M14" s="282" t="s">
        <v>13</v>
      </c>
      <c r="N14" s="40">
        <v>-18.399999999999999</v>
      </c>
      <c r="O14" s="40">
        <f>N14</f>
        <v>-18.399999999999999</v>
      </c>
      <c r="P14" s="40">
        <f t="shared" si="2"/>
        <v>0</v>
      </c>
      <c r="Q14" s="281">
        <f t="shared" si="3"/>
        <v>0</v>
      </c>
      <c r="V14" s="282" t="s">
        <v>13</v>
      </c>
      <c r="W14" s="40"/>
      <c r="X14" s="40"/>
      <c r="Y14" s="40">
        <f t="shared" si="4"/>
        <v>0</v>
      </c>
      <c r="Z14" s="281" t="str">
        <f t="shared" si="5"/>
        <v/>
      </c>
    </row>
    <row r="15" spans="4:26">
      <c r="D15" s="280" t="s">
        <v>14</v>
      </c>
      <c r="E15" s="40">
        <f>SUM(E11:E14)</f>
        <v>-293.7</v>
      </c>
      <c r="F15" s="40">
        <f>SUM(F11:F14)</f>
        <v>-561.40677958259516</v>
      </c>
      <c r="G15" s="40">
        <f t="shared" si="6"/>
        <v>-267.70677958259517</v>
      </c>
      <c r="H15" s="281">
        <f t="shared" si="1"/>
        <v>0.91149737685595911</v>
      </c>
      <c r="M15" s="280" t="s">
        <v>14</v>
      </c>
      <c r="N15" s="40">
        <f>SUM(N11:N14)</f>
        <v>-79.099999999999994</v>
      </c>
      <c r="O15" s="40">
        <f>SUM(O11:O14)</f>
        <v>-130.93016358594485</v>
      </c>
      <c r="P15" s="40">
        <f t="shared" si="2"/>
        <v>-51.83016358594486</v>
      </c>
      <c r="Q15" s="281">
        <f t="shared" si="3"/>
        <v>0.65524859147844328</v>
      </c>
      <c r="V15" s="280" t="s">
        <v>14</v>
      </c>
      <c r="W15" s="40">
        <f>SUM(W11:W14)</f>
        <v>0</v>
      </c>
      <c r="X15" s="40">
        <f>SUM(X11:X14)</f>
        <v>-7.5931800000000003</v>
      </c>
      <c r="Y15" s="40">
        <f t="shared" si="4"/>
        <v>-7.5931800000000003</v>
      </c>
      <c r="Z15" s="281" t="str">
        <f t="shared" si="5"/>
        <v/>
      </c>
    </row>
    <row r="16" spans="4:26" ht="14.4" thickBot="1">
      <c r="D16" s="301" t="s">
        <v>15</v>
      </c>
      <c r="E16" s="302">
        <f>SUM(E8,E15)</f>
        <v>645.66000000000008</v>
      </c>
      <c r="F16" s="302">
        <f>SUM(F8,F15)</f>
        <v>1107.7726451961662</v>
      </c>
      <c r="G16" s="302">
        <f t="shared" si="6"/>
        <v>462.11264519616611</v>
      </c>
      <c r="H16" s="303">
        <f t="shared" si="1"/>
        <v>0.71572134745247662</v>
      </c>
      <c r="M16" s="285" t="s">
        <v>15</v>
      </c>
      <c r="N16" s="294">
        <f>SUM(N8,N15)</f>
        <v>201.434</v>
      </c>
      <c r="O16" s="294">
        <f>SUM(O8,O15)</f>
        <v>226.75068641405517</v>
      </c>
      <c r="P16" s="294">
        <f t="shared" si="2"/>
        <v>25.31668641405517</v>
      </c>
      <c r="Q16" s="181">
        <f t="shared" si="3"/>
        <v>0.12568229005061296</v>
      </c>
      <c r="V16" s="285" t="s">
        <v>15</v>
      </c>
      <c r="W16" s="294">
        <f>SUM(W8,W15)</f>
        <v>0</v>
      </c>
      <c r="X16" s="294">
        <f>SUM(X8,X15)</f>
        <v>34.682820000000007</v>
      </c>
      <c r="Y16" s="294">
        <f t="shared" si="4"/>
        <v>34.682820000000007</v>
      </c>
      <c r="Z16" s="181" t="str">
        <f t="shared" si="5"/>
        <v/>
      </c>
    </row>
    <row r="17" spans="1:26" ht="24">
      <c r="D17" s="304" t="s">
        <v>774</v>
      </c>
      <c r="E17" s="103">
        <f>(E16-E14-E13)/E8</f>
        <v>0.7918795775847387</v>
      </c>
      <c r="F17" s="103">
        <f t="shared" ref="F17" si="7">(F16-F14-F13)/F8</f>
        <v>0.80639781752316564</v>
      </c>
      <c r="G17" s="103">
        <f t="shared" si="6"/>
        <v>1.4518239938426936E-2</v>
      </c>
      <c r="H17" s="293"/>
      <c r="M17" s="304" t="s">
        <v>774</v>
      </c>
      <c r="N17" s="103">
        <f>(N16-N14-N13)/N8</f>
        <v>0.7836269400500474</v>
      </c>
      <c r="O17" s="103">
        <f t="shared" ref="O17" si="8">(O16-O14-O13)/O8</f>
        <v>0.78394100890236407</v>
      </c>
      <c r="P17" s="103">
        <f t="shared" si="2"/>
        <v>3.1406885231666237E-4</v>
      </c>
      <c r="Q17" s="293"/>
      <c r="V17" s="304" t="s">
        <v>774</v>
      </c>
      <c r="W17" s="103"/>
      <c r="X17" s="103">
        <f t="shared" ref="X17" si="9">(X16-X14-X13)/X8</f>
        <v>0.82039029236446215</v>
      </c>
      <c r="Y17" s="103">
        <f t="shared" si="4"/>
        <v>0.82039029236446215</v>
      </c>
      <c r="Z17" s="293"/>
    </row>
    <row r="18" spans="1:26" ht="14.4" thickBot="1">
      <c r="D18" s="285" t="s">
        <v>773</v>
      </c>
      <c r="E18" s="80">
        <f>E16/E8</f>
        <v>0.68734031681144614</v>
      </c>
      <c r="F18" s="80">
        <f t="shared" ref="F18" si="10">F16/F8</f>
        <v>0.6636630123469166</v>
      </c>
      <c r="G18" s="80">
        <f t="shared" si="6"/>
        <v>-2.3677304464529536E-2</v>
      </c>
      <c r="H18" s="181"/>
      <c r="M18" s="285" t="s">
        <v>773</v>
      </c>
      <c r="N18" s="80">
        <f>N16/N8</f>
        <v>0.71803774230574546</v>
      </c>
      <c r="O18" s="80">
        <f t="shared" ref="O18" si="11">O16/O8</f>
        <v>0.63394695694235559</v>
      </c>
      <c r="P18" s="80">
        <f t="shared" si="2"/>
        <v>-8.4090785363389875E-2</v>
      </c>
      <c r="Q18" s="181"/>
      <c r="V18" s="285" t="s">
        <v>773</v>
      </c>
      <c r="W18" s="80"/>
      <c r="X18" s="80">
        <f t="shared" ref="X18" si="12">X16/X8</f>
        <v>0.82039029236446215</v>
      </c>
      <c r="Y18" s="80">
        <f t="shared" si="4"/>
        <v>0.82039029236446215</v>
      </c>
      <c r="Z18" s="181"/>
    </row>
    <row r="19" spans="1:26" ht="14.4">
      <c r="D19" s="295" t="s">
        <v>16</v>
      </c>
      <c r="E19" s="290">
        <v>-224.1</v>
      </c>
      <c r="F19" s="290">
        <f>-280118494.376235/$E$1</f>
        <v>-280.11849437623499</v>
      </c>
      <c r="G19" s="290">
        <f t="shared" ref="G19:G39" si="13">F19-E19</f>
        <v>-56.018494376234997</v>
      </c>
      <c r="H19" s="291">
        <f t="shared" si="1"/>
        <v>0.24997096999658633</v>
      </c>
      <c r="M19" s="298" t="s">
        <v>16</v>
      </c>
      <c r="N19" s="144">
        <v>-134.30000000000001</v>
      </c>
      <c r="O19" s="144">
        <f>-136.157773287286*10^6/$E$1</f>
        <v>-136.15777328728601</v>
      </c>
      <c r="P19" s="144">
        <f t="shared" si="2"/>
        <v>-1.857773287285994</v>
      </c>
      <c r="Q19" s="293">
        <f t="shared" si="3"/>
        <v>1.3833010329754236E-2</v>
      </c>
      <c r="V19" s="298" t="s">
        <v>16</v>
      </c>
      <c r="W19" s="144">
        <v>-15.8</v>
      </c>
      <c r="X19" s="144">
        <f>-52.6</f>
        <v>-52.6</v>
      </c>
      <c r="Y19" s="144">
        <f t="shared" si="4"/>
        <v>-36.799999999999997</v>
      </c>
      <c r="Z19" s="293">
        <f t="shared" si="5"/>
        <v>2.3291139240506324</v>
      </c>
    </row>
    <row r="20" spans="1:26" ht="14.4">
      <c r="D20" s="283" t="s">
        <v>17</v>
      </c>
      <c r="E20" s="40">
        <v>-173</v>
      </c>
      <c r="F20" s="40">
        <f>SUM(F21:F31)</f>
        <v>-333.45628334000008</v>
      </c>
      <c r="G20" s="40">
        <f t="shared" si="13"/>
        <v>-160.45628334000008</v>
      </c>
      <c r="H20" s="281">
        <f t="shared" si="1"/>
        <v>0.92749296728323749</v>
      </c>
      <c r="M20" s="283" t="s">
        <v>17</v>
      </c>
      <c r="N20" s="40">
        <v>-110.7</v>
      </c>
      <c r="O20" s="40">
        <f>SUM(O21:O31)</f>
        <v>-119.65499000399998</v>
      </c>
      <c r="P20" s="40">
        <f t="shared" si="2"/>
        <v>-8.9549900039999812</v>
      </c>
      <c r="Q20" s="281">
        <f t="shared" si="3"/>
        <v>8.0894218644986277E-2</v>
      </c>
      <c r="V20" s="283" t="s">
        <v>17</v>
      </c>
      <c r="W20" s="40">
        <v>-29.5</v>
      </c>
      <c r="X20" s="40">
        <f>SUM(X21:X31)</f>
        <v>-150.79639333599999</v>
      </c>
      <c r="Y20" s="40">
        <f t="shared" si="4"/>
        <v>-121.29639333599999</v>
      </c>
      <c r="Z20" s="281">
        <f t="shared" si="5"/>
        <v>4.1117421469830511</v>
      </c>
    </row>
    <row r="21" spans="1:26" ht="14.4" outlineLevel="1">
      <c r="A21" t="s">
        <v>17</v>
      </c>
      <c r="B21" t="s">
        <v>8</v>
      </c>
      <c r="C21" t="s">
        <v>721</v>
      </c>
      <c r="D21" s="284" t="s">
        <v>722</v>
      </c>
      <c r="E21" s="40"/>
      <c r="F21" s="40">
        <f>-190100000/$E$1</f>
        <v>-190.1</v>
      </c>
      <c r="G21" s="40">
        <f t="shared" si="13"/>
        <v>-190.1</v>
      </c>
      <c r="H21" s="281" t="str">
        <f t="shared" si="1"/>
        <v/>
      </c>
      <c r="J21" t="s">
        <v>17</v>
      </c>
      <c r="K21" t="s">
        <v>42</v>
      </c>
      <c r="L21" t="s">
        <v>721</v>
      </c>
      <c r="M21" s="284" t="s">
        <v>722</v>
      </c>
      <c r="N21" s="40"/>
      <c r="O21" s="40">
        <f>-72.228</f>
        <v>-72.227999999999994</v>
      </c>
      <c r="P21" s="40">
        <f t="shared" si="2"/>
        <v>-72.227999999999994</v>
      </c>
      <c r="Q21" s="281" t="str">
        <f t="shared" si="3"/>
        <v/>
      </c>
      <c r="S21" t="s">
        <v>17</v>
      </c>
      <c r="T21" t="s">
        <v>130</v>
      </c>
      <c r="U21" t="s">
        <v>721</v>
      </c>
      <c r="V21" s="284" t="s">
        <v>722</v>
      </c>
      <c r="W21" s="40"/>
      <c r="X21" s="40">
        <f>-22</f>
        <v>-22</v>
      </c>
      <c r="Y21" s="40">
        <f t="shared" si="4"/>
        <v>-22</v>
      </c>
      <c r="Z21" s="281" t="str">
        <f t="shared" si="5"/>
        <v/>
      </c>
    </row>
    <row r="22" spans="1:26" ht="14.4" outlineLevel="1">
      <c r="A22" t="s">
        <v>17</v>
      </c>
      <c r="B22" t="s">
        <v>8</v>
      </c>
      <c r="C22" t="s">
        <v>168</v>
      </c>
      <c r="D22" s="284" t="s">
        <v>168</v>
      </c>
      <c r="E22" s="40"/>
      <c r="F22" s="40">
        <f>-SUMIFS('2026 A&amp;P + T&amp;E Consol'!$AF:$AF,'2026 A&amp;P + T&amp;E Consol'!$C:$C,$A22,'2026 A&amp;P + T&amp;E Consol'!$E:$E,$B22,'2026 A&amp;P + T&amp;E Consol'!$B:$B,$C22)/$E$1-SUMIFS('2026 A&amp;P + T&amp;E Consol'!$AF:$AF,'2026 A&amp;P + T&amp;E Consol'!$C:$C,$A22,'2026 A&amp;P + T&amp;E Consol'!$E:$E,"General",'2026 A&amp;P + T&amp;E Consol'!$B:$B,$C22)/$E$1*$E$2</f>
        <v>-35.799999999999997</v>
      </c>
      <c r="G22" s="40">
        <f t="shared" si="13"/>
        <v>-35.799999999999997</v>
      </c>
      <c r="H22" s="281" t="str">
        <f t="shared" si="1"/>
        <v/>
      </c>
      <c r="J22" t="s">
        <v>17</v>
      </c>
      <c r="K22" t="s">
        <v>42</v>
      </c>
      <c r="L22" t="s">
        <v>235</v>
      </c>
      <c r="M22" s="284" t="s">
        <v>235</v>
      </c>
      <c r="N22" s="40"/>
      <c r="O22" s="40">
        <f>-SUMIFS('2026 A&amp;P + T&amp;E Consol'!$AF:$AF,'2026 A&amp;P + T&amp;E Consol'!$C:$C,$J22,'2026 A&amp;P + T&amp;E Consol'!$E:$E,$K22,'2026 A&amp;P + T&amp;E Consol'!$B:$B,$L22)/$E$1-SUMIFS('2026 A&amp;P + T&amp;E Consol'!$AF:$AF,'2026 A&amp;P + T&amp;E Consol'!$C:$C,$J22,'2026 A&amp;P + T&amp;E Consol'!$E:$E,"General",'2026 A&amp;P + T&amp;E Consol'!$B:$B,$L22)/$E$1*$E$3</f>
        <v>-14.62</v>
      </c>
      <c r="P22" s="40">
        <f t="shared" si="2"/>
        <v>-14.62</v>
      </c>
      <c r="Q22" s="281" t="str">
        <f t="shared" si="3"/>
        <v/>
      </c>
      <c r="S22" t="s">
        <v>17</v>
      </c>
      <c r="T22" t="s">
        <v>130</v>
      </c>
      <c r="U22" t="s">
        <v>291</v>
      </c>
      <c r="V22" s="284" t="s">
        <v>291</v>
      </c>
      <c r="W22" s="40"/>
      <c r="X22" s="40">
        <f>-SUMIFS('2026 A&amp;P + T&amp;E Consol'!$AF:$AF,'2026 A&amp;P + T&amp;E Consol'!$C:$C,$S22,'2026 A&amp;P + T&amp;E Consol'!$E:$E,$T22,'2026 A&amp;P + T&amp;E Consol'!$B:$B,$U22)/$E$1-SUMIFS('2026 A&amp;P + T&amp;E Consol'!$AF:$AF,'2026 A&amp;P + T&amp;E Consol'!$C:$C,$S22,'2026 A&amp;P + T&amp;E Consol'!$E:$E,"General",'2026 A&amp;P + T&amp;E Consol'!$B:$B,$U22)/$E$1*$E$4</f>
        <v>-23.76</v>
      </c>
      <c r="Y22" s="40">
        <f t="shared" si="4"/>
        <v>-23.76</v>
      </c>
      <c r="Z22" s="281" t="str">
        <f t="shared" si="5"/>
        <v/>
      </c>
    </row>
    <row r="23" spans="1:26" ht="14.4" outlineLevel="1">
      <c r="A23" t="s">
        <v>17</v>
      </c>
      <c r="B23" t="s">
        <v>8</v>
      </c>
      <c r="C23" t="s">
        <v>349</v>
      </c>
      <c r="D23" s="284" t="s">
        <v>349</v>
      </c>
      <c r="E23" s="40"/>
      <c r="F23" s="40">
        <f>-SUMIFS('2026 A&amp;P + T&amp;E Consol'!$AF:$AF,'2026 A&amp;P + T&amp;E Consol'!$C:$C,$A23,'2026 A&amp;P + T&amp;E Consol'!$E:$E,$B23,'2026 A&amp;P + T&amp;E Consol'!$B:$B,$C23)/$E$1-SUMIFS('2026 A&amp;P + T&amp;E Consol'!$AF:$AF,'2026 A&amp;P + T&amp;E Consol'!$C:$C,$A23,'2026 A&amp;P + T&amp;E Consol'!$E:$E,"General",'2026 A&amp;P + T&amp;E Consol'!$B:$B,$C23)/$E$1*$E$2</f>
        <v>-49.1265</v>
      </c>
      <c r="G23" s="40">
        <f t="shared" si="13"/>
        <v>-49.1265</v>
      </c>
      <c r="H23" s="281" t="str">
        <f t="shared" si="1"/>
        <v/>
      </c>
      <c r="J23" t="s">
        <v>17</v>
      </c>
      <c r="K23" t="s">
        <v>42</v>
      </c>
      <c r="L23" t="s">
        <v>422</v>
      </c>
      <c r="M23" s="284" t="s">
        <v>422</v>
      </c>
      <c r="N23" s="40"/>
      <c r="O23" s="40">
        <f>-SUMIFS('2026 A&amp;P + T&amp;E Consol'!$AF:$AF,'2026 A&amp;P + T&amp;E Consol'!$C:$C,$J23,'2026 A&amp;P + T&amp;E Consol'!$E:$E,$K23,'2026 A&amp;P + T&amp;E Consol'!$B:$B,$L23)/$E$1-SUMIFS('2026 A&amp;P + T&amp;E Consol'!$AF:$AF,'2026 A&amp;P + T&amp;E Consol'!$C:$C,$J23,'2026 A&amp;P + T&amp;E Consol'!$E:$E,"General",'2026 A&amp;P + T&amp;E Consol'!$B:$B,$L23)/$E$1*$E$3</f>
        <v>-16.732199999999999</v>
      </c>
      <c r="P23" s="40">
        <f t="shared" si="2"/>
        <v>-16.732199999999999</v>
      </c>
      <c r="Q23" s="281" t="str">
        <f t="shared" si="3"/>
        <v/>
      </c>
      <c r="S23" t="s">
        <v>17</v>
      </c>
      <c r="T23" t="s">
        <v>130</v>
      </c>
      <c r="U23" t="s">
        <v>465</v>
      </c>
      <c r="V23" s="284" t="s">
        <v>465</v>
      </c>
      <c r="W23" s="40"/>
      <c r="X23" s="40">
        <f>-SUMIFS('2026 A&amp;P + T&amp;E Consol'!$AF:$AF,'2026 A&amp;P + T&amp;E Consol'!$C:$C,$S23,'2026 A&amp;P + T&amp;E Consol'!$E:$E,$T23,'2026 A&amp;P + T&amp;E Consol'!$B:$B,$U23)/$E$1-SUMIFS('2026 A&amp;P + T&amp;E Consol'!$AF:$AF,'2026 A&amp;P + T&amp;E Consol'!$C:$C,$S23,'2026 A&amp;P + T&amp;E Consol'!$E:$E,"General",'2026 A&amp;P + T&amp;E Consol'!$B:$B,$U23)/$E$1*$E$4</f>
        <v>-42.716000000000001</v>
      </c>
      <c r="Y23" s="40">
        <f t="shared" si="4"/>
        <v>-42.716000000000001</v>
      </c>
      <c r="Z23" s="281" t="str">
        <f t="shared" si="5"/>
        <v/>
      </c>
    </row>
    <row r="24" spans="1:26" ht="14.4" outlineLevel="1">
      <c r="A24" t="s">
        <v>17</v>
      </c>
      <c r="B24" t="s">
        <v>8</v>
      </c>
      <c r="C24" t="s">
        <v>507</v>
      </c>
      <c r="D24" s="284" t="s">
        <v>507</v>
      </c>
      <c r="E24" s="40"/>
      <c r="F24" s="40">
        <f>-SUMIFS('2026 A&amp;P + T&amp;E Consol'!$AF:$AF,'2026 A&amp;P + T&amp;E Consol'!$C:$C,$A24,'2026 A&amp;P + T&amp;E Consol'!$E:$E,$B24,'2026 A&amp;P + T&amp;E Consol'!$B:$B,$C24)/$E$1-SUMIFS('2026 A&amp;P + T&amp;E Consol'!$AF:$AF,'2026 A&amp;P + T&amp;E Consol'!$C:$C,$A24,'2026 A&amp;P + T&amp;E Consol'!$E:$E,"General",'2026 A&amp;P + T&amp;E Consol'!$B:$B,$C24)/$E$1*$E$2</f>
        <v>-6.75</v>
      </c>
      <c r="G24" s="40">
        <f t="shared" si="13"/>
        <v>-6.75</v>
      </c>
      <c r="H24" s="281" t="str">
        <f t="shared" si="1"/>
        <v/>
      </c>
      <c r="J24" t="s">
        <v>17</v>
      </c>
      <c r="K24" t="s">
        <v>42</v>
      </c>
      <c r="L24" t="s">
        <v>507</v>
      </c>
      <c r="M24" s="284" t="s">
        <v>507</v>
      </c>
      <c r="N24" s="40"/>
      <c r="O24" s="40">
        <f>-SUMIFS('2026 A&amp;P + T&amp;E Consol'!$AF:$AF,'2026 A&amp;P + T&amp;E Consol'!$C:$C,$J24,'2026 A&amp;P + T&amp;E Consol'!$E:$E,$K24,'2026 A&amp;P + T&amp;E Consol'!$B:$B,$L24)/$E$1-SUMIFS('2026 A&amp;P + T&amp;E Consol'!$AF:$AF,'2026 A&amp;P + T&amp;E Consol'!$C:$C,$J24,'2026 A&amp;P + T&amp;E Consol'!$E:$E,"General",'2026 A&amp;P + T&amp;E Consol'!$B:$B,$L24)/$E$1*$E$3</f>
        <v>-4.6500000000000004</v>
      </c>
      <c r="P24" s="40">
        <f t="shared" si="2"/>
        <v>-4.6500000000000004</v>
      </c>
      <c r="Q24" s="281" t="str">
        <f t="shared" si="3"/>
        <v/>
      </c>
      <c r="S24" t="s">
        <v>17</v>
      </c>
      <c r="T24" t="s">
        <v>130</v>
      </c>
      <c r="U24" t="s">
        <v>507</v>
      </c>
      <c r="V24" s="284" t="s">
        <v>507</v>
      </c>
      <c r="W24" s="40"/>
      <c r="X24" s="40">
        <f>-SUMIFS('2026 A&amp;P + T&amp;E Consol'!$AF:$AF,'2026 A&amp;P + T&amp;E Consol'!$C:$C,$S24,'2026 A&amp;P + T&amp;E Consol'!$E:$E,$T24,'2026 A&amp;P + T&amp;E Consol'!$B:$B,$U24)/$E$1-SUMIFS('2026 A&amp;P + T&amp;E Consol'!$AF:$AF,'2026 A&amp;P + T&amp;E Consol'!$C:$C,$S24,'2026 A&amp;P + T&amp;E Consol'!$E:$E,"General",'2026 A&amp;P + T&amp;E Consol'!$B:$B,$U24)/$E$1*$E$4</f>
        <v>-8.85</v>
      </c>
      <c r="Y24" s="40">
        <f t="shared" si="4"/>
        <v>-8.85</v>
      </c>
      <c r="Z24" s="281" t="str">
        <f t="shared" si="5"/>
        <v/>
      </c>
    </row>
    <row r="25" spans="1:26" ht="14.4" outlineLevel="1">
      <c r="A25" t="s">
        <v>17</v>
      </c>
      <c r="B25" t="s">
        <v>8</v>
      </c>
      <c r="C25" t="s">
        <v>582</v>
      </c>
      <c r="D25" s="284" t="s">
        <v>582</v>
      </c>
      <c r="E25" s="40"/>
      <c r="F25" s="40">
        <f>-SUMIFS('2026 A&amp;P + T&amp;E Consol'!$AF:$AF,'2026 A&amp;P + T&amp;E Consol'!$C:$C,$A25,'2026 A&amp;P + T&amp;E Consol'!$E:$E,$B25,'2026 A&amp;P + T&amp;E Consol'!$B:$B,$C25)/$E$1-SUMIFS('2026 A&amp;P + T&amp;E Consol'!$AF:$AF,'2026 A&amp;P + T&amp;E Consol'!$C:$C,$A25,'2026 A&amp;P + T&amp;E Consol'!$E:$E,"General",'2026 A&amp;P + T&amp;E Consol'!$B:$B,$C25)/$E$1*$E$2</f>
        <v>-7.8280000000000003</v>
      </c>
      <c r="G25" s="40">
        <f t="shared" si="13"/>
        <v>-7.8280000000000003</v>
      </c>
      <c r="H25" s="281" t="str">
        <f t="shared" si="1"/>
        <v/>
      </c>
      <c r="J25" t="s">
        <v>17</v>
      </c>
      <c r="K25" t="s">
        <v>42</v>
      </c>
      <c r="L25" t="s">
        <v>582</v>
      </c>
      <c r="M25" s="284" t="s">
        <v>582</v>
      </c>
      <c r="N25" s="40"/>
      <c r="O25" s="40">
        <f>-SUMIFS('2026 A&amp;P + T&amp;E Consol'!$AF:$AF,'2026 A&amp;P + T&amp;E Consol'!$C:$C,$J25,'2026 A&amp;P + T&amp;E Consol'!$E:$E,$K25,'2026 A&amp;P + T&amp;E Consol'!$B:$B,$L25)/$E$1-SUMIFS('2026 A&amp;P + T&amp;E Consol'!$AF:$AF,'2026 A&amp;P + T&amp;E Consol'!$C:$C,$J25,'2026 A&amp;P + T&amp;E Consol'!$E:$E,"General",'2026 A&amp;P + T&amp;E Consol'!$B:$B,$L25)/$E$1*$E$3</f>
        <v>-5.4</v>
      </c>
      <c r="P25" s="40">
        <f t="shared" si="2"/>
        <v>-5.4</v>
      </c>
      <c r="Q25" s="281" t="str">
        <f t="shared" si="3"/>
        <v/>
      </c>
      <c r="S25" t="s">
        <v>17</v>
      </c>
      <c r="T25" t="s">
        <v>130</v>
      </c>
      <c r="U25" t="s">
        <v>582</v>
      </c>
      <c r="V25" s="284" t="s">
        <v>582</v>
      </c>
      <c r="W25" s="40"/>
      <c r="X25" s="40">
        <f>-SUMIFS('2026 A&amp;P + T&amp;E Consol'!$AF:$AF,'2026 A&amp;P + T&amp;E Consol'!$C:$C,$S25,'2026 A&amp;P + T&amp;E Consol'!$E:$E,$T25,'2026 A&amp;P + T&amp;E Consol'!$B:$B,$U25)/$E$1-SUMIFS('2026 A&amp;P + T&amp;E Consol'!$AF:$AF,'2026 A&amp;P + T&amp;E Consol'!$C:$C,$S25,'2026 A&amp;P + T&amp;E Consol'!$E:$E,"General",'2026 A&amp;P + T&amp;E Consol'!$B:$B,$U25)/$E$1*$E$4</f>
        <v>0</v>
      </c>
      <c r="Y25" s="40">
        <f t="shared" si="4"/>
        <v>0</v>
      </c>
      <c r="Z25" s="281" t="str">
        <f t="shared" si="5"/>
        <v/>
      </c>
    </row>
    <row r="26" spans="1:26" ht="14.4" outlineLevel="1">
      <c r="A26" t="s">
        <v>17</v>
      </c>
      <c r="B26" t="s">
        <v>8</v>
      </c>
      <c r="C26" t="s">
        <v>594</v>
      </c>
      <c r="D26" s="284" t="s">
        <v>594</v>
      </c>
      <c r="E26" s="40"/>
      <c r="F26" s="40">
        <f>-SUMIFS('2026 A&amp;P + T&amp;E Consol'!$AF:$AF,'2026 A&amp;P + T&amp;E Consol'!$C:$C,$A26,'2026 A&amp;P + T&amp;E Consol'!$E:$E,$B26,'2026 A&amp;P + T&amp;E Consol'!$B:$B,$C26)/$E$1-SUMIFS('2026 A&amp;P + T&amp;E Consol'!$AF:$AF,'2026 A&amp;P + T&amp;E Consol'!$C:$C,$A26,'2026 A&amp;P + T&amp;E Consol'!$E:$E,"General",'2026 A&amp;P + T&amp;E Consol'!$B:$B,$C26)/$E$1*$E$2</f>
        <v>-1.3397999999999999</v>
      </c>
      <c r="G26" s="40">
        <f t="shared" si="13"/>
        <v>-1.3397999999999999</v>
      </c>
      <c r="H26" s="281" t="str">
        <f t="shared" si="1"/>
        <v/>
      </c>
      <c r="J26" t="s">
        <v>17</v>
      </c>
      <c r="K26" t="s">
        <v>42</v>
      </c>
      <c r="L26" t="s">
        <v>594</v>
      </c>
      <c r="M26" s="284" t="s">
        <v>594</v>
      </c>
      <c r="N26" s="40"/>
      <c r="O26" s="40">
        <f>-SUMIFS('2026 A&amp;P + T&amp;E Consol'!$AF:$AF,'2026 A&amp;P + T&amp;E Consol'!$C:$C,$J26,'2026 A&amp;P + T&amp;E Consol'!$E:$E,$K26,'2026 A&amp;P + T&amp;E Consol'!$B:$B,$L26)/$E$1-SUMIFS('2026 A&amp;P + T&amp;E Consol'!$AF:$AF,'2026 A&amp;P + T&amp;E Consol'!$C:$C,$J26,'2026 A&amp;P + T&amp;E Consol'!$E:$E,"General",'2026 A&amp;P + T&amp;E Consol'!$B:$B,$L26)/$E$1*$E$3</f>
        <v>-0.57419999999999993</v>
      </c>
      <c r="P26" s="40">
        <f t="shared" si="2"/>
        <v>-0.57419999999999993</v>
      </c>
      <c r="Q26" s="281" t="str">
        <f t="shared" si="3"/>
        <v/>
      </c>
      <c r="S26" t="s">
        <v>17</v>
      </c>
      <c r="T26" t="s">
        <v>130</v>
      </c>
      <c r="U26" t="s">
        <v>594</v>
      </c>
      <c r="V26" s="284" t="s">
        <v>594</v>
      </c>
      <c r="W26" s="40"/>
      <c r="X26" s="40">
        <f>-SUMIFS('2026 A&amp;P + T&amp;E Consol'!$AF:$AF,'2026 A&amp;P + T&amp;E Consol'!$C:$C,$S26,'2026 A&amp;P + T&amp;E Consol'!$E:$E,$T26,'2026 A&amp;P + T&amp;E Consol'!$B:$B,$U26)/$E$1-SUMIFS('2026 A&amp;P + T&amp;E Consol'!$AF:$AF,'2026 A&amp;P + T&amp;E Consol'!$C:$C,$S26,'2026 A&amp;P + T&amp;E Consol'!$E:$E,"General",'2026 A&amp;P + T&amp;E Consol'!$B:$B,$U26)/$E$1*$E$4</f>
        <v>0</v>
      </c>
      <c r="Y26" s="40">
        <f t="shared" si="4"/>
        <v>0</v>
      </c>
      <c r="Z26" s="281" t="str">
        <f t="shared" si="5"/>
        <v/>
      </c>
    </row>
    <row r="27" spans="1:26" ht="14.4" outlineLevel="1">
      <c r="A27" t="s">
        <v>17</v>
      </c>
      <c r="B27" t="s">
        <v>8</v>
      </c>
      <c r="C27" t="s">
        <v>607</v>
      </c>
      <c r="D27" s="284" t="s">
        <v>607</v>
      </c>
      <c r="E27" s="40"/>
      <c r="F27" s="40">
        <f>-SUMIFS('2026 A&amp;P + T&amp;E Consol'!$AF:$AF,'2026 A&amp;P + T&amp;E Consol'!$C:$C,$A27,'2026 A&amp;P + T&amp;E Consol'!$E:$E,$B27,'2026 A&amp;P + T&amp;E Consol'!$B:$B,$C27)/$E$1-SUMIFS('2026 A&amp;P + T&amp;E Consol'!$AF:$AF,'2026 A&amp;P + T&amp;E Consol'!$C:$C,$A27,'2026 A&amp;P + T&amp;E Consol'!$E:$E,"General",'2026 A&amp;P + T&amp;E Consol'!$B:$B,$C27)/$E$1*$E$2</f>
        <v>-33.021000000000001</v>
      </c>
      <c r="G27" s="40">
        <f t="shared" si="13"/>
        <v>-33.021000000000001</v>
      </c>
      <c r="H27" s="281" t="str">
        <f t="shared" si="1"/>
        <v/>
      </c>
      <c r="J27" t="s">
        <v>17</v>
      </c>
      <c r="K27" t="s">
        <v>42</v>
      </c>
      <c r="L27" t="s">
        <v>607</v>
      </c>
      <c r="M27" s="284" t="s">
        <v>607</v>
      </c>
      <c r="N27" s="40"/>
      <c r="O27" s="40">
        <f>-SUMIFS('2026 A&amp;P + T&amp;E Consol'!$AF:$AF,'2026 A&amp;P + T&amp;E Consol'!$C:$C,$J27,'2026 A&amp;P + T&amp;E Consol'!$E:$E,$K27,'2026 A&amp;P + T&amp;E Consol'!$B:$B,$L27)/$E$1-SUMIFS('2026 A&amp;P + T&amp;E Consol'!$AF:$AF,'2026 A&amp;P + T&amp;E Consol'!$C:$C,$J27,'2026 A&amp;P + T&amp;E Consol'!$E:$E,"General",'2026 A&amp;P + T&amp;E Consol'!$B:$B,$L27)/$E$1*$E$3</f>
        <v>-0.3</v>
      </c>
      <c r="P27" s="40">
        <f t="shared" si="2"/>
        <v>-0.3</v>
      </c>
      <c r="Q27" s="281" t="str">
        <f t="shared" si="3"/>
        <v/>
      </c>
      <c r="S27" t="s">
        <v>17</v>
      </c>
      <c r="T27" t="s">
        <v>130</v>
      </c>
      <c r="U27" t="s">
        <v>607</v>
      </c>
      <c r="V27" s="284" t="s">
        <v>607</v>
      </c>
      <c r="W27" s="40"/>
      <c r="X27" s="40">
        <f>-SUMIFS('2026 A&amp;P + T&amp;E Consol'!$AF:$AF,'2026 A&amp;P + T&amp;E Consol'!$C:$C,$S27,'2026 A&amp;P + T&amp;E Consol'!$E:$E,$T27,'2026 A&amp;P + T&amp;E Consol'!$B:$B,$U27)/$E$1-SUMIFS('2026 A&amp;P + T&amp;E Consol'!$AF:$AF,'2026 A&amp;P + T&amp;E Consol'!$C:$C,$S27,'2026 A&amp;P + T&amp;E Consol'!$E:$E,"General",'2026 A&amp;P + T&amp;E Consol'!$B:$B,$U27)/$E$1*$E$4</f>
        <v>-50.53</v>
      </c>
      <c r="Y27" s="40">
        <f t="shared" si="4"/>
        <v>-50.53</v>
      </c>
      <c r="Z27" s="281" t="str">
        <f t="shared" si="5"/>
        <v/>
      </c>
    </row>
    <row r="28" spans="1:26" ht="14.4" outlineLevel="1">
      <c r="A28" t="s">
        <v>17</v>
      </c>
      <c r="B28" t="s">
        <v>8</v>
      </c>
      <c r="C28" t="s">
        <v>694</v>
      </c>
      <c r="D28" s="284" t="s">
        <v>694</v>
      </c>
      <c r="E28" s="40"/>
      <c r="F28" s="40">
        <f>-SUMIFS('2026 A&amp;P + T&amp;E Consol'!$AF:$AF,'2026 A&amp;P + T&amp;E Consol'!$C:$C,$A28,'2026 A&amp;P + T&amp;E Consol'!$E:$E,$B28,'2026 A&amp;P + T&amp;E Consol'!$B:$B,$C28)/$E$1-SUMIFS('2026 A&amp;P + T&amp;E Consol'!$AF:$AF,'2026 A&amp;P + T&amp;E Consol'!$C:$C,$A28,'2026 A&amp;P + T&amp;E Consol'!$E:$E,"General",'2026 A&amp;P + T&amp;E Consol'!$B:$B,$C28)/$E$1*$E$2</f>
        <v>-3.9830000000000001</v>
      </c>
      <c r="G28" s="40">
        <f t="shared" si="13"/>
        <v>-3.9830000000000001</v>
      </c>
      <c r="H28" s="281" t="str">
        <f t="shared" si="1"/>
        <v/>
      </c>
      <c r="J28" t="s">
        <v>17</v>
      </c>
      <c r="K28" t="s">
        <v>42</v>
      </c>
      <c r="L28" t="s">
        <v>694</v>
      </c>
      <c r="M28" s="284" t="s">
        <v>694</v>
      </c>
      <c r="N28" s="40"/>
      <c r="O28" s="40">
        <f>-SUMIFS('2026 A&amp;P + T&amp;E Consol'!$AF:$AF,'2026 A&amp;P + T&amp;E Consol'!$C:$C,$J28,'2026 A&amp;P + T&amp;E Consol'!$E:$E,$K28,'2026 A&amp;P + T&amp;E Consol'!$B:$B,$L28)/$E$1-SUMIFS('2026 A&amp;P + T&amp;E Consol'!$AF:$AF,'2026 A&amp;P + T&amp;E Consol'!$C:$C,$J28,'2026 A&amp;P + T&amp;E Consol'!$E:$E,"General",'2026 A&amp;P + T&amp;E Consol'!$B:$B,$L28)/$E$1*$E$3</f>
        <v>-1.7070000000000001</v>
      </c>
      <c r="P28" s="40">
        <f t="shared" si="2"/>
        <v>-1.7070000000000001</v>
      </c>
      <c r="Q28" s="281" t="str">
        <f t="shared" si="3"/>
        <v/>
      </c>
      <c r="S28" t="s">
        <v>17</v>
      </c>
      <c r="T28" t="s">
        <v>130</v>
      </c>
      <c r="U28" t="s">
        <v>694</v>
      </c>
      <c r="V28" s="284" t="s">
        <v>694</v>
      </c>
      <c r="W28" s="40"/>
      <c r="X28" s="40">
        <f>-SUMIFS('2026 A&amp;P + T&amp;E Consol'!$AF:$AF,'2026 A&amp;P + T&amp;E Consol'!$C:$C,$S28,'2026 A&amp;P + T&amp;E Consol'!$E:$E,$T28,'2026 A&amp;P + T&amp;E Consol'!$B:$B,$U28)/$E$1-SUMIFS('2026 A&amp;P + T&amp;E Consol'!$AF:$AF,'2026 A&amp;P + T&amp;E Consol'!$C:$C,$S28,'2026 A&amp;P + T&amp;E Consol'!$E:$E,"General",'2026 A&amp;P + T&amp;E Consol'!$B:$B,$U28)/$E$1*$E$4</f>
        <v>0</v>
      </c>
      <c r="Y28" s="40">
        <f t="shared" si="4"/>
        <v>0</v>
      </c>
      <c r="Z28" s="281" t="str">
        <f t="shared" si="5"/>
        <v/>
      </c>
    </row>
    <row r="29" spans="1:26" ht="14.4" outlineLevel="1">
      <c r="A29" t="s">
        <v>17</v>
      </c>
      <c r="B29" t="s">
        <v>8</v>
      </c>
      <c r="C29" t="s">
        <v>731</v>
      </c>
      <c r="D29" s="284" t="s">
        <v>29</v>
      </c>
      <c r="E29" s="40"/>
      <c r="F29" s="40">
        <f>-SUMIFS('2026 A&amp;P + T&amp;E Consol'!$AF:$AF,'2026 A&amp;P + T&amp;E Consol'!$C:$C,$A29,'2026 A&amp;P + T&amp;E Consol'!$E:$E,$B29,'2026 A&amp;P + T&amp;E Consol'!$B:$B,$C29)/$E$1-SUMIFS('2026 A&amp;P + T&amp;E Consol'!$AF:$AF,'2026 A&amp;P + T&amp;E Consol'!$C:$C,$A29,'2026 A&amp;P + T&amp;E Consol'!$E:$E,"General",'2026 A&amp;P + T&amp;E Consol'!$B:$B,$C29)/$E$1*$E$2</f>
        <v>-1.119</v>
      </c>
      <c r="G29" s="40">
        <f t="shared" si="13"/>
        <v>-1.119</v>
      </c>
      <c r="H29" s="281" t="str">
        <f t="shared" si="1"/>
        <v/>
      </c>
      <c r="J29" t="s">
        <v>17</v>
      </c>
      <c r="K29" t="s">
        <v>42</v>
      </c>
      <c r="L29" t="s">
        <v>731</v>
      </c>
      <c r="M29" s="284" t="s">
        <v>29</v>
      </c>
      <c r="N29" s="40"/>
      <c r="O29" s="40">
        <f>-SUMIFS('2026 A&amp;P + T&amp;E Consol'!$AF:$AF,'2026 A&amp;P + T&amp;E Consol'!$C:$C,$J29,'2026 A&amp;P + T&amp;E Consol'!$E:$E,$K29,'2026 A&amp;P + T&amp;E Consol'!$B:$B,$L29)/$E$1-SUMIFS('2026 A&amp;P + T&amp;E Consol'!$AF:$AF,'2026 A&amp;P + T&amp;E Consol'!$C:$C,$J29,'2026 A&amp;P + T&amp;E Consol'!$E:$E,"General",'2026 A&amp;P + T&amp;E Consol'!$B:$B,$L29)/$E$1*$E$3</f>
        <v>-0.73099999999999998</v>
      </c>
      <c r="P29" s="40">
        <f t="shared" si="2"/>
        <v>-0.73099999999999998</v>
      </c>
      <c r="Q29" s="281" t="str">
        <f t="shared" si="3"/>
        <v/>
      </c>
      <c r="S29" t="s">
        <v>17</v>
      </c>
      <c r="T29" t="s">
        <v>130</v>
      </c>
      <c r="U29" t="s">
        <v>731</v>
      </c>
      <c r="V29" s="284" t="s">
        <v>29</v>
      </c>
      <c r="W29" s="40"/>
      <c r="X29" s="40">
        <f>-SUMIFS('2026 A&amp;P + T&amp;E Consol'!$AF:$AF,'2026 A&amp;P + T&amp;E Consol'!$C:$C,$S29,'2026 A&amp;P + T&amp;E Consol'!$E:$E,$T29,'2026 A&amp;P + T&amp;E Consol'!$B:$B,$U29)/$E$1-SUMIFS('2026 A&amp;P + T&amp;E Consol'!$AF:$AF,'2026 A&amp;P + T&amp;E Consol'!$C:$C,$S29,'2026 A&amp;P + T&amp;E Consol'!$E:$E,"General",'2026 A&amp;P + T&amp;E Consol'!$B:$B,$U29)/$E$1*$E$4</f>
        <v>-0.33</v>
      </c>
      <c r="Y29" s="40">
        <f t="shared" si="4"/>
        <v>-0.33</v>
      </c>
      <c r="Z29" s="281" t="str">
        <f t="shared" si="5"/>
        <v/>
      </c>
    </row>
    <row r="30" spans="1:26" ht="14.4" outlineLevel="1">
      <c r="A30" t="s">
        <v>17</v>
      </c>
      <c r="B30" t="s">
        <v>8</v>
      </c>
      <c r="C30" t="s">
        <v>715</v>
      </c>
      <c r="D30" s="284" t="s">
        <v>715</v>
      </c>
      <c r="E30" s="40"/>
      <c r="F30" s="40">
        <f>-SUMIFS('2026 A&amp;P + T&amp;E Consol'!$AF:$AF,'2026 A&amp;P + T&amp;E Consol'!$C:$C,$A30,'2026 A&amp;P + T&amp;E Consol'!$E:$E,$B30,'2026 A&amp;P + T&amp;E Consol'!$B:$B,$C30)/$E$1-SUMIFS('2026 A&amp;P + T&amp;E Consol'!$AF:$AF,'2026 A&amp;P + T&amp;E Consol'!$C:$C,$A30,'2026 A&amp;P + T&amp;E Consol'!$E:$E,"General",'2026 A&amp;P + T&amp;E Consol'!$B:$B,$C30)/$E$1*$E$2</f>
        <v>-0.58799999999999997</v>
      </c>
      <c r="G30" s="40">
        <f t="shared" si="13"/>
        <v>-0.58799999999999997</v>
      </c>
      <c r="H30" s="281" t="str">
        <f t="shared" si="1"/>
        <v/>
      </c>
      <c r="J30" t="s">
        <v>17</v>
      </c>
      <c r="K30" t="s">
        <v>42</v>
      </c>
      <c r="L30" t="s">
        <v>715</v>
      </c>
      <c r="M30" s="284" t="s">
        <v>715</v>
      </c>
      <c r="N30" s="40"/>
      <c r="O30" s="40">
        <f>-SUMIFS('2026 A&amp;P + T&amp;E Consol'!$AF:$AF,'2026 A&amp;P + T&amp;E Consol'!$C:$C,$J30,'2026 A&amp;P + T&amp;E Consol'!$E:$E,$K30,'2026 A&amp;P + T&amp;E Consol'!$B:$B,$L30)/$E$1-SUMIFS('2026 A&amp;P + T&amp;E Consol'!$AF:$AF,'2026 A&amp;P + T&amp;E Consol'!$C:$C,$J30,'2026 A&amp;P + T&amp;E Consol'!$E:$E,"General",'2026 A&amp;P + T&amp;E Consol'!$B:$B,$L30)/$E$1*$E$3</f>
        <v>-0.252</v>
      </c>
      <c r="P30" s="40">
        <f t="shared" si="2"/>
        <v>-0.252</v>
      </c>
      <c r="Q30" s="281" t="str">
        <f t="shared" si="3"/>
        <v/>
      </c>
      <c r="S30" t="s">
        <v>17</v>
      </c>
      <c r="T30" t="s">
        <v>130</v>
      </c>
      <c r="U30" t="s">
        <v>715</v>
      </c>
      <c r="V30" s="284" t="s">
        <v>715</v>
      </c>
      <c r="W30" s="40"/>
      <c r="X30" s="40">
        <f>-SUMIFS('2026 A&amp;P + T&amp;E Consol'!$AF:$AF,'2026 A&amp;P + T&amp;E Consol'!$C:$C,$S30,'2026 A&amp;P + T&amp;E Consol'!$E:$E,$T30,'2026 A&amp;P + T&amp;E Consol'!$B:$B,$U30)/$E$1-SUMIFS('2026 A&amp;P + T&amp;E Consol'!$AF:$AF,'2026 A&amp;P + T&amp;E Consol'!$C:$C,$S30,'2026 A&amp;P + T&amp;E Consol'!$E:$E,"General",'2026 A&amp;P + T&amp;E Consol'!$B:$B,$U30)/$E$1*$E$4</f>
        <v>0</v>
      </c>
      <c r="Y30" s="40">
        <f t="shared" si="4"/>
        <v>0</v>
      </c>
      <c r="Z30" s="281" t="str">
        <f t="shared" si="5"/>
        <v/>
      </c>
    </row>
    <row r="31" spans="1:26" ht="14.4" outlineLevel="1">
      <c r="A31" t="s">
        <v>17</v>
      </c>
      <c r="B31" t="s">
        <v>8</v>
      </c>
      <c r="C31" t="s">
        <v>543</v>
      </c>
      <c r="D31" s="284" t="s">
        <v>543</v>
      </c>
      <c r="E31" s="40"/>
      <c r="F31" s="40">
        <f>-SUMIFS('2026 A&amp;P + T&amp;E Consol'!$AF:$AF,'2026 A&amp;P + T&amp;E Consol'!$C:$C,$A31,'2026 A&amp;P + T&amp;E Consol'!$E:$E,$B31,'2026 A&amp;P + T&amp;E Consol'!$B:$B,$C31)/$E$1-SUMIFS('2026 A&amp;P + T&amp;E Consol'!$AF:$AF,'2026 A&amp;P + T&amp;E Consol'!$C:$C,$A31,'2026 A&amp;P + T&amp;E Consol'!$E:$E,"General",'2026 A&amp;P + T&amp;E Consol'!$B:$B,$C31)/$E$1*$E$2</f>
        <v>-3.8009833399999997</v>
      </c>
      <c r="G31" s="40">
        <f t="shared" si="13"/>
        <v>-3.8009833399999997</v>
      </c>
      <c r="H31" s="281" t="str">
        <f t="shared" si="1"/>
        <v/>
      </c>
      <c r="J31" t="s">
        <v>17</v>
      </c>
      <c r="K31" t="s">
        <v>42</v>
      </c>
      <c r="L31" t="s">
        <v>543</v>
      </c>
      <c r="M31" s="284" t="s">
        <v>543</v>
      </c>
      <c r="N31" s="40"/>
      <c r="O31" s="40">
        <f>-SUMIFS('2026 A&amp;P + T&amp;E Consol'!$AF:$AF,'2026 A&amp;P + T&amp;E Consol'!$C:$C,$J31,'2026 A&amp;P + T&amp;E Consol'!$E:$E,$K31,'2026 A&amp;P + T&amp;E Consol'!$B:$B,$L31)/$E$1-SUMIFS('2026 A&amp;P + T&amp;E Consol'!$AF:$AF,'2026 A&amp;P + T&amp;E Consol'!$C:$C,$J31,'2026 A&amp;P + T&amp;E Consol'!$E:$E,"General",'2026 A&amp;P + T&amp;E Consol'!$B:$B,$L31)/$E$1*$E$3</f>
        <v>-2.4605900039999997</v>
      </c>
      <c r="P31" s="40">
        <f t="shared" si="2"/>
        <v>-2.4605900039999997</v>
      </c>
      <c r="Q31" s="281" t="str">
        <f t="shared" si="3"/>
        <v/>
      </c>
      <c r="S31" t="s">
        <v>17</v>
      </c>
      <c r="T31" t="s">
        <v>130</v>
      </c>
      <c r="U31" t="s">
        <v>543</v>
      </c>
      <c r="V31" s="284" t="s">
        <v>543</v>
      </c>
      <c r="W31" s="40"/>
      <c r="X31" s="40">
        <f>-SUMIFS('2026 A&amp;P + T&amp;E Consol'!$AF:$AF,'2026 A&amp;P + T&amp;E Consol'!$C:$C,$S31,'2026 A&amp;P + T&amp;E Consol'!$E:$E,$T31,'2026 A&amp;P + T&amp;E Consol'!$B:$B,$U31)/$E$1-SUMIFS('2026 A&amp;P + T&amp;E Consol'!$AF:$AF,'2026 A&amp;P + T&amp;E Consol'!$C:$C,$S31,'2026 A&amp;P + T&amp;E Consol'!$E:$E,"General",'2026 A&amp;P + T&amp;E Consol'!$B:$B,$U31)/$E$1*$E$4</f>
        <v>-2.610393336</v>
      </c>
      <c r="Y31" s="40">
        <f t="shared" si="4"/>
        <v>-2.610393336</v>
      </c>
      <c r="Z31" s="281" t="str">
        <f t="shared" si="5"/>
        <v/>
      </c>
    </row>
    <row r="32" spans="1:26" ht="14.4">
      <c r="A32" t="s">
        <v>18</v>
      </c>
      <c r="B32" t="s">
        <v>8</v>
      </c>
      <c r="C32" t="s">
        <v>582</v>
      </c>
      <c r="D32" s="283" t="s">
        <v>18</v>
      </c>
      <c r="E32" s="40">
        <v>0</v>
      </c>
      <c r="F32" s="40">
        <f>-SUMIFS('2026 A&amp;P + T&amp;E Consol'!$AF:$AF,'2026 A&amp;P + T&amp;E Consol'!$C:$C,$A32,'2026 A&amp;P + T&amp;E Consol'!$E:$E,$B32,'2026 A&amp;P + T&amp;E Consol'!$B:$B,$C32)/$E$1-SUMIFS('2026 A&amp;P + T&amp;E Consol'!$AF:$AF,'2026 A&amp;P + T&amp;E Consol'!$C:$C,$A32,'2026 A&amp;P + T&amp;E Consol'!$E:$E,"General",'2026 A&amp;P + T&amp;E Consol'!$B:$B,$C32)/$E$1*$E$2</f>
        <v>-70</v>
      </c>
      <c r="G32" s="40">
        <f t="shared" si="13"/>
        <v>-70</v>
      </c>
      <c r="H32" s="281" t="str">
        <f t="shared" si="1"/>
        <v/>
      </c>
      <c r="J32" t="s">
        <v>18</v>
      </c>
      <c r="K32" t="s">
        <v>42</v>
      </c>
      <c r="L32" t="s">
        <v>582</v>
      </c>
      <c r="M32" s="283" t="s">
        <v>18</v>
      </c>
      <c r="N32" s="40">
        <f>-28</f>
        <v>-28</v>
      </c>
      <c r="O32" s="40">
        <f>-SUMIFS('2026 A&amp;P + T&amp;E Consol'!$AF:$AF,'2026 A&amp;P + T&amp;E Consol'!$C:$C,$J32,'2026 A&amp;P + T&amp;E Consol'!$E:$E,$K32,'2026 A&amp;P + T&amp;E Consol'!$B:$B,$L32)/$E$1-SUMIFS('2026 A&amp;P + T&amp;E Consol'!$AF:$AF,'2026 A&amp;P + T&amp;E Consol'!$C:$C,$J32,'2026 A&amp;P + T&amp;E Consol'!$E:$E,"General",'2026 A&amp;P + T&amp;E Consol'!$B:$B,$L32)/$E$1*$E$2</f>
        <v>-29.76</v>
      </c>
      <c r="P32" s="40">
        <f t="shared" si="2"/>
        <v>-1.7600000000000016</v>
      </c>
      <c r="Q32" s="281">
        <f t="shared" si="3"/>
        <v>6.2857142857142917E-2</v>
      </c>
      <c r="S32" t="s">
        <v>18</v>
      </c>
      <c r="T32" t="s">
        <v>130</v>
      </c>
      <c r="U32" t="s">
        <v>582</v>
      </c>
      <c r="V32" s="283" t="s">
        <v>18</v>
      </c>
      <c r="W32" s="40"/>
      <c r="X32" s="40"/>
      <c r="Y32" s="40">
        <f t="shared" si="4"/>
        <v>0</v>
      </c>
      <c r="Z32" s="281" t="str">
        <f t="shared" si="5"/>
        <v/>
      </c>
    </row>
    <row r="33" spans="1:26" ht="14.4">
      <c r="A33" t="s">
        <v>19</v>
      </c>
      <c r="B33" t="s">
        <v>8</v>
      </c>
      <c r="D33" s="283" t="s">
        <v>19</v>
      </c>
      <c r="E33" s="40">
        <v>-22.5</v>
      </c>
      <c r="F33" s="40">
        <f>-SUMIFS('2026 A&amp;P + T&amp;E Consol'!$AF:$AF,'2026 A&amp;P + T&amp;E Consol'!$C:$C,$A33,'2026 A&amp;P + T&amp;E Consol'!$E:$E,$B33)/$E$1-SUMIFS('2026 A&amp;P + T&amp;E Consol'!$AF:$AF,'2026 A&amp;P + T&amp;E Consol'!$C:$C,$A33,'2026 A&amp;P + T&amp;E Consol'!$E:$E,"General")/$E$1*$E$2-'Sales T&amp;E &amp; 科室会WP'!H34/$E$1</f>
        <v>-33.689149999999998</v>
      </c>
      <c r="G33" s="40">
        <f t="shared" si="13"/>
        <v>-11.189149999999998</v>
      </c>
      <c r="H33" s="281">
        <f t="shared" si="1"/>
        <v>0.49729555555555549</v>
      </c>
      <c r="J33" t="s">
        <v>19</v>
      </c>
      <c r="K33" t="s">
        <v>42</v>
      </c>
      <c r="M33" s="283" t="s">
        <v>19</v>
      </c>
      <c r="N33" s="40">
        <v>-14.3</v>
      </c>
      <c r="O33" s="40">
        <f>-SUMIFS('2026 A&amp;P + T&amp;E Consol'!$AF:$AF,'2026 A&amp;P + T&amp;E Consol'!$C:$C,$J33,'2026 A&amp;P + T&amp;E Consol'!$E:$E,$K33)/$E$1-SUMIFS('2026 A&amp;P + T&amp;E Consol'!$AF:$AF,'2026 A&amp;P + T&amp;E Consol'!$C:$C,$J33,'2026 A&amp;P + T&amp;E Consol'!$E:$E,"General")/$E$1*$E$2-'Sales T&amp;E &amp; 科室会WP'!H21/$E$1</f>
        <v>-19.366509999999998</v>
      </c>
      <c r="P33" s="40">
        <f t="shared" si="2"/>
        <v>-5.0665099999999974</v>
      </c>
      <c r="Q33" s="281">
        <f t="shared" si="3"/>
        <v>0.35430139860139842</v>
      </c>
      <c r="S33" t="s">
        <v>19</v>
      </c>
      <c r="T33" t="s">
        <v>130</v>
      </c>
      <c r="V33" s="283" t="s">
        <v>19</v>
      </c>
      <c r="W33" s="40">
        <v>-0.8</v>
      </c>
      <c r="X33" s="11">
        <f>-SUMIFS('2026 A&amp;P + T&amp;E Consol'!$AF:$AF,'2026 A&amp;P + T&amp;E Consol'!$C:$C,$S33,'2026 A&amp;P + T&amp;E Consol'!$E:$E,$T33)/$E$1-SUMIFS('2026 A&amp;P + T&amp;E Consol'!$AF:$AF,'2026 A&amp;P + T&amp;E Consol'!$C:$C,$S33,'2026 A&amp;P + T&amp;E Consol'!$E:$E,"General")/$E$1*$E$2-'Sales T&amp;E &amp; 科室会WP'!H46/10^6</f>
        <v>-12.751570000000001</v>
      </c>
      <c r="Y33" s="40">
        <f t="shared" si="4"/>
        <v>-11.95157</v>
      </c>
      <c r="Z33" s="281">
        <f t="shared" si="5"/>
        <v>14.939462499999999</v>
      </c>
    </row>
    <row r="34" spans="1:26" ht="14.4">
      <c r="A34" t="s">
        <v>20</v>
      </c>
      <c r="B34" t="s">
        <v>8</v>
      </c>
      <c r="D34" s="283" t="s">
        <v>20</v>
      </c>
      <c r="E34" s="40">
        <v>-6.9</v>
      </c>
      <c r="F34" s="40">
        <f>E34</f>
        <v>-6.9</v>
      </c>
      <c r="G34" s="40">
        <f t="shared" si="13"/>
        <v>0</v>
      </c>
      <c r="H34" s="281">
        <f t="shared" si="1"/>
        <v>0</v>
      </c>
      <c r="J34" t="s">
        <v>20</v>
      </c>
      <c r="K34" t="s">
        <v>42</v>
      </c>
      <c r="M34" s="283" t="s">
        <v>20</v>
      </c>
      <c r="N34" s="40">
        <v>-3.7</v>
      </c>
      <c r="O34" s="40">
        <f>N34</f>
        <v>-3.7</v>
      </c>
      <c r="P34" s="40">
        <f t="shared" si="2"/>
        <v>0</v>
      </c>
      <c r="Q34" s="281">
        <f t="shared" si="3"/>
        <v>0</v>
      </c>
      <c r="S34" t="s">
        <v>20</v>
      </c>
      <c r="T34" t="s">
        <v>130</v>
      </c>
      <c r="V34" s="283" t="s">
        <v>20</v>
      </c>
      <c r="W34" s="40">
        <v>-3.4000000000000002E-2</v>
      </c>
      <c r="X34" s="40">
        <f>W34</f>
        <v>-3.4000000000000002E-2</v>
      </c>
      <c r="Y34" s="40">
        <f t="shared" si="4"/>
        <v>0</v>
      </c>
      <c r="Z34" s="281">
        <f t="shared" si="5"/>
        <v>0</v>
      </c>
    </row>
    <row r="35" spans="1:26" ht="14.4" thickBot="1">
      <c r="D35" s="285" t="s">
        <v>21</v>
      </c>
      <c r="E35" s="294">
        <f>SUM(E19:E20,E32:E34)</f>
        <v>-426.5</v>
      </c>
      <c r="F35" s="294">
        <f>SUM(F19:F20,F32:F34)</f>
        <v>-724.16392771623509</v>
      </c>
      <c r="G35" s="294">
        <f t="shared" si="13"/>
        <v>-297.66392771623509</v>
      </c>
      <c r="H35" s="181">
        <f t="shared" si="1"/>
        <v>0.69792245654451368</v>
      </c>
      <c r="M35" s="285" t="s">
        <v>21</v>
      </c>
      <c r="N35" s="294">
        <f>SUM(N19:N20,N32:N34)</f>
        <v>-291</v>
      </c>
      <c r="O35" s="294">
        <f>SUM(O19:O20,O32:O34)</f>
        <v>-308.63927329128597</v>
      </c>
      <c r="P35" s="294">
        <f t="shared" si="2"/>
        <v>-17.639273291285974</v>
      </c>
      <c r="Q35" s="181">
        <f t="shared" si="3"/>
        <v>6.0616059420226714E-2</v>
      </c>
      <c r="V35" s="285" t="s">
        <v>21</v>
      </c>
      <c r="W35" s="294">
        <f>SUM(W19:W20,W32:W34)</f>
        <v>-46.133999999999993</v>
      </c>
      <c r="X35" s="294">
        <f>SUM(X19:X20,X32:X34)</f>
        <v>-216.18196333599997</v>
      </c>
      <c r="Y35" s="294">
        <f t="shared" si="4"/>
        <v>-170.04796333599998</v>
      </c>
      <c r="Z35" s="181">
        <f t="shared" si="5"/>
        <v>3.6859575006719556</v>
      </c>
    </row>
    <row r="36" spans="1:26">
      <c r="D36" s="297" t="s">
        <v>22</v>
      </c>
      <c r="E36" s="290">
        <f>SUM(E35,E16)</f>
        <v>219.16000000000008</v>
      </c>
      <c r="F36" s="290">
        <f>SUM(F35,F16)</f>
        <v>383.6087174799311</v>
      </c>
      <c r="G36" s="290">
        <f t="shared" si="13"/>
        <v>164.44871747993102</v>
      </c>
      <c r="H36" s="291">
        <f t="shared" si="1"/>
        <v>0.75035917813438113</v>
      </c>
      <c r="M36" s="297" t="s">
        <v>22</v>
      </c>
      <c r="N36" s="290">
        <f>SUM(N35,N16)</f>
        <v>-89.566000000000003</v>
      </c>
      <c r="O36" s="290">
        <f>SUM(O35,O16)</f>
        <v>-81.888586877230807</v>
      </c>
      <c r="P36" s="290">
        <f t="shared" si="2"/>
        <v>7.6774131227691953</v>
      </c>
      <c r="Q36" s="291">
        <f t="shared" si="3"/>
        <v>-8.5717941213956136E-2</v>
      </c>
      <c r="V36" s="297" t="s">
        <v>22</v>
      </c>
      <c r="W36" s="290">
        <f>SUM(W35,W16)</f>
        <v>-46.133999999999993</v>
      </c>
      <c r="X36" s="290">
        <f>SUM(X35,X16)</f>
        <v>-181.49914333599997</v>
      </c>
      <c r="Y36" s="290">
        <f t="shared" si="4"/>
        <v>-135.36514333599999</v>
      </c>
      <c r="Z36" s="291">
        <f t="shared" si="5"/>
        <v>2.9341731333940264</v>
      </c>
    </row>
    <row r="37" spans="1:26">
      <c r="D37" s="280" t="s">
        <v>765</v>
      </c>
      <c r="E37" s="97">
        <f>E36/E8</f>
        <v>0.23330778402316479</v>
      </c>
      <c r="F37" s="97">
        <f>F36/F8</f>
        <v>0.22981874314127487</v>
      </c>
      <c r="G37" s="13">
        <f t="shared" si="13"/>
        <v>-3.489040881889921E-3</v>
      </c>
      <c r="H37" s="37"/>
      <c r="M37" s="280" t="s">
        <v>765</v>
      </c>
      <c r="N37" s="97">
        <f>N36/N8</f>
        <v>-0.31926967854163846</v>
      </c>
      <c r="O37" s="97">
        <f>O36/O8</f>
        <v>-0.22894316784706478</v>
      </c>
      <c r="P37" s="13">
        <f t="shared" si="2"/>
        <v>9.0326510694573675E-2</v>
      </c>
      <c r="Q37" s="37"/>
      <c r="V37" s="280" t="s">
        <v>765</v>
      </c>
      <c r="W37" s="97" t="str">
        <f>IFERROR(W36/W8,"")</f>
        <v/>
      </c>
      <c r="X37" s="97">
        <f>X36/X8</f>
        <v>-4.2931957454820688</v>
      </c>
      <c r="Y37" s="13" t="e">
        <f t="shared" si="4"/>
        <v>#VALUE!</v>
      </c>
      <c r="Z37" s="37"/>
    </row>
    <row r="38" spans="1:26">
      <c r="D38" s="280" t="s">
        <v>23</v>
      </c>
      <c r="E38" s="12">
        <f>-E35/E8</f>
        <v>0.45403253278828137</v>
      </c>
      <c r="F38" s="12">
        <f>-F35/F8</f>
        <v>0.43384426920564167</v>
      </c>
      <c r="G38" s="279">
        <f t="shared" si="13"/>
        <v>-2.0188263582639698E-2</v>
      </c>
      <c r="H38" s="37"/>
      <c r="M38" s="280" t="s">
        <v>23</v>
      </c>
      <c r="N38" s="12">
        <f>-N35/N8</f>
        <v>1.037307420847384</v>
      </c>
      <c r="O38" s="12">
        <f>-O35/O8</f>
        <v>0.8628901247894204</v>
      </c>
      <c r="P38" s="279">
        <f t="shared" si="2"/>
        <v>-0.17441729605796363</v>
      </c>
      <c r="Q38" s="37"/>
      <c r="V38" s="280" t="s">
        <v>23</v>
      </c>
      <c r="W38" s="12" t="str">
        <f>IFERROR(-W35/W8,"")</f>
        <v/>
      </c>
      <c r="X38" s="12">
        <f>-X35/X8</f>
        <v>5.113586037846531</v>
      </c>
      <c r="Y38" s="279" t="e">
        <f t="shared" si="4"/>
        <v>#VALUE!</v>
      </c>
      <c r="Z38" s="37"/>
    </row>
    <row r="39" spans="1:26" ht="14.4" thickBot="1">
      <c r="D39" s="285" t="s">
        <v>766</v>
      </c>
      <c r="E39" s="286">
        <f>-E20/E8</f>
        <v>0.1841679441321751</v>
      </c>
      <c r="F39" s="286">
        <f>-F20/F8</f>
        <v>0.19977258189855623</v>
      </c>
      <c r="G39" s="80">
        <f t="shared" si="13"/>
        <v>1.560463776638113E-2</v>
      </c>
      <c r="H39" s="39"/>
      <c r="M39" s="285" t="s">
        <v>766</v>
      </c>
      <c r="N39" s="286">
        <f>-N20/N8</f>
        <v>0.39460457555946876</v>
      </c>
      <c r="O39" s="286">
        <f>-O20/O8</f>
        <v>0.33453004264555952</v>
      </c>
      <c r="P39" s="80">
        <f t="shared" si="2"/>
        <v>-6.007453291390924E-2</v>
      </c>
      <c r="Q39" s="39"/>
      <c r="V39" s="285" t="s">
        <v>766</v>
      </c>
      <c r="W39" s="286" t="str">
        <f>IFERROR(-W20/W8,"")</f>
        <v/>
      </c>
      <c r="X39" s="286">
        <f>-X20/X8</f>
        <v>3.5669503580281954</v>
      </c>
      <c r="Y39" s="80" t="e">
        <f t="shared" si="4"/>
        <v>#VALUE!</v>
      </c>
      <c r="Z39" s="39"/>
    </row>
  </sheetData>
  <phoneticPr fontId="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C2E67-172D-4E4E-A6B6-DC470FDEFB89}">
  <sheetPr>
    <tabColor rgb="FF92D050"/>
  </sheetPr>
  <dimension ref="A1:Z39"/>
  <sheetViews>
    <sheetView topLeftCell="C5" zoomScale="85" zoomScaleNormal="85" workbookViewId="0">
      <selection activeCell="B10" activeCellId="1" sqref="B4:D15 B4:D15"/>
    </sheetView>
  </sheetViews>
  <sheetFormatPr defaultRowHeight="13.8" outlineLevelRow="1" outlineLevelCol="1"/>
  <cols>
    <col min="3" max="3" width="17.6640625" customWidth="1"/>
    <col min="4" max="4" width="24.21875" customWidth="1"/>
    <col min="5" max="7" width="11.109375" bestFit="1" customWidth="1"/>
    <col min="8" max="8" width="10.77734375" customWidth="1"/>
    <col min="10" max="10" width="6.6640625" hidden="1" customWidth="1" outlineLevel="1"/>
    <col min="11" max="11" width="8.21875" hidden="1" customWidth="1" outlineLevel="1"/>
    <col min="12" max="12" width="19.77734375" hidden="1" customWidth="1" outlineLevel="1"/>
    <col min="13" max="13" width="24.77734375" customWidth="1" collapsed="1"/>
    <col min="14" max="14" width="10.33203125" customWidth="1"/>
    <col min="15" max="15" width="10.77734375" bestFit="1" customWidth="1"/>
    <col min="16" max="16" width="8.5546875" bestFit="1" customWidth="1"/>
    <col min="17" max="17" width="9.44140625" bestFit="1" customWidth="1"/>
    <col min="19" max="19" width="6.6640625" hidden="1" customWidth="1" outlineLevel="1"/>
    <col min="20" max="20" width="8.21875" hidden="1" customWidth="1" outlineLevel="1"/>
    <col min="21" max="21" width="19.77734375" hidden="1" customWidth="1" outlineLevel="1"/>
    <col min="22" max="22" width="27.109375" customWidth="1" collapsed="1"/>
    <col min="23" max="23" width="8.5546875" bestFit="1" customWidth="1"/>
    <col min="24" max="24" width="11.33203125" customWidth="1"/>
    <col min="25" max="25" width="8.5546875" bestFit="1" customWidth="1"/>
    <col min="26" max="26" width="9.44140625" bestFit="1" customWidth="1"/>
  </cols>
  <sheetData>
    <row r="1" spans="4:26" hidden="1" outlineLevel="1">
      <c r="D1" t="s">
        <v>732</v>
      </c>
      <c r="E1">
        <f>10^6</f>
        <v>1000000</v>
      </c>
    </row>
    <row r="2" spans="4:26" hidden="1" outlineLevel="1">
      <c r="D2" t="s">
        <v>8</v>
      </c>
      <c r="E2" s="8">
        <v>0.7</v>
      </c>
      <c r="N2" s="8"/>
      <c r="W2" s="8"/>
    </row>
    <row r="3" spans="4:26" hidden="1" outlineLevel="1">
      <c r="D3" t="s">
        <v>42</v>
      </c>
      <c r="E3" s="8">
        <v>0.3</v>
      </c>
      <c r="N3" s="8"/>
      <c r="W3" s="8"/>
    </row>
    <row r="4" spans="4:26" hidden="1" outlineLevel="1">
      <c r="D4" t="s">
        <v>130</v>
      </c>
      <c r="E4" s="8">
        <v>0</v>
      </c>
      <c r="N4" s="8"/>
      <c r="W4" s="8"/>
    </row>
    <row r="5" spans="4:26" collapsed="1"/>
    <row r="6" spans="4:26" ht="14.4" thickBot="1"/>
    <row r="7" spans="4:26" ht="14.4" thickBot="1">
      <c r="D7" s="287" t="s">
        <v>8</v>
      </c>
      <c r="E7" s="288" t="s">
        <v>25</v>
      </c>
      <c r="F7" s="288" t="s">
        <v>767</v>
      </c>
      <c r="G7" s="288" t="s">
        <v>139</v>
      </c>
      <c r="H7" s="289" t="s">
        <v>768</v>
      </c>
      <c r="M7" s="287" t="s">
        <v>42</v>
      </c>
      <c r="N7" s="288" t="s">
        <v>25</v>
      </c>
      <c r="O7" s="288" t="s">
        <v>767</v>
      </c>
      <c r="P7" s="288" t="s">
        <v>139</v>
      </c>
      <c r="Q7" s="289" t="s">
        <v>768</v>
      </c>
      <c r="V7" s="287" t="s">
        <v>130</v>
      </c>
      <c r="W7" s="288" t="s">
        <v>25</v>
      </c>
      <c r="X7" s="288" t="s">
        <v>767</v>
      </c>
      <c r="Y7" s="288" t="s">
        <v>139</v>
      </c>
      <c r="Z7" s="289" t="s">
        <v>768</v>
      </c>
    </row>
    <row r="8" spans="4:26">
      <c r="D8" s="292" t="s">
        <v>776</v>
      </c>
      <c r="E8" s="299">
        <f>E9*E10/$E$1-0.1</f>
        <v>1392.5500000000002</v>
      </c>
      <c r="F8" s="299">
        <f>F9*F10/$E$1</f>
        <v>2464.0267699115047</v>
      </c>
      <c r="G8" s="299">
        <f>F8-E8</f>
        <v>1071.4767699115046</v>
      </c>
      <c r="H8" s="300">
        <f>IFERROR(G8/E8,"")</f>
        <v>0.7694350435614552</v>
      </c>
      <c r="M8" s="292" t="s">
        <v>776</v>
      </c>
      <c r="N8" s="144">
        <f>N9*N10/$E$1</f>
        <v>252.48060000000001</v>
      </c>
      <c r="O8" s="144">
        <f>O9*O10/$E$1</f>
        <v>350.66750000000002</v>
      </c>
      <c r="P8" s="144">
        <f>O8-N8</f>
        <v>98.186900000000009</v>
      </c>
      <c r="Q8" s="293">
        <f>IFERROR(P8/N8,"")</f>
        <v>0.3888888888888889</v>
      </c>
      <c r="V8" s="292" t="s">
        <v>776</v>
      </c>
      <c r="W8" s="305">
        <f>W9*W10/$E$1</f>
        <v>0.23999500000000001</v>
      </c>
      <c r="X8" s="144">
        <f>X9*X10/$E$1</f>
        <v>80.000283999999994</v>
      </c>
      <c r="Y8" s="144">
        <f>X8-W8</f>
        <v>79.760289</v>
      </c>
      <c r="Z8" s="293">
        <f>IFERROR(Y8/W8,"")</f>
        <v>332.3414612804433</v>
      </c>
    </row>
    <row r="9" spans="4:26">
      <c r="D9" s="280" t="s">
        <v>24</v>
      </c>
      <c r="E9" s="40">
        <v>3979</v>
      </c>
      <c r="F9" s="40">
        <v>3974.2367256637176</v>
      </c>
      <c r="G9" s="40">
        <f t="shared" ref="G9:G39" si="0">F9-E9</f>
        <v>-4.7632743362823931</v>
      </c>
      <c r="H9" s="281">
        <f t="shared" ref="H9:H36" si="1">IFERROR(G9/E9,"")</f>
        <v>-1.197103376798792E-3</v>
      </c>
      <c r="M9" s="280" t="s">
        <v>24</v>
      </c>
      <c r="N9" s="40">
        <v>1402.67</v>
      </c>
      <c r="O9" s="40">
        <v>1402.67</v>
      </c>
      <c r="P9" s="40">
        <f t="shared" ref="P9:P39" si="2">O9-N9</f>
        <v>0</v>
      </c>
      <c r="Q9" s="281">
        <f t="shared" ref="Q9:Q36" si="3">IFERROR(P9/N9,"")</f>
        <v>0</v>
      </c>
      <c r="V9" s="280" t="s">
        <v>24</v>
      </c>
      <c r="W9" s="40">
        <v>6857</v>
      </c>
      <c r="X9" s="40">
        <v>7046</v>
      </c>
      <c r="Y9" s="40">
        <f t="shared" ref="Y9:Y39" si="4">X9-W9</f>
        <v>189</v>
      </c>
      <c r="Z9" s="281">
        <f t="shared" ref="Z9:Z36" si="5">IFERROR(Y9/W9,"")</f>
        <v>2.7563074230713139E-2</v>
      </c>
    </row>
    <row r="10" spans="4:26" ht="14.4" thickBot="1">
      <c r="D10" s="285" t="s">
        <v>775</v>
      </c>
      <c r="E10" s="294">
        <v>350000</v>
      </c>
      <c r="F10" s="294">
        <v>620000</v>
      </c>
      <c r="G10" s="294">
        <f t="shared" si="0"/>
        <v>270000</v>
      </c>
      <c r="H10" s="181">
        <f t="shared" si="1"/>
        <v>0.77142857142857146</v>
      </c>
      <c r="M10" s="285" t="s">
        <v>775</v>
      </c>
      <c r="N10" s="294">
        <v>180000</v>
      </c>
      <c r="O10" s="294">
        <v>250000</v>
      </c>
      <c r="P10" s="294">
        <f t="shared" si="2"/>
        <v>70000</v>
      </c>
      <c r="Q10" s="181">
        <f t="shared" si="3"/>
        <v>0.3888888888888889</v>
      </c>
      <c r="V10" s="285" t="s">
        <v>775</v>
      </c>
      <c r="W10" s="294">
        <v>35</v>
      </c>
      <c r="X10" s="294">
        <v>11354</v>
      </c>
      <c r="Y10" s="294">
        <f t="shared" si="4"/>
        <v>11319</v>
      </c>
      <c r="Z10" s="181">
        <f t="shared" si="5"/>
        <v>323.39999999999998</v>
      </c>
    </row>
    <row r="11" spans="4:26" ht="14.4">
      <c r="D11" s="296" t="s">
        <v>10</v>
      </c>
      <c r="E11" s="144">
        <v>-144.30000000000001</v>
      </c>
      <c r="F11" s="144">
        <f>-321*F10/$E$1</f>
        <v>-199.02</v>
      </c>
      <c r="G11" s="144">
        <f t="shared" si="0"/>
        <v>-54.72</v>
      </c>
      <c r="H11" s="293">
        <f t="shared" si="1"/>
        <v>0.37920997920997918</v>
      </c>
      <c r="M11" s="296" t="s">
        <v>10</v>
      </c>
      <c r="N11" s="144">
        <v>-32.799999999999997</v>
      </c>
      <c r="O11" s="144">
        <f>-162.792465042921*O10/$E$1</f>
        <v>-40.698116260730252</v>
      </c>
      <c r="P11" s="144">
        <f t="shared" si="2"/>
        <v>-7.8981162607302551</v>
      </c>
      <c r="Q11" s="293">
        <f t="shared" si="3"/>
        <v>0.24079622746128829</v>
      </c>
      <c r="V11" s="296" t="s">
        <v>10</v>
      </c>
      <c r="W11" s="144">
        <f>-0.029</f>
        <v>-2.9000000000000001E-2</v>
      </c>
      <c r="X11" s="25">
        <f>-631.39*X10/$E$1</f>
        <v>-7.16880206</v>
      </c>
      <c r="Y11" s="144">
        <f t="shared" si="4"/>
        <v>-7.1398020600000001</v>
      </c>
      <c r="Z11" s="293">
        <f t="shared" si="5"/>
        <v>246.20007103448276</v>
      </c>
    </row>
    <row r="12" spans="4:26" ht="14.4">
      <c r="D12" s="282" t="s">
        <v>11</v>
      </c>
      <c r="E12" s="40">
        <v>-138.30000000000001</v>
      </c>
      <c r="F12" s="40">
        <f>-'Royalty&amp;Milestone'!E12*F8</f>
        <v>-278.02096033621194</v>
      </c>
      <c r="G12" s="40">
        <f t="shared" si="0"/>
        <v>-139.72096033621193</v>
      </c>
      <c r="H12" s="281">
        <f t="shared" si="1"/>
        <v>1.0102744782083291</v>
      </c>
      <c r="M12" s="282" t="s">
        <v>11</v>
      </c>
      <c r="N12" s="40">
        <v>-26.5</v>
      </c>
      <c r="O12" s="40">
        <f>-10%*O8</f>
        <v>-35.066750000000006</v>
      </c>
      <c r="P12" s="40">
        <f t="shared" si="2"/>
        <v>-8.5667500000000061</v>
      </c>
      <c r="Q12" s="281">
        <f t="shared" si="3"/>
        <v>0.3232735849056606</v>
      </c>
      <c r="V12" s="282" t="s">
        <v>11</v>
      </c>
      <c r="W12" s="40">
        <f>-0.021</f>
        <v>-2.1000000000000001E-2</v>
      </c>
      <c r="X12" s="11">
        <f>-9%*X8</f>
        <v>-7.2000255599999994</v>
      </c>
      <c r="Y12" s="40">
        <f t="shared" si="4"/>
        <v>-7.1790255599999995</v>
      </c>
      <c r="Z12" s="281">
        <f t="shared" si="5"/>
        <v>341.85835999999995</v>
      </c>
    </row>
    <row r="13" spans="4:26" ht="14.4">
      <c r="D13" s="282" t="s">
        <v>12</v>
      </c>
      <c r="E13" s="40">
        <f>-36.5</f>
        <v>-36.5</v>
      </c>
      <c r="F13" s="40">
        <f>-25*10^6/$E$1*7.05</f>
        <v>-176.25</v>
      </c>
      <c r="G13" s="40">
        <f t="shared" si="0"/>
        <v>-139.75</v>
      </c>
      <c r="H13" s="281">
        <f t="shared" si="1"/>
        <v>3.8287671232876712</v>
      </c>
      <c r="M13" s="282" t="s">
        <v>12</v>
      </c>
      <c r="N13" s="40"/>
      <c r="O13" s="40">
        <f>-5*7.05*10^6/$E$1</f>
        <v>-35.25</v>
      </c>
      <c r="P13" s="40">
        <f t="shared" si="2"/>
        <v>-35.25</v>
      </c>
      <c r="Q13" s="281" t="str">
        <f t="shared" si="3"/>
        <v/>
      </c>
      <c r="V13" s="282" t="s">
        <v>12</v>
      </c>
      <c r="W13" s="40"/>
      <c r="X13" s="40"/>
      <c r="Y13" s="40">
        <f t="shared" si="4"/>
        <v>0</v>
      </c>
      <c r="Z13" s="281" t="str">
        <f t="shared" si="5"/>
        <v/>
      </c>
    </row>
    <row r="14" spans="4:26" ht="14.4">
      <c r="D14" s="282" t="s">
        <v>13</v>
      </c>
      <c r="E14" s="40">
        <f>-61.7</f>
        <v>-61.7</v>
      </c>
      <c r="F14" s="40">
        <f>-62*10^6/$E$1</f>
        <v>-62</v>
      </c>
      <c r="G14" s="40">
        <f t="shared" si="0"/>
        <v>-0.29999999999999716</v>
      </c>
      <c r="H14" s="281">
        <f t="shared" si="1"/>
        <v>4.8622366288492242E-3</v>
      </c>
      <c r="M14" s="282" t="s">
        <v>13</v>
      </c>
      <c r="N14" s="40">
        <f>-14.4</f>
        <v>-14.4</v>
      </c>
      <c r="O14" s="40">
        <f>N14</f>
        <v>-14.4</v>
      </c>
      <c r="P14" s="40">
        <f t="shared" si="2"/>
        <v>0</v>
      </c>
      <c r="Q14" s="281">
        <f t="shared" si="3"/>
        <v>0</v>
      </c>
      <c r="V14" s="282" t="s">
        <v>13</v>
      </c>
      <c r="W14" s="40"/>
      <c r="X14" s="40"/>
      <c r="Y14" s="40">
        <f t="shared" si="4"/>
        <v>0</v>
      </c>
      <c r="Z14" s="281" t="str">
        <f t="shared" si="5"/>
        <v/>
      </c>
    </row>
    <row r="15" spans="4:26">
      <c r="D15" s="280" t="s">
        <v>14</v>
      </c>
      <c r="E15" s="40">
        <f>SUM(E11:E14)</f>
        <v>-380.8</v>
      </c>
      <c r="F15" s="40">
        <f>SUM(F11:F14)</f>
        <v>-715.29096033621192</v>
      </c>
      <c r="G15" s="40">
        <f t="shared" si="0"/>
        <v>-334.49096033621191</v>
      </c>
      <c r="H15" s="281">
        <f t="shared" si="1"/>
        <v>0.87839012693332963</v>
      </c>
      <c r="M15" s="280" t="s">
        <v>14</v>
      </c>
      <c r="N15" s="40">
        <f>SUM(N11:N14)</f>
        <v>-73.7</v>
      </c>
      <c r="O15" s="40">
        <f>SUM(O11:O14)</f>
        <v>-125.41486626073026</v>
      </c>
      <c r="P15" s="40">
        <f t="shared" si="2"/>
        <v>-51.714866260730261</v>
      </c>
      <c r="Q15" s="281">
        <f t="shared" si="3"/>
        <v>0.70169425048480683</v>
      </c>
      <c r="V15" s="280" t="s">
        <v>14</v>
      </c>
      <c r="W15" s="40">
        <f>SUM(W11:W14)</f>
        <v>-0.05</v>
      </c>
      <c r="X15" s="40">
        <f>SUM(X11:X14)</f>
        <v>-14.368827619999999</v>
      </c>
      <c r="Y15" s="40">
        <f t="shared" si="4"/>
        <v>-14.318827619999999</v>
      </c>
      <c r="Z15" s="281">
        <f t="shared" si="5"/>
        <v>286.37655239999998</v>
      </c>
    </row>
    <row r="16" spans="4:26" ht="14.4" thickBot="1">
      <c r="D16" s="301" t="s">
        <v>15</v>
      </c>
      <c r="E16" s="302">
        <f>SUM(E8,E15)</f>
        <v>1011.7500000000002</v>
      </c>
      <c r="F16" s="302">
        <f>SUM(F8,F15)</f>
        <v>1748.7358095752929</v>
      </c>
      <c r="G16" s="302">
        <f t="shared" si="0"/>
        <v>736.98580957529271</v>
      </c>
      <c r="H16" s="303">
        <f t="shared" si="1"/>
        <v>0.72842679473713123</v>
      </c>
      <c r="M16" s="285" t="s">
        <v>15</v>
      </c>
      <c r="N16" s="294">
        <f>SUM(N8,N15)</f>
        <v>178.78059999999999</v>
      </c>
      <c r="O16" s="294">
        <f>SUM(O8,O15)</f>
        <v>225.25263373926975</v>
      </c>
      <c r="P16" s="294">
        <f t="shared" si="2"/>
        <v>46.472033739269762</v>
      </c>
      <c r="Q16" s="181">
        <f t="shared" si="3"/>
        <v>0.25993890690192206</v>
      </c>
      <c r="V16" s="285" t="s">
        <v>15</v>
      </c>
      <c r="W16" s="294">
        <f>SUM(W8,W15)</f>
        <v>0.18999500000000002</v>
      </c>
      <c r="X16" s="294">
        <f>SUM(X8,X15)</f>
        <v>65.631456379999989</v>
      </c>
      <c r="Y16" s="294">
        <f t="shared" si="4"/>
        <v>65.441461379999993</v>
      </c>
      <c r="Z16" s="181">
        <f t="shared" si="5"/>
        <v>344.437808258112</v>
      </c>
    </row>
    <row r="17" spans="1:26" ht="24">
      <c r="D17" s="304" t="s">
        <v>774</v>
      </c>
      <c r="E17" s="103">
        <f>(E16-E14-E13)/E8</f>
        <v>0.79706294208466488</v>
      </c>
      <c r="F17" s="103">
        <f t="shared" ref="F17" si="6">(F16-F14-F13)/F8</f>
        <v>0.80639781752316564</v>
      </c>
      <c r="G17" s="103">
        <f t="shared" si="0"/>
        <v>9.334875438500756E-3</v>
      </c>
      <c r="H17" s="293"/>
      <c r="M17" s="304" t="s">
        <v>774</v>
      </c>
      <c r="N17" s="103">
        <f>(N16-N14-N13)/N8</f>
        <v>0.76513046943012653</v>
      </c>
      <c r="O17" s="103">
        <f t="shared" ref="O17" si="7">(O16-O14-O13)/O8</f>
        <v>0.78394100890236396</v>
      </c>
      <c r="P17" s="103">
        <f t="shared" si="2"/>
        <v>1.8810539472237431E-2</v>
      </c>
      <c r="Q17" s="293"/>
      <c r="V17" s="304" t="s">
        <v>774</v>
      </c>
      <c r="W17" s="103"/>
      <c r="X17" s="103">
        <f t="shared" ref="X17" si="8">(X16-X14-X13)/X8</f>
        <v>0.82039029236446204</v>
      </c>
      <c r="Y17" s="103">
        <f t="shared" si="4"/>
        <v>0.82039029236446204</v>
      </c>
      <c r="Z17" s="293"/>
    </row>
    <row r="18" spans="1:26" ht="14.4" thickBot="1">
      <c r="D18" s="285" t="s">
        <v>773</v>
      </c>
      <c r="E18" s="80">
        <f>E16/E8</f>
        <v>0.72654482783383012</v>
      </c>
      <c r="F18" s="80">
        <f t="shared" ref="F18" si="9">F16/F8</f>
        <v>0.70970649788764206</v>
      </c>
      <c r="G18" s="80">
        <f t="shared" si="0"/>
        <v>-1.6838329946188058E-2</v>
      </c>
      <c r="H18" s="181"/>
      <c r="M18" s="285" t="s">
        <v>773</v>
      </c>
      <c r="N18" s="80">
        <f>N16/N8</f>
        <v>0.70809638443508127</v>
      </c>
      <c r="O18" s="80">
        <f t="shared" ref="O18" si="10">O16/O8</f>
        <v>0.64235389290216438</v>
      </c>
      <c r="P18" s="80">
        <f t="shared" si="2"/>
        <v>-6.5742491532916891E-2</v>
      </c>
      <c r="Q18" s="181"/>
      <c r="V18" s="285" t="s">
        <v>773</v>
      </c>
      <c r="W18" s="80"/>
      <c r="X18" s="80">
        <f t="shared" ref="X18" si="11">X16/X8</f>
        <v>0.82039029236446204</v>
      </c>
      <c r="Y18" s="80">
        <f t="shared" si="4"/>
        <v>0.82039029236446204</v>
      </c>
      <c r="Z18" s="181"/>
    </row>
    <row r="19" spans="1:26" ht="14.4">
      <c r="D19" s="295" t="s">
        <v>16</v>
      </c>
      <c r="E19" s="290">
        <v>-224.1</v>
      </c>
      <c r="F19" s="290">
        <f>-280118494.376235/$E$1</f>
        <v>-280.11849437623499</v>
      </c>
      <c r="G19" s="290">
        <f t="shared" si="0"/>
        <v>-56.018494376234997</v>
      </c>
      <c r="H19" s="291">
        <f t="shared" si="1"/>
        <v>0.24997096999658633</v>
      </c>
      <c r="M19" s="298" t="s">
        <v>16</v>
      </c>
      <c r="N19" s="144">
        <v>-134.30000000000001</v>
      </c>
      <c r="O19" s="144">
        <f>-136.157773287286*10^6/$E$1</f>
        <v>-136.15777328728601</v>
      </c>
      <c r="P19" s="144">
        <f t="shared" si="2"/>
        <v>-1.857773287285994</v>
      </c>
      <c r="Q19" s="293">
        <f t="shared" si="3"/>
        <v>1.3833010329754236E-2</v>
      </c>
      <c r="V19" s="298" t="s">
        <v>16</v>
      </c>
      <c r="W19" s="144">
        <f>-15.8</f>
        <v>-15.8</v>
      </c>
      <c r="X19" s="144">
        <f>-52.6</f>
        <v>-52.6</v>
      </c>
      <c r="Y19" s="144">
        <f t="shared" si="4"/>
        <v>-36.799999999999997</v>
      </c>
      <c r="Z19" s="293">
        <f t="shared" si="5"/>
        <v>2.3291139240506324</v>
      </c>
    </row>
    <row r="20" spans="1:26" ht="14.4">
      <c r="D20" s="283" t="s">
        <v>17</v>
      </c>
      <c r="E20" s="40">
        <v>-173</v>
      </c>
      <c r="F20" s="40">
        <f>SUM(F21:F31)</f>
        <v>-333.45628334000008</v>
      </c>
      <c r="G20" s="40">
        <f t="shared" si="0"/>
        <v>-160.45628334000008</v>
      </c>
      <c r="H20" s="281">
        <f t="shared" si="1"/>
        <v>0.92749296728323749</v>
      </c>
      <c r="M20" s="283" t="s">
        <v>17</v>
      </c>
      <c r="N20" s="40">
        <v>-110.7</v>
      </c>
      <c r="O20" s="40">
        <f>SUM(O21:O31)</f>
        <v>-151.42699000400003</v>
      </c>
      <c r="P20" s="40">
        <f t="shared" si="2"/>
        <v>-40.726990004000029</v>
      </c>
      <c r="Q20" s="281">
        <f t="shared" si="3"/>
        <v>0.36790415541102106</v>
      </c>
      <c r="V20" s="283" t="s">
        <v>17</v>
      </c>
      <c r="W20" s="40">
        <f>-29.5</f>
        <v>-29.5</v>
      </c>
      <c r="X20" s="40">
        <f>SUM(X21:X31)</f>
        <v>-150.79639333599999</v>
      </c>
      <c r="Y20" s="40">
        <f t="shared" si="4"/>
        <v>-121.29639333599999</v>
      </c>
      <c r="Z20" s="281">
        <f t="shared" si="5"/>
        <v>4.1117421469830511</v>
      </c>
    </row>
    <row r="21" spans="1:26" ht="14.4" hidden="1" outlineLevel="1">
      <c r="A21" t="s">
        <v>17</v>
      </c>
      <c r="B21" t="s">
        <v>8</v>
      </c>
      <c r="C21" t="s">
        <v>721</v>
      </c>
      <c r="D21" s="284" t="s">
        <v>722</v>
      </c>
      <c r="E21" s="40"/>
      <c r="F21" s="40">
        <f>-190100000/$E$1</f>
        <v>-190.1</v>
      </c>
      <c r="G21" s="40">
        <f t="shared" si="0"/>
        <v>-190.1</v>
      </c>
      <c r="H21" s="281" t="str">
        <f t="shared" si="1"/>
        <v/>
      </c>
      <c r="J21" t="s">
        <v>17</v>
      </c>
      <c r="K21" t="s">
        <v>42</v>
      </c>
      <c r="L21" t="s">
        <v>721</v>
      </c>
      <c r="M21" s="284" t="s">
        <v>722</v>
      </c>
      <c r="N21" s="40"/>
      <c r="O21" s="40">
        <f>-104*10^6/$E$1</f>
        <v>-104</v>
      </c>
      <c r="P21" s="40">
        <f t="shared" si="2"/>
        <v>-104</v>
      </c>
      <c r="Q21" s="281" t="str">
        <f t="shared" si="3"/>
        <v/>
      </c>
      <c r="S21" t="s">
        <v>17</v>
      </c>
      <c r="T21" t="s">
        <v>130</v>
      </c>
      <c r="U21" t="s">
        <v>721</v>
      </c>
      <c r="V21" s="284" t="s">
        <v>722</v>
      </c>
      <c r="W21" s="40"/>
      <c r="X21" s="40">
        <f>-22</f>
        <v>-22</v>
      </c>
      <c r="Y21" s="40">
        <f t="shared" si="4"/>
        <v>-22</v>
      </c>
      <c r="Z21" s="281" t="str">
        <f t="shared" si="5"/>
        <v/>
      </c>
    </row>
    <row r="22" spans="1:26" ht="14.4" hidden="1" outlineLevel="1">
      <c r="A22" t="s">
        <v>17</v>
      </c>
      <c r="B22" t="s">
        <v>8</v>
      </c>
      <c r="C22" t="s">
        <v>168</v>
      </c>
      <c r="D22" s="284" t="s">
        <v>168</v>
      </c>
      <c r="E22" s="40"/>
      <c r="F22" s="40">
        <f>-SUMIFS('2026 A&amp;P + T&amp;E Consol'!$AF:$AF,'2026 A&amp;P + T&amp;E Consol'!$C:$C,$A22,'2026 A&amp;P + T&amp;E Consol'!$E:$E,$B22,'2026 A&amp;P + T&amp;E Consol'!$B:$B,$C22)/$E$1-SUMIFS('2026 A&amp;P + T&amp;E Consol'!$AF:$AF,'2026 A&amp;P + T&amp;E Consol'!$C:$C,$A22,'2026 A&amp;P + T&amp;E Consol'!$E:$E,"General",'2026 A&amp;P + T&amp;E Consol'!$B:$B,$C22)/$E$1*$E$2</f>
        <v>-35.799999999999997</v>
      </c>
      <c r="G22" s="40">
        <f t="shared" si="0"/>
        <v>-35.799999999999997</v>
      </c>
      <c r="H22" s="281" t="str">
        <f t="shared" si="1"/>
        <v/>
      </c>
      <c r="J22" t="s">
        <v>17</v>
      </c>
      <c r="K22" t="s">
        <v>42</v>
      </c>
      <c r="L22" t="s">
        <v>235</v>
      </c>
      <c r="M22" s="284" t="s">
        <v>235</v>
      </c>
      <c r="N22" s="40"/>
      <c r="O22" s="40">
        <f>-SUMIFS('2026 A&amp;P + T&amp;E Consol'!$AF:$AF,'2026 A&amp;P + T&amp;E Consol'!$C:$C,$J22,'2026 A&amp;P + T&amp;E Consol'!$E:$E,$K22,'2026 A&amp;P + T&amp;E Consol'!$B:$B,$L22)/$E$1-SUMIFS('2026 A&amp;P + T&amp;E Consol'!$AF:$AF,'2026 A&amp;P + T&amp;E Consol'!$C:$C,$J22,'2026 A&amp;P + T&amp;E Consol'!$E:$E,"General",'2026 A&amp;P + T&amp;E Consol'!$B:$B,$L22)/$E$1*$E$3</f>
        <v>-14.62</v>
      </c>
      <c r="P22" s="40">
        <f t="shared" si="2"/>
        <v>-14.62</v>
      </c>
      <c r="Q22" s="281" t="str">
        <f t="shared" si="3"/>
        <v/>
      </c>
      <c r="S22" t="s">
        <v>17</v>
      </c>
      <c r="T22" t="s">
        <v>130</v>
      </c>
      <c r="U22" t="s">
        <v>291</v>
      </c>
      <c r="V22" s="284" t="s">
        <v>291</v>
      </c>
      <c r="W22" s="40"/>
      <c r="X22" s="40">
        <f>-SUMIFS('2026 A&amp;P + T&amp;E Consol'!$AF:$AF,'2026 A&amp;P + T&amp;E Consol'!$C:$C,$S22,'2026 A&amp;P + T&amp;E Consol'!$E:$E,$T22,'2026 A&amp;P + T&amp;E Consol'!$B:$B,$U22)/$E$1-SUMIFS('2026 A&amp;P + T&amp;E Consol'!$AF:$AF,'2026 A&amp;P + T&amp;E Consol'!$C:$C,$S22,'2026 A&amp;P + T&amp;E Consol'!$E:$E,"General",'2026 A&amp;P + T&amp;E Consol'!$B:$B,$U22)/$E$1*$E$4</f>
        <v>-23.76</v>
      </c>
      <c r="Y22" s="40">
        <f t="shared" si="4"/>
        <v>-23.76</v>
      </c>
      <c r="Z22" s="281" t="str">
        <f t="shared" si="5"/>
        <v/>
      </c>
    </row>
    <row r="23" spans="1:26" ht="14.4" hidden="1" outlineLevel="1">
      <c r="A23" t="s">
        <v>17</v>
      </c>
      <c r="B23" t="s">
        <v>8</v>
      </c>
      <c r="C23" t="s">
        <v>349</v>
      </c>
      <c r="D23" s="284" t="s">
        <v>349</v>
      </c>
      <c r="E23" s="40"/>
      <c r="F23" s="40">
        <f>-SUMIFS('2026 A&amp;P + T&amp;E Consol'!$AF:$AF,'2026 A&amp;P + T&amp;E Consol'!$C:$C,$A23,'2026 A&amp;P + T&amp;E Consol'!$E:$E,$B23,'2026 A&amp;P + T&amp;E Consol'!$B:$B,$C23)/$E$1-SUMIFS('2026 A&amp;P + T&amp;E Consol'!$AF:$AF,'2026 A&amp;P + T&amp;E Consol'!$C:$C,$A23,'2026 A&amp;P + T&amp;E Consol'!$E:$E,"General",'2026 A&amp;P + T&amp;E Consol'!$B:$B,$C23)/$E$1*$E$2</f>
        <v>-49.1265</v>
      </c>
      <c r="G23" s="40">
        <f t="shared" si="0"/>
        <v>-49.1265</v>
      </c>
      <c r="H23" s="281" t="str">
        <f t="shared" si="1"/>
        <v/>
      </c>
      <c r="J23" t="s">
        <v>17</v>
      </c>
      <c r="K23" t="s">
        <v>42</v>
      </c>
      <c r="L23" t="s">
        <v>422</v>
      </c>
      <c r="M23" s="284" t="s">
        <v>422</v>
      </c>
      <c r="N23" s="40"/>
      <c r="O23" s="40">
        <f>-SUMIFS('2026 A&amp;P + T&amp;E Consol'!$AF:$AF,'2026 A&amp;P + T&amp;E Consol'!$C:$C,$J23,'2026 A&amp;P + T&amp;E Consol'!$E:$E,$K23,'2026 A&amp;P + T&amp;E Consol'!$B:$B,$L23)/$E$1-SUMIFS('2026 A&amp;P + T&amp;E Consol'!$AF:$AF,'2026 A&amp;P + T&amp;E Consol'!$C:$C,$J23,'2026 A&amp;P + T&amp;E Consol'!$E:$E,"General",'2026 A&amp;P + T&amp;E Consol'!$B:$B,$L23)/$E$1*$E$3</f>
        <v>-16.732199999999999</v>
      </c>
      <c r="P23" s="40">
        <f t="shared" si="2"/>
        <v>-16.732199999999999</v>
      </c>
      <c r="Q23" s="281" t="str">
        <f t="shared" si="3"/>
        <v/>
      </c>
      <c r="S23" t="s">
        <v>17</v>
      </c>
      <c r="T23" t="s">
        <v>130</v>
      </c>
      <c r="U23" t="s">
        <v>465</v>
      </c>
      <c r="V23" s="284" t="s">
        <v>465</v>
      </c>
      <c r="W23" s="40"/>
      <c r="X23" s="40">
        <f>-SUMIFS('2026 A&amp;P + T&amp;E Consol'!$AF:$AF,'2026 A&amp;P + T&amp;E Consol'!$C:$C,$S23,'2026 A&amp;P + T&amp;E Consol'!$E:$E,$T23,'2026 A&amp;P + T&amp;E Consol'!$B:$B,$U23)/$E$1-SUMIFS('2026 A&amp;P + T&amp;E Consol'!$AF:$AF,'2026 A&amp;P + T&amp;E Consol'!$C:$C,$S23,'2026 A&amp;P + T&amp;E Consol'!$E:$E,"General",'2026 A&amp;P + T&amp;E Consol'!$B:$B,$U23)/$E$1*$E$4</f>
        <v>-42.716000000000001</v>
      </c>
      <c r="Y23" s="40">
        <f t="shared" si="4"/>
        <v>-42.716000000000001</v>
      </c>
      <c r="Z23" s="281" t="str">
        <f t="shared" si="5"/>
        <v/>
      </c>
    </row>
    <row r="24" spans="1:26" ht="14.4" hidden="1" outlineLevel="1">
      <c r="A24" t="s">
        <v>17</v>
      </c>
      <c r="B24" t="s">
        <v>8</v>
      </c>
      <c r="C24" t="s">
        <v>507</v>
      </c>
      <c r="D24" s="284" t="s">
        <v>507</v>
      </c>
      <c r="E24" s="40"/>
      <c r="F24" s="40">
        <f>-SUMIFS('2026 A&amp;P + T&amp;E Consol'!$AF:$AF,'2026 A&amp;P + T&amp;E Consol'!$C:$C,$A24,'2026 A&amp;P + T&amp;E Consol'!$E:$E,$B24,'2026 A&amp;P + T&amp;E Consol'!$B:$B,$C24)/$E$1-SUMIFS('2026 A&amp;P + T&amp;E Consol'!$AF:$AF,'2026 A&amp;P + T&amp;E Consol'!$C:$C,$A24,'2026 A&amp;P + T&amp;E Consol'!$E:$E,"General",'2026 A&amp;P + T&amp;E Consol'!$B:$B,$C24)/$E$1*$E$2</f>
        <v>-6.75</v>
      </c>
      <c r="G24" s="40">
        <f t="shared" si="0"/>
        <v>-6.75</v>
      </c>
      <c r="H24" s="281" t="str">
        <f t="shared" si="1"/>
        <v/>
      </c>
      <c r="J24" t="s">
        <v>17</v>
      </c>
      <c r="K24" t="s">
        <v>42</v>
      </c>
      <c r="L24" t="s">
        <v>507</v>
      </c>
      <c r="M24" s="284" t="s">
        <v>507</v>
      </c>
      <c r="N24" s="40"/>
      <c r="O24" s="40">
        <f>-SUMIFS('2026 A&amp;P + T&amp;E Consol'!$AF:$AF,'2026 A&amp;P + T&amp;E Consol'!$C:$C,$J24,'2026 A&amp;P + T&amp;E Consol'!$E:$E,$K24,'2026 A&amp;P + T&amp;E Consol'!$B:$B,$L24)/$E$1-SUMIFS('2026 A&amp;P + T&amp;E Consol'!$AF:$AF,'2026 A&amp;P + T&amp;E Consol'!$C:$C,$J24,'2026 A&amp;P + T&amp;E Consol'!$E:$E,"General",'2026 A&amp;P + T&amp;E Consol'!$B:$B,$L24)/$E$1*$E$3</f>
        <v>-4.6500000000000004</v>
      </c>
      <c r="P24" s="40">
        <f t="shared" si="2"/>
        <v>-4.6500000000000004</v>
      </c>
      <c r="Q24" s="281" t="str">
        <f t="shared" si="3"/>
        <v/>
      </c>
      <c r="S24" t="s">
        <v>17</v>
      </c>
      <c r="T24" t="s">
        <v>130</v>
      </c>
      <c r="U24" t="s">
        <v>507</v>
      </c>
      <c r="V24" s="284" t="s">
        <v>507</v>
      </c>
      <c r="W24" s="40"/>
      <c r="X24" s="40">
        <f>-SUMIFS('2026 A&amp;P + T&amp;E Consol'!$AF:$AF,'2026 A&amp;P + T&amp;E Consol'!$C:$C,$S24,'2026 A&amp;P + T&amp;E Consol'!$E:$E,$T24,'2026 A&amp;P + T&amp;E Consol'!$B:$B,$U24)/$E$1-SUMIFS('2026 A&amp;P + T&amp;E Consol'!$AF:$AF,'2026 A&amp;P + T&amp;E Consol'!$C:$C,$S24,'2026 A&amp;P + T&amp;E Consol'!$E:$E,"General",'2026 A&amp;P + T&amp;E Consol'!$B:$B,$U24)/$E$1*$E$4</f>
        <v>-8.85</v>
      </c>
      <c r="Y24" s="40">
        <f t="shared" si="4"/>
        <v>-8.85</v>
      </c>
      <c r="Z24" s="281" t="str">
        <f t="shared" si="5"/>
        <v/>
      </c>
    </row>
    <row r="25" spans="1:26" ht="14.4" hidden="1" outlineLevel="1">
      <c r="A25" t="s">
        <v>17</v>
      </c>
      <c r="B25" t="s">
        <v>8</v>
      </c>
      <c r="C25" t="s">
        <v>582</v>
      </c>
      <c r="D25" s="284" t="s">
        <v>582</v>
      </c>
      <c r="E25" s="40"/>
      <c r="F25" s="40">
        <f>-SUMIFS('2026 A&amp;P + T&amp;E Consol'!$AF:$AF,'2026 A&amp;P + T&amp;E Consol'!$C:$C,$A25,'2026 A&amp;P + T&amp;E Consol'!$E:$E,$B25,'2026 A&amp;P + T&amp;E Consol'!$B:$B,$C25)/$E$1-SUMIFS('2026 A&amp;P + T&amp;E Consol'!$AF:$AF,'2026 A&amp;P + T&amp;E Consol'!$C:$C,$A25,'2026 A&amp;P + T&amp;E Consol'!$E:$E,"General",'2026 A&amp;P + T&amp;E Consol'!$B:$B,$C25)/$E$1*$E$2</f>
        <v>-7.8280000000000003</v>
      </c>
      <c r="G25" s="40">
        <f t="shared" si="0"/>
        <v>-7.8280000000000003</v>
      </c>
      <c r="H25" s="281" t="str">
        <f t="shared" si="1"/>
        <v/>
      </c>
      <c r="J25" t="s">
        <v>17</v>
      </c>
      <c r="K25" t="s">
        <v>42</v>
      </c>
      <c r="L25" t="s">
        <v>582</v>
      </c>
      <c r="M25" s="284" t="s">
        <v>582</v>
      </c>
      <c r="N25" s="40"/>
      <c r="O25" s="40">
        <f>-SUMIFS('2026 A&amp;P + T&amp;E Consol'!$AF:$AF,'2026 A&amp;P + T&amp;E Consol'!$C:$C,$J25,'2026 A&amp;P + T&amp;E Consol'!$E:$E,$K25,'2026 A&amp;P + T&amp;E Consol'!$B:$B,$L25)/$E$1-SUMIFS('2026 A&amp;P + T&amp;E Consol'!$AF:$AF,'2026 A&amp;P + T&amp;E Consol'!$C:$C,$J25,'2026 A&amp;P + T&amp;E Consol'!$E:$E,"General",'2026 A&amp;P + T&amp;E Consol'!$B:$B,$L25)/$E$1*$E$3</f>
        <v>-5.4</v>
      </c>
      <c r="P25" s="40">
        <f t="shared" si="2"/>
        <v>-5.4</v>
      </c>
      <c r="Q25" s="281" t="str">
        <f t="shared" si="3"/>
        <v/>
      </c>
      <c r="S25" t="s">
        <v>17</v>
      </c>
      <c r="T25" t="s">
        <v>130</v>
      </c>
      <c r="U25" t="s">
        <v>582</v>
      </c>
      <c r="V25" s="284" t="s">
        <v>582</v>
      </c>
      <c r="W25" s="40"/>
      <c r="X25" s="40">
        <f>-SUMIFS('2026 A&amp;P + T&amp;E Consol'!$AF:$AF,'2026 A&amp;P + T&amp;E Consol'!$C:$C,$S25,'2026 A&amp;P + T&amp;E Consol'!$E:$E,$T25,'2026 A&amp;P + T&amp;E Consol'!$B:$B,$U25)/$E$1-SUMIFS('2026 A&amp;P + T&amp;E Consol'!$AF:$AF,'2026 A&amp;P + T&amp;E Consol'!$C:$C,$S25,'2026 A&amp;P + T&amp;E Consol'!$E:$E,"General",'2026 A&amp;P + T&amp;E Consol'!$B:$B,$U25)/$E$1*$E$4</f>
        <v>0</v>
      </c>
      <c r="Y25" s="40">
        <f t="shared" si="4"/>
        <v>0</v>
      </c>
      <c r="Z25" s="281" t="str">
        <f t="shared" si="5"/>
        <v/>
      </c>
    </row>
    <row r="26" spans="1:26" ht="14.4" hidden="1" outlineLevel="1">
      <c r="A26" t="s">
        <v>17</v>
      </c>
      <c r="B26" t="s">
        <v>8</v>
      </c>
      <c r="C26" t="s">
        <v>594</v>
      </c>
      <c r="D26" s="284" t="s">
        <v>594</v>
      </c>
      <c r="E26" s="40"/>
      <c r="F26" s="40">
        <f>-SUMIFS('2026 A&amp;P + T&amp;E Consol'!$AF:$AF,'2026 A&amp;P + T&amp;E Consol'!$C:$C,$A26,'2026 A&amp;P + T&amp;E Consol'!$E:$E,$B26,'2026 A&amp;P + T&amp;E Consol'!$B:$B,$C26)/$E$1-SUMIFS('2026 A&amp;P + T&amp;E Consol'!$AF:$AF,'2026 A&amp;P + T&amp;E Consol'!$C:$C,$A26,'2026 A&amp;P + T&amp;E Consol'!$E:$E,"General",'2026 A&amp;P + T&amp;E Consol'!$B:$B,$C26)/$E$1*$E$2</f>
        <v>-1.3397999999999999</v>
      </c>
      <c r="G26" s="40">
        <f t="shared" si="0"/>
        <v>-1.3397999999999999</v>
      </c>
      <c r="H26" s="281" t="str">
        <f t="shared" si="1"/>
        <v/>
      </c>
      <c r="J26" t="s">
        <v>17</v>
      </c>
      <c r="K26" t="s">
        <v>42</v>
      </c>
      <c r="L26" t="s">
        <v>594</v>
      </c>
      <c r="M26" s="284" t="s">
        <v>594</v>
      </c>
      <c r="N26" s="40"/>
      <c r="O26" s="40">
        <f>-SUMIFS('2026 A&amp;P + T&amp;E Consol'!$AF:$AF,'2026 A&amp;P + T&amp;E Consol'!$C:$C,$J26,'2026 A&amp;P + T&amp;E Consol'!$E:$E,$K26,'2026 A&amp;P + T&amp;E Consol'!$B:$B,$L26)/$E$1-SUMIFS('2026 A&amp;P + T&amp;E Consol'!$AF:$AF,'2026 A&amp;P + T&amp;E Consol'!$C:$C,$J26,'2026 A&amp;P + T&amp;E Consol'!$E:$E,"General",'2026 A&amp;P + T&amp;E Consol'!$B:$B,$L26)/$E$1*$E$3</f>
        <v>-0.57419999999999993</v>
      </c>
      <c r="P26" s="40">
        <f t="shared" si="2"/>
        <v>-0.57419999999999993</v>
      </c>
      <c r="Q26" s="281" t="str">
        <f t="shared" si="3"/>
        <v/>
      </c>
      <c r="S26" t="s">
        <v>17</v>
      </c>
      <c r="T26" t="s">
        <v>130</v>
      </c>
      <c r="U26" t="s">
        <v>594</v>
      </c>
      <c r="V26" s="284" t="s">
        <v>594</v>
      </c>
      <c r="W26" s="40"/>
      <c r="X26" s="40">
        <f>-SUMIFS('2026 A&amp;P + T&amp;E Consol'!$AF:$AF,'2026 A&amp;P + T&amp;E Consol'!$C:$C,$S26,'2026 A&amp;P + T&amp;E Consol'!$E:$E,$T26,'2026 A&amp;P + T&amp;E Consol'!$B:$B,$U26)/$E$1-SUMIFS('2026 A&amp;P + T&amp;E Consol'!$AF:$AF,'2026 A&amp;P + T&amp;E Consol'!$C:$C,$S26,'2026 A&amp;P + T&amp;E Consol'!$E:$E,"General",'2026 A&amp;P + T&amp;E Consol'!$B:$B,$U26)/$E$1*$E$4</f>
        <v>0</v>
      </c>
      <c r="Y26" s="40">
        <f t="shared" si="4"/>
        <v>0</v>
      </c>
      <c r="Z26" s="281" t="str">
        <f t="shared" si="5"/>
        <v/>
      </c>
    </row>
    <row r="27" spans="1:26" ht="14.4" hidden="1" outlineLevel="1">
      <c r="A27" t="s">
        <v>17</v>
      </c>
      <c r="B27" t="s">
        <v>8</v>
      </c>
      <c r="C27" t="s">
        <v>607</v>
      </c>
      <c r="D27" s="284" t="s">
        <v>607</v>
      </c>
      <c r="E27" s="40"/>
      <c r="F27" s="40">
        <f>-SUMIFS('2026 A&amp;P + T&amp;E Consol'!$AF:$AF,'2026 A&amp;P + T&amp;E Consol'!$C:$C,$A27,'2026 A&amp;P + T&amp;E Consol'!$E:$E,$B27,'2026 A&amp;P + T&amp;E Consol'!$B:$B,$C27)/$E$1-SUMIFS('2026 A&amp;P + T&amp;E Consol'!$AF:$AF,'2026 A&amp;P + T&amp;E Consol'!$C:$C,$A27,'2026 A&amp;P + T&amp;E Consol'!$E:$E,"General",'2026 A&amp;P + T&amp;E Consol'!$B:$B,$C27)/$E$1*$E$2</f>
        <v>-33.021000000000001</v>
      </c>
      <c r="G27" s="40">
        <f t="shared" si="0"/>
        <v>-33.021000000000001</v>
      </c>
      <c r="H27" s="281" t="str">
        <f t="shared" si="1"/>
        <v/>
      </c>
      <c r="J27" t="s">
        <v>17</v>
      </c>
      <c r="K27" t="s">
        <v>42</v>
      </c>
      <c r="L27" t="s">
        <v>607</v>
      </c>
      <c r="M27" s="284" t="s">
        <v>607</v>
      </c>
      <c r="N27" s="40"/>
      <c r="O27" s="40">
        <f>-SUMIFS('2026 A&amp;P + T&amp;E Consol'!$AF:$AF,'2026 A&amp;P + T&amp;E Consol'!$C:$C,$J27,'2026 A&amp;P + T&amp;E Consol'!$E:$E,$K27,'2026 A&amp;P + T&amp;E Consol'!$B:$B,$L27)/$E$1-SUMIFS('2026 A&amp;P + T&amp;E Consol'!$AF:$AF,'2026 A&amp;P + T&amp;E Consol'!$C:$C,$J27,'2026 A&amp;P + T&amp;E Consol'!$E:$E,"General",'2026 A&amp;P + T&amp;E Consol'!$B:$B,$L27)/$E$1*$E$3</f>
        <v>-0.3</v>
      </c>
      <c r="P27" s="40">
        <f t="shared" si="2"/>
        <v>-0.3</v>
      </c>
      <c r="Q27" s="281" t="str">
        <f t="shared" si="3"/>
        <v/>
      </c>
      <c r="S27" t="s">
        <v>17</v>
      </c>
      <c r="T27" t="s">
        <v>130</v>
      </c>
      <c r="U27" t="s">
        <v>607</v>
      </c>
      <c r="V27" s="284" t="s">
        <v>607</v>
      </c>
      <c r="W27" s="40"/>
      <c r="X27" s="40">
        <f>-SUMIFS('2026 A&amp;P + T&amp;E Consol'!$AF:$AF,'2026 A&amp;P + T&amp;E Consol'!$C:$C,$S27,'2026 A&amp;P + T&amp;E Consol'!$E:$E,$T27,'2026 A&amp;P + T&amp;E Consol'!$B:$B,$U27)/$E$1-SUMIFS('2026 A&amp;P + T&amp;E Consol'!$AF:$AF,'2026 A&amp;P + T&amp;E Consol'!$C:$C,$S27,'2026 A&amp;P + T&amp;E Consol'!$E:$E,"General",'2026 A&amp;P + T&amp;E Consol'!$B:$B,$U27)/$E$1*$E$4</f>
        <v>-50.53</v>
      </c>
      <c r="Y27" s="40">
        <f t="shared" si="4"/>
        <v>-50.53</v>
      </c>
      <c r="Z27" s="281" t="str">
        <f t="shared" si="5"/>
        <v/>
      </c>
    </row>
    <row r="28" spans="1:26" ht="14.4" hidden="1" outlineLevel="1">
      <c r="A28" t="s">
        <v>17</v>
      </c>
      <c r="B28" t="s">
        <v>8</v>
      </c>
      <c r="C28" t="s">
        <v>694</v>
      </c>
      <c r="D28" s="284" t="s">
        <v>694</v>
      </c>
      <c r="E28" s="40"/>
      <c r="F28" s="40">
        <f>-SUMIFS('2026 A&amp;P + T&amp;E Consol'!$AF:$AF,'2026 A&amp;P + T&amp;E Consol'!$C:$C,$A28,'2026 A&amp;P + T&amp;E Consol'!$E:$E,$B28,'2026 A&amp;P + T&amp;E Consol'!$B:$B,$C28)/$E$1-SUMIFS('2026 A&amp;P + T&amp;E Consol'!$AF:$AF,'2026 A&amp;P + T&amp;E Consol'!$C:$C,$A28,'2026 A&amp;P + T&amp;E Consol'!$E:$E,"General",'2026 A&amp;P + T&amp;E Consol'!$B:$B,$C28)/$E$1*$E$2</f>
        <v>-3.9830000000000001</v>
      </c>
      <c r="G28" s="40">
        <f t="shared" si="0"/>
        <v>-3.9830000000000001</v>
      </c>
      <c r="H28" s="281" t="str">
        <f t="shared" si="1"/>
        <v/>
      </c>
      <c r="J28" t="s">
        <v>17</v>
      </c>
      <c r="K28" t="s">
        <v>42</v>
      </c>
      <c r="L28" t="s">
        <v>694</v>
      </c>
      <c r="M28" s="284" t="s">
        <v>694</v>
      </c>
      <c r="N28" s="40"/>
      <c r="O28" s="40">
        <f>-SUMIFS('2026 A&amp;P + T&amp;E Consol'!$AF:$AF,'2026 A&amp;P + T&amp;E Consol'!$C:$C,$J28,'2026 A&amp;P + T&amp;E Consol'!$E:$E,$K28,'2026 A&amp;P + T&amp;E Consol'!$B:$B,$L28)/$E$1-SUMIFS('2026 A&amp;P + T&amp;E Consol'!$AF:$AF,'2026 A&amp;P + T&amp;E Consol'!$C:$C,$J28,'2026 A&amp;P + T&amp;E Consol'!$E:$E,"General",'2026 A&amp;P + T&amp;E Consol'!$B:$B,$L28)/$E$1*$E$3</f>
        <v>-1.7070000000000001</v>
      </c>
      <c r="P28" s="40">
        <f t="shared" si="2"/>
        <v>-1.7070000000000001</v>
      </c>
      <c r="Q28" s="281" t="str">
        <f t="shared" si="3"/>
        <v/>
      </c>
      <c r="S28" t="s">
        <v>17</v>
      </c>
      <c r="T28" t="s">
        <v>130</v>
      </c>
      <c r="U28" t="s">
        <v>694</v>
      </c>
      <c r="V28" s="284" t="s">
        <v>694</v>
      </c>
      <c r="W28" s="40"/>
      <c r="X28" s="40">
        <f>-SUMIFS('2026 A&amp;P + T&amp;E Consol'!$AF:$AF,'2026 A&amp;P + T&amp;E Consol'!$C:$C,$S28,'2026 A&amp;P + T&amp;E Consol'!$E:$E,$T28,'2026 A&amp;P + T&amp;E Consol'!$B:$B,$U28)/$E$1-SUMIFS('2026 A&amp;P + T&amp;E Consol'!$AF:$AF,'2026 A&amp;P + T&amp;E Consol'!$C:$C,$S28,'2026 A&amp;P + T&amp;E Consol'!$E:$E,"General",'2026 A&amp;P + T&amp;E Consol'!$B:$B,$U28)/$E$1*$E$4</f>
        <v>0</v>
      </c>
      <c r="Y28" s="40">
        <f t="shared" si="4"/>
        <v>0</v>
      </c>
      <c r="Z28" s="281" t="str">
        <f t="shared" si="5"/>
        <v/>
      </c>
    </row>
    <row r="29" spans="1:26" ht="14.4" hidden="1" outlineLevel="1">
      <c r="A29" t="s">
        <v>17</v>
      </c>
      <c r="B29" t="s">
        <v>8</v>
      </c>
      <c r="C29" t="s">
        <v>731</v>
      </c>
      <c r="D29" s="284" t="s">
        <v>29</v>
      </c>
      <c r="E29" s="40"/>
      <c r="F29" s="40">
        <f>-SUMIFS('2026 A&amp;P + T&amp;E Consol'!$AF:$AF,'2026 A&amp;P + T&amp;E Consol'!$C:$C,$A29,'2026 A&amp;P + T&amp;E Consol'!$E:$E,$B29,'2026 A&amp;P + T&amp;E Consol'!$B:$B,$C29)/$E$1-SUMIFS('2026 A&amp;P + T&amp;E Consol'!$AF:$AF,'2026 A&amp;P + T&amp;E Consol'!$C:$C,$A29,'2026 A&amp;P + T&amp;E Consol'!$E:$E,"General",'2026 A&amp;P + T&amp;E Consol'!$B:$B,$C29)/$E$1*$E$2</f>
        <v>-1.119</v>
      </c>
      <c r="G29" s="40">
        <f t="shared" si="0"/>
        <v>-1.119</v>
      </c>
      <c r="H29" s="281" t="str">
        <f t="shared" si="1"/>
        <v/>
      </c>
      <c r="J29" t="s">
        <v>17</v>
      </c>
      <c r="K29" t="s">
        <v>42</v>
      </c>
      <c r="L29" t="s">
        <v>731</v>
      </c>
      <c r="M29" s="284" t="s">
        <v>29</v>
      </c>
      <c r="N29" s="40"/>
      <c r="O29" s="40">
        <f>-SUMIFS('2026 A&amp;P + T&amp;E Consol'!$AF:$AF,'2026 A&amp;P + T&amp;E Consol'!$C:$C,$J29,'2026 A&amp;P + T&amp;E Consol'!$E:$E,$K29,'2026 A&amp;P + T&amp;E Consol'!$B:$B,$L29)/$E$1-SUMIFS('2026 A&amp;P + T&amp;E Consol'!$AF:$AF,'2026 A&amp;P + T&amp;E Consol'!$C:$C,$J29,'2026 A&amp;P + T&amp;E Consol'!$E:$E,"General",'2026 A&amp;P + T&amp;E Consol'!$B:$B,$L29)/$E$1*$E$3</f>
        <v>-0.73099999999999998</v>
      </c>
      <c r="P29" s="40">
        <f t="shared" si="2"/>
        <v>-0.73099999999999998</v>
      </c>
      <c r="Q29" s="281" t="str">
        <f t="shared" si="3"/>
        <v/>
      </c>
      <c r="S29" t="s">
        <v>17</v>
      </c>
      <c r="T29" t="s">
        <v>130</v>
      </c>
      <c r="U29" t="s">
        <v>731</v>
      </c>
      <c r="V29" s="284" t="s">
        <v>29</v>
      </c>
      <c r="W29" s="40"/>
      <c r="X29" s="40">
        <f>-SUMIFS('2026 A&amp;P + T&amp;E Consol'!$AF:$AF,'2026 A&amp;P + T&amp;E Consol'!$C:$C,$S29,'2026 A&amp;P + T&amp;E Consol'!$E:$E,$T29,'2026 A&amp;P + T&amp;E Consol'!$B:$B,$U29)/$E$1-SUMIFS('2026 A&amp;P + T&amp;E Consol'!$AF:$AF,'2026 A&amp;P + T&amp;E Consol'!$C:$C,$S29,'2026 A&amp;P + T&amp;E Consol'!$E:$E,"General",'2026 A&amp;P + T&amp;E Consol'!$B:$B,$U29)/$E$1*$E$4</f>
        <v>-0.33</v>
      </c>
      <c r="Y29" s="40">
        <f t="shared" si="4"/>
        <v>-0.33</v>
      </c>
      <c r="Z29" s="281" t="str">
        <f t="shared" si="5"/>
        <v/>
      </c>
    </row>
    <row r="30" spans="1:26" ht="14.4" hidden="1" outlineLevel="1">
      <c r="A30" t="s">
        <v>17</v>
      </c>
      <c r="B30" t="s">
        <v>8</v>
      </c>
      <c r="C30" t="s">
        <v>715</v>
      </c>
      <c r="D30" s="284" t="s">
        <v>715</v>
      </c>
      <c r="E30" s="40"/>
      <c r="F30" s="40">
        <f>-SUMIFS('2026 A&amp;P + T&amp;E Consol'!$AF:$AF,'2026 A&amp;P + T&amp;E Consol'!$C:$C,$A30,'2026 A&amp;P + T&amp;E Consol'!$E:$E,$B30,'2026 A&amp;P + T&amp;E Consol'!$B:$B,$C30)/$E$1-SUMIFS('2026 A&amp;P + T&amp;E Consol'!$AF:$AF,'2026 A&amp;P + T&amp;E Consol'!$C:$C,$A30,'2026 A&amp;P + T&amp;E Consol'!$E:$E,"General",'2026 A&amp;P + T&amp;E Consol'!$B:$B,$C30)/$E$1*$E$2</f>
        <v>-0.58799999999999997</v>
      </c>
      <c r="G30" s="40">
        <f t="shared" si="0"/>
        <v>-0.58799999999999997</v>
      </c>
      <c r="H30" s="281" t="str">
        <f t="shared" si="1"/>
        <v/>
      </c>
      <c r="J30" t="s">
        <v>17</v>
      </c>
      <c r="K30" t="s">
        <v>42</v>
      </c>
      <c r="L30" t="s">
        <v>715</v>
      </c>
      <c r="M30" s="284" t="s">
        <v>715</v>
      </c>
      <c r="N30" s="40"/>
      <c r="O30" s="40">
        <f>-SUMIFS('2026 A&amp;P + T&amp;E Consol'!$AF:$AF,'2026 A&amp;P + T&amp;E Consol'!$C:$C,$J30,'2026 A&amp;P + T&amp;E Consol'!$E:$E,$K30,'2026 A&amp;P + T&amp;E Consol'!$B:$B,$L30)/$E$1-SUMIFS('2026 A&amp;P + T&amp;E Consol'!$AF:$AF,'2026 A&amp;P + T&amp;E Consol'!$C:$C,$J30,'2026 A&amp;P + T&amp;E Consol'!$E:$E,"General",'2026 A&amp;P + T&amp;E Consol'!$B:$B,$L30)/$E$1*$E$3</f>
        <v>-0.252</v>
      </c>
      <c r="P30" s="40">
        <f t="shared" si="2"/>
        <v>-0.252</v>
      </c>
      <c r="Q30" s="281" t="str">
        <f t="shared" si="3"/>
        <v/>
      </c>
      <c r="S30" t="s">
        <v>17</v>
      </c>
      <c r="T30" t="s">
        <v>130</v>
      </c>
      <c r="U30" t="s">
        <v>715</v>
      </c>
      <c r="V30" s="284" t="s">
        <v>715</v>
      </c>
      <c r="W30" s="40"/>
      <c r="X30" s="40">
        <f>-SUMIFS('2026 A&amp;P + T&amp;E Consol'!$AF:$AF,'2026 A&amp;P + T&amp;E Consol'!$C:$C,$S30,'2026 A&amp;P + T&amp;E Consol'!$E:$E,$T30,'2026 A&amp;P + T&amp;E Consol'!$B:$B,$U30)/$E$1-SUMIFS('2026 A&amp;P + T&amp;E Consol'!$AF:$AF,'2026 A&amp;P + T&amp;E Consol'!$C:$C,$S30,'2026 A&amp;P + T&amp;E Consol'!$E:$E,"General",'2026 A&amp;P + T&amp;E Consol'!$B:$B,$U30)/$E$1*$E$4</f>
        <v>0</v>
      </c>
      <c r="Y30" s="40">
        <f t="shared" si="4"/>
        <v>0</v>
      </c>
      <c r="Z30" s="281" t="str">
        <f t="shared" si="5"/>
        <v/>
      </c>
    </row>
    <row r="31" spans="1:26" ht="14.4" hidden="1" outlineLevel="1">
      <c r="A31" t="s">
        <v>17</v>
      </c>
      <c r="B31" t="s">
        <v>8</v>
      </c>
      <c r="C31" t="s">
        <v>543</v>
      </c>
      <c r="D31" s="284" t="s">
        <v>543</v>
      </c>
      <c r="E31" s="40"/>
      <c r="F31" s="40">
        <f>-SUMIFS('2026 A&amp;P + T&amp;E Consol'!$AF:$AF,'2026 A&amp;P + T&amp;E Consol'!$C:$C,$A31,'2026 A&amp;P + T&amp;E Consol'!$E:$E,$B31,'2026 A&amp;P + T&amp;E Consol'!$B:$B,$C31)/$E$1-SUMIFS('2026 A&amp;P + T&amp;E Consol'!$AF:$AF,'2026 A&amp;P + T&amp;E Consol'!$C:$C,$A31,'2026 A&amp;P + T&amp;E Consol'!$E:$E,"General",'2026 A&amp;P + T&amp;E Consol'!$B:$B,$C31)/$E$1*$E$2</f>
        <v>-3.8009833399999997</v>
      </c>
      <c r="G31" s="40">
        <f t="shared" si="0"/>
        <v>-3.8009833399999997</v>
      </c>
      <c r="H31" s="281" t="str">
        <f t="shared" si="1"/>
        <v/>
      </c>
      <c r="J31" t="s">
        <v>17</v>
      </c>
      <c r="K31" t="s">
        <v>42</v>
      </c>
      <c r="L31" t="s">
        <v>543</v>
      </c>
      <c r="M31" s="284" t="s">
        <v>543</v>
      </c>
      <c r="N31" s="40"/>
      <c r="O31" s="40">
        <f>-SUMIFS('2026 A&amp;P + T&amp;E Consol'!$AF:$AF,'2026 A&amp;P + T&amp;E Consol'!$C:$C,$J31,'2026 A&amp;P + T&amp;E Consol'!$E:$E,$K31,'2026 A&amp;P + T&amp;E Consol'!$B:$B,$L31)/$E$1-SUMIFS('2026 A&amp;P + T&amp;E Consol'!$AF:$AF,'2026 A&amp;P + T&amp;E Consol'!$C:$C,$J31,'2026 A&amp;P + T&amp;E Consol'!$E:$E,"General",'2026 A&amp;P + T&amp;E Consol'!$B:$B,$L31)/$E$1*$E$3</f>
        <v>-2.4605900039999997</v>
      </c>
      <c r="P31" s="40">
        <f t="shared" si="2"/>
        <v>-2.4605900039999997</v>
      </c>
      <c r="Q31" s="281" t="str">
        <f t="shared" si="3"/>
        <v/>
      </c>
      <c r="S31" t="s">
        <v>17</v>
      </c>
      <c r="T31" t="s">
        <v>130</v>
      </c>
      <c r="U31" t="s">
        <v>543</v>
      </c>
      <c r="V31" s="284" t="s">
        <v>543</v>
      </c>
      <c r="W31" s="40"/>
      <c r="X31" s="40">
        <f>-SUMIFS('2026 A&amp;P + T&amp;E Consol'!$AF:$AF,'2026 A&amp;P + T&amp;E Consol'!$C:$C,$S31,'2026 A&amp;P + T&amp;E Consol'!$E:$E,$T31,'2026 A&amp;P + T&amp;E Consol'!$B:$B,$U31)/$E$1-SUMIFS('2026 A&amp;P + T&amp;E Consol'!$AF:$AF,'2026 A&amp;P + T&amp;E Consol'!$C:$C,$S31,'2026 A&amp;P + T&amp;E Consol'!$E:$E,"General",'2026 A&amp;P + T&amp;E Consol'!$B:$B,$U31)/$E$1*$E$4</f>
        <v>-2.610393336</v>
      </c>
      <c r="Y31" s="40">
        <f t="shared" si="4"/>
        <v>-2.610393336</v>
      </c>
      <c r="Z31" s="281" t="str">
        <f t="shared" si="5"/>
        <v/>
      </c>
    </row>
    <row r="32" spans="1:26" ht="14.4" collapsed="1">
      <c r="A32" t="s">
        <v>18</v>
      </c>
      <c r="B32" t="s">
        <v>8</v>
      </c>
      <c r="C32" t="s">
        <v>582</v>
      </c>
      <c r="D32" s="283" t="s">
        <v>18</v>
      </c>
      <c r="E32" s="40">
        <v>0</v>
      </c>
      <c r="F32" s="40">
        <f>-SUMIFS('2026 A&amp;P + T&amp;E Consol'!$AF:$AF,'2026 A&amp;P + T&amp;E Consol'!$C:$C,$A32,'2026 A&amp;P + T&amp;E Consol'!$E:$E,$B32,'2026 A&amp;P + T&amp;E Consol'!$B:$B,$C32)/$E$1-SUMIFS('2026 A&amp;P + T&amp;E Consol'!$AF:$AF,'2026 A&amp;P + T&amp;E Consol'!$C:$C,$A32,'2026 A&amp;P + T&amp;E Consol'!$E:$E,"General",'2026 A&amp;P + T&amp;E Consol'!$B:$B,$C32)/$E$1*$E$2</f>
        <v>-70</v>
      </c>
      <c r="G32" s="40">
        <f t="shared" si="0"/>
        <v>-70</v>
      </c>
      <c r="H32" s="281" t="str">
        <f t="shared" si="1"/>
        <v/>
      </c>
      <c r="J32" t="s">
        <v>18</v>
      </c>
      <c r="K32" t="s">
        <v>42</v>
      </c>
      <c r="L32" t="s">
        <v>582</v>
      </c>
      <c r="M32" s="283" t="s">
        <v>18</v>
      </c>
      <c r="N32" s="40">
        <f>-28</f>
        <v>-28</v>
      </c>
      <c r="O32" s="40">
        <f>-SUMIFS('2026 A&amp;P + T&amp;E Consol'!$AF:$AF,'2026 A&amp;P + T&amp;E Consol'!$C:$C,$J32,'2026 A&amp;P + T&amp;E Consol'!$E:$E,$K32,'2026 A&amp;P + T&amp;E Consol'!$B:$B,$L32)/$E$1-SUMIFS('2026 A&amp;P + T&amp;E Consol'!$AF:$AF,'2026 A&amp;P + T&amp;E Consol'!$C:$C,$J32,'2026 A&amp;P + T&amp;E Consol'!$E:$E,"General",'2026 A&amp;P + T&amp;E Consol'!$B:$B,$L32)/$E$1*$E$2</f>
        <v>-29.76</v>
      </c>
      <c r="P32" s="40">
        <f t="shared" si="2"/>
        <v>-1.7600000000000016</v>
      </c>
      <c r="Q32" s="281">
        <f t="shared" si="3"/>
        <v>6.2857142857142917E-2</v>
      </c>
      <c r="S32" t="s">
        <v>18</v>
      </c>
      <c r="T32" t="s">
        <v>130</v>
      </c>
      <c r="U32" t="s">
        <v>582</v>
      </c>
      <c r="V32" s="283" t="s">
        <v>18</v>
      </c>
      <c r="W32" s="40"/>
      <c r="X32" s="40"/>
      <c r="Y32" s="40">
        <f t="shared" si="4"/>
        <v>0</v>
      </c>
      <c r="Z32" s="281" t="str">
        <f t="shared" si="5"/>
        <v/>
      </c>
    </row>
    <row r="33" spans="1:26" ht="14.4">
      <c r="A33" t="s">
        <v>19</v>
      </c>
      <c r="B33" t="s">
        <v>8</v>
      </c>
      <c r="D33" s="283" t="s">
        <v>19</v>
      </c>
      <c r="E33" s="40">
        <v>-22.5</v>
      </c>
      <c r="F33" s="40">
        <f>-SUMIFS('2026 A&amp;P + T&amp;E Consol'!$AF:$AF,'2026 A&amp;P + T&amp;E Consol'!$C:$C,$A33,'2026 A&amp;P + T&amp;E Consol'!$E:$E,$B33)/$E$1-SUMIFS('2026 A&amp;P + T&amp;E Consol'!$AF:$AF,'2026 A&amp;P + T&amp;E Consol'!$C:$C,$A33,'2026 A&amp;P + T&amp;E Consol'!$E:$E,"General")/$E$1*$E$2-'Sales T&amp;E &amp; 科室会WP'!H34/$E$1</f>
        <v>-33.689149999999998</v>
      </c>
      <c r="G33" s="40">
        <f t="shared" si="0"/>
        <v>-11.189149999999998</v>
      </c>
      <c r="H33" s="281">
        <f t="shared" si="1"/>
        <v>0.49729555555555549</v>
      </c>
      <c r="J33" t="s">
        <v>19</v>
      </c>
      <c r="K33" t="s">
        <v>42</v>
      </c>
      <c r="M33" s="283" t="s">
        <v>19</v>
      </c>
      <c r="N33" s="40">
        <v>-14.3</v>
      </c>
      <c r="O33" s="40">
        <f>-SUMIFS('2026 A&amp;P + T&amp;E Consol'!$AF:$AF,'2026 A&amp;P + T&amp;E Consol'!$C:$C,$J33,'2026 A&amp;P + T&amp;E Consol'!$E:$E,$K33)/$E$1-SUMIFS('2026 A&amp;P + T&amp;E Consol'!$AF:$AF,'2026 A&amp;P + T&amp;E Consol'!$C:$C,$J33,'2026 A&amp;P + T&amp;E Consol'!$E:$E,"General")/$E$1*$E$2-'Sales T&amp;E &amp; 科室会WP'!H21/$E$1</f>
        <v>-19.366509999999998</v>
      </c>
      <c r="P33" s="40">
        <f t="shared" si="2"/>
        <v>-5.0665099999999974</v>
      </c>
      <c r="Q33" s="281">
        <f t="shared" si="3"/>
        <v>0.35430139860139842</v>
      </c>
      <c r="S33" t="s">
        <v>19</v>
      </c>
      <c r="T33" t="s">
        <v>130</v>
      </c>
      <c r="V33" s="283" t="s">
        <v>19</v>
      </c>
      <c r="W33" s="40">
        <f>-0.8</f>
        <v>-0.8</v>
      </c>
      <c r="X33" s="11">
        <f>-SUMIFS('2026 A&amp;P + T&amp;E Consol'!$AF:$AF,'2026 A&amp;P + T&amp;E Consol'!$C:$C,$S33,'2026 A&amp;P + T&amp;E Consol'!$E:$E,$T33)/$E$1-SUMIFS('2026 A&amp;P + T&amp;E Consol'!$AF:$AF,'2026 A&amp;P + T&amp;E Consol'!$C:$C,$S33,'2026 A&amp;P + T&amp;E Consol'!$E:$E,"General")/$E$1*$E$2-'Sales T&amp;E &amp; 科室会WP'!H46/10^6</f>
        <v>-12.751570000000001</v>
      </c>
      <c r="Y33" s="40">
        <f t="shared" si="4"/>
        <v>-11.95157</v>
      </c>
      <c r="Z33" s="281">
        <f t="shared" si="5"/>
        <v>14.939462499999999</v>
      </c>
    </row>
    <row r="34" spans="1:26" ht="14.4">
      <c r="A34" t="s">
        <v>20</v>
      </c>
      <c r="B34" t="s">
        <v>8</v>
      </c>
      <c r="D34" s="283" t="s">
        <v>20</v>
      </c>
      <c r="E34" s="40">
        <v>-6.9</v>
      </c>
      <c r="F34" s="40">
        <f>E34</f>
        <v>-6.9</v>
      </c>
      <c r="G34" s="40">
        <f t="shared" si="0"/>
        <v>0</v>
      </c>
      <c r="H34" s="281">
        <f t="shared" si="1"/>
        <v>0</v>
      </c>
      <c r="J34" t="s">
        <v>20</v>
      </c>
      <c r="K34" t="s">
        <v>42</v>
      </c>
      <c r="M34" s="283" t="s">
        <v>20</v>
      </c>
      <c r="N34" s="40">
        <v>-3.7</v>
      </c>
      <c r="O34" s="40">
        <f>N34</f>
        <v>-3.7</v>
      </c>
      <c r="P34" s="40">
        <f t="shared" si="2"/>
        <v>0</v>
      </c>
      <c r="Q34" s="281">
        <f t="shared" si="3"/>
        <v>0</v>
      </c>
      <c r="S34" t="s">
        <v>20</v>
      </c>
      <c r="T34" t="s">
        <v>130</v>
      </c>
      <c r="V34" s="283" t="s">
        <v>20</v>
      </c>
      <c r="W34" s="40">
        <f>-0.034</f>
        <v>-3.4000000000000002E-2</v>
      </c>
      <c r="X34" s="40">
        <f>-5</f>
        <v>-5</v>
      </c>
      <c r="Y34" s="40">
        <f t="shared" si="4"/>
        <v>-4.9660000000000002</v>
      </c>
      <c r="Z34" s="281">
        <f t="shared" si="5"/>
        <v>146.05882352941177</v>
      </c>
    </row>
    <row r="35" spans="1:26" ht="14.4" thickBot="1">
      <c r="D35" s="285" t="s">
        <v>21</v>
      </c>
      <c r="E35" s="294">
        <f>SUM(E19:E20,E32:E34)</f>
        <v>-426.5</v>
      </c>
      <c r="F35" s="294">
        <f>SUM(F19:F20,F32:F34)</f>
        <v>-724.16392771623509</v>
      </c>
      <c r="G35" s="294">
        <f t="shared" si="0"/>
        <v>-297.66392771623509</v>
      </c>
      <c r="H35" s="181">
        <f t="shared" si="1"/>
        <v>0.69792245654451368</v>
      </c>
      <c r="M35" s="285" t="s">
        <v>21</v>
      </c>
      <c r="N35" s="294">
        <f>SUM(N19:N20,N32:N34)</f>
        <v>-291</v>
      </c>
      <c r="O35" s="294">
        <f>SUM(O19:O20,O32:O34)</f>
        <v>-340.41127329128602</v>
      </c>
      <c r="P35" s="294">
        <f t="shared" si="2"/>
        <v>-49.411273291286022</v>
      </c>
      <c r="Q35" s="181">
        <f t="shared" si="3"/>
        <v>0.16979819000441931</v>
      </c>
      <c r="V35" s="285" t="s">
        <v>21</v>
      </c>
      <c r="W35" s="294">
        <f>SUM(W19:W20,W32:W34)</f>
        <v>-46.133999999999993</v>
      </c>
      <c r="X35" s="294">
        <f>SUM(X19:X20,X32:X34)</f>
        <v>-221.14796333599998</v>
      </c>
      <c r="Y35" s="294">
        <f t="shared" si="4"/>
        <v>-175.01396333599999</v>
      </c>
      <c r="Z35" s="181">
        <f t="shared" si="5"/>
        <v>3.7936004538084713</v>
      </c>
    </row>
    <row r="36" spans="1:26">
      <c r="D36" s="297" t="s">
        <v>22</v>
      </c>
      <c r="E36" s="290">
        <f>SUM(E35,E16)</f>
        <v>585.25000000000023</v>
      </c>
      <c r="F36" s="290">
        <f>SUM(F35,F16)</f>
        <v>1024.5718818590578</v>
      </c>
      <c r="G36" s="290">
        <f t="shared" si="0"/>
        <v>439.32188185905761</v>
      </c>
      <c r="H36" s="291">
        <f t="shared" si="1"/>
        <v>0.75065678233072608</v>
      </c>
      <c r="M36" s="297" t="s">
        <v>22</v>
      </c>
      <c r="N36" s="290">
        <f>SUM(N35,N16)</f>
        <v>-112.21940000000001</v>
      </c>
      <c r="O36" s="290">
        <f>SUM(O35,O16)</f>
        <v>-115.15863955201627</v>
      </c>
      <c r="P36" s="290">
        <f t="shared" si="2"/>
        <v>-2.9392395520162609</v>
      </c>
      <c r="Q36" s="291">
        <f t="shared" si="3"/>
        <v>2.619190222026014E-2</v>
      </c>
      <c r="V36" s="297" t="s">
        <v>22</v>
      </c>
      <c r="W36" s="290">
        <f>SUM(W35,W16)</f>
        <v>-45.94400499999999</v>
      </c>
      <c r="X36" s="290">
        <f>SUM(X35,X16)</f>
        <v>-155.516506956</v>
      </c>
      <c r="Y36" s="290">
        <f t="shared" si="4"/>
        <v>-109.57250195600001</v>
      </c>
      <c r="Z36" s="291">
        <f t="shared" si="5"/>
        <v>2.3849140264545947</v>
      </c>
    </row>
    <row r="37" spans="1:26">
      <c r="D37" s="280" t="s">
        <v>765</v>
      </c>
      <c r="E37" s="97">
        <f>E36/E8</f>
        <v>0.42027216257944072</v>
      </c>
      <c r="F37" s="97">
        <f>F36/F8</f>
        <v>0.41581199294188481</v>
      </c>
      <c r="G37" s="13">
        <f t="shared" si="0"/>
        <v>-4.4601696375559108E-3</v>
      </c>
      <c r="H37" s="37"/>
      <c r="M37" s="280" t="s">
        <v>765</v>
      </c>
      <c r="N37" s="97">
        <f>N36/N8</f>
        <v>-0.44446741650645633</v>
      </c>
      <c r="O37" s="97">
        <f>O36/O8</f>
        <v>-0.32839838180617326</v>
      </c>
      <c r="P37" s="13">
        <f t="shared" si="2"/>
        <v>0.11606903470028307</v>
      </c>
      <c r="Q37" s="37"/>
      <c r="V37" s="280" t="s">
        <v>765</v>
      </c>
      <c r="W37" s="97">
        <f>IFERROR(W36/W8,"")</f>
        <v>-191.4373424446342</v>
      </c>
      <c r="X37" s="97">
        <f>X36/X8</f>
        <v>-1.9439494359295026</v>
      </c>
      <c r="Y37" s="13">
        <f t="shared" si="4"/>
        <v>189.49339300870469</v>
      </c>
      <c r="Z37" s="37"/>
    </row>
    <row r="38" spans="1:26">
      <c r="D38" s="280" t="s">
        <v>23</v>
      </c>
      <c r="E38" s="12">
        <f>-E35/E8</f>
        <v>0.3062726652543894</v>
      </c>
      <c r="F38" s="12">
        <f>-F35/F8</f>
        <v>0.29389450494575731</v>
      </c>
      <c r="G38" s="279">
        <f t="shared" si="0"/>
        <v>-1.2378160308632091E-2</v>
      </c>
      <c r="H38" s="37"/>
      <c r="M38" s="280" t="s">
        <v>23</v>
      </c>
      <c r="N38" s="12">
        <f>-N35/N8</f>
        <v>1.1525638009415375</v>
      </c>
      <c r="O38" s="12">
        <f>-O35/O8</f>
        <v>0.97075227470833769</v>
      </c>
      <c r="P38" s="279">
        <f t="shared" si="2"/>
        <v>-0.18181152623319985</v>
      </c>
      <c r="Q38" s="37"/>
      <c r="V38" s="280" t="s">
        <v>23</v>
      </c>
      <c r="W38" s="12">
        <f>IFERROR(-W35/W8,"")</f>
        <v>192.22900477093268</v>
      </c>
      <c r="X38" s="12">
        <f>-X35/X8</f>
        <v>2.7643397282939643</v>
      </c>
      <c r="Y38" s="279">
        <f t="shared" si="4"/>
        <v>-189.4646650426387</v>
      </c>
      <c r="Z38" s="37"/>
    </row>
    <row r="39" spans="1:26" ht="14.4" thickBot="1">
      <c r="D39" s="285" t="s">
        <v>766</v>
      </c>
      <c r="E39" s="286">
        <f>-E20/E8</f>
        <v>0.1242325230691896</v>
      </c>
      <c r="F39" s="286">
        <f>-F20/F8</f>
        <v>0.13532981354418325</v>
      </c>
      <c r="G39" s="80">
        <f t="shared" si="0"/>
        <v>1.1097290474993651E-2</v>
      </c>
      <c r="H39" s="39"/>
      <c r="M39" s="285" t="s">
        <v>766</v>
      </c>
      <c r="N39" s="286">
        <f>-N20/N8</f>
        <v>0.4384495283994097</v>
      </c>
      <c r="O39" s="286">
        <f>-O20/O8</f>
        <v>0.43182499092159959</v>
      </c>
      <c r="P39" s="80">
        <f t="shared" si="2"/>
        <v>-6.6245374778101107E-3</v>
      </c>
      <c r="Q39" s="39"/>
      <c r="V39" s="285" t="s">
        <v>766</v>
      </c>
      <c r="W39" s="286">
        <f>IFERROR(-W20/W8,"")</f>
        <v>122.91922748390591</v>
      </c>
      <c r="X39" s="286">
        <f>-X20/X8</f>
        <v>1.8849482251338008</v>
      </c>
      <c r="Y39" s="80">
        <f t="shared" si="4"/>
        <v>-121.03427925877212</v>
      </c>
      <c r="Z39" s="39"/>
    </row>
  </sheetData>
  <phoneticPr fontId="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2CF40-0D9E-4995-A66A-9463C9BCDC35}">
  <dimension ref="B1:B16"/>
  <sheetViews>
    <sheetView workbookViewId="0">
      <selection activeCell="B10" activeCellId="1" sqref="B4:D15 B4:D15"/>
    </sheetView>
  </sheetViews>
  <sheetFormatPr defaultRowHeight="13.8"/>
  <cols>
    <col min="2" max="2" width="15.33203125" customWidth="1"/>
  </cols>
  <sheetData>
    <row r="1" spans="2:2" ht="14.4" thickBot="1"/>
    <row r="2" spans="2:2">
      <c r="B2" s="190" t="s">
        <v>141</v>
      </c>
    </row>
    <row r="3" spans="2:2">
      <c r="B3" s="199" t="s">
        <v>168</v>
      </c>
    </row>
    <row r="4" spans="2:2">
      <c r="B4" s="10" t="s">
        <v>235</v>
      </c>
    </row>
    <row r="5" spans="2:2">
      <c r="B5" s="10" t="s">
        <v>291</v>
      </c>
    </row>
    <row r="6" spans="2:2">
      <c r="B6" s="10" t="s">
        <v>349</v>
      </c>
    </row>
    <row r="7" spans="2:2">
      <c r="B7" s="10" t="s">
        <v>422</v>
      </c>
    </row>
    <row r="8" spans="2:2">
      <c r="B8" s="10" t="s">
        <v>465</v>
      </c>
    </row>
    <row r="9" spans="2:2">
      <c r="B9" s="10" t="s">
        <v>507</v>
      </c>
    </row>
    <row r="10" spans="2:2">
      <c r="B10" s="10" t="s">
        <v>543</v>
      </c>
    </row>
    <row r="11" spans="2:2">
      <c r="B11" s="10" t="s">
        <v>545</v>
      </c>
    </row>
    <row r="12" spans="2:2">
      <c r="B12" s="10" t="s">
        <v>582</v>
      </c>
    </row>
    <row r="13" spans="2:2">
      <c r="B13" s="10" t="s">
        <v>594</v>
      </c>
    </row>
    <row r="14" spans="2:2">
      <c r="B14" s="10" t="s">
        <v>607</v>
      </c>
    </row>
    <row r="15" spans="2:2">
      <c r="B15" s="10" t="s">
        <v>694</v>
      </c>
    </row>
    <row r="16" spans="2:2">
      <c r="B16" s="10" t="s">
        <v>715</v>
      </c>
    </row>
  </sheetData>
  <phoneticPr fontId="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E439B-1810-4E1F-96D3-B148E014A486}">
  <dimension ref="B3:E32"/>
  <sheetViews>
    <sheetView workbookViewId="0">
      <selection activeCell="B10" activeCellId="1" sqref="B4:D15 B4:D15"/>
    </sheetView>
  </sheetViews>
  <sheetFormatPr defaultRowHeight="13.8"/>
  <cols>
    <col min="2" max="2" width="10.77734375" bestFit="1" customWidth="1"/>
    <col min="3" max="3" width="16.21875" bestFit="1" customWidth="1"/>
  </cols>
  <sheetData>
    <row r="3" spans="2:5">
      <c r="B3" t="s">
        <v>762</v>
      </c>
      <c r="C3">
        <v>7.05</v>
      </c>
    </row>
    <row r="4" spans="2:5">
      <c r="B4" t="s">
        <v>24</v>
      </c>
      <c r="C4">
        <v>3974</v>
      </c>
    </row>
    <row r="5" spans="2:5">
      <c r="B5" t="s">
        <v>761</v>
      </c>
      <c r="C5" s="1">
        <v>620000</v>
      </c>
    </row>
    <row r="6" spans="2:5">
      <c r="B6" t="s">
        <v>733</v>
      </c>
      <c r="C6" s="1">
        <f>C5*C4</f>
        <v>2463880000</v>
      </c>
    </row>
    <row r="7" spans="2:5">
      <c r="B7" t="s">
        <v>757</v>
      </c>
      <c r="C7" s="1">
        <f>C6/C3/10^6</f>
        <v>349.486524822695</v>
      </c>
      <c r="D7" t="s">
        <v>11</v>
      </c>
      <c r="E7" t="s">
        <v>763</v>
      </c>
    </row>
    <row r="8" spans="2:5">
      <c r="B8" t="s">
        <v>758</v>
      </c>
      <c r="C8">
        <v>100</v>
      </c>
      <c r="D8">
        <f>C8*9%</f>
        <v>9</v>
      </c>
      <c r="E8" s="3">
        <f>D8*$C$3</f>
        <v>63.449999999999996</v>
      </c>
    </row>
    <row r="9" spans="2:5">
      <c r="B9" t="s">
        <v>759</v>
      </c>
      <c r="C9" s="1">
        <v>100</v>
      </c>
      <c r="D9" s="6">
        <f>C9*11%</f>
        <v>11</v>
      </c>
      <c r="E9" s="3">
        <f t="shared" ref="E9:E10" si="0">D9*$C$3</f>
        <v>77.55</v>
      </c>
    </row>
    <row r="10" spans="2:5">
      <c r="B10" t="s">
        <v>760</v>
      </c>
      <c r="C10" s="6">
        <f>C7-200</f>
        <v>149.486524822695</v>
      </c>
      <c r="D10" s="6">
        <f>C10*13%</f>
        <v>19.433248226950351</v>
      </c>
      <c r="E10" s="3">
        <f t="shared" si="0"/>
        <v>137.00439999999998</v>
      </c>
    </row>
    <row r="11" spans="2:5">
      <c r="D11" t="s">
        <v>78</v>
      </c>
      <c r="E11" s="110">
        <f>SUM(E8:E10)</f>
        <v>278.00439999999998</v>
      </c>
    </row>
    <row r="12" spans="2:5">
      <c r="D12" t="s">
        <v>764</v>
      </c>
      <c r="E12" s="95">
        <f>E11*10^6/C6</f>
        <v>0.1128319561017582</v>
      </c>
    </row>
    <row r="14" spans="2:5">
      <c r="B14" t="s">
        <v>42</v>
      </c>
    </row>
    <row r="15" spans="2:5">
      <c r="B15" t="s">
        <v>762</v>
      </c>
      <c r="C15">
        <v>7.05</v>
      </c>
    </row>
    <row r="16" spans="2:5">
      <c r="B16" t="s">
        <v>24</v>
      </c>
      <c r="C16">
        <v>1402.67</v>
      </c>
    </row>
    <row r="17" spans="2:3">
      <c r="B17" t="s">
        <v>761</v>
      </c>
      <c r="C17" s="1">
        <v>250000</v>
      </c>
    </row>
    <row r="18" spans="2:3">
      <c r="B18" t="s">
        <v>733</v>
      </c>
      <c r="C18" s="1">
        <f>C17*C16</f>
        <v>350667500</v>
      </c>
    </row>
    <row r="19" spans="2:3">
      <c r="B19" t="s">
        <v>757</v>
      </c>
      <c r="C19" s="1">
        <f>C18/C15/10^6</f>
        <v>49.740070921985819</v>
      </c>
    </row>
    <row r="20" spans="2:3">
      <c r="B20" t="s">
        <v>769</v>
      </c>
      <c r="C20" s="6">
        <f>C19</f>
        <v>49.740070921985819</v>
      </c>
    </row>
    <row r="21" spans="2:3">
      <c r="B21" t="s">
        <v>770</v>
      </c>
      <c r="C21" s="1"/>
    </row>
    <row r="22" spans="2:3">
      <c r="B22" t="s">
        <v>771</v>
      </c>
      <c r="C22" s="6"/>
    </row>
    <row r="24" spans="2:3">
      <c r="B24" t="s">
        <v>46</v>
      </c>
    </row>
    <row r="25" spans="2:3">
      <c r="B25" t="s">
        <v>762</v>
      </c>
      <c r="C25">
        <v>7.05</v>
      </c>
    </row>
    <row r="26" spans="2:3">
      <c r="B26" t="s">
        <v>24</v>
      </c>
      <c r="C26">
        <v>7046</v>
      </c>
    </row>
    <row r="27" spans="2:3">
      <c r="B27" t="s">
        <v>761</v>
      </c>
      <c r="C27" s="1">
        <v>12000</v>
      </c>
    </row>
    <row r="28" spans="2:3">
      <c r="B28" t="s">
        <v>733</v>
      </c>
      <c r="C28" s="1">
        <f>C27*C26</f>
        <v>84552000</v>
      </c>
    </row>
    <row r="29" spans="2:3">
      <c r="B29" t="s">
        <v>757</v>
      </c>
      <c r="C29" s="1">
        <f>C28/C25/10^6</f>
        <v>11.993191489361701</v>
      </c>
    </row>
    <row r="30" spans="2:3">
      <c r="B30" t="s">
        <v>758</v>
      </c>
      <c r="C30" s="6">
        <f>C29</f>
        <v>11.993191489361701</v>
      </c>
    </row>
    <row r="31" spans="2:3">
      <c r="B31" t="s">
        <v>770</v>
      </c>
      <c r="C31" s="1"/>
    </row>
    <row r="32" spans="2:3">
      <c r="C32" s="6"/>
    </row>
  </sheetData>
  <phoneticPr fontId="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CF1BA-B246-4689-BE7D-D98C437848E5}">
  <sheetPr>
    <pageSetUpPr fitToPage="1"/>
  </sheetPr>
  <dimension ref="A1:O103"/>
  <sheetViews>
    <sheetView showGridLines="0" view="pageBreakPreview" topLeftCell="A5" zoomScaleNormal="40" zoomScaleSheetLayoutView="100" workbookViewId="0">
      <selection activeCell="B10" activeCellId="1" sqref="B8:D8 B10:D10"/>
    </sheetView>
  </sheetViews>
  <sheetFormatPr defaultRowHeight="13.8"/>
  <cols>
    <col min="1" max="1" width="2.88671875" customWidth="1"/>
    <col min="3" max="3" width="16.5546875" customWidth="1"/>
    <col min="4" max="4" width="11.6640625" customWidth="1"/>
    <col min="5" max="5" width="15.21875" customWidth="1"/>
    <col min="6" max="9" width="11.6640625" customWidth="1"/>
  </cols>
  <sheetData>
    <row r="1" spans="1:15" ht="14.4">
      <c r="A1" s="235"/>
      <c r="B1" s="235"/>
      <c r="C1" s="235"/>
      <c r="D1" s="235"/>
      <c r="E1" s="235"/>
      <c r="F1" s="235"/>
      <c r="G1" s="235"/>
      <c r="H1" s="235"/>
      <c r="I1" s="235"/>
    </row>
    <row r="2" spans="1:15" ht="24.6">
      <c r="A2" s="235"/>
      <c r="B2" s="236" t="s">
        <v>734</v>
      </c>
      <c r="C2" s="237"/>
      <c r="D2" s="237"/>
      <c r="E2" s="237"/>
      <c r="F2" s="237"/>
      <c r="G2" s="237"/>
      <c r="H2" s="237"/>
      <c r="I2" s="237"/>
    </row>
    <row r="3" spans="1:15" ht="14.4">
      <c r="A3" s="235"/>
      <c r="B3" s="238" t="s">
        <v>735</v>
      </c>
      <c r="C3" s="239"/>
      <c r="D3" s="239"/>
      <c r="E3" s="239"/>
      <c r="F3" s="239"/>
      <c r="G3" s="239"/>
      <c r="H3" s="239"/>
      <c r="I3" s="239"/>
    </row>
    <row r="4" spans="1:15" ht="14.4" customHeight="1">
      <c r="A4" s="235"/>
      <c r="B4" s="236"/>
      <c r="C4" s="237"/>
      <c r="D4" s="237"/>
      <c r="E4" s="237"/>
      <c r="F4" s="237"/>
      <c r="G4" s="237"/>
      <c r="H4" s="237"/>
      <c r="I4" s="237"/>
    </row>
    <row r="5" spans="1:15" ht="14.4">
      <c r="A5" s="235"/>
      <c r="B5" s="240" t="s">
        <v>736</v>
      </c>
      <c r="C5" s="241"/>
      <c r="D5" s="241"/>
      <c r="E5" s="241"/>
      <c r="F5" s="241"/>
      <c r="G5" s="242"/>
      <c r="H5" s="242"/>
      <c r="I5" s="242"/>
      <c r="J5" s="237"/>
      <c r="K5" s="237"/>
      <c r="L5" s="237"/>
      <c r="M5" s="237"/>
      <c r="N5" s="237"/>
      <c r="O5" s="237"/>
    </row>
    <row r="6" spans="1:15" ht="14.4">
      <c r="A6" s="235"/>
      <c r="B6" s="243" t="s">
        <v>737</v>
      </c>
      <c r="C6" s="244"/>
      <c r="D6" s="245" t="s">
        <v>738</v>
      </c>
      <c r="E6" s="245" t="s">
        <v>739</v>
      </c>
      <c r="F6" s="245" t="s">
        <v>740</v>
      </c>
      <c r="G6" s="246"/>
      <c r="H6" s="247"/>
      <c r="I6" s="247"/>
      <c r="J6" s="237"/>
      <c r="K6" s="237"/>
      <c r="L6" s="237"/>
      <c r="M6" s="237"/>
      <c r="N6" s="237"/>
      <c r="O6" s="237"/>
    </row>
    <row r="7" spans="1:15" ht="14.4">
      <c r="A7" s="235"/>
      <c r="B7" s="248" t="s">
        <v>741</v>
      </c>
      <c r="C7" s="244"/>
      <c r="D7" s="249">
        <v>5</v>
      </c>
      <c r="E7" s="249">
        <v>5</v>
      </c>
      <c r="F7" s="249">
        <v>10</v>
      </c>
      <c r="G7" s="247"/>
      <c r="H7" s="247"/>
      <c r="I7" s="247"/>
      <c r="J7" s="237"/>
      <c r="K7" s="237"/>
      <c r="L7" s="237"/>
      <c r="M7" s="237"/>
      <c r="N7" s="237"/>
      <c r="O7" s="237"/>
    </row>
    <row r="8" spans="1:15" ht="14.4">
      <c r="A8" s="235"/>
      <c r="B8" s="248" t="s">
        <v>742</v>
      </c>
      <c r="C8" s="244"/>
      <c r="D8" s="249">
        <v>50</v>
      </c>
      <c r="E8" s="249">
        <v>100</v>
      </c>
      <c r="F8" s="249">
        <v>250</v>
      </c>
      <c r="G8" s="246"/>
      <c r="H8" s="250"/>
      <c r="I8" s="247"/>
      <c r="J8" s="237"/>
      <c r="K8" s="237"/>
      <c r="L8" s="237"/>
      <c r="M8" s="237"/>
      <c r="N8" s="237"/>
      <c r="O8" s="237"/>
    </row>
    <row r="9" spans="1:15" ht="14.4">
      <c r="A9" s="235"/>
      <c r="B9" s="244"/>
      <c r="C9" s="244"/>
      <c r="D9" s="244"/>
      <c r="E9" s="244"/>
      <c r="F9" s="244"/>
      <c r="G9" s="247"/>
      <c r="H9" s="251"/>
      <c r="I9" s="247"/>
      <c r="J9" s="237"/>
      <c r="K9" s="237"/>
      <c r="L9" s="237"/>
      <c r="M9" s="237"/>
      <c r="N9" s="237"/>
      <c r="O9" s="237"/>
    </row>
    <row r="10" spans="1:15" ht="14.4">
      <c r="A10" s="235"/>
      <c r="B10" s="243" t="s">
        <v>743</v>
      </c>
      <c r="C10" s="252"/>
      <c r="D10" s="245" t="s">
        <v>738</v>
      </c>
      <c r="E10" s="245" t="s">
        <v>739</v>
      </c>
      <c r="F10" s="245" t="s">
        <v>740</v>
      </c>
      <c r="G10" s="247"/>
      <c r="H10" s="247"/>
      <c r="I10" s="247"/>
      <c r="J10" s="237"/>
      <c r="K10" s="237"/>
      <c r="L10" s="237"/>
      <c r="M10" s="237"/>
      <c r="N10" s="237"/>
      <c r="O10" s="237"/>
    </row>
    <row r="11" spans="1:15" ht="14.4">
      <c r="A11" s="235"/>
      <c r="B11" s="253" t="s">
        <v>744</v>
      </c>
      <c r="C11" s="252"/>
      <c r="D11" s="254">
        <v>0.1</v>
      </c>
      <c r="E11" s="254">
        <v>0.12</v>
      </c>
      <c r="F11" s="254">
        <v>0.14000000000000001</v>
      </c>
      <c r="G11" s="247"/>
      <c r="H11" s="247"/>
      <c r="I11" s="247"/>
      <c r="J11" s="237"/>
      <c r="K11" s="237"/>
      <c r="L11" s="237"/>
      <c r="M11" s="237"/>
      <c r="N11" s="237"/>
      <c r="O11" s="237"/>
    </row>
    <row r="12" spans="1:15" ht="14.4">
      <c r="A12" s="235"/>
      <c r="B12" s="253" t="s">
        <v>745</v>
      </c>
      <c r="C12" s="252"/>
      <c r="D12" s="249">
        <v>0</v>
      </c>
      <c r="E12" s="255">
        <f>D13</f>
        <v>150</v>
      </c>
      <c r="F12" s="255">
        <f>E13</f>
        <v>300</v>
      </c>
      <c r="G12" s="247"/>
      <c r="H12" s="247"/>
      <c r="I12" s="247"/>
      <c r="J12" s="237"/>
      <c r="K12" s="237"/>
      <c r="L12" s="237"/>
      <c r="M12" s="237"/>
      <c r="N12" s="237"/>
      <c r="O12" s="237"/>
    </row>
    <row r="13" spans="1:15" ht="14.4">
      <c r="A13" s="235"/>
      <c r="B13" s="253" t="s">
        <v>746</v>
      </c>
      <c r="C13" s="252"/>
      <c r="D13" s="256">
        <v>150</v>
      </c>
      <c r="E13" s="256">
        <v>300</v>
      </c>
      <c r="F13" s="256">
        <v>9999</v>
      </c>
      <c r="G13" s="247"/>
      <c r="H13" s="247"/>
      <c r="I13" s="247"/>
      <c r="J13" s="237"/>
      <c r="K13" s="237"/>
      <c r="L13" s="237"/>
      <c r="M13" s="237"/>
      <c r="N13" s="237"/>
      <c r="O13" s="237"/>
    </row>
    <row r="14" spans="1:15" ht="14.4">
      <c r="A14" s="235"/>
      <c r="B14" s="243"/>
      <c r="C14" s="252"/>
      <c r="D14" s="244"/>
      <c r="E14" s="244"/>
      <c r="F14" s="257" t="s">
        <v>747</v>
      </c>
      <c r="G14" s="247"/>
      <c r="H14" s="247"/>
      <c r="I14" s="247"/>
      <c r="J14" s="237"/>
      <c r="K14" s="237"/>
      <c r="L14" s="237"/>
      <c r="M14" s="237"/>
      <c r="N14" s="237"/>
      <c r="O14" s="237"/>
    </row>
    <row r="15" spans="1:15" ht="14.4">
      <c r="A15" s="235"/>
      <c r="B15" s="253"/>
      <c r="C15" s="258"/>
      <c r="D15" s="247"/>
      <c r="E15" s="247"/>
      <c r="F15" s="247"/>
      <c r="G15" s="247"/>
      <c r="H15" s="247"/>
      <c r="I15" s="247"/>
      <c r="J15" s="237"/>
      <c r="K15" s="237"/>
      <c r="L15" s="237"/>
      <c r="M15" s="237"/>
      <c r="N15" s="237"/>
      <c r="O15" s="237"/>
    </row>
    <row r="16" spans="1:15">
      <c r="B16" s="259" t="s">
        <v>96</v>
      </c>
      <c r="C16" s="242"/>
      <c r="D16" s="242"/>
      <c r="E16" s="242"/>
      <c r="F16" s="242"/>
      <c r="G16" s="242"/>
      <c r="H16" s="242"/>
      <c r="I16" s="242"/>
    </row>
    <row r="17" spans="2:9">
      <c r="B17" s="243" t="s">
        <v>737</v>
      </c>
      <c r="C17" s="247"/>
      <c r="D17" s="246" t="s">
        <v>738</v>
      </c>
      <c r="E17" s="246" t="s">
        <v>739</v>
      </c>
      <c r="F17" s="246" t="s">
        <v>740</v>
      </c>
      <c r="G17" s="246" t="s">
        <v>740</v>
      </c>
      <c r="H17" s="247"/>
      <c r="I17" s="247"/>
    </row>
    <row r="18" spans="2:9">
      <c r="B18" s="248" t="s">
        <v>741</v>
      </c>
      <c r="C18" s="258"/>
      <c r="D18" s="249">
        <v>5</v>
      </c>
      <c r="E18" s="249">
        <v>10</v>
      </c>
      <c r="F18" s="249">
        <v>15</v>
      </c>
      <c r="G18" s="249">
        <v>30</v>
      </c>
      <c r="H18" s="247"/>
      <c r="I18" s="247"/>
    </row>
    <row r="19" spans="2:9">
      <c r="B19" s="248" t="s">
        <v>742</v>
      </c>
      <c r="C19" s="247"/>
      <c r="D19" s="249">
        <v>100</v>
      </c>
      <c r="E19" s="249">
        <v>200</v>
      </c>
      <c r="F19" s="249">
        <v>300</v>
      </c>
      <c r="G19" s="249">
        <v>400</v>
      </c>
      <c r="H19" s="247"/>
      <c r="I19" s="247"/>
    </row>
    <row r="20" spans="2:9">
      <c r="B20" s="247"/>
      <c r="C20" s="247"/>
      <c r="D20" s="364">
        <f>D19*7.1*10^6</f>
        <v>710000000</v>
      </c>
      <c r="E20" s="364">
        <f>E19*7.051*10^6</f>
        <v>1410200000</v>
      </c>
      <c r="F20" s="247"/>
      <c r="G20" s="247"/>
      <c r="H20" s="247"/>
      <c r="I20" s="247"/>
    </row>
    <row r="21" spans="2:9">
      <c r="B21" s="243" t="s">
        <v>743</v>
      </c>
      <c r="C21" s="258"/>
      <c r="D21" s="246" t="s">
        <v>738</v>
      </c>
      <c r="E21" s="246" t="s">
        <v>739</v>
      </c>
      <c r="F21" s="246" t="s">
        <v>740</v>
      </c>
      <c r="G21" s="247"/>
      <c r="H21" s="247"/>
      <c r="I21" s="247"/>
    </row>
    <row r="22" spans="2:9">
      <c r="B22" s="253" t="s">
        <v>744</v>
      </c>
      <c r="C22" s="258"/>
      <c r="D22" s="254">
        <v>0.09</v>
      </c>
      <c r="E22" s="254">
        <v>0.11</v>
      </c>
      <c r="F22" s="254">
        <v>0.13</v>
      </c>
      <c r="G22" s="247"/>
      <c r="H22" s="247"/>
      <c r="I22" s="247"/>
    </row>
    <row r="23" spans="2:9">
      <c r="B23" s="253" t="s">
        <v>745</v>
      </c>
      <c r="C23" s="258"/>
      <c r="D23" s="249">
        <v>0</v>
      </c>
      <c r="E23" s="260">
        <f>D24</f>
        <v>100</v>
      </c>
      <c r="F23" s="260">
        <f>E24</f>
        <v>200</v>
      </c>
      <c r="G23" s="253"/>
      <c r="H23" s="247"/>
      <c r="I23" s="247"/>
    </row>
    <row r="24" spans="2:9">
      <c r="B24" s="253" t="s">
        <v>746</v>
      </c>
      <c r="C24" s="258"/>
      <c r="D24" s="256">
        <v>100</v>
      </c>
      <c r="E24" s="256">
        <v>200</v>
      </c>
      <c r="F24" s="256">
        <v>9999</v>
      </c>
      <c r="G24" s="247"/>
      <c r="H24" s="247"/>
      <c r="I24" s="247"/>
    </row>
    <row r="25" spans="2:9">
      <c r="B25" s="253"/>
      <c r="C25" s="253"/>
      <c r="D25" s="253"/>
      <c r="E25" s="253"/>
      <c r="F25" s="261" t="s">
        <v>747</v>
      </c>
      <c r="G25" s="247"/>
      <c r="H25" s="247"/>
      <c r="I25" s="247"/>
    </row>
    <row r="26" spans="2:9" ht="14.4">
      <c r="B26" s="235"/>
      <c r="C26" s="235"/>
      <c r="D26" s="235"/>
      <c r="E26" s="235"/>
      <c r="F26" s="235"/>
      <c r="G26" s="235"/>
      <c r="H26" s="235"/>
      <c r="I26" s="235"/>
    </row>
    <row r="27" spans="2:9">
      <c r="B27" s="259" t="s">
        <v>133</v>
      </c>
      <c r="C27" s="242"/>
      <c r="D27" s="242"/>
      <c r="E27" s="242"/>
      <c r="F27" s="242"/>
      <c r="G27" s="242"/>
      <c r="H27" s="242"/>
      <c r="I27" s="242"/>
    </row>
    <row r="28" spans="2:9">
      <c r="B28" s="243" t="s">
        <v>737</v>
      </c>
      <c r="C28" s="247"/>
      <c r="D28" s="246" t="s">
        <v>738</v>
      </c>
      <c r="E28" s="246" t="s">
        <v>739</v>
      </c>
      <c r="F28" s="246" t="s">
        <v>740</v>
      </c>
      <c r="G28" s="246"/>
      <c r="H28" s="247"/>
      <c r="I28" s="247"/>
    </row>
    <row r="29" spans="2:9">
      <c r="B29" s="248" t="s">
        <v>741</v>
      </c>
      <c r="C29" s="258"/>
      <c r="D29" s="249">
        <v>10</v>
      </c>
      <c r="E29" s="249">
        <v>20</v>
      </c>
      <c r="F29" s="249">
        <v>40</v>
      </c>
      <c r="G29" s="247"/>
      <c r="H29" s="247"/>
      <c r="I29" s="247"/>
    </row>
    <row r="30" spans="2:9">
      <c r="B30" s="248" t="s">
        <v>742</v>
      </c>
      <c r="C30" s="258"/>
      <c r="D30" s="249">
        <v>50</v>
      </c>
      <c r="E30" s="249">
        <v>100</v>
      </c>
      <c r="F30" s="249">
        <v>200</v>
      </c>
      <c r="G30" s="246"/>
      <c r="H30" s="250"/>
      <c r="I30" s="247"/>
    </row>
    <row r="31" spans="2:9">
      <c r="B31" s="247"/>
      <c r="C31" s="247"/>
      <c r="D31" s="247"/>
      <c r="E31" s="247"/>
      <c r="F31" s="247"/>
      <c r="G31" s="247"/>
      <c r="H31" s="251"/>
      <c r="I31" s="247"/>
    </row>
    <row r="32" spans="2:9">
      <c r="B32" s="243" t="s">
        <v>743</v>
      </c>
      <c r="C32" s="258"/>
      <c r="D32" s="246" t="s">
        <v>738</v>
      </c>
      <c r="E32" s="246" t="s">
        <v>739</v>
      </c>
      <c r="F32" s="247"/>
      <c r="G32" s="247"/>
      <c r="H32" s="247"/>
      <c r="I32" s="247"/>
    </row>
    <row r="33" spans="2:9">
      <c r="B33" s="253" t="s">
        <v>744</v>
      </c>
      <c r="C33" s="258"/>
      <c r="D33" s="254">
        <v>0.09</v>
      </c>
      <c r="E33" s="254">
        <v>0.12</v>
      </c>
      <c r="F33" s="247"/>
      <c r="G33" s="247"/>
      <c r="H33" s="247"/>
      <c r="I33" s="247"/>
    </row>
    <row r="34" spans="2:9">
      <c r="B34" s="253" t="s">
        <v>745</v>
      </c>
      <c r="C34" s="258"/>
      <c r="D34" s="249">
        <v>0</v>
      </c>
      <c r="E34" s="255">
        <f>D35</f>
        <v>200</v>
      </c>
      <c r="F34" s="247"/>
      <c r="G34" s="247"/>
      <c r="H34" s="247"/>
      <c r="I34" s="247"/>
    </row>
    <row r="35" spans="2:9">
      <c r="B35" s="253" t="s">
        <v>746</v>
      </c>
      <c r="C35" s="258"/>
      <c r="D35" s="256">
        <v>200</v>
      </c>
      <c r="E35" s="249">
        <v>9999</v>
      </c>
      <c r="F35" s="247"/>
      <c r="G35" s="247"/>
      <c r="H35" s="247"/>
      <c r="I35" s="247"/>
    </row>
    <row r="36" spans="2:9">
      <c r="B36" s="243"/>
      <c r="C36" s="258"/>
      <c r="D36" s="247"/>
      <c r="E36" s="261" t="s">
        <v>747</v>
      </c>
      <c r="F36" s="247"/>
      <c r="G36" s="247"/>
      <c r="H36" s="247"/>
      <c r="I36" s="247"/>
    </row>
    <row r="37" spans="2:9">
      <c r="B37" s="253"/>
      <c r="C37" s="258"/>
      <c r="D37" s="247"/>
      <c r="E37" s="247"/>
      <c r="F37" s="247"/>
      <c r="G37" s="247"/>
      <c r="H37" s="247"/>
      <c r="I37" s="247"/>
    </row>
    <row r="38" spans="2:9">
      <c r="B38" s="240" t="s">
        <v>748</v>
      </c>
      <c r="C38" s="241"/>
      <c r="D38" s="241"/>
      <c r="E38" s="241"/>
      <c r="F38" s="241"/>
      <c r="G38" s="242"/>
      <c r="H38" s="242"/>
      <c r="I38" s="242"/>
    </row>
    <row r="39" spans="2:9">
      <c r="B39" s="243" t="s">
        <v>737</v>
      </c>
      <c r="C39" s="252"/>
      <c r="D39" s="245" t="s">
        <v>738</v>
      </c>
      <c r="E39" s="245" t="s">
        <v>739</v>
      </c>
      <c r="F39" s="245" t="s">
        <v>740</v>
      </c>
      <c r="G39" s="246"/>
      <c r="H39" s="247"/>
      <c r="I39" s="247"/>
    </row>
    <row r="40" spans="2:9">
      <c r="B40" s="248" t="s">
        <v>741</v>
      </c>
      <c r="C40" s="244"/>
      <c r="D40" s="249">
        <v>10</v>
      </c>
      <c r="E40" s="249">
        <v>20</v>
      </c>
      <c r="F40" s="249">
        <v>40</v>
      </c>
      <c r="G40" s="247"/>
      <c r="H40" s="247"/>
      <c r="I40" s="247"/>
    </row>
    <row r="41" spans="2:9">
      <c r="B41" s="248" t="s">
        <v>742</v>
      </c>
      <c r="C41" s="252"/>
      <c r="D41" s="249">
        <v>50</v>
      </c>
      <c r="E41" s="249">
        <v>100</v>
      </c>
      <c r="F41" s="249">
        <v>200</v>
      </c>
      <c r="G41" s="246"/>
      <c r="H41" s="250"/>
      <c r="I41" s="247"/>
    </row>
    <row r="42" spans="2:9">
      <c r="B42" s="244"/>
      <c r="C42" s="252"/>
      <c r="D42" s="244"/>
      <c r="E42" s="244"/>
      <c r="F42" s="244"/>
      <c r="G42" s="247"/>
      <c r="H42" s="251"/>
      <c r="I42" s="247"/>
    </row>
    <row r="43" spans="2:9">
      <c r="B43" s="243" t="s">
        <v>743</v>
      </c>
      <c r="C43" s="252"/>
      <c r="D43" s="245" t="s">
        <v>738</v>
      </c>
      <c r="E43" s="245" t="s">
        <v>739</v>
      </c>
      <c r="F43" s="244"/>
      <c r="G43" s="247"/>
      <c r="H43" s="247"/>
      <c r="I43" s="247"/>
    </row>
    <row r="44" spans="2:9">
      <c r="B44" s="253" t="s">
        <v>744</v>
      </c>
      <c r="C44" s="252"/>
      <c r="D44" s="254">
        <v>0.09</v>
      </c>
      <c r="E44" s="254">
        <v>0.12</v>
      </c>
      <c r="F44" s="244"/>
      <c r="G44" s="247"/>
      <c r="H44" s="247"/>
      <c r="I44" s="247"/>
    </row>
    <row r="45" spans="2:9">
      <c r="B45" s="253" t="s">
        <v>745</v>
      </c>
      <c r="C45" s="252"/>
      <c r="D45" s="249">
        <v>0</v>
      </c>
      <c r="E45" s="255">
        <f>D46</f>
        <v>100</v>
      </c>
      <c r="F45" s="244"/>
      <c r="G45" s="247"/>
      <c r="H45" s="247"/>
      <c r="I45" s="247"/>
    </row>
    <row r="46" spans="2:9">
      <c r="B46" s="253" t="s">
        <v>746</v>
      </c>
      <c r="C46" s="252"/>
      <c r="D46" s="256">
        <v>100</v>
      </c>
      <c r="E46" s="249">
        <v>9999</v>
      </c>
      <c r="F46" s="244"/>
      <c r="G46" s="247"/>
      <c r="H46" s="247"/>
      <c r="I46" s="247"/>
    </row>
    <row r="47" spans="2:9">
      <c r="B47" s="243"/>
      <c r="C47" s="252"/>
      <c r="D47" s="244"/>
      <c r="E47" s="257" t="s">
        <v>747</v>
      </c>
      <c r="F47" s="244"/>
      <c r="G47" s="247"/>
      <c r="H47" s="247"/>
      <c r="I47" s="247"/>
    </row>
    <row r="48" spans="2:9">
      <c r="B48" s="253"/>
      <c r="C48" s="258"/>
      <c r="D48" s="247"/>
      <c r="E48" s="247"/>
      <c r="F48" s="247"/>
      <c r="G48" s="247"/>
      <c r="H48" s="247"/>
      <c r="I48" s="247"/>
    </row>
    <row r="49" spans="1:15" ht="14.4">
      <c r="A49" s="235"/>
      <c r="B49" s="240" t="s">
        <v>749</v>
      </c>
      <c r="C49" s="241"/>
      <c r="D49" s="241"/>
      <c r="E49" s="241"/>
      <c r="F49" s="241"/>
      <c r="G49" s="241"/>
      <c r="H49" s="242"/>
      <c r="I49" s="242"/>
      <c r="J49" s="237"/>
      <c r="K49" s="237"/>
      <c r="L49" s="237"/>
      <c r="M49" s="237"/>
      <c r="N49" s="237"/>
      <c r="O49" s="237"/>
    </row>
    <row r="50" spans="1:15" ht="14.4">
      <c r="A50" s="235"/>
      <c r="B50" s="243" t="s">
        <v>737</v>
      </c>
      <c r="C50" s="244"/>
      <c r="D50" s="245" t="s">
        <v>738</v>
      </c>
      <c r="E50" s="245" t="s">
        <v>739</v>
      </c>
      <c r="F50" s="245" t="s">
        <v>740</v>
      </c>
      <c r="G50" s="245" t="s">
        <v>750</v>
      </c>
      <c r="H50" s="247"/>
      <c r="I50" s="247"/>
      <c r="J50" s="237"/>
      <c r="K50" s="237"/>
      <c r="L50" s="237"/>
      <c r="M50" s="237"/>
      <c r="N50" s="237"/>
      <c r="O50" s="237"/>
    </row>
    <row r="51" spans="1:15" ht="14.4">
      <c r="A51" s="235"/>
      <c r="B51" s="248" t="s">
        <v>741</v>
      </c>
      <c r="C51" s="252"/>
      <c r="D51" s="249">
        <v>5</v>
      </c>
      <c r="E51" s="249">
        <v>10</v>
      </c>
      <c r="F51" s="249">
        <v>20</v>
      </c>
      <c r="G51" s="249">
        <v>40</v>
      </c>
      <c r="H51" s="247"/>
      <c r="I51" s="247"/>
      <c r="J51" s="237"/>
      <c r="K51" s="237"/>
      <c r="L51" s="237"/>
      <c r="M51" s="237"/>
      <c r="N51" s="237"/>
      <c r="O51" s="237"/>
    </row>
    <row r="52" spans="1:15" ht="14.4">
      <c r="A52" s="235"/>
      <c r="B52" s="248" t="s">
        <v>742</v>
      </c>
      <c r="C52" s="252"/>
      <c r="D52" s="249">
        <v>100</v>
      </c>
      <c r="E52" s="249">
        <v>200</v>
      </c>
      <c r="F52" s="249">
        <v>300</v>
      </c>
      <c r="G52" s="249">
        <v>500</v>
      </c>
      <c r="H52" s="247"/>
      <c r="I52" s="247"/>
      <c r="J52" s="237"/>
      <c r="K52" s="237"/>
      <c r="L52" s="237"/>
      <c r="M52" s="237"/>
      <c r="N52" s="237"/>
      <c r="O52" s="237"/>
    </row>
    <row r="53" spans="1:15" ht="14.4">
      <c r="A53" s="235"/>
      <c r="B53" s="244"/>
      <c r="C53" s="244"/>
      <c r="D53" s="244"/>
      <c r="E53" s="244"/>
      <c r="F53" s="244"/>
      <c r="G53" s="244"/>
      <c r="H53" s="247"/>
      <c r="I53" s="247"/>
      <c r="J53" s="237"/>
      <c r="K53" s="237"/>
      <c r="L53" s="237"/>
      <c r="M53" s="237"/>
      <c r="N53" s="237"/>
      <c r="O53" s="237"/>
    </row>
    <row r="54" spans="1:15" ht="14.4">
      <c r="A54" s="235"/>
      <c r="B54" s="243" t="s">
        <v>743</v>
      </c>
      <c r="C54" s="252"/>
      <c r="D54" s="245" t="s">
        <v>738</v>
      </c>
      <c r="E54" s="245" t="s">
        <v>739</v>
      </c>
      <c r="F54" s="245" t="s">
        <v>740</v>
      </c>
      <c r="G54" s="244"/>
      <c r="H54" s="247"/>
      <c r="I54" s="247"/>
      <c r="J54" s="237"/>
      <c r="K54" s="237"/>
      <c r="L54" s="237"/>
      <c r="M54" s="237"/>
      <c r="N54" s="237"/>
      <c r="O54" s="237"/>
    </row>
    <row r="55" spans="1:15" ht="14.4">
      <c r="A55" s="235"/>
      <c r="B55" s="253" t="s">
        <v>744</v>
      </c>
      <c r="C55" s="252"/>
      <c r="D55" s="254">
        <v>7.0000000000000007E-2</v>
      </c>
      <c r="E55" s="254">
        <v>0.09</v>
      </c>
      <c r="F55" s="254">
        <v>0.11</v>
      </c>
      <c r="G55" s="244"/>
      <c r="H55" s="247"/>
      <c r="I55" s="247"/>
      <c r="J55" s="237"/>
      <c r="K55" s="237"/>
      <c r="L55" s="237"/>
      <c r="M55" s="237"/>
      <c r="N55" s="237"/>
      <c r="O55" s="237"/>
    </row>
    <row r="56" spans="1:15" ht="14.4">
      <c r="A56" s="235"/>
      <c r="B56" s="253" t="s">
        <v>745</v>
      </c>
      <c r="C56" s="252"/>
      <c r="D56" s="249">
        <v>0</v>
      </c>
      <c r="E56" s="255">
        <f>D57</f>
        <v>100</v>
      </c>
      <c r="F56" s="255">
        <f>E57</f>
        <v>200</v>
      </c>
      <c r="G56" s="244"/>
      <c r="H56" s="247"/>
      <c r="I56" s="247"/>
      <c r="J56" s="237"/>
      <c r="K56" s="237"/>
      <c r="L56" s="237"/>
      <c r="M56" s="237"/>
      <c r="N56" s="237"/>
      <c r="O56" s="237"/>
    </row>
    <row r="57" spans="1:15" ht="14.4">
      <c r="A57" s="235"/>
      <c r="B57" s="253" t="s">
        <v>746</v>
      </c>
      <c r="C57" s="252"/>
      <c r="D57" s="256">
        <v>100</v>
      </c>
      <c r="E57" s="256">
        <v>200</v>
      </c>
      <c r="F57" s="256">
        <v>9999</v>
      </c>
      <c r="G57" s="244"/>
      <c r="H57" s="247"/>
      <c r="I57" s="247"/>
      <c r="J57" s="237"/>
      <c r="K57" s="237"/>
      <c r="L57" s="237"/>
      <c r="M57" s="237"/>
      <c r="N57" s="237"/>
      <c r="O57" s="237"/>
    </row>
    <row r="58" spans="1:15" ht="14.4">
      <c r="A58" s="235"/>
      <c r="B58" s="243"/>
      <c r="C58" s="252"/>
      <c r="D58" s="244"/>
      <c r="E58" s="244"/>
      <c r="F58" s="257" t="s">
        <v>747</v>
      </c>
      <c r="G58" s="244"/>
      <c r="H58" s="247"/>
      <c r="I58" s="247"/>
      <c r="J58" s="237"/>
      <c r="K58" s="237"/>
      <c r="L58" s="237"/>
      <c r="M58" s="237"/>
      <c r="N58" s="237"/>
      <c r="O58" s="237"/>
    </row>
    <row r="59" spans="1:15" ht="14.4">
      <c r="A59" s="235"/>
      <c r="B59" s="243"/>
      <c r="C59" s="252"/>
      <c r="D59" s="244"/>
      <c r="E59" s="257"/>
      <c r="F59" s="244"/>
      <c r="G59" s="244"/>
      <c r="H59" s="235"/>
      <c r="I59" s="235"/>
      <c r="J59" s="237"/>
      <c r="K59" s="237"/>
      <c r="L59" s="237"/>
      <c r="M59" s="237"/>
      <c r="N59" s="237"/>
      <c r="O59" s="237"/>
    </row>
    <row r="60" spans="1:15">
      <c r="B60" s="240" t="s">
        <v>751</v>
      </c>
      <c r="C60" s="241"/>
      <c r="D60" s="241"/>
      <c r="E60" s="241"/>
      <c r="F60" s="241"/>
      <c r="G60" s="241"/>
      <c r="H60" s="241"/>
      <c r="I60" s="241"/>
    </row>
    <row r="61" spans="1:15">
      <c r="B61" s="243" t="s">
        <v>737</v>
      </c>
      <c r="C61" s="244"/>
      <c r="D61" s="245" t="s">
        <v>738</v>
      </c>
      <c r="E61" s="245" t="s">
        <v>739</v>
      </c>
      <c r="F61" s="245" t="s">
        <v>740</v>
      </c>
      <c r="G61" s="244"/>
      <c r="H61" s="244"/>
      <c r="I61" s="244"/>
    </row>
    <row r="62" spans="1:15">
      <c r="B62" s="248" t="s">
        <v>741</v>
      </c>
      <c r="C62" s="244"/>
      <c r="D62" s="249">
        <v>40</v>
      </c>
      <c r="E62" s="249">
        <v>80</v>
      </c>
      <c r="F62" s="249">
        <v>160</v>
      </c>
      <c r="G62" s="244"/>
      <c r="H62" s="244"/>
      <c r="I62" s="244"/>
    </row>
    <row r="63" spans="1:15">
      <c r="B63" s="248" t="s">
        <v>742</v>
      </c>
      <c r="C63" s="244"/>
      <c r="D63" s="249">
        <v>500</v>
      </c>
      <c r="E63" s="249">
        <v>1000</v>
      </c>
      <c r="F63" s="249">
        <v>2000</v>
      </c>
      <c r="G63" s="244"/>
      <c r="H63" s="244"/>
      <c r="I63" s="244"/>
    </row>
    <row r="64" spans="1:15">
      <c r="B64" s="244"/>
      <c r="C64" s="244"/>
      <c r="D64" s="244"/>
      <c r="E64" s="244"/>
      <c r="F64" s="244"/>
      <c r="G64" s="244"/>
      <c r="H64" s="244"/>
      <c r="I64" s="244"/>
    </row>
    <row r="65" spans="2:9">
      <c r="B65" s="243" t="s">
        <v>743</v>
      </c>
      <c r="C65" s="252"/>
      <c r="D65" s="245" t="s">
        <v>738</v>
      </c>
      <c r="E65" s="245" t="s">
        <v>739</v>
      </c>
      <c r="F65" s="245" t="s">
        <v>740</v>
      </c>
      <c r="G65" s="244"/>
      <c r="H65" s="244"/>
      <c r="I65" s="244"/>
    </row>
    <row r="66" spans="2:9">
      <c r="B66" s="253" t="s">
        <v>744</v>
      </c>
      <c r="C66" s="252"/>
      <c r="D66" s="254">
        <v>0.08</v>
      </c>
      <c r="E66" s="254">
        <v>0.09</v>
      </c>
      <c r="F66" s="254">
        <v>0.1</v>
      </c>
      <c r="G66" s="244"/>
      <c r="H66" s="244"/>
      <c r="I66" s="244"/>
    </row>
    <row r="67" spans="2:9">
      <c r="B67" s="253" t="s">
        <v>745</v>
      </c>
      <c r="C67" s="252"/>
      <c r="D67" s="249">
        <v>0</v>
      </c>
      <c r="E67" s="255">
        <f>D68</f>
        <v>500</v>
      </c>
      <c r="F67" s="255">
        <f>E68</f>
        <v>1000</v>
      </c>
      <c r="G67" s="244"/>
      <c r="H67" s="244"/>
      <c r="I67" s="244"/>
    </row>
    <row r="68" spans="2:9">
      <c r="B68" s="253" t="s">
        <v>746</v>
      </c>
      <c r="C68" s="252"/>
      <c r="D68" s="256">
        <v>500</v>
      </c>
      <c r="E68" s="256">
        <v>1000</v>
      </c>
      <c r="F68" s="256">
        <v>9999</v>
      </c>
      <c r="G68" s="244"/>
      <c r="H68" s="244"/>
      <c r="I68" s="244"/>
    </row>
    <row r="69" spans="2:9">
      <c r="B69" s="243"/>
      <c r="C69" s="252"/>
      <c r="D69" s="244"/>
      <c r="E69" s="244"/>
      <c r="F69" s="257" t="s">
        <v>747</v>
      </c>
      <c r="G69" s="244"/>
      <c r="H69" s="244"/>
      <c r="I69" s="244"/>
    </row>
    <row r="71" spans="2:9">
      <c r="B71" s="240" t="s">
        <v>752</v>
      </c>
      <c r="C71" s="241"/>
      <c r="D71" s="241"/>
      <c r="E71" s="241"/>
      <c r="F71" s="241"/>
      <c r="G71" s="241"/>
      <c r="H71" s="241"/>
      <c r="I71" s="241"/>
    </row>
    <row r="72" spans="2:9">
      <c r="B72" s="243" t="s">
        <v>737</v>
      </c>
      <c r="C72" s="244"/>
      <c r="D72" s="245" t="s">
        <v>738</v>
      </c>
      <c r="E72" s="245" t="s">
        <v>739</v>
      </c>
      <c r="F72" s="245" t="s">
        <v>740</v>
      </c>
      <c r="G72" s="245" t="s">
        <v>750</v>
      </c>
      <c r="H72" s="245" t="s">
        <v>753</v>
      </c>
      <c r="I72" s="245" t="s">
        <v>754</v>
      </c>
    </row>
    <row r="73" spans="2:9">
      <c r="B73" s="248" t="s">
        <v>741</v>
      </c>
      <c r="C73" s="252"/>
      <c r="D73" s="249">
        <v>15</v>
      </c>
      <c r="E73" s="249">
        <v>30</v>
      </c>
      <c r="F73" s="249">
        <v>50</v>
      </c>
      <c r="G73" s="249">
        <v>75</v>
      </c>
      <c r="H73" s="249">
        <v>100</v>
      </c>
      <c r="I73" s="249">
        <v>150</v>
      </c>
    </row>
    <row r="74" spans="2:9">
      <c r="B74" s="248" t="s">
        <v>742</v>
      </c>
      <c r="C74" s="244"/>
      <c r="D74" s="249">
        <v>250</v>
      </c>
      <c r="E74" s="249">
        <v>500</v>
      </c>
      <c r="F74" s="249">
        <v>1000</v>
      </c>
      <c r="G74" s="249">
        <v>1500</v>
      </c>
      <c r="H74" s="249">
        <v>2000</v>
      </c>
      <c r="I74" s="249">
        <v>4000</v>
      </c>
    </row>
    <row r="75" spans="2:9">
      <c r="B75" s="244"/>
      <c r="C75" s="244"/>
      <c r="D75" s="244"/>
      <c r="E75" s="244"/>
      <c r="F75" s="244"/>
      <c r="G75" s="244"/>
      <c r="H75" s="262"/>
      <c r="I75" s="262"/>
    </row>
    <row r="76" spans="2:9">
      <c r="B76" s="243" t="s">
        <v>743</v>
      </c>
      <c r="C76" s="252"/>
      <c r="D76" s="245" t="s">
        <v>738</v>
      </c>
      <c r="E76" s="245" t="s">
        <v>739</v>
      </c>
      <c r="F76" s="245" t="s">
        <v>740</v>
      </c>
      <c r="G76" s="245" t="s">
        <v>750</v>
      </c>
      <c r="H76" s="262"/>
      <c r="I76" s="262"/>
    </row>
    <row r="77" spans="2:9">
      <c r="B77" s="253" t="s">
        <v>744</v>
      </c>
      <c r="C77" s="252"/>
      <c r="D77" s="254">
        <v>7.0000000000000007E-2</v>
      </c>
      <c r="E77" s="254">
        <v>0.09</v>
      </c>
      <c r="F77" s="254">
        <v>0.1</v>
      </c>
      <c r="G77" s="254">
        <v>0.12</v>
      </c>
      <c r="H77" s="262"/>
      <c r="I77" s="262"/>
    </row>
    <row r="78" spans="2:9">
      <c r="B78" s="253" t="s">
        <v>745</v>
      </c>
      <c r="C78" s="252"/>
      <c r="D78" s="249">
        <v>0</v>
      </c>
      <c r="E78" s="260">
        <f>D79</f>
        <v>500</v>
      </c>
      <c r="F78" s="260">
        <f>E79</f>
        <v>1000</v>
      </c>
      <c r="G78" s="260">
        <f>F79</f>
        <v>2000</v>
      </c>
      <c r="H78" s="262"/>
      <c r="I78" s="262"/>
    </row>
    <row r="79" spans="2:9">
      <c r="B79" s="253" t="s">
        <v>746</v>
      </c>
      <c r="C79" s="252"/>
      <c r="D79" s="256">
        <v>500</v>
      </c>
      <c r="E79" s="256">
        <v>1000</v>
      </c>
      <c r="F79" s="256">
        <v>2000</v>
      </c>
      <c r="G79" s="256">
        <v>9999</v>
      </c>
      <c r="H79" s="262"/>
      <c r="I79" s="262"/>
    </row>
    <row r="80" spans="2:9">
      <c r="B80" s="253"/>
      <c r="C80" s="253"/>
      <c r="D80" s="253"/>
      <c r="E80" s="253"/>
      <c r="F80" s="262"/>
      <c r="G80" s="257" t="s">
        <v>747</v>
      </c>
      <c r="H80" s="262"/>
      <c r="I80" s="262"/>
    </row>
    <row r="81" spans="2:9" ht="14.4">
      <c r="B81" s="235"/>
      <c r="C81" s="235"/>
      <c r="D81" s="235"/>
      <c r="E81" s="235"/>
      <c r="F81" s="235"/>
      <c r="G81" s="235"/>
      <c r="H81" s="235"/>
      <c r="I81" s="235"/>
    </row>
    <row r="82" spans="2:9">
      <c r="B82" s="240" t="s">
        <v>755</v>
      </c>
      <c r="C82" s="241"/>
      <c r="D82" s="241"/>
      <c r="E82" s="241"/>
      <c r="F82" s="241"/>
      <c r="G82" s="241"/>
      <c r="H82" s="242"/>
      <c r="I82" s="242"/>
    </row>
    <row r="83" spans="2:9">
      <c r="B83" s="243" t="s">
        <v>737</v>
      </c>
      <c r="C83" s="244"/>
      <c r="D83" s="245" t="s">
        <v>738</v>
      </c>
      <c r="E83" s="245" t="s">
        <v>739</v>
      </c>
      <c r="F83" s="245" t="s">
        <v>740</v>
      </c>
      <c r="G83" s="244"/>
    </row>
    <row r="84" spans="2:9">
      <c r="B84" s="248" t="s">
        <v>741</v>
      </c>
      <c r="C84" s="252"/>
      <c r="D84" s="249">
        <v>4</v>
      </c>
      <c r="E84" s="249">
        <v>8</v>
      </c>
      <c r="F84" s="249">
        <v>7.5</v>
      </c>
      <c r="G84" s="244"/>
    </row>
    <row r="85" spans="2:9">
      <c r="B85" s="248" t="s">
        <v>742</v>
      </c>
      <c r="C85" s="244"/>
      <c r="D85" s="249">
        <v>50</v>
      </c>
      <c r="E85" s="249">
        <v>100</v>
      </c>
      <c r="F85" s="249">
        <v>150</v>
      </c>
      <c r="G85" s="244"/>
    </row>
    <row r="86" spans="2:9">
      <c r="B86" s="244"/>
      <c r="C86" s="244"/>
      <c r="D86" s="244"/>
      <c r="E86" s="244"/>
      <c r="F86" s="244"/>
      <c r="G86" s="244"/>
    </row>
    <row r="87" spans="2:9">
      <c r="B87" s="243" t="s">
        <v>743</v>
      </c>
      <c r="C87" s="252"/>
      <c r="D87" s="245" t="s">
        <v>738</v>
      </c>
      <c r="E87" s="245" t="s">
        <v>739</v>
      </c>
      <c r="F87" s="245" t="s">
        <v>740</v>
      </c>
      <c r="G87" s="244"/>
    </row>
    <row r="88" spans="2:9">
      <c r="B88" s="253" t="s">
        <v>744</v>
      </c>
      <c r="C88" s="252"/>
      <c r="D88" s="254">
        <v>7.0000000000000007E-2</v>
      </c>
      <c r="E88" s="254">
        <v>0.09</v>
      </c>
      <c r="F88" s="254">
        <v>0.11</v>
      </c>
      <c r="G88" s="244"/>
    </row>
    <row r="89" spans="2:9">
      <c r="B89" s="253" t="s">
        <v>745</v>
      </c>
      <c r="C89" s="252"/>
      <c r="D89" s="249">
        <v>0</v>
      </c>
      <c r="E89" s="255">
        <f>D90</f>
        <v>100</v>
      </c>
      <c r="F89" s="255">
        <f>E90</f>
        <v>200</v>
      </c>
      <c r="G89" s="244"/>
    </row>
    <row r="90" spans="2:9">
      <c r="B90" s="253" t="s">
        <v>746</v>
      </c>
      <c r="C90" s="252"/>
      <c r="D90" s="256">
        <v>100</v>
      </c>
      <c r="E90" s="256">
        <v>200</v>
      </c>
      <c r="F90" s="256">
        <v>9999</v>
      </c>
      <c r="G90" s="244"/>
    </row>
    <row r="91" spans="2:9">
      <c r="B91" s="244"/>
      <c r="C91" s="244"/>
      <c r="D91" s="244"/>
      <c r="E91" s="244"/>
      <c r="F91" s="257" t="s">
        <v>747</v>
      </c>
      <c r="G91" s="244"/>
    </row>
    <row r="93" spans="2:9">
      <c r="B93" s="263" t="s">
        <v>756</v>
      </c>
      <c r="C93" s="264"/>
      <c r="D93" s="264"/>
      <c r="E93" s="264"/>
      <c r="F93" s="264"/>
      <c r="G93" s="265"/>
      <c r="H93" s="265"/>
      <c r="I93" s="265"/>
    </row>
    <row r="94" spans="2:9">
      <c r="B94" s="243" t="s">
        <v>737</v>
      </c>
      <c r="C94" s="266"/>
      <c r="D94" s="267" t="s">
        <v>738</v>
      </c>
      <c r="E94" s="267" t="s">
        <v>739</v>
      </c>
      <c r="F94" s="267" t="s">
        <v>740</v>
      </c>
      <c r="G94" s="267" t="s">
        <v>750</v>
      </c>
      <c r="H94" s="268"/>
      <c r="I94" s="268"/>
    </row>
    <row r="95" spans="2:9">
      <c r="B95" s="248" t="s">
        <v>741</v>
      </c>
      <c r="C95" s="266"/>
      <c r="D95" s="269">
        <v>10</v>
      </c>
      <c r="E95" s="269">
        <v>20</v>
      </c>
      <c r="F95" s="269">
        <v>30</v>
      </c>
      <c r="G95" s="269">
        <v>40</v>
      </c>
      <c r="H95" s="268"/>
      <c r="I95" s="268"/>
    </row>
    <row r="96" spans="2:9">
      <c r="B96" s="248" t="s">
        <v>742</v>
      </c>
      <c r="C96" s="266"/>
      <c r="D96" s="269">
        <v>150</v>
      </c>
      <c r="E96" s="269">
        <v>300</v>
      </c>
      <c r="F96" s="269">
        <v>450</v>
      </c>
      <c r="G96" s="269">
        <v>600</v>
      </c>
      <c r="H96" s="270"/>
      <c r="I96" s="268"/>
    </row>
    <row r="97" spans="2:9">
      <c r="B97" s="266"/>
      <c r="C97" s="266"/>
      <c r="D97" s="266"/>
      <c r="E97" s="266"/>
      <c r="F97" s="266"/>
      <c r="G97" s="268"/>
      <c r="H97" s="271"/>
      <c r="I97" s="268"/>
    </row>
    <row r="98" spans="2:9">
      <c r="B98" s="243" t="s">
        <v>743</v>
      </c>
      <c r="C98" s="272"/>
      <c r="D98" s="267" t="s">
        <v>738</v>
      </c>
      <c r="E98" s="267" t="s">
        <v>739</v>
      </c>
      <c r="F98" s="267" t="s">
        <v>740</v>
      </c>
      <c r="G98" s="267" t="s">
        <v>750</v>
      </c>
      <c r="H98" s="267" t="s">
        <v>753</v>
      </c>
      <c r="I98" s="268"/>
    </row>
    <row r="99" spans="2:9">
      <c r="B99" s="253" t="s">
        <v>744</v>
      </c>
      <c r="C99" s="272"/>
      <c r="D99" s="273">
        <v>7.0000000000000007E-2</v>
      </c>
      <c r="E99" s="273">
        <v>0.08</v>
      </c>
      <c r="F99" s="273">
        <v>0.09</v>
      </c>
      <c r="G99" s="273">
        <v>0.1</v>
      </c>
      <c r="H99" s="273">
        <v>0.12</v>
      </c>
      <c r="I99" s="268"/>
    </row>
    <row r="100" spans="2:9">
      <c r="B100" s="253" t="s">
        <v>745</v>
      </c>
      <c r="C100" s="272"/>
      <c r="D100" s="269">
        <v>0</v>
      </c>
      <c r="E100" s="274">
        <f>D101</f>
        <v>150</v>
      </c>
      <c r="F100" s="274">
        <f>E101</f>
        <v>300</v>
      </c>
      <c r="G100" s="274">
        <f>F101</f>
        <v>450</v>
      </c>
      <c r="H100" s="274">
        <f>G101</f>
        <v>600</v>
      </c>
      <c r="I100" s="268"/>
    </row>
    <row r="101" spans="2:9">
      <c r="B101" s="253" t="s">
        <v>746</v>
      </c>
      <c r="C101" s="272"/>
      <c r="D101" s="275">
        <v>150</v>
      </c>
      <c r="E101" s="275">
        <v>300</v>
      </c>
      <c r="F101" s="275">
        <v>450</v>
      </c>
      <c r="G101" s="275">
        <v>600</v>
      </c>
      <c r="H101" s="275">
        <v>9999</v>
      </c>
      <c r="I101" s="268"/>
    </row>
    <row r="102" spans="2:9">
      <c r="B102" s="243"/>
      <c r="C102" s="272"/>
      <c r="D102" s="266"/>
      <c r="E102" s="266"/>
      <c r="F102" s="276"/>
      <c r="G102" s="268"/>
      <c r="H102" s="277" t="s">
        <v>747</v>
      </c>
      <c r="I102" s="268"/>
    </row>
    <row r="103" spans="2:9">
      <c r="B103" s="253"/>
      <c r="C103" s="278"/>
      <c r="D103" s="268"/>
      <c r="E103" s="268"/>
      <c r="F103" s="268"/>
      <c r="G103" s="268"/>
      <c r="H103" s="268"/>
      <c r="I103" s="268"/>
    </row>
  </sheetData>
  <phoneticPr fontId="8" type="noConversion"/>
  <printOptions horizontalCentered="1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&amp;A&amp;RPage &amp;P</oddFooter>
  </headerFooter>
  <rowBreaks count="2" manualBreakCount="2">
    <brk id="26" min="1" max="8" man="1"/>
    <brk id="59" min="1" max="8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DACCC-F271-43A2-B32A-28BD116016B4}">
  <sheetPr>
    <tabColor rgb="FF92D050"/>
  </sheetPr>
  <dimension ref="C2:T39"/>
  <sheetViews>
    <sheetView workbookViewId="0">
      <selection activeCell="B10" activeCellId="1" sqref="B8:D8 B10:D10"/>
    </sheetView>
  </sheetViews>
  <sheetFormatPr defaultRowHeight="13.8"/>
  <cols>
    <col min="3" max="3" width="21.44140625" customWidth="1"/>
    <col min="4" max="4" width="11.109375" bestFit="1" customWidth="1"/>
    <col min="5" max="5" width="8.6640625" style="95"/>
    <col min="6" max="6" width="14.77734375" bestFit="1" customWidth="1"/>
    <col min="7" max="7" width="8.6640625" style="9"/>
  </cols>
  <sheetData>
    <row r="2" spans="3:20" ht="14.4" thickBot="1">
      <c r="F2" s="180">
        <f>F4*10^6</f>
        <v>190100000</v>
      </c>
      <c r="J2" s="944"/>
      <c r="K2" s="944"/>
      <c r="L2" s="944"/>
      <c r="M2" s="944"/>
    </row>
    <row r="3" spans="3:20">
      <c r="C3" s="20" t="s">
        <v>8</v>
      </c>
      <c r="D3" s="21">
        <v>2025</v>
      </c>
      <c r="E3" s="96" t="s">
        <v>47</v>
      </c>
      <c r="F3" s="21">
        <v>2026</v>
      </c>
      <c r="G3" s="101" t="s">
        <v>47</v>
      </c>
      <c r="H3" s="22" t="s">
        <v>53</v>
      </c>
      <c r="I3" s="22" t="s">
        <v>38</v>
      </c>
      <c r="J3" s="22" t="s">
        <v>48</v>
      </c>
      <c r="K3" s="22" t="s">
        <v>50</v>
      </c>
      <c r="L3" s="22" t="s">
        <v>52</v>
      </c>
      <c r="M3" s="23" t="s">
        <v>38</v>
      </c>
      <c r="R3">
        <v>2026</v>
      </c>
      <c r="S3" t="s">
        <v>30</v>
      </c>
      <c r="T3" t="s">
        <v>31</v>
      </c>
    </row>
    <row r="4" spans="3:20">
      <c r="C4" s="15" t="s">
        <v>4</v>
      </c>
      <c r="D4" s="11">
        <f>84701849/10^6</f>
        <v>84.701848999999996</v>
      </c>
      <c r="E4" s="97">
        <f>D4/$D$20</f>
        <v>0.47361793101026162</v>
      </c>
      <c r="F4" s="11">
        <v>190.1</v>
      </c>
      <c r="G4" s="13">
        <f>F4/$F$20</f>
        <v>0.45847794874433562</v>
      </c>
      <c r="H4" s="12">
        <f t="shared" ref="H4:H10" si="0">F4-D4</f>
        <v>105.398151</v>
      </c>
      <c r="I4" s="13">
        <f t="shared" ref="I4:I10" si="1">IFERROR(H4/D4,"")</f>
        <v>1.2443429776839936</v>
      </c>
      <c r="J4" s="86">
        <v>0.43</v>
      </c>
      <c r="K4" s="11">
        <f>J4*$F$20</f>
        <v>178.29210810219999</v>
      </c>
      <c r="L4" s="11">
        <f>K4-D4</f>
        <v>93.590259102199994</v>
      </c>
      <c r="M4" s="16">
        <f>IFERROR(L4/D4,"")</f>
        <v>1.1049376159686903</v>
      </c>
      <c r="Q4" t="s">
        <v>29</v>
      </c>
      <c r="R4">
        <v>4.42</v>
      </c>
      <c r="S4" s="8">
        <v>0.7</v>
      </c>
      <c r="T4">
        <f>S4*R4</f>
        <v>3.0939999999999999</v>
      </c>
    </row>
    <row r="5" spans="3:20">
      <c r="C5" s="15" t="s">
        <v>27</v>
      </c>
      <c r="D5" s="11">
        <v>0</v>
      </c>
      <c r="E5" s="97">
        <f t="shared" ref="E5:E20" si="2">D5/$D$20</f>
        <v>0</v>
      </c>
      <c r="F5" s="11">
        <v>7.8280000000000003</v>
      </c>
      <c r="G5" s="13">
        <f t="shared" ref="G5:G20" si="3">F5/$F$20</f>
        <v>1.8879354985642607E-2</v>
      </c>
      <c r="H5" s="12">
        <f t="shared" si="0"/>
        <v>7.8280000000000003</v>
      </c>
      <c r="I5" s="13" t="str">
        <f t="shared" si="1"/>
        <v/>
      </c>
      <c r="J5" s="86">
        <v>1.9041280757214431E-2</v>
      </c>
      <c r="K5" s="11">
        <f t="shared" ref="K5:K9" si="4">J5*$F$20</f>
        <v>7.895139737603758</v>
      </c>
      <c r="L5" s="11">
        <f t="shared" ref="L5:L9" si="5">K5-D5</f>
        <v>7.895139737603758</v>
      </c>
      <c r="M5" s="16" t="str">
        <f t="shared" ref="M5:M9" si="6">IFERROR(L5/D5,"")</f>
        <v/>
      </c>
      <c r="Q5" t="s">
        <v>32</v>
      </c>
      <c r="R5">
        <v>0.84</v>
      </c>
      <c r="S5" s="8">
        <v>0.7</v>
      </c>
      <c r="T5">
        <f>S5*R5</f>
        <v>0.58799999999999997</v>
      </c>
    </row>
    <row r="6" spans="3:20">
      <c r="C6" s="15" t="s">
        <v>2</v>
      </c>
      <c r="D6" s="11">
        <f>35816009.54/10^6</f>
        <v>35.816009539999996</v>
      </c>
      <c r="E6" s="97">
        <f t="shared" si="2"/>
        <v>0.20026840660088294</v>
      </c>
      <c r="F6" s="11">
        <v>35.816009539999996</v>
      </c>
      <c r="G6" s="13">
        <f t="shared" si="3"/>
        <v>8.6380066207820905E-2</v>
      </c>
      <c r="H6" s="12">
        <f t="shared" si="0"/>
        <v>0</v>
      </c>
      <c r="I6" s="13">
        <f t="shared" si="1"/>
        <v>0</v>
      </c>
      <c r="J6" s="86">
        <v>8.5622519501015321E-2</v>
      </c>
      <c r="K6" s="11">
        <f t="shared" si="4"/>
        <v>35.501905820599418</v>
      </c>
      <c r="L6" s="11">
        <f t="shared" si="5"/>
        <v>-0.31410371940057757</v>
      </c>
      <c r="M6" s="16">
        <f t="shared" si="6"/>
        <v>-8.7699250540398867E-3</v>
      </c>
      <c r="Q6" t="s">
        <v>33</v>
      </c>
      <c r="R6">
        <v>5.81</v>
      </c>
      <c r="S6" s="8">
        <v>0.7</v>
      </c>
      <c r="T6">
        <f>S6*R6</f>
        <v>4.0669999999999993</v>
      </c>
    </row>
    <row r="7" spans="3:20">
      <c r="C7" s="15" t="s">
        <v>0</v>
      </c>
      <c r="D7" s="11">
        <f>22470534.085868/10^6</f>
        <v>22.470534085868</v>
      </c>
      <c r="E7" s="97">
        <f t="shared" si="2"/>
        <v>0.12564599224326689</v>
      </c>
      <c r="F7" s="11">
        <v>49.12</v>
      </c>
      <c r="G7" s="13">
        <f t="shared" si="3"/>
        <v>0.11846626429417026</v>
      </c>
      <c r="H7" s="12">
        <f t="shared" si="0"/>
        <v>26.649465914131998</v>
      </c>
      <c r="I7" s="13">
        <f t="shared" si="1"/>
        <v>1.1859738541280236</v>
      </c>
      <c r="J7" s="86">
        <v>0.11948233403096227</v>
      </c>
      <c r="K7" s="11">
        <f t="shared" si="4"/>
        <v>49.541295849654638</v>
      </c>
      <c r="L7" s="11">
        <f t="shared" si="5"/>
        <v>27.070761763786638</v>
      </c>
      <c r="M7" s="16">
        <f t="shared" si="6"/>
        <v>1.2047226674870972</v>
      </c>
      <c r="Q7" t="s">
        <v>34</v>
      </c>
      <c r="R7">
        <v>1.9139999999999999</v>
      </c>
      <c r="S7" s="8">
        <v>0.7</v>
      </c>
      <c r="T7">
        <f>S7*R7</f>
        <v>1.3397999999999999</v>
      </c>
    </row>
    <row r="8" spans="3:20">
      <c r="C8" s="15" t="s">
        <v>28</v>
      </c>
      <c r="D8" s="11">
        <f>9659677.33/10^6</f>
        <v>9.6596773300000009</v>
      </c>
      <c r="E8" s="97">
        <f t="shared" si="2"/>
        <v>5.4012945942435428E-2</v>
      </c>
      <c r="F8" s="11">
        <f>6.75+2.91</f>
        <v>9.66</v>
      </c>
      <c r="G8" s="13">
        <f t="shared" si="3"/>
        <v>2.3297722171858402E-2</v>
      </c>
      <c r="H8" s="12">
        <f t="shared" si="0"/>
        <v>3.2266999999919221E-4</v>
      </c>
      <c r="I8" s="13">
        <f t="shared" si="1"/>
        <v>3.3403807288373701E-5</v>
      </c>
      <c r="J8" s="86">
        <v>1.6419091097495835E-2</v>
      </c>
      <c r="K8" s="11">
        <f t="shared" si="4"/>
        <v>6.8078938718478996</v>
      </c>
      <c r="L8" s="11">
        <f t="shared" si="5"/>
        <v>-2.8517834581521013</v>
      </c>
      <c r="M8" s="16">
        <f t="shared" si="6"/>
        <v>-0.29522554022537945</v>
      </c>
    </row>
    <row r="9" spans="3:20">
      <c r="C9" s="15" t="s">
        <v>3</v>
      </c>
      <c r="D9" s="11">
        <f>19861968.51/10^6</f>
        <v>19.861968510000001</v>
      </c>
      <c r="E9" s="97">
        <f t="shared" si="2"/>
        <v>0.1110599655445204</v>
      </c>
      <c r="F9" s="11">
        <f>33.02</f>
        <v>33.020000000000003</v>
      </c>
      <c r="G9" s="13">
        <f t="shared" si="3"/>
        <v>7.9636727341072938E-2</v>
      </c>
      <c r="H9" s="12">
        <f t="shared" si="0"/>
        <v>13.158031490000003</v>
      </c>
      <c r="I9" s="13">
        <f t="shared" si="1"/>
        <v>0.66247368599820633</v>
      </c>
      <c r="J9" s="86">
        <v>8.0319761191009267E-2</v>
      </c>
      <c r="K9" s="11">
        <f t="shared" si="4"/>
        <v>33.303208244210026</v>
      </c>
      <c r="L9" s="11">
        <f t="shared" si="5"/>
        <v>13.441239734210026</v>
      </c>
      <c r="M9" s="16">
        <f t="shared" si="6"/>
        <v>0.6767325065208265</v>
      </c>
    </row>
    <row r="10" spans="3:20" ht="14.4" thickBot="1">
      <c r="C10" s="17" t="s">
        <v>39</v>
      </c>
      <c r="D10" s="61">
        <f>SUM(D4,D5,D6,D7,D8,D9)</f>
        <v>172.51003846586798</v>
      </c>
      <c r="E10" s="98">
        <f t="shared" si="2"/>
        <v>0.96460524134136716</v>
      </c>
      <c r="F10" s="61">
        <f>SUM(F4,F5,F6,F7,F8,F9)</f>
        <v>325.54400953999999</v>
      </c>
      <c r="G10" s="48">
        <f t="shared" si="3"/>
        <v>0.78513808374490079</v>
      </c>
      <c r="H10" s="18">
        <f t="shared" si="0"/>
        <v>153.03397107413201</v>
      </c>
      <c r="I10" s="48">
        <f t="shared" si="1"/>
        <v>0.88710183149376898</v>
      </c>
      <c r="J10" s="80">
        <v>0.78329524104198711</v>
      </c>
      <c r="K10" s="49">
        <f>SUM(K4:K9)</f>
        <v>311.3415516261158</v>
      </c>
      <c r="L10" s="49">
        <f>K10-D10</f>
        <v>138.83151316024782</v>
      </c>
      <c r="M10" s="55">
        <f>IFERROR(L10/D10,"")</f>
        <v>0.8047735331513266</v>
      </c>
    </row>
    <row r="11" spans="3:20" ht="14.4" thickBot="1">
      <c r="F11" s="3"/>
      <c r="J11" s="9"/>
      <c r="L11" s="3"/>
      <c r="M11" s="8"/>
    </row>
    <row r="12" spans="3:20" ht="15" customHeight="1" thickBot="1">
      <c r="C12" s="29" t="s">
        <v>26</v>
      </c>
      <c r="D12" s="30"/>
      <c r="E12" s="99">
        <f t="shared" si="2"/>
        <v>0</v>
      </c>
      <c r="F12" s="31">
        <v>80</v>
      </c>
      <c r="G12" s="102">
        <f t="shared" si="3"/>
        <v>0.19294179852470728</v>
      </c>
      <c r="H12" s="32">
        <f>F12-D12</f>
        <v>80</v>
      </c>
      <c r="I12" s="42" t="str">
        <f>IFERROR(H12/D12,"")</f>
        <v/>
      </c>
      <c r="J12" s="81">
        <v>0.19459663522958026</v>
      </c>
      <c r="K12" s="50"/>
      <c r="L12" s="51">
        <f t="shared" ref="L12" si="7">K12-D12</f>
        <v>0</v>
      </c>
      <c r="M12" s="60" t="str">
        <f t="shared" ref="M12" si="8">IFERROR(L12/D12,"")</f>
        <v/>
      </c>
    </row>
    <row r="13" spans="3:20" ht="15" customHeight="1" thickBot="1">
      <c r="F13" s="3"/>
      <c r="J13" s="9"/>
      <c r="L13" s="3"/>
      <c r="M13" s="8"/>
    </row>
    <row r="14" spans="3:20">
      <c r="C14" s="14" t="s">
        <v>41</v>
      </c>
      <c r="D14" s="24">
        <v>1.68</v>
      </c>
      <c r="E14" s="100">
        <f t="shared" si="2"/>
        <v>9.3938695966039598E-3</v>
      </c>
      <c r="F14" s="25">
        <v>3.0939999999999999</v>
      </c>
      <c r="G14" s="103">
        <f t="shared" si="3"/>
        <v>7.4620240579430534E-3</v>
      </c>
      <c r="H14" s="26">
        <f t="shared" ref="H14:H18" si="9">F14-D14</f>
        <v>1.4139999999999999</v>
      </c>
      <c r="I14" s="52">
        <f t="shared" ref="I14:I18" si="10">IFERROR(H14/D14,"")</f>
        <v>0.84166666666666667</v>
      </c>
      <c r="J14" s="82">
        <v>7.5260248675040166E-3</v>
      </c>
      <c r="K14" s="25">
        <f t="shared" ref="K14:K17" si="11">SUM(F14,J14)</f>
        <v>3.1015260248675038</v>
      </c>
      <c r="L14" s="25">
        <f t="shared" ref="L14:L18" si="12">K14-D14</f>
        <v>1.4215260248675039</v>
      </c>
      <c r="M14" s="56">
        <f t="shared" ref="M14:M18" si="13">IFERROR(L14/D14,"")</f>
        <v>0.8461464433735143</v>
      </c>
    </row>
    <row r="15" spans="3:20">
      <c r="C15" s="15" t="s">
        <v>32</v>
      </c>
      <c r="D15" s="10">
        <v>0.47</v>
      </c>
      <c r="E15" s="97">
        <f t="shared" si="2"/>
        <v>2.6280468514308696E-3</v>
      </c>
      <c r="F15" s="11">
        <v>0.58799999999999997</v>
      </c>
      <c r="G15" s="13">
        <f t="shared" si="3"/>
        <v>1.4181222191565984E-3</v>
      </c>
      <c r="H15" s="12">
        <f t="shared" si="9"/>
        <v>0.11799999999999999</v>
      </c>
      <c r="I15" s="35">
        <f t="shared" si="10"/>
        <v>0.25106382978723402</v>
      </c>
      <c r="J15" s="83">
        <v>1.4302852689374148E-3</v>
      </c>
      <c r="K15" s="11">
        <f t="shared" si="11"/>
        <v>0.58943028526893737</v>
      </c>
      <c r="L15" s="11">
        <f t="shared" si="12"/>
        <v>0.1194302852689374</v>
      </c>
      <c r="M15" s="57">
        <f t="shared" si="13"/>
        <v>0.25410698993390934</v>
      </c>
    </row>
    <row r="16" spans="3:20">
      <c r="C16" s="15" t="s">
        <v>33</v>
      </c>
      <c r="D16" s="10">
        <v>2.5</v>
      </c>
      <c r="E16" s="97">
        <f t="shared" si="2"/>
        <v>1.3978972613993989E-2</v>
      </c>
      <c r="F16" s="11">
        <v>4.0669999999999993</v>
      </c>
      <c r="G16" s="13">
        <f t="shared" si="3"/>
        <v>9.8086786824998044E-3</v>
      </c>
      <c r="H16" s="12">
        <f t="shared" si="9"/>
        <v>1.5669999999999993</v>
      </c>
      <c r="I16" s="35">
        <f t="shared" si="10"/>
        <v>0.62679999999999969</v>
      </c>
      <c r="J16" s="83">
        <v>9.8928064434837849E-3</v>
      </c>
      <c r="K16" s="11">
        <f t="shared" si="11"/>
        <v>4.0768928064434835</v>
      </c>
      <c r="L16" s="11">
        <f t="shared" si="12"/>
        <v>1.5768928064434835</v>
      </c>
      <c r="M16" s="57">
        <f t="shared" si="13"/>
        <v>0.63075712257739336</v>
      </c>
    </row>
    <row r="17" spans="3:13">
      <c r="C17" s="15" t="s">
        <v>34</v>
      </c>
      <c r="D17" s="10">
        <v>1.68</v>
      </c>
      <c r="E17" s="97">
        <f t="shared" si="2"/>
        <v>9.3938695966039598E-3</v>
      </c>
      <c r="F17" s="11">
        <v>1.3397999999999999</v>
      </c>
      <c r="G17" s="13">
        <f t="shared" si="3"/>
        <v>3.2312927707925346E-3</v>
      </c>
      <c r="H17" s="12">
        <f t="shared" si="9"/>
        <v>-0.34020000000000006</v>
      </c>
      <c r="I17" s="35">
        <f t="shared" si="10"/>
        <v>-0.20250000000000004</v>
      </c>
      <c r="J17" s="83">
        <v>3.2590071485073951E-3</v>
      </c>
      <c r="K17" s="11">
        <f t="shared" si="11"/>
        <v>1.3430590071485073</v>
      </c>
      <c r="L17" s="11">
        <f t="shared" si="12"/>
        <v>-0.33694099285149259</v>
      </c>
      <c r="M17" s="57">
        <f t="shared" si="13"/>
        <v>-0.20056011479255512</v>
      </c>
    </row>
    <row r="18" spans="3:13" ht="14.4" thickBot="1">
      <c r="C18" s="17" t="s">
        <v>40</v>
      </c>
      <c r="D18" s="28">
        <f>SUM(D14:D17)</f>
        <v>6.33</v>
      </c>
      <c r="E18" s="98">
        <f t="shared" si="2"/>
        <v>3.5394758658632779E-2</v>
      </c>
      <c r="F18" s="28">
        <f>SUM(F14:F17)</f>
        <v>9.0887999999999991</v>
      </c>
      <c r="G18" s="48">
        <f t="shared" si="3"/>
        <v>2.1920117730391989E-2</v>
      </c>
      <c r="H18" s="18">
        <f t="shared" si="9"/>
        <v>2.758799999999999</v>
      </c>
      <c r="I18" s="36">
        <f t="shared" si="10"/>
        <v>0.43582938388625575</v>
      </c>
      <c r="J18" s="84">
        <v>2.210812372843261E-2</v>
      </c>
      <c r="K18" s="49">
        <f t="shared" ref="K18" si="14">SUM(K14:K17)</f>
        <v>9.1109081237284322</v>
      </c>
      <c r="L18" s="49">
        <f t="shared" si="12"/>
        <v>2.7809081237284321</v>
      </c>
      <c r="M18" s="58">
        <f t="shared" si="13"/>
        <v>0.43932197847210619</v>
      </c>
    </row>
    <row r="19" spans="3:13" ht="14.4" thickBot="1">
      <c r="F19" s="3"/>
      <c r="J19" s="9"/>
      <c r="L19" s="3"/>
      <c r="M19" s="8"/>
    </row>
    <row r="20" spans="3:13" ht="14.4" thickBot="1">
      <c r="C20" s="29" t="s">
        <v>35</v>
      </c>
      <c r="D20" s="31">
        <f>SUM(D10,D12,D18)</f>
        <v>178.84003846586799</v>
      </c>
      <c r="E20" s="99">
        <f t="shared" si="2"/>
        <v>1</v>
      </c>
      <c r="F20" s="31">
        <f>SUM(F10,F12,F18)</f>
        <v>414.63280953999998</v>
      </c>
      <c r="G20" s="102">
        <f t="shared" si="3"/>
        <v>1</v>
      </c>
      <c r="H20" s="32">
        <f t="shared" ref="H20" si="15">F20-D20</f>
        <v>235.79277107413199</v>
      </c>
      <c r="I20" s="42">
        <f t="shared" ref="I20" si="16">IFERROR(H20/D20,"")</f>
        <v>1.318456275769218</v>
      </c>
      <c r="J20" s="81">
        <v>1</v>
      </c>
      <c r="K20" s="54">
        <f t="shared" ref="K20" si="17">SUM(F20,J20)</f>
        <v>415.63280953999998</v>
      </c>
      <c r="L20" s="53">
        <f t="shared" ref="L20" si="18">K20-D20</f>
        <v>236.79277107413199</v>
      </c>
      <c r="M20" s="59">
        <f t="shared" ref="M20" si="19">IFERROR(L20/D20,"")</f>
        <v>1.3240478648148155</v>
      </c>
    </row>
    <row r="21" spans="3:13">
      <c r="D21" s="105"/>
      <c r="E21"/>
      <c r="F21" s="113">
        <f>F23*10^6</f>
        <v>280118494.37623507</v>
      </c>
    </row>
    <row r="22" spans="3:13" ht="14.4" thickBot="1">
      <c r="D22" s="133">
        <v>2025</v>
      </c>
      <c r="E22" s="4"/>
      <c r="F22" s="133">
        <v>2026</v>
      </c>
    </row>
    <row r="23" spans="3:13">
      <c r="C23" s="118" t="s">
        <v>16</v>
      </c>
      <c r="D23" s="120">
        <v>216</v>
      </c>
      <c r="E23" s="109"/>
      <c r="F23" s="120">
        <f>245.252988100477+Sheet5!C20+13+5</f>
        <v>280.11849437623505</v>
      </c>
    </row>
    <row r="24" spans="3:13">
      <c r="C24" s="119" t="s">
        <v>19</v>
      </c>
      <c r="D24" s="121">
        <v>23</v>
      </c>
      <c r="E24" s="109"/>
      <c r="F24" s="121">
        <v>34</v>
      </c>
    </row>
    <row r="25" spans="3:13">
      <c r="C25" s="119" t="s">
        <v>20</v>
      </c>
      <c r="D25" s="121">
        <v>7</v>
      </c>
      <c r="E25" s="109"/>
      <c r="F25" s="121">
        <v>7</v>
      </c>
      <c r="J25" s="2"/>
    </row>
    <row r="26" spans="3:13" ht="14.4" thickBot="1">
      <c r="C26" s="71" t="s">
        <v>58</v>
      </c>
      <c r="D26" s="122">
        <f>26-0.5</f>
        <v>25.5</v>
      </c>
      <c r="E26" s="109"/>
      <c r="F26" s="122"/>
    </row>
    <row r="27" spans="3:13" ht="14.4" thickBot="1">
      <c r="E27" s="7"/>
      <c r="F27" s="2"/>
    </row>
    <row r="28" spans="3:13" ht="14.4" thickBot="1">
      <c r="C28" s="123" t="s">
        <v>61</v>
      </c>
      <c r="D28" s="124">
        <f>SUM(D23:D26)+D20</f>
        <v>450.34003846586802</v>
      </c>
      <c r="E28" s="1">
        <v>426.4</v>
      </c>
      <c r="F28" s="132">
        <f>SUM(F23:F26)+F20</f>
        <v>735.75130391623497</v>
      </c>
    </row>
    <row r="29" spans="3:13" ht="14.4" thickBot="1">
      <c r="E29" s="109"/>
    </row>
    <row r="30" spans="3:13">
      <c r="C30" s="107" t="s">
        <v>56</v>
      </c>
      <c r="D30" s="91">
        <v>240000</v>
      </c>
      <c r="E30" s="109"/>
      <c r="F30" s="120">
        <v>420000</v>
      </c>
      <c r="H30" s="139"/>
    </row>
    <row r="31" spans="3:13">
      <c r="C31" s="108" t="s">
        <v>55</v>
      </c>
      <c r="D31" s="46">
        <f>D30*3950/10^6</f>
        <v>948</v>
      </c>
      <c r="E31" s="109"/>
      <c r="F31" s="121">
        <f>F30*3950/10^6</f>
        <v>1659</v>
      </c>
    </row>
    <row r="32" spans="3:13" ht="14.4" thickBot="1">
      <c r="C32" s="128" t="s">
        <v>57</v>
      </c>
      <c r="D32" s="137">
        <f>D28/D31</f>
        <v>0.47504223466863715</v>
      </c>
      <c r="E32" s="126"/>
      <c r="F32" s="136">
        <f>F28/F31</f>
        <v>0.44349084021472873</v>
      </c>
      <c r="H32" s="138">
        <f>D32-F32</f>
        <v>3.1551394453908421E-2</v>
      </c>
      <c r="J32">
        <v>25</v>
      </c>
    </row>
    <row r="33" spans="3:10">
      <c r="C33" s="14" t="s">
        <v>62</v>
      </c>
      <c r="D33" s="91">
        <v>191</v>
      </c>
      <c r="E33" s="109"/>
      <c r="F33" s="120">
        <v>222</v>
      </c>
      <c r="H33">
        <v>251</v>
      </c>
      <c r="J33">
        <v>29</v>
      </c>
    </row>
    <row r="34" spans="3:10">
      <c r="C34" s="15" t="s">
        <v>63</v>
      </c>
      <c r="D34" s="46">
        <f>D30/D33</f>
        <v>1256.5445026178011</v>
      </c>
      <c r="E34" s="109"/>
      <c r="F34" s="121">
        <f>F30/F33</f>
        <v>1891.8918918918919</v>
      </c>
    </row>
    <row r="35" spans="3:10" ht="14.4" thickBot="1">
      <c r="C35" s="38" t="s">
        <v>64</v>
      </c>
      <c r="D35" s="45">
        <f>D31/D33</f>
        <v>4.9633507853403138</v>
      </c>
      <c r="E35" s="109"/>
      <c r="F35" s="127">
        <f>F31/F33</f>
        <v>7.4729729729729728</v>
      </c>
    </row>
    <row r="36" spans="3:10" ht="14.4" thickBot="1">
      <c r="E36"/>
    </row>
    <row r="37" spans="3:10">
      <c r="C37" s="14" t="s">
        <v>59</v>
      </c>
      <c r="D37" s="91">
        <f>350000</f>
        <v>350000</v>
      </c>
      <c r="E37"/>
      <c r="F37" s="120">
        <v>620000</v>
      </c>
    </row>
    <row r="38" spans="3:10">
      <c r="C38" s="15" t="s">
        <v>60</v>
      </c>
      <c r="D38" s="46">
        <f>D37*3975/10^6</f>
        <v>1391.25</v>
      </c>
      <c r="E38"/>
      <c r="F38" s="121">
        <f>F37*3950/10^6</f>
        <v>2449</v>
      </c>
      <c r="H38" s="6">
        <f>F38*3%</f>
        <v>73.47</v>
      </c>
    </row>
    <row r="39" spans="3:10" ht="14.4" thickBot="1">
      <c r="C39" s="38" t="s">
        <v>57</v>
      </c>
      <c r="D39" s="157">
        <f>D28/D38</f>
        <v>0.32369454696558347</v>
      </c>
      <c r="E39"/>
      <c r="F39" s="131">
        <f>F28/F38</f>
        <v>0.30042927885513881</v>
      </c>
    </row>
  </sheetData>
  <mergeCells count="1">
    <mergeCell ref="J2:M2"/>
  </mergeCells>
  <phoneticPr fontId="8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A2E9B-8078-4C85-BB51-F3B27FA965CF}">
  <sheetPr>
    <tabColor rgb="FF92D050"/>
  </sheetPr>
  <dimension ref="C2:T41"/>
  <sheetViews>
    <sheetView workbookViewId="0">
      <selection activeCell="B10" activeCellId="1" sqref="B8:D8 B10:D10"/>
    </sheetView>
  </sheetViews>
  <sheetFormatPr defaultRowHeight="13.8"/>
  <cols>
    <col min="3" max="3" width="16.21875" bestFit="1" customWidth="1"/>
    <col min="4" max="4" width="11.109375" bestFit="1" customWidth="1"/>
    <col min="6" max="6" width="11.109375" bestFit="1" customWidth="1"/>
    <col min="7" max="7" width="21.109375" bestFit="1" customWidth="1"/>
    <col min="10" max="10" width="11.109375" bestFit="1" customWidth="1"/>
  </cols>
  <sheetData>
    <row r="2" spans="3:20" ht="14.4" thickBot="1">
      <c r="J2" s="944" t="s">
        <v>45</v>
      </c>
      <c r="K2" s="944"/>
      <c r="L2" s="944"/>
      <c r="M2" s="944"/>
    </row>
    <row r="3" spans="3:20">
      <c r="C3" s="41" t="s">
        <v>42</v>
      </c>
      <c r="D3" s="73">
        <v>2025</v>
      </c>
      <c r="E3" s="74" t="s">
        <v>47</v>
      </c>
      <c r="F3" s="73">
        <v>2026</v>
      </c>
      <c r="G3" s="74" t="s">
        <v>47</v>
      </c>
      <c r="H3" s="78" t="s">
        <v>52</v>
      </c>
      <c r="I3" s="34" t="s">
        <v>37</v>
      </c>
      <c r="J3" s="20" t="s">
        <v>49</v>
      </c>
      <c r="K3" s="23" t="s">
        <v>51</v>
      </c>
      <c r="L3" s="78" t="s">
        <v>52</v>
      </c>
      <c r="M3" s="23" t="s">
        <v>37</v>
      </c>
      <c r="R3">
        <v>2026</v>
      </c>
      <c r="S3" t="s">
        <v>30</v>
      </c>
      <c r="T3" t="s">
        <v>31</v>
      </c>
    </row>
    <row r="4" spans="3:20">
      <c r="C4" s="70" t="s">
        <v>4</v>
      </c>
      <c r="D4" s="43">
        <f>74620034.5897379/10^6</f>
        <v>74.620034589737912</v>
      </c>
      <c r="E4" s="75">
        <f>D4/$D$20</f>
        <v>0.50231398094762825</v>
      </c>
      <c r="F4" s="104">
        <v>104</v>
      </c>
      <c r="G4" s="75">
        <f>F4/$F$20</f>
        <v>0.57584167011802545</v>
      </c>
      <c r="H4" s="72">
        <f t="shared" ref="H4:H10" si="0">F4-D4</f>
        <v>29.379965410262088</v>
      </c>
      <c r="I4" s="35">
        <f t="shared" ref="I4:I10" si="1">IFERROR(H4/D4,"")</f>
        <v>0.39372757694087901</v>
      </c>
      <c r="J4" s="88">
        <v>0.50770044892435851</v>
      </c>
      <c r="K4" s="46">
        <f>J4*$F$20</f>
        <v>91.693341118073548</v>
      </c>
      <c r="L4" s="72">
        <f>K4-D4</f>
        <v>17.073306528335635</v>
      </c>
      <c r="M4" s="16">
        <f>IFERROR(L4/D4,"")</f>
        <v>0.22880325132794344</v>
      </c>
      <c r="Q4" t="s">
        <v>29</v>
      </c>
      <c r="R4">
        <v>4.42</v>
      </c>
      <c r="S4" s="8">
        <v>0.3</v>
      </c>
      <c r="T4">
        <f>S4*R4</f>
        <v>1.3259999999999998</v>
      </c>
    </row>
    <row r="5" spans="3:20">
      <c r="C5" s="70" t="s">
        <v>27</v>
      </c>
      <c r="D5" s="43">
        <v>4</v>
      </c>
      <c r="E5" s="75">
        <f t="shared" ref="E5:E20" si="2">D5/$D$20</f>
        <v>2.6926494135756339E-2</v>
      </c>
      <c r="F5" s="43">
        <v>5.4</v>
      </c>
      <c r="G5" s="75">
        <f t="shared" ref="G5:G20" si="3">F5/$F$20</f>
        <v>2.989947133305132E-2</v>
      </c>
      <c r="H5" s="72">
        <f t="shared" si="0"/>
        <v>1.4000000000000004</v>
      </c>
      <c r="I5" s="35">
        <f t="shared" si="1"/>
        <v>0.35000000000000009</v>
      </c>
      <c r="J5" s="88">
        <v>2.6361369463380153E-2</v>
      </c>
      <c r="K5" s="46">
        <f t="shared" ref="K5:K18" si="4">J5*$F$20</f>
        <v>4.7610004042076648</v>
      </c>
      <c r="L5" s="72">
        <f t="shared" ref="L5:L9" si="5">K5-D5</f>
        <v>0.76100040420766479</v>
      </c>
      <c r="M5" s="16">
        <f t="shared" ref="M5:M9" si="6">IFERROR(L5/D5,"")</f>
        <v>0.1902501010519162</v>
      </c>
      <c r="Q5" t="s">
        <v>32</v>
      </c>
      <c r="R5">
        <v>0.84</v>
      </c>
      <c r="S5" s="8">
        <v>0.3</v>
      </c>
      <c r="T5">
        <f>S5*R5</f>
        <v>0.252</v>
      </c>
    </row>
    <row r="6" spans="3:20">
      <c r="C6" s="70" t="s">
        <v>2</v>
      </c>
      <c r="D6" s="43">
        <f>14518374.58/10^6</f>
        <v>14.51837458</v>
      </c>
      <c r="E6" s="75">
        <f t="shared" si="2"/>
        <v>9.7732231997270963E-2</v>
      </c>
      <c r="F6" s="43">
        <v>14.6</v>
      </c>
      <c r="G6" s="75">
        <f t="shared" si="3"/>
        <v>8.0839311381953563E-2</v>
      </c>
      <c r="H6" s="72">
        <f t="shared" si="0"/>
        <v>8.1625419999999949E-2</v>
      </c>
      <c r="I6" s="35">
        <f t="shared" si="1"/>
        <v>5.6222147699952754E-3</v>
      </c>
      <c r="J6" s="88">
        <v>7.1273332252842631E-2</v>
      </c>
      <c r="K6" s="46">
        <f t="shared" si="4"/>
        <v>12.872334426191093</v>
      </c>
      <c r="L6" s="72">
        <f t="shared" si="5"/>
        <v>-1.6460401538089062</v>
      </c>
      <c r="M6" s="16">
        <f t="shared" si="6"/>
        <v>-0.11337633870367507</v>
      </c>
      <c r="Q6" t="s">
        <v>33</v>
      </c>
      <c r="R6">
        <v>5.81</v>
      </c>
      <c r="S6" s="8">
        <v>0.3</v>
      </c>
      <c r="T6">
        <f>S6*R6</f>
        <v>1.7429999999999999</v>
      </c>
    </row>
    <row r="7" spans="3:20">
      <c r="C7" s="70" t="s">
        <v>0</v>
      </c>
      <c r="D7" s="43">
        <f>16948264.89/10^6</f>
        <v>16.948264890000001</v>
      </c>
      <c r="E7" s="75">
        <f t="shared" si="2"/>
        <v>0.11408933879295752</v>
      </c>
      <c r="F7" s="43">
        <v>18</v>
      </c>
      <c r="G7" s="75">
        <f t="shared" si="3"/>
        <v>9.9664904443504398E-2</v>
      </c>
      <c r="H7" s="72">
        <f t="shared" si="0"/>
        <v>1.0517351099999992</v>
      </c>
      <c r="I7" s="35">
        <f t="shared" si="1"/>
        <v>6.2055621435357394E-2</v>
      </c>
      <c r="J7" s="88">
        <v>8.7871231544600512E-2</v>
      </c>
      <c r="K7" s="46">
        <f t="shared" si="4"/>
        <v>15.870001347358883</v>
      </c>
      <c r="L7" s="72">
        <f t="shared" si="5"/>
        <v>-1.0782635426411176</v>
      </c>
      <c r="M7" s="16">
        <f t="shared" si="6"/>
        <v>-6.3620880936155672E-2</v>
      </c>
      <c r="Q7" t="s">
        <v>34</v>
      </c>
      <c r="R7">
        <v>1.9139999999999999</v>
      </c>
      <c r="S7" s="8">
        <v>0.3</v>
      </c>
      <c r="T7">
        <f>S7*R7</f>
        <v>0.57419999999999993</v>
      </c>
    </row>
    <row r="8" spans="3:20">
      <c r="C8" s="70" t="s">
        <v>28</v>
      </c>
      <c r="D8" s="43">
        <f>4481406.21/10^6</f>
        <v>4.4814062100000003</v>
      </c>
      <c r="E8" s="75">
        <f t="shared" si="2"/>
        <v>3.016713950837676E-2</v>
      </c>
      <c r="F8" s="43">
        <v>4.6500000000000004</v>
      </c>
      <c r="G8" s="75">
        <f t="shared" si="3"/>
        <v>2.5746766981238636E-2</v>
      </c>
      <c r="H8" s="72">
        <f t="shared" si="0"/>
        <v>0.16859379000000008</v>
      </c>
      <c r="I8" s="35">
        <f t="shared" si="1"/>
        <v>3.7620733783023892E-2</v>
      </c>
      <c r="J8" s="88">
        <v>2.2700068149021799E-2</v>
      </c>
      <c r="K8" s="46">
        <f t="shared" si="4"/>
        <v>4.0997503480677118</v>
      </c>
      <c r="L8" s="72">
        <f t="shared" si="5"/>
        <v>-0.38165586193228851</v>
      </c>
      <c r="M8" s="16">
        <f t="shared" si="6"/>
        <v>-8.5164308711994333E-2</v>
      </c>
    </row>
    <row r="9" spans="3:20">
      <c r="C9" s="70" t="s">
        <v>3</v>
      </c>
      <c r="D9" s="43">
        <f>2733711.26/10^6</f>
        <v>2.7337112599999998</v>
      </c>
      <c r="E9" s="75">
        <f t="shared" si="2"/>
        <v>1.8402315052810266E-2</v>
      </c>
      <c r="F9" s="43">
        <v>0.3</v>
      </c>
      <c r="G9" s="75">
        <f t="shared" si="3"/>
        <v>1.6610817407250733E-3</v>
      </c>
      <c r="H9" s="72">
        <f t="shared" si="0"/>
        <v>-2.4337112599999999</v>
      </c>
      <c r="I9" s="35">
        <f t="shared" si="1"/>
        <v>-0.89025907586158171</v>
      </c>
      <c r="J9" s="88">
        <v>1.4645205257433416E-3</v>
      </c>
      <c r="K9" s="46">
        <f t="shared" si="4"/>
        <v>0.26450002245598137</v>
      </c>
      <c r="L9" s="72">
        <f t="shared" si="5"/>
        <v>-2.4692112375440183</v>
      </c>
      <c r="M9" s="16">
        <f t="shared" si="6"/>
        <v>-0.90324507700349399</v>
      </c>
    </row>
    <row r="10" spans="3:20" ht="14.4" thickBot="1">
      <c r="C10" s="71" t="s">
        <v>39</v>
      </c>
      <c r="D10" s="76">
        <f>SUM(D4,D5,D6,D7,D8,D9)</f>
        <v>117.30179152973793</v>
      </c>
      <c r="E10" s="77">
        <f t="shared" si="2"/>
        <v>0.78963150043480013</v>
      </c>
      <c r="F10" s="76">
        <f>SUM(F4,F5,F6,F7,F8,F9)</f>
        <v>146.95000000000002</v>
      </c>
      <c r="G10" s="77">
        <f t="shared" si="3"/>
        <v>0.81365320599849844</v>
      </c>
      <c r="H10" s="79">
        <f t="shared" si="0"/>
        <v>29.648208470262091</v>
      </c>
      <c r="I10" s="36">
        <f t="shared" si="1"/>
        <v>0.25275154013948531</v>
      </c>
      <c r="J10" s="89">
        <v>0.71737097085994694</v>
      </c>
      <c r="K10" s="47">
        <f>SUM(K4,K5,K6,K7,K8,K9)</f>
        <v>129.56092766635487</v>
      </c>
      <c r="L10" s="87">
        <f>K10-D10</f>
        <v>12.259136136616945</v>
      </c>
      <c r="M10" s="55">
        <f>IFERROR(L10/D10,"")</f>
        <v>0.10450936832886353</v>
      </c>
    </row>
    <row r="11" spans="3:20" ht="14.4" thickBot="1">
      <c r="E11" s="8"/>
      <c r="F11" s="3"/>
      <c r="G11" s="65"/>
      <c r="J11" s="9"/>
      <c r="K11" s="1">
        <f t="shared" si="4"/>
        <v>0</v>
      </c>
      <c r="L11" s="3"/>
      <c r="M11" s="8"/>
    </row>
    <row r="12" spans="3:20" ht="15" customHeight="1" thickBot="1">
      <c r="C12" s="29" t="s">
        <v>26</v>
      </c>
      <c r="D12" s="31">
        <v>28</v>
      </c>
      <c r="E12" s="66">
        <f t="shared" si="2"/>
        <v>0.18848545895029437</v>
      </c>
      <c r="F12" s="31">
        <f>29.76</f>
        <v>29.76</v>
      </c>
      <c r="G12" s="66">
        <f t="shared" si="3"/>
        <v>0.16477930867992727</v>
      </c>
      <c r="H12" s="32">
        <f>F12-D12</f>
        <v>1.7600000000000016</v>
      </c>
      <c r="I12" s="42">
        <f>IFERROR(H12/D12,"")</f>
        <v>6.2857142857142917E-2</v>
      </c>
      <c r="J12" s="81">
        <v>0.26361369463380152</v>
      </c>
      <c r="K12" s="85">
        <f t="shared" si="4"/>
        <v>47.610004042076646</v>
      </c>
      <c r="L12" s="51">
        <f t="shared" ref="L12" si="7">K12-D12</f>
        <v>19.610004042076646</v>
      </c>
      <c r="M12" s="60">
        <f t="shared" ref="M12" si="8">IFERROR(L12/D12,"")</f>
        <v>0.70035728721702306</v>
      </c>
    </row>
    <row r="13" spans="3:20" ht="15" customHeight="1" thickBot="1">
      <c r="E13" s="8"/>
      <c r="F13" s="3"/>
      <c r="G13" s="65"/>
      <c r="J13" s="9"/>
      <c r="K13" s="1">
        <f t="shared" si="4"/>
        <v>0</v>
      </c>
      <c r="L13" s="3"/>
      <c r="M13" s="8"/>
    </row>
    <row r="14" spans="3:20">
      <c r="C14" s="14" t="s">
        <v>41</v>
      </c>
      <c r="D14" s="25">
        <f>1.25494</f>
        <v>1.2549399999999999</v>
      </c>
      <c r="E14" s="67">
        <f t="shared" si="2"/>
        <v>8.4477836376815139E-3</v>
      </c>
      <c r="F14" s="25">
        <v>1.3259999999999998</v>
      </c>
      <c r="G14" s="67">
        <f t="shared" si="3"/>
        <v>7.3419812940048231E-3</v>
      </c>
      <c r="H14" s="26">
        <f t="shared" ref="H14:H18" si="9">F14-D14</f>
        <v>7.1059999999999901E-2</v>
      </c>
      <c r="I14" s="52">
        <f t="shared" ref="I14:I18" si="10">IFERROR(H14/D14,"")</f>
        <v>5.6624221078298488E-2</v>
      </c>
      <c r="J14" s="82">
        <v>6.4731807237855699E-3</v>
      </c>
      <c r="K14" s="91">
        <f t="shared" si="4"/>
        <v>1.1690900992554376</v>
      </c>
      <c r="L14" s="90">
        <f t="shared" ref="L14:L18" si="11">K14-D14</f>
        <v>-8.5849900744562335E-2</v>
      </c>
      <c r="M14" s="56">
        <f t="shared" ref="M14:M18" si="12">IFERROR(L14/D14,"")</f>
        <v>-6.8409565990854015E-2</v>
      </c>
    </row>
    <row r="15" spans="3:20">
      <c r="C15" s="15" t="s">
        <v>32</v>
      </c>
      <c r="D15" s="11">
        <f>0.202</f>
        <v>0.20200000000000001</v>
      </c>
      <c r="E15" s="62">
        <f t="shared" si="2"/>
        <v>1.3597879538556951E-3</v>
      </c>
      <c r="F15" s="11">
        <v>0.252</v>
      </c>
      <c r="G15" s="62">
        <f t="shared" si="3"/>
        <v>1.3953086622090615E-3</v>
      </c>
      <c r="H15" s="12">
        <f t="shared" si="9"/>
        <v>4.9999999999999989E-2</v>
      </c>
      <c r="I15" s="35">
        <f t="shared" si="10"/>
        <v>0.24752475247524747</v>
      </c>
      <c r="J15" s="83">
        <v>1.230197241624407E-3</v>
      </c>
      <c r="K15" s="46">
        <f t="shared" si="4"/>
        <v>0.22218001886302435</v>
      </c>
      <c r="L15" s="72">
        <f t="shared" si="11"/>
        <v>2.018001886302434E-2</v>
      </c>
      <c r="M15" s="57">
        <f t="shared" si="12"/>
        <v>9.9901083480318509E-2</v>
      </c>
    </row>
    <row r="16" spans="3:20">
      <c r="C16" s="15" t="s">
        <v>33</v>
      </c>
      <c r="D16" s="11">
        <v>1.0651619999999999</v>
      </c>
      <c r="E16" s="62">
        <f t="shared" si="2"/>
        <v>7.1702695866576226E-3</v>
      </c>
      <c r="F16" s="11">
        <v>1.7429999999999999</v>
      </c>
      <c r="G16" s="62">
        <f t="shared" si="3"/>
        <v>9.6508849136126753E-3</v>
      </c>
      <c r="H16" s="12">
        <f t="shared" si="9"/>
        <v>0.67783799999999994</v>
      </c>
      <c r="I16" s="35">
        <f t="shared" si="10"/>
        <v>0.63637080556760373</v>
      </c>
      <c r="J16" s="83">
        <v>8.5088642545688153E-3</v>
      </c>
      <c r="K16" s="46">
        <f t="shared" si="4"/>
        <v>1.5367451304692519</v>
      </c>
      <c r="L16" s="72">
        <f t="shared" si="11"/>
        <v>0.47158313046925193</v>
      </c>
      <c r="M16" s="57">
        <f t="shared" si="12"/>
        <v>0.44273371606314527</v>
      </c>
    </row>
    <row r="17" spans="3:13">
      <c r="C17" s="15" t="s">
        <v>34</v>
      </c>
      <c r="D17" s="11">
        <f>0.72868</f>
        <v>0.72867999999999999</v>
      </c>
      <c r="E17" s="62">
        <f t="shared" si="2"/>
        <v>4.9051994367107317E-3</v>
      </c>
      <c r="F17" s="11">
        <v>0.57419999999999993</v>
      </c>
      <c r="G17" s="62">
        <f t="shared" si="3"/>
        <v>3.1793104517477901E-3</v>
      </c>
      <c r="H17" s="12">
        <f t="shared" si="9"/>
        <v>-0.15448000000000006</v>
      </c>
      <c r="I17" s="35">
        <f t="shared" si="10"/>
        <v>-0.21199978042487794</v>
      </c>
      <c r="J17" s="83">
        <v>2.803092286272756E-3</v>
      </c>
      <c r="K17" s="46">
        <f t="shared" si="4"/>
        <v>0.50625304298074836</v>
      </c>
      <c r="L17" s="72">
        <f t="shared" si="11"/>
        <v>-0.22242695701925164</v>
      </c>
      <c r="M17" s="57">
        <f t="shared" si="12"/>
        <v>-0.30524641409020647</v>
      </c>
    </row>
    <row r="18" spans="3:13" ht="14.4" thickBot="1">
      <c r="C18" s="17" t="s">
        <v>40</v>
      </c>
      <c r="D18" s="28">
        <f>SUM(D14:D17)</f>
        <v>3.2507820000000001</v>
      </c>
      <c r="E18" s="64">
        <f t="shared" si="2"/>
        <v>2.1883040614905563E-2</v>
      </c>
      <c r="F18" s="28">
        <f>SUM(F14:F17)</f>
        <v>3.8951999999999996</v>
      </c>
      <c r="G18" s="64">
        <f t="shared" si="3"/>
        <v>2.1567485321574348E-2</v>
      </c>
      <c r="H18" s="18">
        <f t="shared" si="9"/>
        <v>0.64441799999999949</v>
      </c>
      <c r="I18" s="36">
        <f t="shared" si="10"/>
        <v>0.19823476320466873</v>
      </c>
      <c r="J18" s="84">
        <v>1.9015334506251546E-2</v>
      </c>
      <c r="K18" s="47">
        <f t="shared" si="4"/>
        <v>3.4342682915684617</v>
      </c>
      <c r="L18" s="87">
        <f t="shared" si="11"/>
        <v>0.18348629156846163</v>
      </c>
      <c r="M18" s="58">
        <f t="shared" si="12"/>
        <v>5.6443739250574672E-2</v>
      </c>
    </row>
    <row r="19" spans="3:13" ht="14.4" thickBot="1">
      <c r="E19" s="8"/>
      <c r="F19" s="3"/>
      <c r="G19" s="65"/>
      <c r="J19" s="9"/>
      <c r="K19" s="1"/>
      <c r="L19" s="3"/>
      <c r="M19" s="8"/>
    </row>
    <row r="20" spans="3:13" ht="14.4" thickBot="1">
      <c r="C20" s="29" t="s">
        <v>35</v>
      </c>
      <c r="D20" s="31">
        <f>SUM(D10,D12,D18)</f>
        <v>148.55257352973791</v>
      </c>
      <c r="E20" s="66">
        <f t="shared" si="2"/>
        <v>1</v>
      </c>
      <c r="F20" s="31">
        <f>SUM(F10,F12,F18)</f>
        <v>180.6052</v>
      </c>
      <c r="G20" s="66">
        <f t="shared" si="3"/>
        <v>1</v>
      </c>
      <c r="H20" s="32">
        <f t="shared" ref="H20" si="13">F20-D20</f>
        <v>32.052626470262084</v>
      </c>
      <c r="I20" s="42">
        <f t="shared" ref="I20" si="14">IFERROR(H20/D20,"")</f>
        <v>0.21576621467177509</v>
      </c>
      <c r="J20" s="81">
        <v>1</v>
      </c>
      <c r="K20" s="93">
        <f>SUM(K10,K12,K18)</f>
        <v>180.60519999999997</v>
      </c>
      <c r="L20" s="92">
        <f t="shared" ref="L20" si="15">K20-D20</f>
        <v>32.052626470262055</v>
      </c>
      <c r="M20" s="59">
        <f t="shared" ref="M20" si="16">IFERROR(L20/D20,"")</f>
        <v>0.2157662146717749</v>
      </c>
    </row>
    <row r="21" spans="3:13">
      <c r="C21" s="105"/>
      <c r="D21" s="111"/>
      <c r="E21" s="112"/>
      <c r="F21" s="111"/>
      <c r="G21" s="112"/>
      <c r="H21" s="113"/>
      <c r="I21" s="114"/>
      <c r="J21" s="115"/>
      <c r="K21" s="116"/>
      <c r="L21" s="117"/>
      <c r="M21" s="8"/>
    </row>
    <row r="22" spans="3:13" ht="14.4" thickBot="1">
      <c r="D22" s="105">
        <v>2025</v>
      </c>
      <c r="F22" s="105">
        <v>2026</v>
      </c>
    </row>
    <row r="23" spans="3:13">
      <c r="C23" s="118" t="s">
        <v>16</v>
      </c>
      <c r="D23" s="120">
        <v>131</v>
      </c>
      <c r="E23" s="109"/>
      <c r="F23" s="120">
        <v>136.15777328728632</v>
      </c>
      <c r="G23" s="8"/>
    </row>
    <row r="24" spans="3:13">
      <c r="C24" s="119" t="s">
        <v>19</v>
      </c>
      <c r="D24" s="121">
        <v>14</v>
      </c>
      <c r="E24" s="109"/>
      <c r="F24" s="121">
        <v>18</v>
      </c>
      <c r="G24" s="6"/>
    </row>
    <row r="25" spans="3:13">
      <c r="C25" s="119" t="s">
        <v>20</v>
      </c>
      <c r="D25" s="121">
        <v>4</v>
      </c>
      <c r="E25" s="109"/>
      <c r="F25" s="121">
        <v>4</v>
      </c>
      <c r="J25" s="2"/>
    </row>
    <row r="26" spans="3:13" ht="14.4" thickBot="1">
      <c r="C26" s="71" t="s">
        <v>58</v>
      </c>
      <c r="D26" s="122">
        <v>1.4</v>
      </c>
      <c r="E26" s="109"/>
      <c r="F26" s="122"/>
      <c r="G26" s="2"/>
    </row>
    <row r="27" spans="3:13" ht="14.4" thickBot="1">
      <c r="F27" s="2"/>
      <c r="G27" s="2"/>
    </row>
    <row r="28" spans="3:13" ht="14.4" thickBot="1">
      <c r="C28" s="123" t="s">
        <v>54</v>
      </c>
      <c r="D28" s="124">
        <f>SUM(D23:D26)+D20</f>
        <v>298.95257352973795</v>
      </c>
      <c r="E28" s="110"/>
      <c r="F28" s="125">
        <f>SUM(F23:F26)+F20</f>
        <v>338.76297328728629</v>
      </c>
    </row>
    <row r="29" spans="3:13" ht="14.4" thickBot="1">
      <c r="E29" s="109"/>
    </row>
    <row r="30" spans="3:13">
      <c r="C30" s="107" t="s">
        <v>56</v>
      </c>
      <c r="D30" s="91">
        <v>200000</v>
      </c>
      <c r="E30" s="109"/>
      <c r="F30" s="120">
        <f>'IN-MKT WP'!M9</f>
        <v>270000</v>
      </c>
    </row>
    <row r="31" spans="3:13">
      <c r="C31" s="108" t="s">
        <v>55</v>
      </c>
      <c r="D31" s="46">
        <f>D30*1402.67/10^6</f>
        <v>280.53399999999999</v>
      </c>
      <c r="E31" s="109"/>
      <c r="F31" s="121">
        <f>F30*1402.67/10^6</f>
        <v>378.72089999999997</v>
      </c>
    </row>
    <row r="32" spans="3:13" ht="14.4" thickBot="1">
      <c r="C32" s="128" t="s">
        <v>57</v>
      </c>
      <c r="D32" s="129">
        <f>D28/D31</f>
        <v>1.0656554055114102</v>
      </c>
      <c r="E32" s="126"/>
      <c r="F32" s="130">
        <f>F28/F31</f>
        <v>0.89449241720561579</v>
      </c>
    </row>
    <row r="33" spans="3:9">
      <c r="C33" s="14" t="s">
        <v>62</v>
      </c>
      <c r="D33" s="91">
        <v>127</v>
      </c>
      <c r="E33" s="109"/>
      <c r="F33" s="120">
        <v>127</v>
      </c>
    </row>
    <row r="34" spans="3:9">
      <c r="C34" s="15" t="s">
        <v>63</v>
      </c>
      <c r="D34" s="46">
        <f>D30/D33</f>
        <v>1574.8031496062993</v>
      </c>
      <c r="E34" s="109"/>
      <c r="F34" s="121">
        <f>F30/F33</f>
        <v>2125.9842519685039</v>
      </c>
    </row>
    <row r="35" spans="3:9" s="106" customFormat="1" ht="14.4" thickBot="1">
      <c r="C35" s="38" t="s">
        <v>64</v>
      </c>
      <c r="D35" s="45">
        <f>D31/D33</f>
        <v>2.2089291338582675</v>
      </c>
      <c r="E35" s="109"/>
      <c r="F35" s="127">
        <f>F31/F33</f>
        <v>2.9820543307086611</v>
      </c>
    </row>
    <row r="36" spans="3:9" ht="14.4" thickBot="1"/>
    <row r="37" spans="3:9">
      <c r="C37" s="14" t="s">
        <v>59</v>
      </c>
      <c r="D37" s="91">
        <f>180000</f>
        <v>180000</v>
      </c>
      <c r="F37" s="120">
        <f>270000</f>
        <v>270000</v>
      </c>
    </row>
    <row r="38" spans="3:9">
      <c r="C38" s="15" t="s">
        <v>60</v>
      </c>
      <c r="D38" s="46">
        <f>D37*1402.67/10^6</f>
        <v>252.48060000000001</v>
      </c>
      <c r="F38" s="121">
        <f>F37*1402.67/10^6</f>
        <v>378.72089999999997</v>
      </c>
      <c r="G38" s="7">
        <f>F38*9%</f>
        <v>34.084880999999996</v>
      </c>
    </row>
    <row r="39" spans="3:9" ht="14.4" thickBot="1">
      <c r="C39" s="38" t="s">
        <v>57</v>
      </c>
      <c r="D39" s="58">
        <f>D28/D38</f>
        <v>1.1840615616793446</v>
      </c>
      <c r="F39" s="131">
        <f>F28/F38</f>
        <v>0.89449241720561579</v>
      </c>
      <c r="G39" s="140">
        <f>F39/D39</f>
        <v>0.75544418141313929</v>
      </c>
      <c r="H39" s="8">
        <f>F39*0.75</f>
        <v>0.67086931290421181</v>
      </c>
      <c r="I39" s="8">
        <f>H39*0.75</f>
        <v>0.50315198467815891</v>
      </c>
    </row>
    <row r="40" spans="3:9">
      <c r="D40" s="8"/>
    </row>
    <row r="41" spans="3:9">
      <c r="D41" s="8"/>
    </row>
  </sheetData>
  <mergeCells count="1">
    <mergeCell ref="J2:M2"/>
  </mergeCells>
  <phoneticPr fontId="8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1AAFA-97E8-4B3D-90F9-0852A97CC001}">
  <dimension ref="C2:T28"/>
  <sheetViews>
    <sheetView workbookViewId="0">
      <selection activeCell="B10" activeCellId="1" sqref="B8:D8 B10:D10"/>
    </sheetView>
  </sheetViews>
  <sheetFormatPr defaultRowHeight="13.8"/>
  <cols>
    <col min="3" max="3" width="14.109375" bestFit="1" customWidth="1"/>
    <col min="11" max="11" width="10.21875" customWidth="1"/>
  </cols>
  <sheetData>
    <row r="2" spans="3:20" ht="14.4" thickBot="1">
      <c r="J2" s="944" t="s">
        <v>45</v>
      </c>
      <c r="K2" s="944"/>
      <c r="L2" s="944"/>
      <c r="M2" s="944"/>
    </row>
    <row r="3" spans="3:20">
      <c r="C3" s="20" t="s">
        <v>46</v>
      </c>
      <c r="D3" s="21">
        <v>2025</v>
      </c>
      <c r="E3" s="21" t="s">
        <v>47</v>
      </c>
      <c r="F3" s="21">
        <v>2026</v>
      </c>
      <c r="G3" s="21" t="s">
        <v>47</v>
      </c>
      <c r="H3" s="22" t="s">
        <v>52</v>
      </c>
      <c r="I3" s="34" t="s">
        <v>37</v>
      </c>
      <c r="J3" s="20" t="s">
        <v>49</v>
      </c>
      <c r="K3" s="23" t="s">
        <v>51</v>
      </c>
      <c r="L3" s="78" t="s">
        <v>52</v>
      </c>
      <c r="M3" s="23" t="s">
        <v>37</v>
      </c>
      <c r="R3">
        <v>2026</v>
      </c>
      <c r="S3" t="s">
        <v>30</v>
      </c>
      <c r="T3" t="s">
        <v>31</v>
      </c>
    </row>
    <row r="4" spans="3:20">
      <c r="C4" s="15" t="s">
        <v>4</v>
      </c>
      <c r="D4" s="11"/>
      <c r="E4" s="62" t="str">
        <f>IFERROR(D4/$D$20,"")</f>
        <v/>
      </c>
      <c r="F4" s="11">
        <v>22</v>
      </c>
      <c r="G4" s="62">
        <f>IFERROR(F4/$F$20,"")</f>
        <v>0.20882771713336498</v>
      </c>
      <c r="H4" s="12">
        <f t="shared" ref="H4:H10" si="0">F4-D4</f>
        <v>22</v>
      </c>
      <c r="I4" s="35" t="str">
        <f t="shared" ref="I4:I10" si="1">IFERROR(H4/D4,"")</f>
        <v/>
      </c>
      <c r="J4" s="88">
        <v>0.20882771713336498</v>
      </c>
      <c r="K4" s="44">
        <f>J4*$F$20</f>
        <v>22</v>
      </c>
      <c r="L4" s="72">
        <f>K4-D4</f>
        <v>22</v>
      </c>
      <c r="M4" s="16" t="str">
        <f>IFERROR(L4/D4,"")</f>
        <v/>
      </c>
      <c r="Q4" t="s">
        <v>29</v>
      </c>
      <c r="R4">
        <v>4.42</v>
      </c>
      <c r="S4" s="8">
        <v>0.7</v>
      </c>
      <c r="T4">
        <f>S4*R4</f>
        <v>3.0939999999999999</v>
      </c>
    </row>
    <row r="5" spans="3:20">
      <c r="C5" s="15" t="s">
        <v>27</v>
      </c>
      <c r="D5" s="11">
        <v>0</v>
      </c>
      <c r="E5" s="62" t="str">
        <f t="shared" ref="E5:E9" si="2">IFERROR(D5/$D$20,"")</f>
        <v/>
      </c>
      <c r="F5" s="11"/>
      <c r="G5" s="62">
        <f t="shared" ref="G5:G20" si="3">IFERROR(F5/$F$20,"")</f>
        <v>0</v>
      </c>
      <c r="H5" s="12">
        <f t="shared" si="0"/>
        <v>0</v>
      </c>
      <c r="I5" s="35" t="str">
        <f t="shared" si="1"/>
        <v/>
      </c>
      <c r="J5" s="88">
        <v>0</v>
      </c>
      <c r="K5" s="44">
        <f t="shared" ref="K5:K9" si="4">J5*$F$20</f>
        <v>0</v>
      </c>
      <c r="L5" s="72">
        <f t="shared" ref="L5:L9" si="5">K5-D5</f>
        <v>0</v>
      </c>
      <c r="M5" s="16" t="str">
        <f t="shared" ref="M5:M9" si="6">IFERROR(L5/D5,"")</f>
        <v/>
      </c>
      <c r="Q5" t="s">
        <v>32</v>
      </c>
      <c r="R5">
        <v>0.84</v>
      </c>
      <c r="S5" s="8">
        <v>0.7</v>
      </c>
      <c r="T5">
        <f>S5*R5</f>
        <v>0.58799999999999997</v>
      </c>
    </row>
    <row r="6" spans="3:20">
      <c r="C6" s="15" t="s">
        <v>2</v>
      </c>
      <c r="D6" s="11"/>
      <c r="E6" s="62" t="str">
        <f t="shared" si="2"/>
        <v/>
      </c>
      <c r="F6" s="11">
        <v>23.8</v>
      </c>
      <c r="G6" s="62">
        <f t="shared" si="3"/>
        <v>0.22591362126245848</v>
      </c>
      <c r="H6" s="12">
        <f t="shared" si="0"/>
        <v>23.8</v>
      </c>
      <c r="I6" s="35" t="str">
        <f t="shared" si="1"/>
        <v/>
      </c>
      <c r="J6" s="88">
        <v>0.22591362126245848</v>
      </c>
      <c r="K6" s="44">
        <f t="shared" si="4"/>
        <v>23.8</v>
      </c>
      <c r="L6" s="72">
        <f t="shared" si="5"/>
        <v>23.8</v>
      </c>
      <c r="M6" s="16" t="str">
        <f t="shared" si="6"/>
        <v/>
      </c>
      <c r="Q6" t="s">
        <v>33</v>
      </c>
      <c r="R6">
        <v>5.81</v>
      </c>
      <c r="S6" s="8">
        <v>0.7</v>
      </c>
      <c r="T6">
        <f>S6*R6</f>
        <v>4.0669999999999993</v>
      </c>
    </row>
    <row r="7" spans="3:20">
      <c r="C7" s="15" t="s">
        <v>0</v>
      </c>
      <c r="D7" s="11"/>
      <c r="E7" s="62" t="str">
        <f t="shared" si="2"/>
        <v/>
      </c>
      <c r="F7" s="11">
        <v>25.2</v>
      </c>
      <c r="G7" s="62">
        <f t="shared" si="3"/>
        <v>0.23920265780730898</v>
      </c>
      <c r="H7" s="12">
        <f t="shared" si="0"/>
        <v>25.2</v>
      </c>
      <c r="I7" s="35" t="str">
        <f t="shared" si="1"/>
        <v/>
      </c>
      <c r="J7" s="88">
        <v>0.23920265780730898</v>
      </c>
      <c r="K7" s="44">
        <f t="shared" si="4"/>
        <v>25.2</v>
      </c>
      <c r="L7" s="72">
        <f t="shared" si="5"/>
        <v>25.2</v>
      </c>
      <c r="M7" s="16" t="str">
        <f t="shared" si="6"/>
        <v/>
      </c>
      <c r="Q7" t="s">
        <v>34</v>
      </c>
      <c r="R7">
        <v>1.9139999999999999</v>
      </c>
      <c r="S7" s="8">
        <v>0.7</v>
      </c>
      <c r="T7">
        <f>S7*R7</f>
        <v>1.3397999999999999</v>
      </c>
    </row>
    <row r="8" spans="3:20">
      <c r="C8" s="15" t="s">
        <v>28</v>
      </c>
      <c r="D8" s="11"/>
      <c r="E8" s="62" t="str">
        <f t="shared" si="2"/>
        <v/>
      </c>
      <c r="F8" s="11">
        <v>8.85</v>
      </c>
      <c r="G8" s="62">
        <f t="shared" si="3"/>
        <v>8.400569530137636E-2</v>
      </c>
      <c r="H8" s="12">
        <f t="shared" si="0"/>
        <v>8.85</v>
      </c>
      <c r="I8" s="35" t="str">
        <f t="shared" si="1"/>
        <v/>
      </c>
      <c r="J8" s="88">
        <v>8.400569530137636E-2</v>
      </c>
      <c r="K8" s="44">
        <f t="shared" si="4"/>
        <v>8.85</v>
      </c>
      <c r="L8" s="72">
        <f t="shared" si="5"/>
        <v>8.85</v>
      </c>
      <c r="M8" s="16" t="str">
        <f t="shared" si="6"/>
        <v/>
      </c>
    </row>
    <row r="9" spans="3:20">
      <c r="C9" s="15" t="s">
        <v>3</v>
      </c>
      <c r="D9" s="11"/>
      <c r="E9" s="62" t="str">
        <f t="shared" si="2"/>
        <v/>
      </c>
      <c r="F9" s="11">
        <v>25.5</v>
      </c>
      <c r="G9" s="62">
        <f t="shared" si="3"/>
        <v>0.24205030849549122</v>
      </c>
      <c r="H9" s="12">
        <f t="shared" si="0"/>
        <v>25.5</v>
      </c>
      <c r="I9" s="35" t="str">
        <f t="shared" si="1"/>
        <v/>
      </c>
      <c r="J9" s="88">
        <v>0.24205030849549122</v>
      </c>
      <c r="K9" s="44">
        <f t="shared" si="4"/>
        <v>25.5</v>
      </c>
      <c r="L9" s="72">
        <f t="shared" si="5"/>
        <v>25.5</v>
      </c>
      <c r="M9" s="16" t="str">
        <f t="shared" si="6"/>
        <v/>
      </c>
    </row>
    <row r="10" spans="3:20" ht="14.4" thickBot="1">
      <c r="C10" s="17" t="s">
        <v>39</v>
      </c>
      <c r="D10" s="61">
        <f>SUM(D4,D5,D6,D7,D8,D9)</f>
        <v>0</v>
      </c>
      <c r="E10" s="64" t="str">
        <f>IFERROR(D10/$D$20,"")</f>
        <v/>
      </c>
      <c r="F10" s="28">
        <f>SUM(F4,F5,F6,F7,F8,F9)</f>
        <v>105.35</v>
      </c>
      <c r="G10" s="64">
        <f t="shared" si="3"/>
        <v>1</v>
      </c>
      <c r="H10" s="18">
        <f t="shared" si="0"/>
        <v>105.35</v>
      </c>
      <c r="I10" s="36" t="str">
        <f t="shared" si="1"/>
        <v/>
      </c>
      <c r="J10" s="84">
        <v>1</v>
      </c>
      <c r="K10" s="45">
        <f>SUM(K4:K9)</f>
        <v>105.35</v>
      </c>
      <c r="L10" s="87">
        <f>K10-D10</f>
        <v>105.35</v>
      </c>
      <c r="M10" s="55" t="str">
        <f>IFERROR(L10/D10,"")</f>
        <v/>
      </c>
    </row>
    <row r="11" spans="3:20" ht="14.4" thickBot="1">
      <c r="E11" s="8"/>
      <c r="F11" s="3"/>
      <c r="G11" s="65"/>
      <c r="J11" s="9"/>
      <c r="L11" s="3"/>
      <c r="M11" s="8"/>
    </row>
    <row r="12" spans="3:20" ht="15" customHeight="1" thickBot="1">
      <c r="C12" s="29" t="s">
        <v>26</v>
      </c>
      <c r="D12" s="30"/>
      <c r="E12" s="68" t="str">
        <f>IFERROR(D12/$D$20,"")</f>
        <v/>
      </c>
      <c r="F12" s="31"/>
      <c r="G12" s="66">
        <f t="shared" si="3"/>
        <v>0</v>
      </c>
      <c r="H12" s="32">
        <f>F12-D12</f>
        <v>0</v>
      </c>
      <c r="I12" s="42" t="str">
        <f>IFERROR(H12/D12,"")</f>
        <v/>
      </c>
      <c r="J12" s="81">
        <v>0</v>
      </c>
      <c r="K12" s="50"/>
      <c r="L12" s="51">
        <f t="shared" ref="L12" si="7">K12-D12</f>
        <v>0</v>
      </c>
      <c r="M12" s="60" t="str">
        <f t="shared" ref="M12" si="8">IFERROR(L12/D12,"")</f>
        <v/>
      </c>
    </row>
    <row r="13" spans="3:20" ht="15" customHeight="1" thickBot="1">
      <c r="E13" s="8"/>
      <c r="F13" s="3"/>
      <c r="G13" s="65"/>
      <c r="J13" s="9"/>
      <c r="L13" s="3"/>
      <c r="M13" s="8"/>
    </row>
    <row r="14" spans="3:20">
      <c r="C14" s="14" t="s">
        <v>41</v>
      </c>
      <c r="D14" s="24"/>
      <c r="E14" s="69" t="str">
        <f t="shared" ref="E14:E18" si="9">IFERROR(D14/$D$20,"")</f>
        <v/>
      </c>
      <c r="F14" s="25"/>
      <c r="G14" s="67">
        <f t="shared" si="3"/>
        <v>0</v>
      </c>
      <c r="H14" s="26">
        <f t="shared" ref="H14:H18" si="10">F14-D14</f>
        <v>0</v>
      </c>
      <c r="I14" s="52" t="str">
        <f t="shared" ref="I14:I18" si="11">IFERROR(H14/D14,"")</f>
        <v/>
      </c>
      <c r="J14" s="82">
        <v>0</v>
      </c>
      <c r="K14" s="94">
        <f t="shared" ref="K14:K17" si="12">SUM(F14,J14)</f>
        <v>0</v>
      </c>
      <c r="L14" s="90">
        <f t="shared" ref="L14:L18" si="13">K14-D14</f>
        <v>0</v>
      </c>
      <c r="M14" s="56" t="str">
        <f t="shared" ref="M14:M18" si="14">IFERROR(L14/D14,"")</f>
        <v/>
      </c>
    </row>
    <row r="15" spans="3:20">
      <c r="C15" s="15" t="s">
        <v>32</v>
      </c>
      <c r="D15" s="10"/>
      <c r="E15" s="63" t="str">
        <f t="shared" si="9"/>
        <v/>
      </c>
      <c r="F15" s="11"/>
      <c r="G15" s="62">
        <f t="shared" si="3"/>
        <v>0</v>
      </c>
      <c r="H15" s="12">
        <f t="shared" si="10"/>
        <v>0</v>
      </c>
      <c r="I15" s="35" t="str">
        <f t="shared" si="11"/>
        <v/>
      </c>
      <c r="J15" s="83">
        <v>0</v>
      </c>
      <c r="K15" s="44">
        <f t="shared" si="12"/>
        <v>0</v>
      </c>
      <c r="L15" s="72">
        <f t="shared" si="13"/>
        <v>0</v>
      </c>
      <c r="M15" s="57" t="str">
        <f t="shared" si="14"/>
        <v/>
      </c>
    </row>
    <row r="16" spans="3:20">
      <c r="C16" s="15" t="s">
        <v>33</v>
      </c>
      <c r="D16" s="10"/>
      <c r="E16" s="63" t="str">
        <f t="shared" si="9"/>
        <v/>
      </c>
      <c r="F16" s="11"/>
      <c r="G16" s="62">
        <f t="shared" si="3"/>
        <v>0</v>
      </c>
      <c r="H16" s="12">
        <f t="shared" si="10"/>
        <v>0</v>
      </c>
      <c r="I16" s="35" t="str">
        <f t="shared" si="11"/>
        <v/>
      </c>
      <c r="J16" s="83">
        <v>0</v>
      </c>
      <c r="K16" s="44">
        <f t="shared" si="12"/>
        <v>0</v>
      </c>
      <c r="L16" s="72">
        <f t="shared" si="13"/>
        <v>0</v>
      </c>
      <c r="M16" s="57" t="str">
        <f t="shared" si="14"/>
        <v/>
      </c>
    </row>
    <row r="17" spans="3:13">
      <c r="C17" s="15" t="s">
        <v>34</v>
      </c>
      <c r="D17" s="10"/>
      <c r="E17" s="63" t="str">
        <f t="shared" si="9"/>
        <v/>
      </c>
      <c r="F17" s="11"/>
      <c r="G17" s="62">
        <f t="shared" si="3"/>
        <v>0</v>
      </c>
      <c r="H17" s="12">
        <f t="shared" si="10"/>
        <v>0</v>
      </c>
      <c r="I17" s="35" t="str">
        <f t="shared" si="11"/>
        <v/>
      </c>
      <c r="J17" s="83">
        <v>0</v>
      </c>
      <c r="K17" s="44">
        <f t="shared" si="12"/>
        <v>0</v>
      </c>
      <c r="L17" s="72">
        <f t="shared" si="13"/>
        <v>0</v>
      </c>
      <c r="M17" s="57" t="str">
        <f t="shared" si="14"/>
        <v/>
      </c>
    </row>
    <row r="18" spans="3:13" ht="14.4" thickBot="1">
      <c r="C18" s="17" t="s">
        <v>40</v>
      </c>
      <c r="D18" s="28">
        <f>SUM(D14:D17)</f>
        <v>0</v>
      </c>
      <c r="E18" s="64" t="str">
        <f t="shared" si="9"/>
        <v/>
      </c>
      <c r="F18" s="28">
        <f>SUM(F14:F17)</f>
        <v>0</v>
      </c>
      <c r="G18" s="64">
        <f t="shared" si="3"/>
        <v>0</v>
      </c>
      <c r="H18" s="18">
        <f t="shared" si="10"/>
        <v>0</v>
      </c>
      <c r="I18" s="36" t="str">
        <f t="shared" si="11"/>
        <v/>
      </c>
      <c r="J18" s="84">
        <v>0</v>
      </c>
      <c r="K18" s="45">
        <f t="shared" ref="K18" si="15">SUM(K14:K17)</f>
        <v>0</v>
      </c>
      <c r="L18" s="87">
        <f t="shared" si="13"/>
        <v>0</v>
      </c>
      <c r="M18" s="58" t="str">
        <f t="shared" si="14"/>
        <v/>
      </c>
    </row>
    <row r="19" spans="3:13" ht="14.4" thickBot="1">
      <c r="E19" s="8"/>
      <c r="F19" s="3"/>
      <c r="G19" s="65"/>
      <c r="J19" s="9"/>
      <c r="L19" s="3"/>
      <c r="M19" s="8"/>
    </row>
    <row r="20" spans="3:13" ht="14.4" thickBot="1">
      <c r="C20" s="29" t="s">
        <v>35</v>
      </c>
      <c r="D20" s="31">
        <f>SUM(D10,D12,D18)</f>
        <v>0</v>
      </c>
      <c r="E20" s="66" t="str">
        <f>IFERROR(D20/$D$20,"")</f>
        <v/>
      </c>
      <c r="F20" s="31">
        <f>SUM(F10,F12,F18)</f>
        <v>105.35</v>
      </c>
      <c r="G20" s="66">
        <f t="shared" si="3"/>
        <v>1</v>
      </c>
      <c r="H20" s="32">
        <f t="shared" ref="H20" si="16">F20-D20</f>
        <v>105.35</v>
      </c>
      <c r="I20" s="42" t="str">
        <f t="shared" ref="I20" si="17">IFERROR(H20/D20,"")</f>
        <v/>
      </c>
      <c r="J20" s="81">
        <v>1</v>
      </c>
      <c r="K20" s="54">
        <f t="shared" ref="K20" si="18">SUM(F20,J20)</f>
        <v>106.35</v>
      </c>
      <c r="L20" s="53">
        <f t="shared" ref="L20" si="19">K20-D20</f>
        <v>106.35</v>
      </c>
      <c r="M20" s="59" t="str">
        <f t="shared" ref="M20" si="20">IFERROR(L20/D20,"")</f>
        <v/>
      </c>
    </row>
    <row r="21" spans="3:13">
      <c r="E21" s="8"/>
    </row>
    <row r="22" spans="3:13">
      <c r="C22" s="105" t="s">
        <v>16</v>
      </c>
      <c r="D22" s="1"/>
      <c r="E22" s="1"/>
      <c r="F22" s="1">
        <v>93.183252590809914</v>
      </c>
      <c r="G22" s="6"/>
    </row>
    <row r="23" spans="3:13">
      <c r="C23" s="105" t="s">
        <v>19</v>
      </c>
      <c r="D23" s="1"/>
      <c r="E23" s="1"/>
      <c r="F23" s="6">
        <v>23</v>
      </c>
      <c r="G23" s="6"/>
    </row>
    <row r="24" spans="3:13">
      <c r="C24" s="105" t="s">
        <v>20</v>
      </c>
      <c r="F24" s="1">
        <v>5</v>
      </c>
      <c r="J24" s="2"/>
    </row>
    <row r="25" spans="3:13">
      <c r="F25" s="2"/>
      <c r="G25" s="2"/>
    </row>
    <row r="26" spans="3:13">
      <c r="C26" s="105" t="s">
        <v>76</v>
      </c>
      <c r="F26" s="1">
        <f>SUM(F20:F24)</f>
        <v>226.53325259080992</v>
      </c>
      <c r="G26" s="2"/>
    </row>
    <row r="28" spans="3:13">
      <c r="F28" s="6">
        <f>F26+'Xerava A&amp;P'!F28+'Nefecon A&amp;P'!F28</f>
        <v>1301.0475297943312</v>
      </c>
    </row>
  </sheetData>
  <mergeCells count="1">
    <mergeCell ref="J2:M2"/>
  </mergeCells>
  <phoneticPr fontId="8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1CE94-A6FA-4038-8F6D-E5AFE0127E9E}">
  <dimension ref="A1:AL235"/>
  <sheetViews>
    <sheetView topLeftCell="R97" zoomScale="70" zoomScaleNormal="70" workbookViewId="0">
      <selection activeCell="B10" activeCellId="1" sqref="B4:D15 B4:D15"/>
    </sheetView>
  </sheetViews>
  <sheetFormatPr defaultRowHeight="13.8"/>
  <cols>
    <col min="16" max="16" width="17.21875" customWidth="1"/>
    <col min="18" max="18" width="23.109375" customWidth="1"/>
    <col min="19" max="19" width="35" customWidth="1"/>
    <col min="20" max="29" width="11.109375" bestFit="1" customWidth="1"/>
    <col min="30" max="30" width="12.5546875" bestFit="1" customWidth="1"/>
    <col min="31" max="31" width="11.109375" bestFit="1" customWidth="1"/>
    <col min="32" max="32" width="13.77734375" style="1" bestFit="1" customWidth="1"/>
    <col min="33" max="33" width="10.109375" bestFit="1" customWidth="1"/>
    <col min="34" max="36" width="11.77734375" bestFit="1" customWidth="1"/>
    <col min="37" max="38" width="13.6640625" bestFit="1" customWidth="1"/>
  </cols>
  <sheetData>
    <row r="1" spans="1:38" ht="14.4" thickBot="1"/>
    <row r="2" spans="1:38" ht="15" thickBot="1">
      <c r="A2" s="190" t="s">
        <v>140</v>
      </c>
      <c r="B2" s="190" t="s">
        <v>141</v>
      </c>
      <c r="C2" s="190" t="s">
        <v>142</v>
      </c>
      <c r="D2" s="190" t="s">
        <v>143</v>
      </c>
      <c r="E2" s="190" t="s">
        <v>144</v>
      </c>
      <c r="F2" s="190" t="s">
        <v>145</v>
      </c>
      <c r="G2" s="190" t="s">
        <v>146</v>
      </c>
      <c r="H2" s="190" t="s">
        <v>147</v>
      </c>
      <c r="I2" s="190" t="s">
        <v>148</v>
      </c>
      <c r="J2" s="190" t="s">
        <v>149</v>
      </c>
      <c r="K2" s="190" t="s">
        <v>150</v>
      </c>
      <c r="L2" s="190" t="s">
        <v>151</v>
      </c>
      <c r="M2" s="190" t="s">
        <v>152</v>
      </c>
      <c r="N2" s="190" t="s">
        <v>153</v>
      </c>
      <c r="O2" s="190" t="s">
        <v>154</v>
      </c>
      <c r="P2" s="190" t="s">
        <v>155</v>
      </c>
      <c r="Q2" s="190" t="s">
        <v>156</v>
      </c>
      <c r="R2" s="191" t="s">
        <v>157</v>
      </c>
      <c r="S2" s="192" t="s">
        <v>158</v>
      </c>
      <c r="T2" s="193" t="s">
        <v>159</v>
      </c>
      <c r="U2" s="193" t="s">
        <v>160</v>
      </c>
      <c r="V2" s="193" t="s">
        <v>102</v>
      </c>
      <c r="W2" s="193" t="s">
        <v>104</v>
      </c>
      <c r="X2" s="193" t="s">
        <v>105</v>
      </c>
      <c r="Y2" s="193" t="s">
        <v>106</v>
      </c>
      <c r="Z2" s="193" t="s">
        <v>107</v>
      </c>
      <c r="AA2" s="193" t="s">
        <v>108</v>
      </c>
      <c r="AB2" s="193" t="s">
        <v>109</v>
      </c>
      <c r="AC2" s="193" t="s">
        <v>110</v>
      </c>
      <c r="AD2" s="193" t="s">
        <v>111</v>
      </c>
      <c r="AE2" s="194" t="s">
        <v>112</v>
      </c>
      <c r="AF2" s="195" t="s">
        <v>161</v>
      </c>
      <c r="AG2" s="196" t="s">
        <v>162</v>
      </c>
      <c r="AH2" s="196" t="s">
        <v>163</v>
      </c>
      <c r="AI2" s="196" t="s">
        <v>164</v>
      </c>
      <c r="AJ2" s="196" t="s">
        <v>165</v>
      </c>
      <c r="AK2" s="196" t="s">
        <v>166</v>
      </c>
      <c r="AL2" s="197" t="s">
        <v>167</v>
      </c>
    </row>
    <row r="3" spans="1:38">
      <c r="A3" s="198" t="s">
        <v>199</v>
      </c>
      <c r="B3" s="199" t="s">
        <v>168</v>
      </c>
      <c r="C3" s="200" t="s">
        <v>200</v>
      </c>
      <c r="D3" s="200" t="s">
        <v>201</v>
      </c>
      <c r="E3" s="199" t="s">
        <v>96</v>
      </c>
      <c r="F3" s="201">
        <v>2026</v>
      </c>
      <c r="G3" s="201" t="s">
        <v>202</v>
      </c>
      <c r="H3" s="202" t="s">
        <v>203</v>
      </c>
      <c r="I3" s="202" t="s">
        <v>204</v>
      </c>
      <c r="J3" s="202" t="s">
        <v>205</v>
      </c>
      <c r="K3" s="202" t="s">
        <v>206</v>
      </c>
      <c r="L3" s="202" t="s">
        <v>206</v>
      </c>
      <c r="M3" s="202" t="s">
        <v>168</v>
      </c>
      <c r="N3" s="203" t="s">
        <v>169</v>
      </c>
      <c r="O3" s="203" t="s">
        <v>170</v>
      </c>
      <c r="P3" s="199" t="s">
        <v>207</v>
      </c>
      <c r="Q3" s="204" t="s">
        <v>208</v>
      </c>
      <c r="R3" s="205" t="s">
        <v>209</v>
      </c>
      <c r="S3" s="206" t="s">
        <v>171</v>
      </c>
      <c r="T3" s="207"/>
      <c r="U3" s="207"/>
      <c r="V3" s="207">
        <v>1500000</v>
      </c>
      <c r="W3" s="207"/>
      <c r="X3" s="207"/>
      <c r="Y3" s="207">
        <v>1500000</v>
      </c>
      <c r="Z3" s="207"/>
      <c r="AA3" s="207"/>
      <c r="AB3" s="207">
        <v>2000000</v>
      </c>
      <c r="AC3" s="207"/>
      <c r="AD3" s="208">
        <v>500000</v>
      </c>
      <c r="AE3" s="209"/>
      <c r="AF3" s="223">
        <v>5500000</v>
      </c>
      <c r="AG3" s="211">
        <v>1500000</v>
      </c>
      <c r="AH3" s="212">
        <v>1500000</v>
      </c>
      <c r="AI3" s="212">
        <v>2000000</v>
      </c>
      <c r="AJ3" s="212">
        <v>500000</v>
      </c>
      <c r="AK3" s="211">
        <v>3000000</v>
      </c>
      <c r="AL3" s="213">
        <v>2500000</v>
      </c>
    </row>
    <row r="4" spans="1:38" ht="14.4">
      <c r="A4" s="198" t="s">
        <v>199</v>
      </c>
      <c r="B4" s="199" t="s">
        <v>168</v>
      </c>
      <c r="C4" s="200" t="s">
        <v>200</v>
      </c>
      <c r="D4" s="200" t="s">
        <v>201</v>
      </c>
      <c r="E4" s="199" t="s">
        <v>96</v>
      </c>
      <c r="F4" s="201">
        <v>2026</v>
      </c>
      <c r="G4" s="201" t="s">
        <v>202</v>
      </c>
      <c r="H4" s="202" t="s">
        <v>203</v>
      </c>
      <c r="I4" s="202" t="s">
        <v>204</v>
      </c>
      <c r="J4" s="202" t="s">
        <v>205</v>
      </c>
      <c r="K4" s="202" t="s">
        <v>206</v>
      </c>
      <c r="L4" s="202" t="s">
        <v>206</v>
      </c>
      <c r="M4" s="202" t="s">
        <v>168</v>
      </c>
      <c r="N4" s="203" t="s">
        <v>172</v>
      </c>
      <c r="O4" s="203" t="s">
        <v>170</v>
      </c>
      <c r="P4" s="199" t="s">
        <v>210</v>
      </c>
      <c r="Q4" s="204" t="s">
        <v>211</v>
      </c>
      <c r="R4" s="205" t="s">
        <v>212</v>
      </c>
      <c r="S4" s="214" t="s">
        <v>213</v>
      </c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8">
        <v>1000000</v>
      </c>
      <c r="AE4" s="209"/>
      <c r="AF4" s="223">
        <v>1000000</v>
      </c>
      <c r="AG4" s="215"/>
      <c r="AH4" s="216"/>
      <c r="AI4" s="216"/>
      <c r="AJ4" s="216"/>
      <c r="AK4" s="215"/>
      <c r="AL4" s="217"/>
    </row>
    <row r="5" spans="1:38">
      <c r="A5" s="198" t="s">
        <v>199</v>
      </c>
      <c r="B5" s="199" t="s">
        <v>168</v>
      </c>
      <c r="C5" s="200" t="s">
        <v>200</v>
      </c>
      <c r="D5" s="200" t="s">
        <v>201</v>
      </c>
      <c r="E5" s="199" t="s">
        <v>96</v>
      </c>
      <c r="F5" s="201">
        <v>2026</v>
      </c>
      <c r="G5" s="201" t="s">
        <v>202</v>
      </c>
      <c r="H5" s="202" t="s">
        <v>203</v>
      </c>
      <c r="I5" s="202" t="s">
        <v>204</v>
      </c>
      <c r="J5" s="202" t="s">
        <v>205</v>
      </c>
      <c r="K5" s="202" t="s">
        <v>206</v>
      </c>
      <c r="L5" s="202" t="s">
        <v>206</v>
      </c>
      <c r="M5" s="202" t="s">
        <v>168</v>
      </c>
      <c r="N5" s="203" t="s">
        <v>172</v>
      </c>
      <c r="O5" s="203" t="s">
        <v>170</v>
      </c>
      <c r="P5" s="199" t="s">
        <v>210</v>
      </c>
      <c r="Q5" s="204" t="s">
        <v>173</v>
      </c>
      <c r="R5" s="205" t="s">
        <v>214</v>
      </c>
      <c r="S5" s="206" t="s">
        <v>174</v>
      </c>
      <c r="T5" s="207"/>
      <c r="U5" s="207"/>
      <c r="V5" s="207">
        <v>3500000</v>
      </c>
      <c r="W5" s="207"/>
      <c r="X5" s="207"/>
      <c r="Y5" s="207">
        <v>2000000</v>
      </c>
      <c r="Z5" s="207"/>
      <c r="AA5" s="207"/>
      <c r="AB5" s="207">
        <v>1000000</v>
      </c>
      <c r="AC5" s="207"/>
      <c r="AD5" s="208">
        <v>500000</v>
      </c>
      <c r="AE5" s="209"/>
      <c r="AF5" s="223">
        <v>7000000</v>
      </c>
      <c r="AG5" s="218">
        <v>3500000</v>
      </c>
      <c r="AH5" s="219">
        <v>2000000</v>
      </c>
      <c r="AI5" s="219">
        <v>1000000</v>
      </c>
      <c r="AJ5" s="219">
        <v>500000</v>
      </c>
      <c r="AK5" s="218">
        <v>5500000</v>
      </c>
      <c r="AL5" s="220">
        <v>1500000</v>
      </c>
    </row>
    <row r="6" spans="1:38">
      <c r="A6" s="198" t="s">
        <v>199</v>
      </c>
      <c r="B6" s="199" t="s">
        <v>168</v>
      </c>
      <c r="C6" s="200" t="s">
        <v>200</v>
      </c>
      <c r="D6" s="200" t="s">
        <v>201</v>
      </c>
      <c r="E6" s="199" t="s">
        <v>96</v>
      </c>
      <c r="F6" s="201">
        <v>2026</v>
      </c>
      <c r="G6" s="201" t="s">
        <v>202</v>
      </c>
      <c r="H6" s="202" t="s">
        <v>203</v>
      </c>
      <c r="I6" s="202" t="s">
        <v>204</v>
      </c>
      <c r="J6" s="202" t="s">
        <v>205</v>
      </c>
      <c r="K6" s="202" t="s">
        <v>206</v>
      </c>
      <c r="L6" s="202" t="s">
        <v>206</v>
      </c>
      <c r="M6" s="202" t="s">
        <v>168</v>
      </c>
      <c r="N6" s="203" t="s">
        <v>172</v>
      </c>
      <c r="O6" s="203" t="s">
        <v>170</v>
      </c>
      <c r="P6" s="199" t="s">
        <v>210</v>
      </c>
      <c r="Q6" s="204" t="s">
        <v>175</v>
      </c>
      <c r="R6" s="205" t="s">
        <v>215</v>
      </c>
      <c r="S6" s="206" t="s">
        <v>176</v>
      </c>
      <c r="T6" s="207"/>
      <c r="U6" s="207"/>
      <c r="V6" s="207">
        <v>1000000</v>
      </c>
      <c r="W6" s="207"/>
      <c r="X6" s="207"/>
      <c r="Y6" s="207">
        <v>1000000</v>
      </c>
      <c r="Z6" s="207"/>
      <c r="AA6" s="207"/>
      <c r="AB6" s="207">
        <v>1000000</v>
      </c>
      <c r="AC6" s="207"/>
      <c r="AD6" s="208">
        <v>1000000</v>
      </c>
      <c r="AE6" s="209"/>
      <c r="AF6" s="223">
        <v>4000000</v>
      </c>
      <c r="AG6" s="218">
        <v>1000000</v>
      </c>
      <c r="AH6" s="219">
        <v>1000000</v>
      </c>
      <c r="AI6" s="219">
        <v>1000000</v>
      </c>
      <c r="AJ6" s="219">
        <v>1000000</v>
      </c>
      <c r="AK6" s="218">
        <v>2000000</v>
      </c>
      <c r="AL6" s="220">
        <v>2000000</v>
      </c>
    </row>
    <row r="7" spans="1:38">
      <c r="A7" s="198" t="s">
        <v>199</v>
      </c>
      <c r="B7" s="199" t="s">
        <v>168</v>
      </c>
      <c r="C7" s="200" t="s">
        <v>200</v>
      </c>
      <c r="D7" s="200" t="s">
        <v>201</v>
      </c>
      <c r="E7" s="199" t="s">
        <v>96</v>
      </c>
      <c r="F7" s="201">
        <v>2026</v>
      </c>
      <c r="G7" s="201" t="s">
        <v>202</v>
      </c>
      <c r="H7" s="202" t="s">
        <v>203</v>
      </c>
      <c r="I7" s="202" t="s">
        <v>204</v>
      </c>
      <c r="J7" s="202" t="s">
        <v>205</v>
      </c>
      <c r="K7" s="202" t="s">
        <v>206</v>
      </c>
      <c r="L7" s="202" t="s">
        <v>206</v>
      </c>
      <c r="M7" s="202" t="s">
        <v>168</v>
      </c>
      <c r="N7" s="203" t="s">
        <v>172</v>
      </c>
      <c r="O7" s="203" t="s">
        <v>170</v>
      </c>
      <c r="P7" s="199" t="s">
        <v>210</v>
      </c>
      <c r="Q7" s="204" t="s">
        <v>177</v>
      </c>
      <c r="R7" s="205" t="s">
        <v>216</v>
      </c>
      <c r="S7" s="221" t="s">
        <v>217</v>
      </c>
      <c r="T7" s="207"/>
      <c r="U7" s="207">
        <v>500000</v>
      </c>
      <c r="V7" s="207"/>
      <c r="W7" s="207"/>
      <c r="X7" s="207"/>
      <c r="Y7" s="207"/>
      <c r="Z7" s="207"/>
      <c r="AA7" s="207">
        <v>500000</v>
      </c>
      <c r="AB7" s="207"/>
      <c r="AC7" s="207"/>
      <c r="AD7" s="208"/>
      <c r="AE7" s="209"/>
      <c r="AF7" s="223">
        <v>1000000</v>
      </c>
      <c r="AG7" s="218"/>
      <c r="AH7" s="219"/>
      <c r="AI7" s="219"/>
      <c r="AJ7" s="219"/>
      <c r="AK7" s="218"/>
      <c r="AL7" s="220"/>
    </row>
    <row r="8" spans="1:38" ht="14.4">
      <c r="A8" s="198" t="s">
        <v>199</v>
      </c>
      <c r="B8" s="199" t="s">
        <v>168</v>
      </c>
      <c r="C8" s="200" t="s">
        <v>200</v>
      </c>
      <c r="D8" s="200" t="s">
        <v>201</v>
      </c>
      <c r="E8" s="199" t="s">
        <v>96</v>
      </c>
      <c r="F8" s="201">
        <v>2026</v>
      </c>
      <c r="G8" s="201" t="s">
        <v>202</v>
      </c>
      <c r="H8" s="202" t="s">
        <v>203</v>
      </c>
      <c r="I8" s="202" t="s">
        <v>204</v>
      </c>
      <c r="J8" s="202" t="s">
        <v>205</v>
      </c>
      <c r="K8" s="202" t="s">
        <v>206</v>
      </c>
      <c r="L8" s="202" t="s">
        <v>206</v>
      </c>
      <c r="M8" s="202" t="s">
        <v>168</v>
      </c>
      <c r="N8" s="203" t="s">
        <v>172</v>
      </c>
      <c r="O8" s="203" t="s">
        <v>170</v>
      </c>
      <c r="P8" s="199" t="s">
        <v>210</v>
      </c>
      <c r="Q8" s="204" t="s">
        <v>178</v>
      </c>
      <c r="R8" s="205" t="s">
        <v>218</v>
      </c>
      <c r="S8" s="214" t="s">
        <v>219</v>
      </c>
      <c r="T8" s="207"/>
      <c r="U8" s="207"/>
      <c r="V8" s="207"/>
      <c r="W8" s="207"/>
      <c r="X8" s="207"/>
      <c r="Y8" s="207"/>
      <c r="Z8" s="207">
        <v>500000</v>
      </c>
      <c r="AA8" s="207"/>
      <c r="AB8" s="207"/>
      <c r="AC8" s="207"/>
      <c r="AD8" s="208"/>
      <c r="AE8" s="209"/>
      <c r="AF8" s="223">
        <v>500000</v>
      </c>
      <c r="AG8" s="218"/>
      <c r="AH8" s="219"/>
      <c r="AI8" s="219"/>
      <c r="AJ8" s="219"/>
      <c r="AK8" s="218"/>
      <c r="AL8" s="220"/>
    </row>
    <row r="9" spans="1:38">
      <c r="A9" s="198" t="s">
        <v>199</v>
      </c>
      <c r="B9" s="199" t="s">
        <v>168</v>
      </c>
      <c r="C9" s="200" t="s">
        <v>200</v>
      </c>
      <c r="D9" s="200" t="s">
        <v>201</v>
      </c>
      <c r="E9" s="199" t="s">
        <v>96</v>
      </c>
      <c r="F9" s="201">
        <v>2026</v>
      </c>
      <c r="G9" s="201" t="s">
        <v>202</v>
      </c>
      <c r="H9" s="202" t="s">
        <v>203</v>
      </c>
      <c r="I9" s="202" t="s">
        <v>204</v>
      </c>
      <c r="J9" s="202" t="s">
        <v>205</v>
      </c>
      <c r="K9" s="202" t="s">
        <v>206</v>
      </c>
      <c r="L9" s="202" t="s">
        <v>206</v>
      </c>
      <c r="M9" s="202" t="s">
        <v>168</v>
      </c>
      <c r="N9" s="203" t="s">
        <v>172</v>
      </c>
      <c r="O9" s="203" t="s">
        <v>179</v>
      </c>
      <c r="P9" s="199" t="s">
        <v>220</v>
      </c>
      <c r="Q9" s="204" t="s">
        <v>180</v>
      </c>
      <c r="R9" s="205" t="s">
        <v>221</v>
      </c>
      <c r="S9" s="206" t="s">
        <v>181</v>
      </c>
      <c r="T9" s="207"/>
      <c r="U9" s="207"/>
      <c r="V9" s="207">
        <v>1500000</v>
      </c>
      <c r="W9" s="207"/>
      <c r="X9" s="207"/>
      <c r="Y9" s="207"/>
      <c r="Z9" s="207"/>
      <c r="AA9" s="207"/>
      <c r="AB9" s="207"/>
      <c r="AC9" s="207"/>
      <c r="AD9" s="207"/>
      <c r="AE9" s="208"/>
      <c r="AF9" s="223">
        <v>1500000</v>
      </c>
      <c r="AG9" s="218">
        <v>1500000</v>
      </c>
      <c r="AH9" s="219">
        <v>0</v>
      </c>
      <c r="AI9" s="219">
        <v>0</v>
      </c>
      <c r="AJ9" s="219">
        <v>0</v>
      </c>
      <c r="AK9" s="218">
        <v>1500000</v>
      </c>
      <c r="AL9" s="220">
        <v>0</v>
      </c>
    </row>
    <row r="10" spans="1:38">
      <c r="A10" s="198" t="s">
        <v>199</v>
      </c>
      <c r="B10" s="199" t="s">
        <v>168</v>
      </c>
      <c r="C10" s="200" t="s">
        <v>200</v>
      </c>
      <c r="D10" s="200" t="s">
        <v>201</v>
      </c>
      <c r="E10" s="199" t="s">
        <v>96</v>
      </c>
      <c r="F10" s="201">
        <v>2026</v>
      </c>
      <c r="G10" s="201" t="s">
        <v>202</v>
      </c>
      <c r="H10" s="202" t="s">
        <v>203</v>
      </c>
      <c r="I10" s="202" t="s">
        <v>204</v>
      </c>
      <c r="J10" s="202" t="s">
        <v>205</v>
      </c>
      <c r="K10" s="202" t="s">
        <v>206</v>
      </c>
      <c r="L10" s="202" t="s">
        <v>206</v>
      </c>
      <c r="M10" s="202" t="s">
        <v>168</v>
      </c>
      <c r="N10" s="203" t="s">
        <v>172</v>
      </c>
      <c r="O10" s="203" t="s">
        <v>182</v>
      </c>
      <c r="P10" s="199" t="s">
        <v>222</v>
      </c>
      <c r="Q10" s="204" t="s">
        <v>183</v>
      </c>
      <c r="R10" s="205" t="s">
        <v>223</v>
      </c>
      <c r="S10" s="206" t="s">
        <v>184</v>
      </c>
      <c r="T10" s="207"/>
      <c r="U10" s="207"/>
      <c r="V10" s="207">
        <v>800000</v>
      </c>
      <c r="W10" s="207"/>
      <c r="X10" s="207">
        <v>1200000</v>
      </c>
      <c r="Y10" s="207"/>
      <c r="Z10" s="207"/>
      <c r="AA10" s="207"/>
      <c r="AB10" s="207"/>
      <c r="AC10" s="207"/>
      <c r="AD10" s="207">
        <v>1200000</v>
      </c>
      <c r="AE10" s="208"/>
      <c r="AF10" s="223">
        <v>3200000</v>
      </c>
      <c r="AG10" s="218">
        <v>800000</v>
      </c>
      <c r="AH10" s="219">
        <v>1200000</v>
      </c>
      <c r="AI10" s="219">
        <v>0</v>
      </c>
      <c r="AJ10" s="219">
        <v>1200000</v>
      </c>
      <c r="AK10" s="218">
        <v>2000000</v>
      </c>
      <c r="AL10" s="220">
        <v>1200000</v>
      </c>
    </row>
    <row r="11" spans="1:38">
      <c r="A11" s="198" t="s">
        <v>199</v>
      </c>
      <c r="B11" s="199" t="s">
        <v>168</v>
      </c>
      <c r="C11" s="200" t="s">
        <v>200</v>
      </c>
      <c r="D11" s="200" t="s">
        <v>201</v>
      </c>
      <c r="E11" s="199" t="s">
        <v>96</v>
      </c>
      <c r="F11" s="201">
        <v>2026</v>
      </c>
      <c r="G11" s="201" t="s">
        <v>202</v>
      </c>
      <c r="H11" s="202" t="s">
        <v>203</v>
      </c>
      <c r="I11" s="202" t="s">
        <v>204</v>
      </c>
      <c r="J11" s="202" t="s">
        <v>205</v>
      </c>
      <c r="K11" s="202" t="s">
        <v>206</v>
      </c>
      <c r="L11" s="202" t="s">
        <v>206</v>
      </c>
      <c r="M11" s="202" t="s">
        <v>168</v>
      </c>
      <c r="N11" s="203" t="s">
        <v>172</v>
      </c>
      <c r="O11" s="203" t="s">
        <v>182</v>
      </c>
      <c r="P11" s="199" t="s">
        <v>222</v>
      </c>
      <c r="Q11" s="204" t="s">
        <v>185</v>
      </c>
      <c r="R11" s="205" t="s">
        <v>224</v>
      </c>
      <c r="S11" s="206" t="s">
        <v>186</v>
      </c>
      <c r="T11" s="207"/>
      <c r="U11" s="207"/>
      <c r="V11" s="207"/>
      <c r="W11" s="207">
        <v>300000</v>
      </c>
      <c r="X11" s="207">
        <v>300000</v>
      </c>
      <c r="Y11" s="207">
        <v>600000</v>
      </c>
      <c r="Z11" s="207">
        <v>300000</v>
      </c>
      <c r="AA11" s="207">
        <v>800000</v>
      </c>
      <c r="AB11" s="207">
        <v>300000</v>
      </c>
      <c r="AC11" s="207">
        <v>800000</v>
      </c>
      <c r="AD11" s="207">
        <v>300000</v>
      </c>
      <c r="AE11" s="208">
        <v>300000</v>
      </c>
      <c r="AF11" s="223">
        <v>4000000</v>
      </c>
      <c r="AG11" s="218">
        <v>0</v>
      </c>
      <c r="AH11" s="219">
        <v>1200000</v>
      </c>
      <c r="AI11" s="219">
        <v>1400000</v>
      </c>
      <c r="AJ11" s="219">
        <v>1400000</v>
      </c>
      <c r="AK11" s="218">
        <v>1200000</v>
      </c>
      <c r="AL11" s="220">
        <v>2800000</v>
      </c>
    </row>
    <row r="12" spans="1:38">
      <c r="A12" s="198" t="s">
        <v>199</v>
      </c>
      <c r="B12" s="199" t="s">
        <v>168</v>
      </c>
      <c r="C12" s="200" t="s">
        <v>200</v>
      </c>
      <c r="D12" s="200" t="s">
        <v>201</v>
      </c>
      <c r="E12" s="199" t="s">
        <v>96</v>
      </c>
      <c r="F12" s="201">
        <v>2026</v>
      </c>
      <c r="G12" s="201" t="s">
        <v>202</v>
      </c>
      <c r="H12" s="202" t="s">
        <v>203</v>
      </c>
      <c r="I12" s="202" t="s">
        <v>204</v>
      </c>
      <c r="J12" s="202" t="s">
        <v>205</v>
      </c>
      <c r="K12" s="202" t="s">
        <v>206</v>
      </c>
      <c r="L12" s="202" t="s">
        <v>206</v>
      </c>
      <c r="M12" s="202" t="s">
        <v>168</v>
      </c>
      <c r="N12" s="203" t="s">
        <v>172</v>
      </c>
      <c r="O12" s="203" t="s">
        <v>187</v>
      </c>
      <c r="P12" s="199" t="s">
        <v>225</v>
      </c>
      <c r="Q12" s="204" t="s">
        <v>188</v>
      </c>
      <c r="R12" s="205" t="s">
        <v>226</v>
      </c>
      <c r="S12" s="206" t="s">
        <v>189</v>
      </c>
      <c r="T12" s="207"/>
      <c r="U12" s="207">
        <v>500000</v>
      </c>
      <c r="V12" s="207"/>
      <c r="W12" s="207"/>
      <c r="X12" s="207">
        <v>500000</v>
      </c>
      <c r="Y12" s="207"/>
      <c r="Z12" s="207"/>
      <c r="AA12" s="207">
        <v>500000</v>
      </c>
      <c r="AB12" s="207"/>
      <c r="AC12" s="207"/>
      <c r="AD12" s="207">
        <v>500000</v>
      </c>
      <c r="AE12" s="208"/>
      <c r="AF12" s="223">
        <v>2000000</v>
      </c>
      <c r="AG12" s="218">
        <v>500000</v>
      </c>
      <c r="AH12" s="219">
        <v>500000</v>
      </c>
      <c r="AI12" s="219">
        <v>500000</v>
      </c>
      <c r="AJ12" s="219">
        <v>500000</v>
      </c>
      <c r="AK12" s="218">
        <v>1000000</v>
      </c>
      <c r="AL12" s="220">
        <v>1000000</v>
      </c>
    </row>
    <row r="13" spans="1:38">
      <c r="A13" s="198" t="s">
        <v>199</v>
      </c>
      <c r="B13" s="199" t="s">
        <v>168</v>
      </c>
      <c r="C13" s="200" t="s">
        <v>200</v>
      </c>
      <c r="D13" s="200" t="s">
        <v>201</v>
      </c>
      <c r="E13" s="199" t="s">
        <v>96</v>
      </c>
      <c r="F13" s="201">
        <v>2026</v>
      </c>
      <c r="G13" s="201" t="s">
        <v>202</v>
      </c>
      <c r="H13" s="202" t="s">
        <v>203</v>
      </c>
      <c r="I13" s="202" t="s">
        <v>204</v>
      </c>
      <c r="J13" s="202" t="s">
        <v>205</v>
      </c>
      <c r="K13" s="202" t="s">
        <v>206</v>
      </c>
      <c r="L13" s="202" t="s">
        <v>206</v>
      </c>
      <c r="M13" s="202" t="s">
        <v>168</v>
      </c>
      <c r="N13" s="203" t="s">
        <v>172</v>
      </c>
      <c r="O13" s="203" t="s">
        <v>190</v>
      </c>
      <c r="P13" s="199" t="s">
        <v>227</v>
      </c>
      <c r="Q13" s="204" t="s">
        <v>191</v>
      </c>
      <c r="R13" s="205" t="s">
        <v>228</v>
      </c>
      <c r="S13" s="206" t="s">
        <v>190</v>
      </c>
      <c r="T13" s="207">
        <v>500000</v>
      </c>
      <c r="U13" s="207"/>
      <c r="V13" s="207">
        <v>500000</v>
      </c>
      <c r="W13" s="207"/>
      <c r="X13" s="207">
        <v>500000</v>
      </c>
      <c r="Y13" s="207">
        <v>500000</v>
      </c>
      <c r="Z13" s="207">
        <v>500000</v>
      </c>
      <c r="AA13" s="207"/>
      <c r="AB13" s="207">
        <v>500000</v>
      </c>
      <c r="AC13" s="207"/>
      <c r="AD13" s="207">
        <v>500000</v>
      </c>
      <c r="AE13" s="208"/>
      <c r="AF13" s="223">
        <v>3500000</v>
      </c>
      <c r="AG13" s="218">
        <v>1000000</v>
      </c>
      <c r="AH13" s="219">
        <v>1000000</v>
      </c>
      <c r="AI13" s="219">
        <v>1000000</v>
      </c>
      <c r="AJ13" s="219">
        <v>500000</v>
      </c>
      <c r="AK13" s="218">
        <v>2000000</v>
      </c>
      <c r="AL13" s="220">
        <v>1500000</v>
      </c>
    </row>
    <row r="14" spans="1:38">
      <c r="A14" s="198" t="s">
        <v>199</v>
      </c>
      <c r="B14" s="199" t="s">
        <v>168</v>
      </c>
      <c r="C14" s="200" t="s">
        <v>200</v>
      </c>
      <c r="D14" s="200" t="s">
        <v>201</v>
      </c>
      <c r="E14" s="199" t="s">
        <v>96</v>
      </c>
      <c r="F14" s="201">
        <v>2026</v>
      </c>
      <c r="G14" s="201" t="s">
        <v>202</v>
      </c>
      <c r="H14" s="202" t="s">
        <v>203</v>
      </c>
      <c r="I14" s="202" t="s">
        <v>204</v>
      </c>
      <c r="J14" s="202" t="s">
        <v>205</v>
      </c>
      <c r="K14" s="202" t="s">
        <v>206</v>
      </c>
      <c r="L14" s="202" t="s">
        <v>206</v>
      </c>
      <c r="M14" s="202" t="s">
        <v>168</v>
      </c>
      <c r="N14" s="203" t="s">
        <v>172</v>
      </c>
      <c r="O14" s="203" t="s">
        <v>192</v>
      </c>
      <c r="P14" s="199" t="s">
        <v>229</v>
      </c>
      <c r="Q14" s="204" t="s">
        <v>193</v>
      </c>
      <c r="R14" s="205" t="s">
        <v>230</v>
      </c>
      <c r="S14" s="206" t="s">
        <v>192</v>
      </c>
      <c r="T14" s="207">
        <v>500000</v>
      </c>
      <c r="U14" s="207"/>
      <c r="V14" s="207"/>
      <c r="W14" s="207"/>
      <c r="X14" s="207"/>
      <c r="Y14" s="207"/>
      <c r="Z14" s="207"/>
      <c r="AA14" s="207">
        <v>500000</v>
      </c>
      <c r="AB14" s="207"/>
      <c r="AC14" s="207"/>
      <c r="AD14" s="207"/>
      <c r="AE14" s="208"/>
      <c r="AF14" s="223">
        <v>1000000</v>
      </c>
      <c r="AG14" s="218">
        <v>500000</v>
      </c>
      <c r="AH14" s="219">
        <v>0</v>
      </c>
      <c r="AI14" s="219">
        <v>500000</v>
      </c>
      <c r="AJ14" s="219">
        <v>0</v>
      </c>
      <c r="AK14" s="218">
        <v>500000</v>
      </c>
      <c r="AL14" s="220">
        <v>500000</v>
      </c>
    </row>
    <row r="15" spans="1:38">
      <c r="A15" s="198" t="s">
        <v>199</v>
      </c>
      <c r="B15" s="199" t="s">
        <v>168</v>
      </c>
      <c r="C15" s="200" t="s">
        <v>200</v>
      </c>
      <c r="D15" s="200" t="s">
        <v>201</v>
      </c>
      <c r="E15" s="199" t="s">
        <v>96</v>
      </c>
      <c r="F15" s="201">
        <v>2026</v>
      </c>
      <c r="G15" s="201" t="s">
        <v>202</v>
      </c>
      <c r="H15" s="202" t="s">
        <v>203</v>
      </c>
      <c r="I15" s="202" t="s">
        <v>204</v>
      </c>
      <c r="J15" s="202" t="s">
        <v>205</v>
      </c>
      <c r="K15" s="202" t="s">
        <v>206</v>
      </c>
      <c r="L15" s="202" t="s">
        <v>206</v>
      </c>
      <c r="M15" s="202" t="s">
        <v>168</v>
      </c>
      <c r="N15" s="203" t="s">
        <v>172</v>
      </c>
      <c r="O15" s="203" t="s">
        <v>194</v>
      </c>
      <c r="P15" s="199" t="s">
        <v>231</v>
      </c>
      <c r="Q15" s="204" t="s">
        <v>195</v>
      </c>
      <c r="R15" s="205" t="s">
        <v>232</v>
      </c>
      <c r="S15" s="206" t="s">
        <v>196</v>
      </c>
      <c r="T15" s="207"/>
      <c r="U15" s="207"/>
      <c r="V15" s="207"/>
      <c r="W15" s="207"/>
      <c r="X15" s="207"/>
      <c r="Y15" s="207"/>
      <c r="Z15" s="207"/>
      <c r="AA15" s="207"/>
      <c r="AB15" s="207">
        <v>1000000</v>
      </c>
      <c r="AC15" s="207"/>
      <c r="AD15" s="207"/>
      <c r="AE15" s="208"/>
      <c r="AF15" s="223">
        <v>1000000</v>
      </c>
      <c r="AG15" s="218">
        <v>0</v>
      </c>
      <c r="AH15" s="219">
        <v>0</v>
      </c>
      <c r="AI15" s="219">
        <v>1000000</v>
      </c>
      <c r="AJ15" s="219">
        <v>0</v>
      </c>
      <c r="AK15" s="218">
        <v>0</v>
      </c>
      <c r="AL15" s="220">
        <v>1000000</v>
      </c>
    </row>
    <row r="16" spans="1:38">
      <c r="A16" s="198" t="s">
        <v>199</v>
      </c>
      <c r="B16" s="199" t="s">
        <v>168</v>
      </c>
      <c r="C16" s="200" t="s">
        <v>200</v>
      </c>
      <c r="D16" s="200" t="s">
        <v>201</v>
      </c>
      <c r="E16" s="199" t="s">
        <v>96</v>
      </c>
      <c r="F16" s="201">
        <v>2026</v>
      </c>
      <c r="G16" s="201" t="s">
        <v>202</v>
      </c>
      <c r="H16" s="202" t="s">
        <v>203</v>
      </c>
      <c r="I16" s="202" t="s">
        <v>204</v>
      </c>
      <c r="J16" s="202" t="s">
        <v>205</v>
      </c>
      <c r="K16" s="202" t="s">
        <v>206</v>
      </c>
      <c r="L16" s="202" t="s">
        <v>206</v>
      </c>
      <c r="M16" s="202" t="s">
        <v>168</v>
      </c>
      <c r="N16" s="203" t="s">
        <v>172</v>
      </c>
      <c r="O16" s="203" t="s">
        <v>170</v>
      </c>
      <c r="P16" s="199" t="s">
        <v>210</v>
      </c>
      <c r="Q16" s="204" t="s">
        <v>197</v>
      </c>
      <c r="R16" s="205" t="s">
        <v>233</v>
      </c>
      <c r="S16" s="206" t="s">
        <v>198</v>
      </c>
      <c r="T16" s="207"/>
      <c r="U16" s="207"/>
      <c r="V16" s="207">
        <v>300000</v>
      </c>
      <c r="W16" s="207">
        <v>300000</v>
      </c>
      <c r="X16" s="207"/>
      <c r="Y16" s="207"/>
      <c r="Z16" s="207"/>
      <c r="AA16" s="207"/>
      <c r="AB16" s="207"/>
      <c r="AC16" s="207"/>
      <c r="AD16" s="207"/>
      <c r="AE16" s="222"/>
      <c r="AF16" s="224">
        <v>600000</v>
      </c>
      <c r="AG16" s="218">
        <v>300000</v>
      </c>
      <c r="AH16" s="219">
        <v>300000</v>
      </c>
      <c r="AI16" s="219">
        <v>0</v>
      </c>
      <c r="AJ16" s="219">
        <v>0</v>
      </c>
      <c r="AK16" s="218">
        <v>600000</v>
      </c>
      <c r="AL16" s="220">
        <v>0</v>
      </c>
    </row>
    <row r="17" spans="1:38">
      <c r="A17" s="198" t="s">
        <v>199</v>
      </c>
      <c r="B17" s="199" t="s">
        <v>168</v>
      </c>
      <c r="C17" s="200" t="s">
        <v>135</v>
      </c>
      <c r="D17" s="200" t="s">
        <v>201</v>
      </c>
      <c r="E17" s="199" t="s">
        <v>96</v>
      </c>
      <c r="F17" s="201">
        <v>2026</v>
      </c>
      <c r="G17" s="201" t="s">
        <v>202</v>
      </c>
      <c r="H17" s="202" t="s">
        <v>203</v>
      </c>
      <c r="I17" s="202" t="s">
        <v>204</v>
      </c>
      <c r="J17" s="202" t="s">
        <v>205</v>
      </c>
      <c r="K17" s="202" t="s">
        <v>206</v>
      </c>
      <c r="L17" s="202" t="s">
        <v>206</v>
      </c>
      <c r="M17" s="202" t="s">
        <v>168</v>
      </c>
      <c r="N17" s="203"/>
      <c r="O17" s="203"/>
      <c r="P17" s="199"/>
      <c r="Q17" s="204"/>
      <c r="R17" s="205"/>
      <c r="S17" s="206" t="s">
        <v>135</v>
      </c>
      <c r="T17" s="207">
        <v>65730</v>
      </c>
      <c r="U17" s="207">
        <v>65730</v>
      </c>
      <c r="V17" s="207">
        <v>65730</v>
      </c>
      <c r="W17" s="207">
        <v>65730</v>
      </c>
      <c r="X17" s="207">
        <v>65730</v>
      </c>
      <c r="Y17" s="207">
        <v>65730</v>
      </c>
      <c r="Z17" s="207">
        <v>65730</v>
      </c>
      <c r="AA17" s="207">
        <v>65730</v>
      </c>
      <c r="AB17" s="207">
        <v>65730</v>
      </c>
      <c r="AC17" s="207">
        <v>65730</v>
      </c>
      <c r="AD17" s="207">
        <v>65730</v>
      </c>
      <c r="AE17" s="208">
        <v>65730</v>
      </c>
      <c r="AF17" s="210">
        <v>788760</v>
      </c>
      <c r="AG17" s="218">
        <v>197190</v>
      </c>
      <c r="AH17" s="219">
        <v>197190</v>
      </c>
      <c r="AI17" s="219">
        <v>197190</v>
      </c>
      <c r="AJ17" s="219">
        <v>197190</v>
      </c>
      <c r="AK17" s="218">
        <v>394380</v>
      </c>
      <c r="AL17" s="220">
        <v>394380</v>
      </c>
    </row>
    <row r="18" spans="1:38">
      <c r="A18" t="s">
        <v>234</v>
      </c>
      <c r="B18" t="s">
        <v>235</v>
      </c>
      <c r="C18" t="s">
        <v>200</v>
      </c>
      <c r="D18" t="s">
        <v>201</v>
      </c>
      <c r="E18" t="s">
        <v>95</v>
      </c>
      <c r="F18">
        <v>2026</v>
      </c>
      <c r="G18" t="s">
        <v>202</v>
      </c>
      <c r="H18" t="s">
        <v>203</v>
      </c>
      <c r="I18" t="s">
        <v>204</v>
      </c>
      <c r="J18" t="s">
        <v>205</v>
      </c>
      <c r="K18" t="s">
        <v>206</v>
      </c>
      <c r="L18" t="s">
        <v>206</v>
      </c>
      <c r="M18" t="s">
        <v>235</v>
      </c>
      <c r="N18" t="s">
        <v>236</v>
      </c>
      <c r="O18" t="s">
        <v>182</v>
      </c>
      <c r="P18" t="s">
        <v>237</v>
      </c>
      <c r="Q18" t="s">
        <v>208</v>
      </c>
      <c r="R18" t="s">
        <v>238</v>
      </c>
      <c r="S18" t="s">
        <v>239</v>
      </c>
      <c r="U18">
        <v>150000</v>
      </c>
      <c r="V18">
        <v>300000</v>
      </c>
      <c r="X18">
        <v>100000</v>
      </c>
      <c r="Z18">
        <v>180000</v>
      </c>
      <c r="AA18">
        <v>100000</v>
      </c>
      <c r="AB18">
        <v>200000</v>
      </c>
      <c r="AC18">
        <v>270000</v>
      </c>
      <c r="AD18">
        <v>380000</v>
      </c>
      <c r="AE18">
        <v>100000</v>
      </c>
      <c r="AF18" s="1">
        <v>1780000</v>
      </c>
      <c r="AG18">
        <v>450000</v>
      </c>
      <c r="AH18">
        <v>100000</v>
      </c>
      <c r="AI18">
        <v>480000</v>
      </c>
      <c r="AJ18">
        <v>750000</v>
      </c>
      <c r="AK18">
        <v>550000</v>
      </c>
      <c r="AL18">
        <v>1230000</v>
      </c>
    </row>
    <row r="19" spans="1:38">
      <c r="A19" t="s">
        <v>234</v>
      </c>
      <c r="B19" t="s">
        <v>235</v>
      </c>
      <c r="C19" t="s">
        <v>200</v>
      </c>
      <c r="D19" t="s">
        <v>201</v>
      </c>
      <c r="E19" t="s">
        <v>95</v>
      </c>
      <c r="F19">
        <v>2026</v>
      </c>
      <c r="G19" t="s">
        <v>202</v>
      </c>
      <c r="H19" t="s">
        <v>203</v>
      </c>
      <c r="I19" t="s">
        <v>204</v>
      </c>
      <c r="J19" t="s">
        <v>205</v>
      </c>
      <c r="K19" t="s">
        <v>206</v>
      </c>
      <c r="L19" t="s">
        <v>206</v>
      </c>
      <c r="M19" t="s">
        <v>235</v>
      </c>
      <c r="N19" t="s">
        <v>240</v>
      </c>
      <c r="O19" t="s">
        <v>182</v>
      </c>
      <c r="P19" t="s">
        <v>241</v>
      </c>
      <c r="Q19" t="s">
        <v>211</v>
      </c>
      <c r="R19" t="s">
        <v>242</v>
      </c>
      <c r="S19" t="s">
        <v>243</v>
      </c>
      <c r="W19">
        <v>150000</v>
      </c>
      <c r="X19">
        <v>330000</v>
      </c>
      <c r="Y19">
        <v>500000</v>
      </c>
      <c r="Z19">
        <v>100000</v>
      </c>
      <c r="AB19">
        <v>400000</v>
      </c>
      <c r="AC19">
        <v>30000</v>
      </c>
      <c r="AD19">
        <v>200000</v>
      </c>
      <c r="AF19" s="1">
        <v>1710000</v>
      </c>
      <c r="AG19">
        <v>0</v>
      </c>
      <c r="AH19">
        <v>980000</v>
      </c>
      <c r="AI19">
        <v>500000</v>
      </c>
      <c r="AJ19">
        <v>230000</v>
      </c>
      <c r="AK19">
        <v>980000</v>
      </c>
      <c r="AL19">
        <v>730000</v>
      </c>
    </row>
    <row r="20" spans="1:38">
      <c r="A20" t="s">
        <v>234</v>
      </c>
      <c r="B20" t="s">
        <v>235</v>
      </c>
      <c r="C20" t="s">
        <v>200</v>
      </c>
      <c r="D20" t="s">
        <v>201</v>
      </c>
      <c r="E20" t="s">
        <v>95</v>
      </c>
      <c r="F20">
        <v>2026</v>
      </c>
      <c r="G20" t="s">
        <v>202</v>
      </c>
      <c r="H20" t="s">
        <v>203</v>
      </c>
      <c r="I20" t="s">
        <v>204</v>
      </c>
      <c r="J20" t="s">
        <v>205</v>
      </c>
      <c r="K20" t="s">
        <v>206</v>
      </c>
      <c r="L20" t="s">
        <v>206</v>
      </c>
      <c r="M20" t="s">
        <v>235</v>
      </c>
      <c r="N20" t="s">
        <v>236</v>
      </c>
      <c r="O20" t="s">
        <v>182</v>
      </c>
      <c r="P20" t="s">
        <v>237</v>
      </c>
      <c r="Q20" t="s">
        <v>173</v>
      </c>
      <c r="R20" t="s">
        <v>244</v>
      </c>
      <c r="S20" t="s">
        <v>245</v>
      </c>
      <c r="V20">
        <v>150000</v>
      </c>
      <c r="Z20">
        <v>200000</v>
      </c>
      <c r="AA20">
        <v>120000</v>
      </c>
      <c r="AB20">
        <v>210000</v>
      </c>
      <c r="AF20" s="1">
        <v>680000</v>
      </c>
      <c r="AG20">
        <v>150000</v>
      </c>
      <c r="AH20">
        <v>0</v>
      </c>
      <c r="AI20">
        <v>530000</v>
      </c>
      <c r="AJ20">
        <v>0</v>
      </c>
      <c r="AK20">
        <v>150000</v>
      </c>
      <c r="AL20">
        <v>530000</v>
      </c>
    </row>
    <row r="21" spans="1:38">
      <c r="A21" t="s">
        <v>234</v>
      </c>
      <c r="B21" t="s">
        <v>235</v>
      </c>
      <c r="C21" t="s">
        <v>200</v>
      </c>
      <c r="D21" t="s">
        <v>201</v>
      </c>
      <c r="E21" t="s">
        <v>95</v>
      </c>
      <c r="F21">
        <v>2026</v>
      </c>
      <c r="G21" t="s">
        <v>202</v>
      </c>
      <c r="H21" t="s">
        <v>203</v>
      </c>
      <c r="I21" t="s">
        <v>204</v>
      </c>
      <c r="J21" t="s">
        <v>205</v>
      </c>
      <c r="K21" t="s">
        <v>206</v>
      </c>
      <c r="L21" t="s">
        <v>206</v>
      </c>
      <c r="M21" t="s">
        <v>235</v>
      </c>
      <c r="N21" t="s">
        <v>236</v>
      </c>
      <c r="O21" t="s">
        <v>182</v>
      </c>
      <c r="P21" t="s">
        <v>237</v>
      </c>
      <c r="Q21" t="s">
        <v>175</v>
      </c>
      <c r="R21" t="s">
        <v>246</v>
      </c>
      <c r="S21" t="s">
        <v>247</v>
      </c>
      <c r="X21">
        <v>150000</v>
      </c>
      <c r="Y21">
        <v>200000</v>
      </c>
      <c r="AB21">
        <v>200000</v>
      </c>
      <c r="AD21">
        <v>100000</v>
      </c>
      <c r="AF21" s="1">
        <v>650000</v>
      </c>
      <c r="AG21">
        <v>0</v>
      </c>
      <c r="AH21">
        <v>350000</v>
      </c>
      <c r="AI21">
        <v>200000</v>
      </c>
      <c r="AJ21">
        <v>100000</v>
      </c>
      <c r="AK21">
        <v>350000</v>
      </c>
      <c r="AL21">
        <v>300000</v>
      </c>
    </row>
    <row r="22" spans="1:38">
      <c r="A22" t="s">
        <v>234</v>
      </c>
      <c r="B22" t="s">
        <v>235</v>
      </c>
      <c r="C22" t="s">
        <v>200</v>
      </c>
      <c r="D22" t="s">
        <v>201</v>
      </c>
      <c r="E22" t="s">
        <v>95</v>
      </c>
      <c r="F22">
        <v>2026</v>
      </c>
      <c r="G22" t="s">
        <v>202</v>
      </c>
      <c r="H22" t="s">
        <v>203</v>
      </c>
      <c r="I22" t="s">
        <v>204</v>
      </c>
      <c r="J22" t="s">
        <v>205</v>
      </c>
      <c r="K22" t="s">
        <v>206</v>
      </c>
      <c r="L22" t="s">
        <v>206</v>
      </c>
      <c r="M22" t="s">
        <v>235</v>
      </c>
      <c r="N22" t="s">
        <v>236</v>
      </c>
      <c r="O22" t="s">
        <v>182</v>
      </c>
      <c r="P22" t="s">
        <v>237</v>
      </c>
      <c r="Q22" t="s">
        <v>177</v>
      </c>
      <c r="R22" t="s">
        <v>248</v>
      </c>
      <c r="S22" t="s">
        <v>249</v>
      </c>
      <c r="W22">
        <v>150000</v>
      </c>
      <c r="Z22">
        <v>100000</v>
      </c>
      <c r="AF22" s="1">
        <v>250000</v>
      </c>
      <c r="AG22">
        <v>0</v>
      </c>
      <c r="AH22">
        <v>150000</v>
      </c>
      <c r="AI22">
        <v>100000</v>
      </c>
      <c r="AJ22">
        <v>0</v>
      </c>
      <c r="AK22">
        <v>150000</v>
      </c>
      <c r="AL22">
        <v>100000</v>
      </c>
    </row>
    <row r="23" spans="1:38">
      <c r="A23" t="s">
        <v>234</v>
      </c>
      <c r="B23" t="s">
        <v>235</v>
      </c>
      <c r="C23" t="s">
        <v>200</v>
      </c>
      <c r="D23" t="s">
        <v>201</v>
      </c>
      <c r="E23" t="s">
        <v>95</v>
      </c>
      <c r="F23">
        <v>2026</v>
      </c>
      <c r="G23" t="s">
        <v>202</v>
      </c>
      <c r="H23" t="s">
        <v>203</v>
      </c>
      <c r="I23" t="s">
        <v>204</v>
      </c>
      <c r="J23" t="s">
        <v>205</v>
      </c>
      <c r="K23" t="s">
        <v>206</v>
      </c>
      <c r="L23" t="s">
        <v>206</v>
      </c>
      <c r="M23" t="s">
        <v>235</v>
      </c>
      <c r="N23" t="s">
        <v>236</v>
      </c>
      <c r="O23" t="s">
        <v>182</v>
      </c>
      <c r="P23" t="s">
        <v>237</v>
      </c>
      <c r="Q23" t="s">
        <v>178</v>
      </c>
      <c r="R23" t="s">
        <v>250</v>
      </c>
      <c r="S23" t="s">
        <v>251</v>
      </c>
      <c r="AF23" s="1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 t="s">
        <v>234</v>
      </c>
      <c r="B24" t="s">
        <v>235</v>
      </c>
      <c r="C24" t="s">
        <v>200</v>
      </c>
      <c r="D24" t="s">
        <v>201</v>
      </c>
      <c r="E24" t="s">
        <v>95</v>
      </c>
      <c r="F24">
        <v>2026</v>
      </c>
      <c r="G24" t="s">
        <v>202</v>
      </c>
      <c r="H24" t="s">
        <v>203</v>
      </c>
      <c r="I24" t="s">
        <v>204</v>
      </c>
      <c r="J24" t="s">
        <v>205</v>
      </c>
      <c r="K24" t="s">
        <v>206</v>
      </c>
      <c r="L24" t="s">
        <v>206</v>
      </c>
      <c r="M24" t="s">
        <v>235</v>
      </c>
      <c r="N24" t="s">
        <v>252</v>
      </c>
      <c r="O24" t="s">
        <v>182</v>
      </c>
      <c r="P24" t="s">
        <v>253</v>
      </c>
      <c r="Q24" t="s">
        <v>180</v>
      </c>
      <c r="R24" t="s">
        <v>254</v>
      </c>
      <c r="S24" t="s">
        <v>255</v>
      </c>
      <c r="V24">
        <v>100000</v>
      </c>
      <c r="X24">
        <v>50000</v>
      </c>
      <c r="Y24">
        <v>150000</v>
      </c>
      <c r="AB24">
        <v>300000</v>
      </c>
      <c r="AF24" s="1">
        <v>600000</v>
      </c>
      <c r="AG24">
        <v>100000</v>
      </c>
      <c r="AH24">
        <v>200000</v>
      </c>
      <c r="AI24">
        <v>300000</v>
      </c>
      <c r="AJ24">
        <v>0</v>
      </c>
      <c r="AK24">
        <v>300000</v>
      </c>
      <c r="AL24">
        <v>300000</v>
      </c>
    </row>
    <row r="25" spans="1:38">
      <c r="A25" t="s">
        <v>234</v>
      </c>
      <c r="B25" t="s">
        <v>235</v>
      </c>
      <c r="C25" t="s">
        <v>200</v>
      </c>
      <c r="D25" t="s">
        <v>201</v>
      </c>
      <c r="E25" t="s">
        <v>95</v>
      </c>
      <c r="F25">
        <v>2026</v>
      </c>
      <c r="G25" t="s">
        <v>202</v>
      </c>
      <c r="H25" t="s">
        <v>203</v>
      </c>
      <c r="I25" t="s">
        <v>204</v>
      </c>
      <c r="J25" t="s">
        <v>205</v>
      </c>
      <c r="K25" t="s">
        <v>206</v>
      </c>
      <c r="L25" t="s">
        <v>206</v>
      </c>
      <c r="M25" t="s">
        <v>235</v>
      </c>
      <c r="N25" t="s">
        <v>252</v>
      </c>
      <c r="O25" t="s">
        <v>194</v>
      </c>
      <c r="P25" t="s">
        <v>256</v>
      </c>
      <c r="Q25" t="s">
        <v>183</v>
      </c>
      <c r="R25" t="s">
        <v>257</v>
      </c>
      <c r="S25" t="s">
        <v>258</v>
      </c>
      <c r="T25">
        <v>150000</v>
      </c>
      <c r="U25">
        <v>150000</v>
      </c>
      <c r="V25">
        <v>150000</v>
      </c>
      <c r="W25">
        <v>150000</v>
      </c>
      <c r="X25">
        <v>350000</v>
      </c>
      <c r="Y25">
        <v>150000</v>
      </c>
      <c r="Z25">
        <v>200000</v>
      </c>
      <c r="AA25">
        <v>200000</v>
      </c>
      <c r="AB25">
        <v>200000</v>
      </c>
      <c r="AC25">
        <v>150000</v>
      </c>
      <c r="AD25">
        <v>150000</v>
      </c>
      <c r="AE25">
        <v>150000</v>
      </c>
      <c r="AF25" s="1">
        <v>2150000</v>
      </c>
      <c r="AG25">
        <v>450000</v>
      </c>
      <c r="AH25">
        <v>650000</v>
      </c>
      <c r="AI25">
        <v>600000</v>
      </c>
      <c r="AJ25">
        <v>450000</v>
      </c>
      <c r="AK25">
        <v>1100000</v>
      </c>
      <c r="AL25">
        <v>1050000</v>
      </c>
    </row>
    <row r="26" spans="1:38">
      <c r="A26" t="s">
        <v>234</v>
      </c>
      <c r="B26" t="s">
        <v>235</v>
      </c>
      <c r="C26" t="s">
        <v>200</v>
      </c>
      <c r="D26" t="s">
        <v>201</v>
      </c>
      <c r="E26" t="s">
        <v>95</v>
      </c>
      <c r="F26">
        <v>2026</v>
      </c>
      <c r="G26" t="s">
        <v>202</v>
      </c>
      <c r="H26" t="s">
        <v>203</v>
      </c>
      <c r="I26" t="s">
        <v>204</v>
      </c>
      <c r="J26" t="s">
        <v>205</v>
      </c>
      <c r="K26" t="s">
        <v>206</v>
      </c>
      <c r="L26" t="s">
        <v>206</v>
      </c>
      <c r="M26" t="s">
        <v>235</v>
      </c>
      <c r="N26" t="s">
        <v>252</v>
      </c>
      <c r="O26" t="s">
        <v>170</v>
      </c>
      <c r="P26" t="s">
        <v>259</v>
      </c>
      <c r="Q26" t="s">
        <v>185</v>
      </c>
      <c r="R26" t="s">
        <v>260</v>
      </c>
      <c r="S26" t="s">
        <v>261</v>
      </c>
      <c r="X26">
        <v>300000</v>
      </c>
      <c r="AC26">
        <v>250000</v>
      </c>
      <c r="AF26" s="1">
        <v>550000</v>
      </c>
      <c r="AG26">
        <v>0</v>
      </c>
      <c r="AH26">
        <v>300000</v>
      </c>
      <c r="AI26">
        <v>0</v>
      </c>
      <c r="AJ26">
        <v>250000</v>
      </c>
      <c r="AK26">
        <v>300000</v>
      </c>
      <c r="AL26">
        <v>250000</v>
      </c>
    </row>
    <row r="27" spans="1:38">
      <c r="A27" t="s">
        <v>234</v>
      </c>
      <c r="B27" t="s">
        <v>235</v>
      </c>
      <c r="C27" t="s">
        <v>200</v>
      </c>
      <c r="D27" t="s">
        <v>201</v>
      </c>
      <c r="E27" t="s">
        <v>95</v>
      </c>
      <c r="F27">
        <v>2026</v>
      </c>
      <c r="G27" t="s">
        <v>202</v>
      </c>
      <c r="H27" t="s">
        <v>203</v>
      </c>
      <c r="I27" t="s">
        <v>204</v>
      </c>
      <c r="J27" t="s">
        <v>205</v>
      </c>
      <c r="K27" t="s">
        <v>206</v>
      </c>
      <c r="L27" t="s">
        <v>206</v>
      </c>
      <c r="M27" t="s">
        <v>235</v>
      </c>
      <c r="N27" t="s">
        <v>236</v>
      </c>
      <c r="O27" t="s">
        <v>170</v>
      </c>
      <c r="P27" t="s">
        <v>262</v>
      </c>
      <c r="Q27" t="s">
        <v>188</v>
      </c>
      <c r="R27" t="s">
        <v>263</v>
      </c>
      <c r="S27" t="s">
        <v>264</v>
      </c>
      <c r="V27">
        <v>600000</v>
      </c>
      <c r="AA27">
        <v>600000</v>
      </c>
      <c r="AF27" s="1">
        <v>1200000</v>
      </c>
      <c r="AG27">
        <v>600000</v>
      </c>
      <c r="AH27">
        <v>0</v>
      </c>
      <c r="AI27">
        <v>600000</v>
      </c>
      <c r="AJ27">
        <v>0</v>
      </c>
      <c r="AK27">
        <v>600000</v>
      </c>
      <c r="AL27">
        <v>600000</v>
      </c>
    </row>
    <row r="28" spans="1:38">
      <c r="A28" t="s">
        <v>234</v>
      </c>
      <c r="B28" t="s">
        <v>235</v>
      </c>
      <c r="C28" t="s">
        <v>200</v>
      </c>
      <c r="D28" t="s">
        <v>201</v>
      </c>
      <c r="E28" t="s">
        <v>95</v>
      </c>
      <c r="F28">
        <v>2026</v>
      </c>
      <c r="G28" t="s">
        <v>202</v>
      </c>
      <c r="H28" t="s">
        <v>203</v>
      </c>
      <c r="I28" t="s">
        <v>204</v>
      </c>
      <c r="J28" t="s">
        <v>205</v>
      </c>
      <c r="K28" t="s">
        <v>206</v>
      </c>
      <c r="L28" t="s">
        <v>206</v>
      </c>
      <c r="M28" t="s">
        <v>235</v>
      </c>
      <c r="N28" t="s">
        <v>240</v>
      </c>
      <c r="O28" t="s">
        <v>170</v>
      </c>
      <c r="P28" t="s">
        <v>265</v>
      </c>
      <c r="Q28" t="s">
        <v>191</v>
      </c>
      <c r="R28" t="s">
        <v>266</v>
      </c>
      <c r="S28" t="s">
        <v>267</v>
      </c>
      <c r="V28">
        <v>600000</v>
      </c>
      <c r="AA28">
        <v>600000</v>
      </c>
      <c r="AF28" s="1">
        <v>1200000</v>
      </c>
      <c r="AG28">
        <v>600000</v>
      </c>
      <c r="AH28">
        <v>0</v>
      </c>
      <c r="AI28">
        <v>600000</v>
      </c>
      <c r="AJ28">
        <v>0</v>
      </c>
      <c r="AK28">
        <v>600000</v>
      </c>
      <c r="AL28">
        <v>600000</v>
      </c>
    </row>
    <row r="29" spans="1:38">
      <c r="A29" t="s">
        <v>234</v>
      </c>
      <c r="B29" t="s">
        <v>235</v>
      </c>
      <c r="C29" t="s">
        <v>200</v>
      </c>
      <c r="D29" t="s">
        <v>201</v>
      </c>
      <c r="E29" t="s">
        <v>95</v>
      </c>
      <c r="F29">
        <v>2026</v>
      </c>
      <c r="G29" t="s">
        <v>202</v>
      </c>
      <c r="H29" t="s">
        <v>203</v>
      </c>
      <c r="I29" t="s">
        <v>204</v>
      </c>
      <c r="J29" t="s">
        <v>205</v>
      </c>
      <c r="K29" t="s">
        <v>206</v>
      </c>
      <c r="L29" t="s">
        <v>206</v>
      </c>
      <c r="M29" t="s">
        <v>235</v>
      </c>
      <c r="N29" t="s">
        <v>236</v>
      </c>
      <c r="O29" t="s">
        <v>170</v>
      </c>
      <c r="P29" t="s">
        <v>262</v>
      </c>
      <c r="Q29" t="s">
        <v>195</v>
      </c>
      <c r="R29" t="s">
        <v>268</v>
      </c>
      <c r="S29" t="s">
        <v>269</v>
      </c>
      <c r="V29">
        <v>300000</v>
      </c>
      <c r="Y29">
        <v>800000</v>
      </c>
      <c r="AF29" s="1">
        <v>1100000</v>
      </c>
      <c r="AG29">
        <v>300000</v>
      </c>
      <c r="AH29">
        <v>800000</v>
      </c>
      <c r="AI29">
        <v>0</v>
      </c>
      <c r="AJ29">
        <v>0</v>
      </c>
      <c r="AK29">
        <v>1100000</v>
      </c>
      <c r="AL29">
        <v>0</v>
      </c>
    </row>
    <row r="30" spans="1:38">
      <c r="A30" t="s">
        <v>234</v>
      </c>
      <c r="B30" t="s">
        <v>235</v>
      </c>
      <c r="C30" t="s">
        <v>200</v>
      </c>
      <c r="D30" t="s">
        <v>201</v>
      </c>
      <c r="E30" t="s">
        <v>95</v>
      </c>
      <c r="F30">
        <v>2026</v>
      </c>
      <c r="G30" t="s">
        <v>202</v>
      </c>
      <c r="H30" t="s">
        <v>203</v>
      </c>
      <c r="I30" t="s">
        <v>204</v>
      </c>
      <c r="J30" t="s">
        <v>205</v>
      </c>
      <c r="K30" t="s">
        <v>206</v>
      </c>
      <c r="L30" t="s">
        <v>206</v>
      </c>
      <c r="M30" t="s">
        <v>235</v>
      </c>
      <c r="N30" t="s">
        <v>240</v>
      </c>
      <c r="O30" t="s">
        <v>190</v>
      </c>
      <c r="P30" t="s">
        <v>270</v>
      </c>
      <c r="Q30" t="s">
        <v>197</v>
      </c>
      <c r="R30" t="s">
        <v>271</v>
      </c>
      <c r="S30" t="s">
        <v>272</v>
      </c>
      <c r="V30">
        <v>100000</v>
      </c>
      <c r="Y30">
        <v>100000</v>
      </c>
      <c r="AB30">
        <v>100000</v>
      </c>
      <c r="AF30" s="1">
        <v>300000</v>
      </c>
      <c r="AG30">
        <v>100000</v>
      </c>
      <c r="AH30">
        <v>100000</v>
      </c>
      <c r="AI30">
        <v>100000</v>
      </c>
      <c r="AJ30">
        <v>0</v>
      </c>
      <c r="AK30">
        <v>200000</v>
      </c>
      <c r="AL30">
        <v>100000</v>
      </c>
    </row>
    <row r="31" spans="1:38">
      <c r="A31" t="s">
        <v>234</v>
      </c>
      <c r="B31" t="s">
        <v>235</v>
      </c>
      <c r="C31" t="s">
        <v>200</v>
      </c>
      <c r="D31" t="s">
        <v>201</v>
      </c>
      <c r="E31" t="s">
        <v>95</v>
      </c>
      <c r="F31">
        <v>2026</v>
      </c>
      <c r="G31" t="s">
        <v>202</v>
      </c>
      <c r="H31" t="s">
        <v>203</v>
      </c>
      <c r="I31" t="s">
        <v>204</v>
      </c>
      <c r="J31" t="s">
        <v>205</v>
      </c>
      <c r="K31" t="s">
        <v>206</v>
      </c>
      <c r="L31" t="s">
        <v>206</v>
      </c>
      <c r="M31" t="s">
        <v>235</v>
      </c>
      <c r="N31" t="s">
        <v>240</v>
      </c>
      <c r="O31" t="s">
        <v>190</v>
      </c>
      <c r="P31" t="s">
        <v>270</v>
      </c>
      <c r="Q31" t="s">
        <v>273</v>
      </c>
      <c r="R31" t="s">
        <v>274</v>
      </c>
      <c r="S31" t="s">
        <v>275</v>
      </c>
      <c r="V31">
        <v>400000</v>
      </c>
      <c r="Y31">
        <v>400000</v>
      </c>
      <c r="AB31">
        <v>400000</v>
      </c>
      <c r="AF31" s="1">
        <v>1200000</v>
      </c>
      <c r="AG31">
        <v>400000</v>
      </c>
      <c r="AH31">
        <v>400000</v>
      </c>
      <c r="AI31">
        <v>400000</v>
      </c>
      <c r="AJ31">
        <v>0</v>
      </c>
      <c r="AK31">
        <v>800000</v>
      </c>
      <c r="AL31">
        <v>400000</v>
      </c>
    </row>
    <row r="32" spans="1:38">
      <c r="A32" t="s">
        <v>234</v>
      </c>
      <c r="B32" t="s">
        <v>235</v>
      </c>
      <c r="C32" t="s">
        <v>200</v>
      </c>
      <c r="D32" t="s">
        <v>201</v>
      </c>
      <c r="E32" t="s">
        <v>95</v>
      </c>
      <c r="F32">
        <v>2026</v>
      </c>
      <c r="G32" t="s">
        <v>202</v>
      </c>
      <c r="H32" t="s">
        <v>203</v>
      </c>
      <c r="I32" t="s">
        <v>204</v>
      </c>
      <c r="J32" t="s">
        <v>205</v>
      </c>
      <c r="K32" t="s">
        <v>206</v>
      </c>
      <c r="L32" t="s">
        <v>206</v>
      </c>
      <c r="M32" t="s">
        <v>235</v>
      </c>
      <c r="N32" t="s">
        <v>240</v>
      </c>
      <c r="O32" t="s">
        <v>190</v>
      </c>
      <c r="P32" t="s">
        <v>270</v>
      </c>
      <c r="Q32" t="s">
        <v>276</v>
      </c>
      <c r="R32" t="s">
        <v>277</v>
      </c>
      <c r="S32" t="s">
        <v>278</v>
      </c>
      <c r="V32">
        <v>100000</v>
      </c>
      <c r="Y32">
        <v>200000</v>
      </c>
      <c r="AB32">
        <v>200000</v>
      </c>
      <c r="AF32" s="1">
        <v>500000</v>
      </c>
      <c r="AG32">
        <v>100000</v>
      </c>
      <c r="AH32">
        <v>200000</v>
      </c>
      <c r="AI32">
        <v>200000</v>
      </c>
      <c r="AJ32">
        <v>0</v>
      </c>
      <c r="AK32">
        <v>300000</v>
      </c>
      <c r="AL32">
        <v>200000</v>
      </c>
    </row>
    <row r="33" spans="1:38">
      <c r="A33" t="s">
        <v>234</v>
      </c>
      <c r="B33" t="s">
        <v>235</v>
      </c>
      <c r="C33" t="s">
        <v>200</v>
      </c>
      <c r="D33" t="s">
        <v>201</v>
      </c>
      <c r="E33" t="s">
        <v>95</v>
      </c>
      <c r="F33">
        <v>2026</v>
      </c>
      <c r="G33" t="s">
        <v>202</v>
      </c>
      <c r="H33" t="s">
        <v>203</v>
      </c>
      <c r="I33" t="s">
        <v>204</v>
      </c>
      <c r="J33" t="s">
        <v>205</v>
      </c>
      <c r="K33" t="s">
        <v>206</v>
      </c>
      <c r="L33" t="s">
        <v>206</v>
      </c>
      <c r="M33" t="s">
        <v>235</v>
      </c>
      <c r="N33" t="s">
        <v>252</v>
      </c>
      <c r="O33" t="s">
        <v>187</v>
      </c>
      <c r="P33" t="s">
        <v>279</v>
      </c>
      <c r="Q33" t="s">
        <v>280</v>
      </c>
      <c r="R33" t="s">
        <v>281</v>
      </c>
      <c r="S33" t="s">
        <v>282</v>
      </c>
      <c r="V33">
        <v>100000</v>
      </c>
      <c r="Y33">
        <v>200000</v>
      </c>
      <c r="AB33">
        <v>200000</v>
      </c>
      <c r="AF33" s="1">
        <v>500000</v>
      </c>
      <c r="AG33">
        <v>100000</v>
      </c>
      <c r="AH33">
        <v>200000</v>
      </c>
      <c r="AI33">
        <v>200000</v>
      </c>
      <c r="AJ33">
        <v>0</v>
      </c>
      <c r="AK33">
        <v>300000</v>
      </c>
      <c r="AL33">
        <v>200000</v>
      </c>
    </row>
    <row r="34" spans="1:38">
      <c r="A34" t="s">
        <v>234</v>
      </c>
      <c r="B34" t="s">
        <v>235</v>
      </c>
      <c r="C34" t="s">
        <v>200</v>
      </c>
      <c r="D34" t="s">
        <v>201</v>
      </c>
      <c r="E34" t="s">
        <v>95</v>
      </c>
      <c r="F34">
        <v>2026</v>
      </c>
      <c r="G34" t="s">
        <v>202</v>
      </c>
      <c r="H34" t="s">
        <v>203</v>
      </c>
      <c r="I34" t="s">
        <v>204</v>
      </c>
      <c r="J34" t="s">
        <v>205</v>
      </c>
      <c r="K34" t="s">
        <v>206</v>
      </c>
      <c r="L34" t="s">
        <v>206</v>
      </c>
      <c r="M34" t="s">
        <v>235</v>
      </c>
      <c r="N34" t="s">
        <v>252</v>
      </c>
      <c r="O34" t="s">
        <v>194</v>
      </c>
      <c r="P34" t="s">
        <v>256</v>
      </c>
      <c r="Q34" t="s">
        <v>283</v>
      </c>
      <c r="R34" t="s">
        <v>284</v>
      </c>
      <c r="S34" t="s">
        <v>285</v>
      </c>
      <c r="V34">
        <v>50000</v>
      </c>
      <c r="AF34" s="1">
        <v>50000</v>
      </c>
      <c r="AG34">
        <v>50000</v>
      </c>
      <c r="AH34">
        <v>0</v>
      </c>
      <c r="AI34">
        <v>0</v>
      </c>
      <c r="AJ34">
        <v>0</v>
      </c>
      <c r="AK34">
        <v>50000</v>
      </c>
      <c r="AL34">
        <v>0</v>
      </c>
    </row>
    <row r="35" spans="1:38">
      <c r="A35" t="s">
        <v>234</v>
      </c>
      <c r="B35" t="s">
        <v>235</v>
      </c>
      <c r="C35" t="s">
        <v>200</v>
      </c>
      <c r="D35" t="s">
        <v>201</v>
      </c>
      <c r="E35" t="s">
        <v>95</v>
      </c>
      <c r="F35">
        <v>2026</v>
      </c>
      <c r="G35" t="s">
        <v>202</v>
      </c>
      <c r="H35" t="s">
        <v>203</v>
      </c>
      <c r="I35" t="s">
        <v>204</v>
      </c>
      <c r="J35" t="s">
        <v>205</v>
      </c>
      <c r="K35" t="s">
        <v>206</v>
      </c>
      <c r="L35" t="s">
        <v>206</v>
      </c>
      <c r="M35" t="s">
        <v>235</v>
      </c>
      <c r="N35" t="s">
        <v>252</v>
      </c>
      <c r="O35" t="s">
        <v>194</v>
      </c>
      <c r="P35" t="s">
        <v>256</v>
      </c>
      <c r="Q35" t="s">
        <v>286</v>
      </c>
      <c r="R35" t="s">
        <v>287</v>
      </c>
      <c r="S35" t="s">
        <v>288</v>
      </c>
      <c r="AA35">
        <v>200000</v>
      </c>
      <c r="AF35" s="1">
        <v>200000</v>
      </c>
      <c r="AG35">
        <v>0</v>
      </c>
      <c r="AH35">
        <v>0</v>
      </c>
      <c r="AI35">
        <v>200000</v>
      </c>
      <c r="AJ35">
        <v>0</v>
      </c>
      <c r="AK35">
        <v>0</v>
      </c>
      <c r="AL35">
        <v>200000</v>
      </c>
    </row>
    <row r="36" spans="1:38">
      <c r="A36" t="s">
        <v>234</v>
      </c>
      <c r="B36" t="s">
        <v>235</v>
      </c>
      <c r="C36" t="s">
        <v>135</v>
      </c>
      <c r="D36" t="s">
        <v>201</v>
      </c>
      <c r="E36" t="s">
        <v>95</v>
      </c>
      <c r="F36">
        <v>2026</v>
      </c>
      <c r="G36" t="s">
        <v>202</v>
      </c>
      <c r="H36" t="s">
        <v>203</v>
      </c>
      <c r="I36" t="s">
        <v>204</v>
      </c>
      <c r="J36" t="s">
        <v>205</v>
      </c>
      <c r="K36" t="s">
        <v>206</v>
      </c>
      <c r="L36" t="s">
        <v>206</v>
      </c>
      <c r="M36" t="s">
        <v>235</v>
      </c>
      <c r="O36" t="s">
        <v>194</v>
      </c>
      <c r="P36" t="e">
        <v>#N/A</v>
      </c>
      <c r="Q36" t="s">
        <v>289</v>
      </c>
      <c r="R36" t="e">
        <v>#N/A</v>
      </c>
      <c r="S36" t="s">
        <v>135</v>
      </c>
      <c r="T36">
        <v>30000</v>
      </c>
      <c r="U36">
        <v>30000</v>
      </c>
      <c r="V36">
        <v>30000</v>
      </c>
      <c r="W36">
        <v>30000</v>
      </c>
      <c r="X36">
        <v>30000</v>
      </c>
      <c r="Y36">
        <v>30000</v>
      </c>
      <c r="Z36">
        <v>30000</v>
      </c>
      <c r="AA36">
        <v>30000</v>
      </c>
      <c r="AB36">
        <v>30000</v>
      </c>
      <c r="AC36">
        <v>30000</v>
      </c>
      <c r="AD36">
        <v>30000</v>
      </c>
      <c r="AE36">
        <v>30000</v>
      </c>
      <c r="AF36">
        <v>360000</v>
      </c>
      <c r="AG36">
        <v>90000</v>
      </c>
      <c r="AH36">
        <v>90000</v>
      </c>
      <c r="AI36">
        <v>90000</v>
      </c>
      <c r="AJ36">
        <v>90000</v>
      </c>
      <c r="AK36">
        <v>180000</v>
      </c>
      <c r="AL36">
        <v>180000</v>
      </c>
    </row>
    <row r="37" spans="1:38">
      <c r="A37" t="s">
        <v>290</v>
      </c>
      <c r="B37" t="s">
        <v>291</v>
      </c>
      <c r="C37" t="s">
        <v>200</v>
      </c>
      <c r="D37" t="s">
        <v>201</v>
      </c>
      <c r="E37" t="s">
        <v>129</v>
      </c>
      <c r="F37">
        <v>2026</v>
      </c>
      <c r="G37" t="s">
        <v>202</v>
      </c>
      <c r="H37" t="s">
        <v>203</v>
      </c>
      <c r="I37" t="s">
        <v>204</v>
      </c>
      <c r="J37" t="s">
        <v>205</v>
      </c>
      <c r="K37" t="s">
        <v>206</v>
      </c>
      <c r="L37" t="s">
        <v>206</v>
      </c>
      <c r="M37" t="s">
        <v>291</v>
      </c>
      <c r="N37" t="s">
        <v>292</v>
      </c>
      <c r="O37" t="s">
        <v>170</v>
      </c>
      <c r="P37" t="s">
        <v>293</v>
      </c>
      <c r="Q37" t="s">
        <v>208</v>
      </c>
      <c r="R37" t="s">
        <v>294</v>
      </c>
      <c r="S37" t="s">
        <v>295</v>
      </c>
      <c r="Z37">
        <v>100000</v>
      </c>
      <c r="AA37">
        <v>100000</v>
      </c>
      <c r="AB37">
        <v>100000</v>
      </c>
      <c r="AC37">
        <v>100000</v>
      </c>
      <c r="AD37">
        <v>100000</v>
      </c>
      <c r="AE37">
        <v>100000</v>
      </c>
      <c r="AF37" s="1">
        <v>600000</v>
      </c>
      <c r="AG37">
        <v>0</v>
      </c>
      <c r="AH37">
        <v>0</v>
      </c>
      <c r="AI37">
        <v>300000</v>
      </c>
      <c r="AJ37">
        <v>300000</v>
      </c>
      <c r="AK37">
        <v>0</v>
      </c>
      <c r="AL37">
        <v>600000</v>
      </c>
    </row>
    <row r="38" spans="1:38">
      <c r="A38" t="s">
        <v>290</v>
      </c>
      <c r="B38" t="s">
        <v>291</v>
      </c>
      <c r="C38" t="s">
        <v>200</v>
      </c>
      <c r="D38" t="s">
        <v>201</v>
      </c>
      <c r="E38" t="s">
        <v>129</v>
      </c>
      <c r="F38">
        <v>2026</v>
      </c>
      <c r="G38" t="s">
        <v>202</v>
      </c>
      <c r="H38" t="s">
        <v>203</v>
      </c>
      <c r="I38" t="s">
        <v>204</v>
      </c>
      <c r="J38" t="s">
        <v>205</v>
      </c>
      <c r="K38" t="s">
        <v>206</v>
      </c>
      <c r="L38" t="s">
        <v>206</v>
      </c>
      <c r="M38" t="s">
        <v>291</v>
      </c>
      <c r="N38" t="s">
        <v>292</v>
      </c>
      <c r="O38" t="s">
        <v>179</v>
      </c>
      <c r="P38" t="s">
        <v>296</v>
      </c>
      <c r="Q38" t="s">
        <v>211</v>
      </c>
      <c r="R38" t="s">
        <v>297</v>
      </c>
      <c r="S38" t="s">
        <v>298</v>
      </c>
      <c r="X38">
        <v>800000</v>
      </c>
      <c r="AF38" s="1">
        <v>800000</v>
      </c>
      <c r="AG38">
        <v>0</v>
      </c>
      <c r="AH38">
        <v>800000</v>
      </c>
      <c r="AI38">
        <v>0</v>
      </c>
      <c r="AJ38">
        <v>0</v>
      </c>
      <c r="AK38">
        <v>800000</v>
      </c>
      <c r="AL38">
        <v>0</v>
      </c>
    </row>
    <row r="39" spans="1:38">
      <c r="A39" t="s">
        <v>290</v>
      </c>
      <c r="B39" t="s">
        <v>291</v>
      </c>
      <c r="C39" t="s">
        <v>200</v>
      </c>
      <c r="D39" t="s">
        <v>201</v>
      </c>
      <c r="E39" t="s">
        <v>129</v>
      </c>
      <c r="F39">
        <v>2026</v>
      </c>
      <c r="G39" t="s">
        <v>202</v>
      </c>
      <c r="H39" t="s">
        <v>203</v>
      </c>
      <c r="I39" t="s">
        <v>204</v>
      </c>
      <c r="J39" t="s">
        <v>205</v>
      </c>
      <c r="K39" t="s">
        <v>206</v>
      </c>
      <c r="L39" t="s">
        <v>206</v>
      </c>
      <c r="M39" t="s">
        <v>291</v>
      </c>
      <c r="N39" t="s">
        <v>292</v>
      </c>
      <c r="O39" t="s">
        <v>170</v>
      </c>
      <c r="P39" t="s">
        <v>293</v>
      </c>
      <c r="Q39" t="s">
        <v>173</v>
      </c>
      <c r="R39" t="s">
        <v>299</v>
      </c>
      <c r="S39" t="s">
        <v>300</v>
      </c>
      <c r="W39">
        <v>600000</v>
      </c>
      <c r="X39">
        <v>600000</v>
      </c>
      <c r="Y39">
        <v>450000</v>
      </c>
      <c r="Z39">
        <v>300000</v>
      </c>
      <c r="AA39">
        <v>300000</v>
      </c>
      <c r="AB39">
        <v>300000</v>
      </c>
      <c r="AC39">
        <v>300000</v>
      </c>
      <c r="AD39">
        <v>300000</v>
      </c>
      <c r="AF39" s="1">
        <v>3150000</v>
      </c>
      <c r="AG39">
        <v>0</v>
      </c>
      <c r="AH39">
        <v>1650000</v>
      </c>
      <c r="AI39">
        <v>900000</v>
      </c>
      <c r="AJ39">
        <v>600000</v>
      </c>
      <c r="AK39">
        <v>1650000</v>
      </c>
      <c r="AL39">
        <v>1500000</v>
      </c>
    </row>
    <row r="40" spans="1:38">
      <c r="A40" t="s">
        <v>290</v>
      </c>
      <c r="B40" t="s">
        <v>291</v>
      </c>
      <c r="C40" t="s">
        <v>200</v>
      </c>
      <c r="D40" t="s">
        <v>201</v>
      </c>
      <c r="E40" t="s">
        <v>129</v>
      </c>
      <c r="F40">
        <v>2026</v>
      </c>
      <c r="G40" t="s">
        <v>202</v>
      </c>
      <c r="H40" t="s">
        <v>203</v>
      </c>
      <c r="I40" t="s">
        <v>204</v>
      </c>
      <c r="J40" t="s">
        <v>205</v>
      </c>
      <c r="K40" t="s">
        <v>206</v>
      </c>
      <c r="L40" t="s">
        <v>206</v>
      </c>
      <c r="M40" t="s">
        <v>291</v>
      </c>
      <c r="N40" t="s">
        <v>292</v>
      </c>
      <c r="O40" t="s">
        <v>170</v>
      </c>
      <c r="P40" t="s">
        <v>293</v>
      </c>
      <c r="Q40" t="s">
        <v>175</v>
      </c>
      <c r="R40" t="s">
        <v>301</v>
      </c>
      <c r="S40" t="s">
        <v>302</v>
      </c>
      <c r="V40">
        <v>60000</v>
      </c>
      <c r="W40">
        <v>90000</v>
      </c>
      <c r="X40">
        <v>120000</v>
      </c>
      <c r="Y40">
        <v>90000</v>
      </c>
      <c r="Z40">
        <v>90000</v>
      </c>
      <c r="AA40">
        <v>90000</v>
      </c>
      <c r="AB40">
        <v>90000</v>
      </c>
      <c r="AC40">
        <v>90000</v>
      </c>
      <c r="AD40">
        <v>90000</v>
      </c>
      <c r="AE40">
        <v>90000</v>
      </c>
      <c r="AF40" s="1">
        <v>900000</v>
      </c>
      <c r="AG40">
        <v>60000</v>
      </c>
      <c r="AH40">
        <v>300000</v>
      </c>
      <c r="AI40">
        <v>270000</v>
      </c>
      <c r="AJ40">
        <v>270000</v>
      </c>
      <c r="AK40">
        <v>360000</v>
      </c>
      <c r="AL40">
        <v>540000</v>
      </c>
    </row>
    <row r="41" spans="1:38">
      <c r="A41" t="s">
        <v>290</v>
      </c>
      <c r="B41" t="s">
        <v>291</v>
      </c>
      <c r="C41" t="s">
        <v>200</v>
      </c>
      <c r="D41" t="s">
        <v>201</v>
      </c>
      <c r="E41" t="s">
        <v>129</v>
      </c>
      <c r="F41">
        <v>2026</v>
      </c>
      <c r="G41" t="s">
        <v>202</v>
      </c>
      <c r="H41" t="s">
        <v>203</v>
      </c>
      <c r="I41" t="s">
        <v>204</v>
      </c>
      <c r="J41" t="s">
        <v>205</v>
      </c>
      <c r="K41" t="s">
        <v>206</v>
      </c>
      <c r="L41" t="s">
        <v>206</v>
      </c>
      <c r="M41" t="s">
        <v>291</v>
      </c>
      <c r="N41" t="s">
        <v>292</v>
      </c>
      <c r="O41" t="s">
        <v>182</v>
      </c>
      <c r="P41" t="s">
        <v>303</v>
      </c>
      <c r="Q41" t="s">
        <v>177</v>
      </c>
      <c r="R41" t="s">
        <v>304</v>
      </c>
      <c r="S41" t="s">
        <v>305</v>
      </c>
      <c r="W41">
        <v>10000</v>
      </c>
      <c r="X41">
        <v>160000</v>
      </c>
      <c r="Y41">
        <v>240000</v>
      </c>
      <c r="Z41">
        <v>240000</v>
      </c>
      <c r="AA41">
        <v>160000</v>
      </c>
      <c r="AB41">
        <v>500000</v>
      </c>
      <c r="AF41" s="1">
        <v>1310000</v>
      </c>
      <c r="AG41">
        <v>0</v>
      </c>
      <c r="AH41">
        <v>410000</v>
      </c>
      <c r="AI41">
        <v>900000</v>
      </c>
      <c r="AJ41">
        <v>0</v>
      </c>
      <c r="AK41">
        <v>410000</v>
      </c>
      <c r="AL41">
        <v>900000</v>
      </c>
    </row>
    <row r="42" spans="1:38">
      <c r="A42" t="s">
        <v>290</v>
      </c>
      <c r="B42" t="s">
        <v>291</v>
      </c>
      <c r="C42" t="s">
        <v>200</v>
      </c>
      <c r="D42" t="s">
        <v>201</v>
      </c>
      <c r="E42" t="s">
        <v>129</v>
      </c>
      <c r="F42">
        <v>2026</v>
      </c>
      <c r="G42" t="s">
        <v>202</v>
      </c>
      <c r="H42" t="s">
        <v>203</v>
      </c>
      <c r="I42" t="s">
        <v>204</v>
      </c>
      <c r="J42" t="s">
        <v>205</v>
      </c>
      <c r="K42" t="s">
        <v>206</v>
      </c>
      <c r="L42" t="s">
        <v>206</v>
      </c>
      <c r="M42" t="s">
        <v>291</v>
      </c>
      <c r="N42" t="s">
        <v>292</v>
      </c>
      <c r="O42" t="s">
        <v>182</v>
      </c>
      <c r="P42" t="s">
        <v>303</v>
      </c>
      <c r="Q42" t="s">
        <v>178</v>
      </c>
      <c r="R42" t="s">
        <v>306</v>
      </c>
      <c r="S42" t="s">
        <v>307</v>
      </c>
      <c r="X42">
        <v>80000</v>
      </c>
      <c r="Y42">
        <v>80000</v>
      </c>
      <c r="Z42">
        <v>80000</v>
      </c>
      <c r="AA42">
        <v>80000</v>
      </c>
      <c r="AB42">
        <v>80000</v>
      </c>
      <c r="AF42" s="1">
        <v>400000</v>
      </c>
      <c r="AG42">
        <v>0</v>
      </c>
      <c r="AH42">
        <v>160000</v>
      </c>
      <c r="AI42">
        <v>240000</v>
      </c>
      <c r="AJ42">
        <v>0</v>
      </c>
      <c r="AK42">
        <v>160000</v>
      </c>
      <c r="AL42">
        <v>240000</v>
      </c>
    </row>
    <row r="43" spans="1:38">
      <c r="A43" t="s">
        <v>290</v>
      </c>
      <c r="B43" t="s">
        <v>291</v>
      </c>
      <c r="C43" t="s">
        <v>200</v>
      </c>
      <c r="D43" t="s">
        <v>201</v>
      </c>
      <c r="E43" t="s">
        <v>129</v>
      </c>
      <c r="F43">
        <v>2026</v>
      </c>
      <c r="G43" t="s">
        <v>202</v>
      </c>
      <c r="H43" t="s">
        <v>203</v>
      </c>
      <c r="I43" t="s">
        <v>204</v>
      </c>
      <c r="J43" t="s">
        <v>205</v>
      </c>
      <c r="K43" t="s">
        <v>206</v>
      </c>
      <c r="L43" t="s">
        <v>206</v>
      </c>
      <c r="M43" t="s">
        <v>291</v>
      </c>
      <c r="N43" t="s">
        <v>292</v>
      </c>
      <c r="O43" t="s">
        <v>170</v>
      </c>
      <c r="P43" t="s">
        <v>293</v>
      </c>
      <c r="Q43" t="s">
        <v>180</v>
      </c>
      <c r="R43" t="s">
        <v>308</v>
      </c>
      <c r="S43" t="s">
        <v>309</v>
      </c>
      <c r="Y43">
        <v>400000</v>
      </c>
      <c r="AF43" s="1">
        <v>400000</v>
      </c>
      <c r="AG43">
        <v>0</v>
      </c>
      <c r="AH43">
        <v>400000</v>
      </c>
      <c r="AI43">
        <v>0</v>
      </c>
      <c r="AJ43">
        <v>0</v>
      </c>
      <c r="AK43">
        <v>400000</v>
      </c>
      <c r="AL43">
        <v>0</v>
      </c>
    </row>
    <row r="44" spans="1:38">
      <c r="A44" t="s">
        <v>290</v>
      </c>
      <c r="B44" t="s">
        <v>291</v>
      </c>
      <c r="C44" t="s">
        <v>200</v>
      </c>
      <c r="D44" t="s">
        <v>201</v>
      </c>
      <c r="E44" t="s">
        <v>129</v>
      </c>
      <c r="F44">
        <v>2026</v>
      </c>
      <c r="G44" t="s">
        <v>202</v>
      </c>
      <c r="H44" t="s">
        <v>203</v>
      </c>
      <c r="I44" t="s">
        <v>204</v>
      </c>
      <c r="J44" t="s">
        <v>205</v>
      </c>
      <c r="K44" t="s">
        <v>206</v>
      </c>
      <c r="L44" t="s">
        <v>206</v>
      </c>
      <c r="M44" t="s">
        <v>291</v>
      </c>
      <c r="N44" t="s">
        <v>292</v>
      </c>
      <c r="O44" t="s">
        <v>170</v>
      </c>
      <c r="P44" t="s">
        <v>293</v>
      </c>
      <c r="Q44" t="s">
        <v>183</v>
      </c>
      <c r="R44" t="s">
        <v>310</v>
      </c>
      <c r="S44" t="s">
        <v>311</v>
      </c>
      <c r="Y44">
        <v>150000</v>
      </c>
      <c r="Z44">
        <v>150000</v>
      </c>
      <c r="AA44">
        <v>150000</v>
      </c>
      <c r="AB44">
        <v>150000</v>
      </c>
      <c r="AC44">
        <v>150000</v>
      </c>
      <c r="AD44">
        <v>150000</v>
      </c>
      <c r="AE44">
        <v>150000</v>
      </c>
      <c r="AF44" s="1">
        <v>1050000</v>
      </c>
      <c r="AG44">
        <v>0</v>
      </c>
      <c r="AH44">
        <v>150000</v>
      </c>
      <c r="AI44">
        <v>450000</v>
      </c>
      <c r="AJ44">
        <v>450000</v>
      </c>
      <c r="AK44">
        <v>150000</v>
      </c>
      <c r="AL44">
        <v>900000</v>
      </c>
    </row>
    <row r="45" spans="1:38">
      <c r="A45" t="s">
        <v>290</v>
      </c>
      <c r="B45" t="s">
        <v>291</v>
      </c>
      <c r="C45" t="s">
        <v>200</v>
      </c>
      <c r="D45" t="s">
        <v>201</v>
      </c>
      <c r="E45" t="s">
        <v>129</v>
      </c>
      <c r="F45">
        <v>2026</v>
      </c>
      <c r="G45" t="s">
        <v>202</v>
      </c>
      <c r="H45" t="s">
        <v>203</v>
      </c>
      <c r="I45" t="s">
        <v>204</v>
      </c>
      <c r="J45" t="s">
        <v>205</v>
      </c>
      <c r="K45" t="s">
        <v>206</v>
      </c>
      <c r="L45" t="s">
        <v>206</v>
      </c>
      <c r="M45" t="s">
        <v>291</v>
      </c>
      <c r="N45" t="s">
        <v>312</v>
      </c>
      <c r="O45" t="s">
        <v>170</v>
      </c>
      <c r="P45" t="s">
        <v>313</v>
      </c>
      <c r="Q45" t="s">
        <v>185</v>
      </c>
      <c r="R45" t="s">
        <v>314</v>
      </c>
      <c r="S45" t="s">
        <v>315</v>
      </c>
      <c r="W45">
        <v>1200000</v>
      </c>
      <c r="X45">
        <v>4000000</v>
      </c>
      <c r="AF45" s="1">
        <v>5200000</v>
      </c>
      <c r="AG45">
        <v>0</v>
      </c>
      <c r="AH45">
        <v>5200000</v>
      </c>
      <c r="AI45">
        <v>0</v>
      </c>
      <c r="AJ45">
        <v>0</v>
      </c>
      <c r="AK45">
        <v>5200000</v>
      </c>
      <c r="AL45">
        <v>0</v>
      </c>
    </row>
    <row r="46" spans="1:38">
      <c r="A46" t="s">
        <v>290</v>
      </c>
      <c r="B46" t="s">
        <v>291</v>
      </c>
      <c r="C46" t="s">
        <v>200</v>
      </c>
      <c r="D46" t="s">
        <v>201</v>
      </c>
      <c r="E46" t="s">
        <v>129</v>
      </c>
      <c r="F46">
        <v>2026</v>
      </c>
      <c r="G46" t="s">
        <v>202</v>
      </c>
      <c r="H46" t="s">
        <v>203</v>
      </c>
      <c r="I46" t="s">
        <v>204</v>
      </c>
      <c r="J46" t="s">
        <v>205</v>
      </c>
      <c r="K46" t="s">
        <v>206</v>
      </c>
      <c r="L46" t="s">
        <v>206</v>
      </c>
      <c r="M46" t="s">
        <v>291</v>
      </c>
      <c r="N46" t="s">
        <v>312</v>
      </c>
      <c r="O46" t="s">
        <v>194</v>
      </c>
      <c r="P46" t="s">
        <v>316</v>
      </c>
      <c r="Q46" t="s">
        <v>188</v>
      </c>
      <c r="R46" t="s">
        <v>317</v>
      </c>
      <c r="S46" t="s">
        <v>318</v>
      </c>
      <c r="V46">
        <v>50000</v>
      </c>
      <c r="AF46" s="1">
        <v>50000</v>
      </c>
      <c r="AG46">
        <v>50000</v>
      </c>
      <c r="AH46">
        <v>0</v>
      </c>
      <c r="AI46">
        <v>0</v>
      </c>
      <c r="AJ46">
        <v>0</v>
      </c>
      <c r="AK46">
        <v>50000</v>
      </c>
      <c r="AL46">
        <v>0</v>
      </c>
    </row>
    <row r="47" spans="1:38">
      <c r="A47" t="s">
        <v>290</v>
      </c>
      <c r="B47" t="s">
        <v>291</v>
      </c>
      <c r="C47" t="s">
        <v>200</v>
      </c>
      <c r="D47" t="s">
        <v>201</v>
      </c>
      <c r="E47" t="s">
        <v>129</v>
      </c>
      <c r="F47">
        <v>2026</v>
      </c>
      <c r="G47" t="s">
        <v>202</v>
      </c>
      <c r="H47" t="s">
        <v>203</v>
      </c>
      <c r="I47" t="s">
        <v>204</v>
      </c>
      <c r="J47" t="s">
        <v>205</v>
      </c>
      <c r="K47" t="s">
        <v>206</v>
      </c>
      <c r="L47" t="s">
        <v>206</v>
      </c>
      <c r="M47" t="s">
        <v>291</v>
      </c>
      <c r="N47" t="s">
        <v>312</v>
      </c>
      <c r="O47" t="s">
        <v>182</v>
      </c>
      <c r="P47" t="s">
        <v>319</v>
      </c>
      <c r="Q47" t="s">
        <v>191</v>
      </c>
      <c r="R47" t="s">
        <v>320</v>
      </c>
      <c r="S47" t="s">
        <v>321</v>
      </c>
      <c r="U47">
        <v>1000000</v>
      </c>
      <c r="Z47">
        <v>800000</v>
      </c>
      <c r="AF47" s="1">
        <v>1800000</v>
      </c>
      <c r="AG47">
        <v>1000000</v>
      </c>
      <c r="AH47">
        <v>0</v>
      </c>
      <c r="AI47">
        <v>800000</v>
      </c>
      <c r="AJ47">
        <v>0</v>
      </c>
      <c r="AK47">
        <v>1000000</v>
      </c>
      <c r="AL47">
        <v>800000</v>
      </c>
    </row>
    <row r="48" spans="1:38">
      <c r="A48" t="s">
        <v>290</v>
      </c>
      <c r="B48" t="s">
        <v>291</v>
      </c>
      <c r="C48" t="s">
        <v>200</v>
      </c>
      <c r="D48" t="s">
        <v>201</v>
      </c>
      <c r="E48" t="s">
        <v>129</v>
      </c>
      <c r="F48">
        <v>2026</v>
      </c>
      <c r="G48" t="s">
        <v>202</v>
      </c>
      <c r="H48" t="s">
        <v>203</v>
      </c>
      <c r="I48" t="s">
        <v>204</v>
      </c>
      <c r="J48" t="s">
        <v>205</v>
      </c>
      <c r="K48" t="s">
        <v>206</v>
      </c>
      <c r="L48" t="s">
        <v>206</v>
      </c>
      <c r="M48" t="s">
        <v>291</v>
      </c>
      <c r="N48" t="s">
        <v>312</v>
      </c>
      <c r="O48" t="s">
        <v>182</v>
      </c>
      <c r="P48" t="s">
        <v>319</v>
      </c>
      <c r="Q48" t="s">
        <v>193</v>
      </c>
      <c r="R48" t="s">
        <v>322</v>
      </c>
      <c r="S48" t="s">
        <v>323</v>
      </c>
      <c r="AB48">
        <v>500000</v>
      </c>
      <c r="AF48" s="1">
        <v>500000</v>
      </c>
      <c r="AG48">
        <v>0</v>
      </c>
      <c r="AH48">
        <v>0</v>
      </c>
      <c r="AI48">
        <v>500000</v>
      </c>
      <c r="AJ48">
        <v>0</v>
      </c>
      <c r="AK48">
        <v>0</v>
      </c>
      <c r="AL48">
        <v>500000</v>
      </c>
    </row>
    <row r="49" spans="1:38">
      <c r="A49" t="s">
        <v>290</v>
      </c>
      <c r="B49" t="s">
        <v>291</v>
      </c>
      <c r="C49" t="s">
        <v>200</v>
      </c>
      <c r="D49" t="s">
        <v>201</v>
      </c>
      <c r="E49" t="s">
        <v>129</v>
      </c>
      <c r="F49">
        <v>2026</v>
      </c>
      <c r="G49" t="s">
        <v>202</v>
      </c>
      <c r="H49" t="s">
        <v>203</v>
      </c>
      <c r="I49" t="s">
        <v>204</v>
      </c>
      <c r="J49" t="s">
        <v>205</v>
      </c>
      <c r="K49" t="s">
        <v>206</v>
      </c>
      <c r="L49" t="s">
        <v>206</v>
      </c>
      <c r="M49" t="s">
        <v>291</v>
      </c>
      <c r="N49" t="s">
        <v>312</v>
      </c>
      <c r="O49" t="s">
        <v>182</v>
      </c>
      <c r="P49" t="s">
        <v>319</v>
      </c>
      <c r="Q49" t="s">
        <v>195</v>
      </c>
      <c r="R49" t="s">
        <v>324</v>
      </c>
      <c r="S49" t="s">
        <v>325</v>
      </c>
      <c r="AC49">
        <v>500000</v>
      </c>
      <c r="AF49" s="1">
        <v>500000</v>
      </c>
      <c r="AG49">
        <v>0</v>
      </c>
      <c r="AH49">
        <v>0</v>
      </c>
      <c r="AI49">
        <v>0</v>
      </c>
      <c r="AJ49">
        <v>500000</v>
      </c>
      <c r="AK49">
        <v>0</v>
      </c>
      <c r="AL49">
        <v>500000</v>
      </c>
    </row>
    <row r="50" spans="1:38">
      <c r="A50" t="s">
        <v>290</v>
      </c>
      <c r="B50" t="s">
        <v>291</v>
      </c>
      <c r="C50" t="s">
        <v>200</v>
      </c>
      <c r="D50" t="s">
        <v>201</v>
      </c>
      <c r="E50" t="s">
        <v>129</v>
      </c>
      <c r="F50">
        <v>2026</v>
      </c>
      <c r="G50" t="s">
        <v>202</v>
      </c>
      <c r="H50" t="s">
        <v>203</v>
      </c>
      <c r="I50" t="s">
        <v>204</v>
      </c>
      <c r="J50" t="s">
        <v>205</v>
      </c>
      <c r="K50" t="s">
        <v>206</v>
      </c>
      <c r="L50" t="s">
        <v>206</v>
      </c>
      <c r="M50" t="s">
        <v>291</v>
      </c>
      <c r="N50" t="s">
        <v>312</v>
      </c>
      <c r="O50" t="s">
        <v>170</v>
      </c>
      <c r="P50" t="s">
        <v>313</v>
      </c>
      <c r="Q50" t="s">
        <v>197</v>
      </c>
      <c r="R50" t="s">
        <v>326</v>
      </c>
      <c r="S50" t="s">
        <v>327</v>
      </c>
      <c r="AB50">
        <v>500000</v>
      </c>
      <c r="AF50" s="1">
        <v>500000</v>
      </c>
      <c r="AG50">
        <v>0</v>
      </c>
      <c r="AH50">
        <v>0</v>
      </c>
      <c r="AI50">
        <v>500000</v>
      </c>
      <c r="AJ50">
        <v>0</v>
      </c>
      <c r="AK50">
        <v>0</v>
      </c>
      <c r="AL50">
        <v>500000</v>
      </c>
    </row>
    <row r="51" spans="1:38">
      <c r="A51" t="s">
        <v>290</v>
      </c>
      <c r="B51" t="s">
        <v>291</v>
      </c>
      <c r="C51" t="s">
        <v>200</v>
      </c>
      <c r="D51" t="s">
        <v>201</v>
      </c>
      <c r="E51" t="s">
        <v>129</v>
      </c>
      <c r="F51">
        <v>2026</v>
      </c>
      <c r="G51" t="s">
        <v>202</v>
      </c>
      <c r="H51" t="s">
        <v>203</v>
      </c>
      <c r="I51" t="s">
        <v>204</v>
      </c>
      <c r="J51" t="s">
        <v>205</v>
      </c>
      <c r="K51" t="s">
        <v>206</v>
      </c>
      <c r="L51" t="s">
        <v>206</v>
      </c>
      <c r="M51" t="s">
        <v>291</v>
      </c>
      <c r="N51" t="s">
        <v>312</v>
      </c>
      <c r="O51" t="s">
        <v>182</v>
      </c>
      <c r="P51" t="s">
        <v>319</v>
      </c>
      <c r="Q51" t="s">
        <v>273</v>
      </c>
      <c r="R51" t="s">
        <v>328</v>
      </c>
      <c r="S51" t="s">
        <v>329</v>
      </c>
      <c r="T51">
        <v>150000</v>
      </c>
      <c r="U51">
        <v>0</v>
      </c>
      <c r="V51">
        <v>150000</v>
      </c>
      <c r="W51">
        <v>150000</v>
      </c>
      <c r="X51">
        <v>150000</v>
      </c>
      <c r="Y51">
        <v>300000</v>
      </c>
      <c r="Z51">
        <v>150000</v>
      </c>
      <c r="AA51">
        <v>300000</v>
      </c>
      <c r="AB51">
        <v>300000</v>
      </c>
      <c r="AC51">
        <v>150000</v>
      </c>
      <c r="AD51">
        <v>300000</v>
      </c>
      <c r="AE51">
        <v>150000</v>
      </c>
      <c r="AF51" s="1">
        <v>2250000</v>
      </c>
      <c r="AG51">
        <v>300000</v>
      </c>
      <c r="AH51">
        <v>600000</v>
      </c>
      <c r="AI51">
        <v>750000</v>
      </c>
      <c r="AJ51">
        <v>600000</v>
      </c>
      <c r="AK51">
        <v>900000</v>
      </c>
      <c r="AL51">
        <v>1350000</v>
      </c>
    </row>
    <row r="52" spans="1:38">
      <c r="A52" t="s">
        <v>290</v>
      </c>
      <c r="B52" t="s">
        <v>291</v>
      </c>
      <c r="C52" t="s">
        <v>200</v>
      </c>
      <c r="D52" t="s">
        <v>201</v>
      </c>
      <c r="E52" t="s">
        <v>129</v>
      </c>
      <c r="F52">
        <v>2026</v>
      </c>
      <c r="G52" t="s">
        <v>202</v>
      </c>
      <c r="H52" t="s">
        <v>203</v>
      </c>
      <c r="I52" t="s">
        <v>204</v>
      </c>
      <c r="J52" t="s">
        <v>205</v>
      </c>
      <c r="K52" t="s">
        <v>206</v>
      </c>
      <c r="L52" t="s">
        <v>206</v>
      </c>
      <c r="M52" t="s">
        <v>291</v>
      </c>
      <c r="N52" t="s">
        <v>312</v>
      </c>
      <c r="O52" t="s">
        <v>190</v>
      </c>
      <c r="P52" t="s">
        <v>330</v>
      </c>
      <c r="Q52" t="s">
        <v>276</v>
      </c>
      <c r="R52" t="s">
        <v>331</v>
      </c>
      <c r="S52" t="s">
        <v>190</v>
      </c>
      <c r="T52">
        <v>60000</v>
      </c>
      <c r="U52">
        <v>60000</v>
      </c>
      <c r="V52">
        <v>90000</v>
      </c>
      <c r="W52">
        <v>90000</v>
      </c>
      <c r="X52">
        <v>60000</v>
      </c>
      <c r="Y52">
        <v>90000</v>
      </c>
      <c r="Z52">
        <v>60000</v>
      </c>
      <c r="AA52">
        <v>90000</v>
      </c>
      <c r="AB52">
        <v>60000</v>
      </c>
      <c r="AC52">
        <v>90000</v>
      </c>
      <c r="AD52">
        <v>60000</v>
      </c>
      <c r="AE52">
        <v>90000</v>
      </c>
      <c r="AF52" s="1">
        <v>900000</v>
      </c>
      <c r="AG52">
        <v>210000</v>
      </c>
      <c r="AH52">
        <v>240000</v>
      </c>
      <c r="AI52">
        <v>210000</v>
      </c>
      <c r="AJ52">
        <v>240000</v>
      </c>
      <c r="AK52">
        <v>450000</v>
      </c>
      <c r="AL52">
        <v>450000</v>
      </c>
    </row>
    <row r="53" spans="1:38">
      <c r="A53" t="s">
        <v>290</v>
      </c>
      <c r="B53" t="s">
        <v>291</v>
      </c>
      <c r="C53" t="s">
        <v>200</v>
      </c>
      <c r="D53" t="s">
        <v>201</v>
      </c>
      <c r="E53" t="s">
        <v>129</v>
      </c>
      <c r="F53">
        <v>2026</v>
      </c>
      <c r="G53" t="s">
        <v>202</v>
      </c>
      <c r="H53" t="s">
        <v>203</v>
      </c>
      <c r="I53" t="s">
        <v>204</v>
      </c>
      <c r="J53" t="s">
        <v>205</v>
      </c>
      <c r="K53" t="s">
        <v>206</v>
      </c>
      <c r="L53" t="s">
        <v>206</v>
      </c>
      <c r="M53" t="s">
        <v>291</v>
      </c>
      <c r="N53" t="s">
        <v>312</v>
      </c>
      <c r="O53" t="s">
        <v>187</v>
      </c>
      <c r="P53" t="s">
        <v>332</v>
      </c>
      <c r="Q53" t="s">
        <v>280</v>
      </c>
      <c r="R53" t="s">
        <v>333</v>
      </c>
      <c r="S53" t="s">
        <v>334</v>
      </c>
      <c r="U53">
        <v>165000</v>
      </c>
      <c r="V53">
        <v>165000</v>
      </c>
      <c r="W53">
        <v>165000</v>
      </c>
      <c r="X53">
        <v>165000</v>
      </c>
      <c r="Y53">
        <v>165000</v>
      </c>
      <c r="Z53">
        <v>165000</v>
      </c>
      <c r="AA53">
        <v>165000</v>
      </c>
      <c r="AB53">
        <v>165000</v>
      </c>
      <c r="AC53">
        <v>165000</v>
      </c>
      <c r="AD53">
        <v>165000</v>
      </c>
      <c r="AF53" s="1">
        <v>1650000</v>
      </c>
      <c r="AG53">
        <v>330000</v>
      </c>
      <c r="AH53">
        <v>495000</v>
      </c>
      <c r="AI53">
        <v>495000</v>
      </c>
      <c r="AJ53">
        <v>330000</v>
      </c>
      <c r="AK53">
        <v>825000</v>
      </c>
      <c r="AL53">
        <v>825000</v>
      </c>
    </row>
    <row r="54" spans="1:38">
      <c r="A54" t="s">
        <v>290</v>
      </c>
      <c r="B54" t="s">
        <v>291</v>
      </c>
      <c r="C54" t="s">
        <v>200</v>
      </c>
      <c r="D54" t="s">
        <v>201</v>
      </c>
      <c r="E54" t="s">
        <v>129</v>
      </c>
      <c r="F54">
        <v>2026</v>
      </c>
      <c r="G54" t="s">
        <v>202</v>
      </c>
      <c r="H54" t="s">
        <v>203</v>
      </c>
      <c r="I54" t="s">
        <v>204</v>
      </c>
      <c r="J54" t="s">
        <v>205</v>
      </c>
      <c r="K54" t="s">
        <v>206</v>
      </c>
      <c r="L54" t="s">
        <v>206</v>
      </c>
      <c r="M54" t="s">
        <v>291</v>
      </c>
      <c r="N54" t="s">
        <v>312</v>
      </c>
      <c r="O54" t="s">
        <v>192</v>
      </c>
      <c r="P54" t="s">
        <v>335</v>
      </c>
      <c r="Q54" t="s">
        <v>283</v>
      </c>
      <c r="R54" t="s">
        <v>336</v>
      </c>
      <c r="S54" t="s">
        <v>192</v>
      </c>
      <c r="Y54">
        <v>500000</v>
      </c>
      <c r="AE54">
        <v>500000</v>
      </c>
      <c r="AF54" s="1">
        <v>1000000</v>
      </c>
      <c r="AG54">
        <v>0</v>
      </c>
      <c r="AH54">
        <v>500000</v>
      </c>
      <c r="AI54">
        <v>0</v>
      </c>
      <c r="AJ54">
        <v>500000</v>
      </c>
      <c r="AK54">
        <v>500000</v>
      </c>
      <c r="AL54">
        <v>500000</v>
      </c>
    </row>
    <row r="55" spans="1:38">
      <c r="A55" t="s">
        <v>290</v>
      </c>
      <c r="B55" t="s">
        <v>291</v>
      </c>
      <c r="C55" t="s">
        <v>200</v>
      </c>
      <c r="D55" t="s">
        <v>201</v>
      </c>
      <c r="E55" t="s">
        <v>129</v>
      </c>
      <c r="F55">
        <v>2026</v>
      </c>
      <c r="G55" t="s">
        <v>202</v>
      </c>
      <c r="H55" t="s">
        <v>203</v>
      </c>
      <c r="I55" t="s">
        <v>204</v>
      </c>
      <c r="J55" t="s">
        <v>205</v>
      </c>
      <c r="K55" t="s">
        <v>206</v>
      </c>
      <c r="L55" t="s">
        <v>206</v>
      </c>
      <c r="M55" t="s">
        <v>291</v>
      </c>
      <c r="N55" t="s">
        <v>312</v>
      </c>
      <c r="O55" t="s">
        <v>194</v>
      </c>
      <c r="P55" t="s">
        <v>316</v>
      </c>
      <c r="Q55" t="s">
        <v>286</v>
      </c>
      <c r="R55" t="s">
        <v>337</v>
      </c>
      <c r="S55" t="s">
        <v>338</v>
      </c>
      <c r="U55">
        <v>300000</v>
      </c>
      <c r="AF55" s="1">
        <v>300000</v>
      </c>
      <c r="AG55">
        <v>300000</v>
      </c>
      <c r="AH55">
        <v>0</v>
      </c>
      <c r="AI55">
        <v>0</v>
      </c>
      <c r="AJ55">
        <v>0</v>
      </c>
      <c r="AK55">
        <v>300000</v>
      </c>
      <c r="AL55">
        <v>0</v>
      </c>
    </row>
    <row r="56" spans="1:38">
      <c r="A56" t="s">
        <v>290</v>
      </c>
      <c r="B56" t="s">
        <v>291</v>
      </c>
      <c r="C56" t="s">
        <v>200</v>
      </c>
      <c r="D56" t="s">
        <v>201</v>
      </c>
      <c r="E56" t="s">
        <v>129</v>
      </c>
      <c r="F56">
        <v>2026</v>
      </c>
      <c r="G56" t="s">
        <v>202</v>
      </c>
      <c r="H56" t="s">
        <v>203</v>
      </c>
      <c r="I56" t="s">
        <v>204</v>
      </c>
      <c r="J56" t="s">
        <v>205</v>
      </c>
      <c r="K56" t="s">
        <v>206</v>
      </c>
      <c r="L56" t="s">
        <v>206</v>
      </c>
      <c r="M56" t="s">
        <v>291</v>
      </c>
      <c r="N56" t="s">
        <v>339</v>
      </c>
      <c r="O56" t="s">
        <v>194</v>
      </c>
      <c r="P56" t="s">
        <v>340</v>
      </c>
      <c r="Q56" t="s">
        <v>289</v>
      </c>
      <c r="R56" t="s">
        <v>341</v>
      </c>
      <c r="S56" t="s">
        <v>342</v>
      </c>
      <c r="V56">
        <v>10000</v>
      </c>
      <c r="W56">
        <v>10000</v>
      </c>
      <c r="X56">
        <v>10000</v>
      </c>
      <c r="Y56">
        <v>10000</v>
      </c>
      <c r="Z56">
        <v>10000</v>
      </c>
      <c r="AA56">
        <v>10000</v>
      </c>
      <c r="AB56">
        <v>10000</v>
      </c>
      <c r="AC56">
        <v>10000</v>
      </c>
      <c r="AD56">
        <v>10000</v>
      </c>
      <c r="AE56">
        <v>10000</v>
      </c>
      <c r="AF56" s="1">
        <v>100000</v>
      </c>
      <c r="AG56">
        <v>10000</v>
      </c>
      <c r="AH56">
        <v>30000</v>
      </c>
      <c r="AI56">
        <v>30000</v>
      </c>
      <c r="AJ56">
        <v>30000</v>
      </c>
      <c r="AK56">
        <v>40000</v>
      </c>
      <c r="AL56">
        <v>60000</v>
      </c>
    </row>
    <row r="57" spans="1:38">
      <c r="A57" t="s">
        <v>290</v>
      </c>
      <c r="B57" t="s">
        <v>291</v>
      </c>
      <c r="C57" t="s">
        <v>200</v>
      </c>
      <c r="D57" t="s">
        <v>201</v>
      </c>
      <c r="E57" t="s">
        <v>129</v>
      </c>
      <c r="F57">
        <v>2026</v>
      </c>
      <c r="G57" t="s">
        <v>202</v>
      </c>
      <c r="H57" t="s">
        <v>203</v>
      </c>
      <c r="I57" t="s">
        <v>204</v>
      </c>
      <c r="J57" t="s">
        <v>205</v>
      </c>
      <c r="K57" t="s">
        <v>206</v>
      </c>
      <c r="L57" t="s">
        <v>206</v>
      </c>
      <c r="M57" t="s">
        <v>291</v>
      </c>
      <c r="N57" t="s">
        <v>339</v>
      </c>
      <c r="O57" t="s">
        <v>194</v>
      </c>
      <c r="P57" t="s">
        <v>340</v>
      </c>
      <c r="Q57" t="s">
        <v>343</v>
      </c>
      <c r="R57" t="s">
        <v>344</v>
      </c>
      <c r="S57" t="s">
        <v>345</v>
      </c>
      <c r="AE57">
        <v>100000</v>
      </c>
      <c r="AF57" s="1">
        <v>100000</v>
      </c>
      <c r="AG57">
        <v>0</v>
      </c>
      <c r="AH57">
        <v>0</v>
      </c>
      <c r="AI57">
        <v>0</v>
      </c>
      <c r="AJ57">
        <v>100000</v>
      </c>
      <c r="AK57">
        <v>0</v>
      </c>
      <c r="AL57">
        <v>100000</v>
      </c>
    </row>
    <row r="58" spans="1:38">
      <c r="A58" t="s">
        <v>290</v>
      </c>
      <c r="B58" t="s">
        <v>291</v>
      </c>
      <c r="C58" t="s">
        <v>200</v>
      </c>
      <c r="D58" t="s">
        <v>201</v>
      </c>
      <c r="E58" t="s">
        <v>129</v>
      </c>
      <c r="F58">
        <v>2026</v>
      </c>
      <c r="G58" t="s">
        <v>202</v>
      </c>
      <c r="H58" t="s">
        <v>203</v>
      </c>
      <c r="I58" t="s">
        <v>204</v>
      </c>
      <c r="J58" t="s">
        <v>205</v>
      </c>
      <c r="K58" t="s">
        <v>206</v>
      </c>
      <c r="L58" t="s">
        <v>206</v>
      </c>
      <c r="M58" t="s">
        <v>291</v>
      </c>
      <c r="N58" t="s">
        <v>339</v>
      </c>
      <c r="O58" t="s">
        <v>194</v>
      </c>
      <c r="P58" t="s">
        <v>340</v>
      </c>
      <c r="Q58" t="s">
        <v>346</v>
      </c>
      <c r="R58" t="s">
        <v>347</v>
      </c>
      <c r="S58" t="s">
        <v>135</v>
      </c>
      <c r="T58">
        <v>20000</v>
      </c>
      <c r="U58">
        <v>20000</v>
      </c>
      <c r="V58">
        <v>26000</v>
      </c>
      <c r="W58">
        <v>26000</v>
      </c>
      <c r="X58">
        <v>26000</v>
      </c>
      <c r="Y58">
        <v>26000</v>
      </c>
      <c r="Z58">
        <v>26000</v>
      </c>
      <c r="AA58">
        <v>26000</v>
      </c>
      <c r="AB58">
        <v>26000</v>
      </c>
      <c r="AC58">
        <v>26000</v>
      </c>
      <c r="AD58">
        <v>26000</v>
      </c>
      <c r="AE58">
        <v>26000</v>
      </c>
      <c r="AF58" s="1">
        <v>300000</v>
      </c>
      <c r="AG58">
        <v>66000</v>
      </c>
      <c r="AH58">
        <v>78000</v>
      </c>
      <c r="AI58">
        <v>78000</v>
      </c>
      <c r="AJ58">
        <v>78000</v>
      </c>
      <c r="AK58">
        <v>144000</v>
      </c>
      <c r="AL58">
        <v>156000</v>
      </c>
    </row>
    <row r="59" spans="1:38">
      <c r="A59" t="s">
        <v>348</v>
      </c>
      <c r="B59" t="s">
        <v>349</v>
      </c>
      <c r="C59" t="s">
        <v>200</v>
      </c>
      <c r="D59" t="s">
        <v>201</v>
      </c>
      <c r="E59" t="s">
        <v>96</v>
      </c>
      <c r="F59">
        <v>2026</v>
      </c>
      <c r="G59" t="s">
        <v>202</v>
      </c>
      <c r="H59" t="s">
        <v>203</v>
      </c>
      <c r="I59" t="s">
        <v>204</v>
      </c>
      <c r="J59" t="s">
        <v>205</v>
      </c>
      <c r="K59" t="s">
        <v>350</v>
      </c>
      <c r="L59" t="s">
        <v>350</v>
      </c>
      <c r="M59" t="s">
        <v>349</v>
      </c>
      <c r="N59" t="s">
        <v>351</v>
      </c>
      <c r="O59" t="s">
        <v>182</v>
      </c>
      <c r="P59" t="s">
        <v>352</v>
      </c>
      <c r="Q59" t="s">
        <v>208</v>
      </c>
      <c r="R59" t="s">
        <v>353</v>
      </c>
      <c r="S59" t="s">
        <v>354</v>
      </c>
      <c r="T59">
        <v>194000</v>
      </c>
      <c r="U59">
        <v>194000</v>
      </c>
      <c r="V59">
        <v>1070000</v>
      </c>
      <c r="Y59">
        <v>1458000</v>
      </c>
      <c r="AB59">
        <v>1358000</v>
      </c>
      <c r="AE59">
        <v>1164000</v>
      </c>
      <c r="AF59" s="1">
        <v>5438000</v>
      </c>
      <c r="AG59">
        <v>1458000</v>
      </c>
      <c r="AH59">
        <v>1458000</v>
      </c>
      <c r="AI59">
        <v>1358000</v>
      </c>
      <c r="AJ59">
        <v>1164000</v>
      </c>
      <c r="AK59">
        <v>2916000</v>
      </c>
      <c r="AL59">
        <v>2522000</v>
      </c>
    </row>
    <row r="60" spans="1:38">
      <c r="A60" t="s">
        <v>348</v>
      </c>
      <c r="B60" t="s">
        <v>349</v>
      </c>
      <c r="C60" t="s">
        <v>200</v>
      </c>
      <c r="D60" t="s">
        <v>201</v>
      </c>
      <c r="E60" t="s">
        <v>96</v>
      </c>
      <c r="F60">
        <v>2026</v>
      </c>
      <c r="G60" t="s">
        <v>202</v>
      </c>
      <c r="H60" t="s">
        <v>203</v>
      </c>
      <c r="I60" t="s">
        <v>204</v>
      </c>
      <c r="J60" t="s">
        <v>205</v>
      </c>
      <c r="K60" t="s">
        <v>350</v>
      </c>
      <c r="L60" t="s">
        <v>350</v>
      </c>
      <c r="M60" t="s">
        <v>349</v>
      </c>
      <c r="N60" t="s">
        <v>351</v>
      </c>
      <c r="O60" t="s">
        <v>182</v>
      </c>
      <c r="P60" t="s">
        <v>352</v>
      </c>
      <c r="Q60" t="s">
        <v>211</v>
      </c>
      <c r="R60" t="s">
        <v>355</v>
      </c>
      <c r="S60" t="s">
        <v>356</v>
      </c>
      <c r="T60">
        <v>0</v>
      </c>
      <c r="U60">
        <v>192000</v>
      </c>
      <c r="V60">
        <v>288000</v>
      </c>
      <c r="Y60">
        <v>480000</v>
      </c>
      <c r="AB60">
        <v>480000</v>
      </c>
      <c r="AE60">
        <v>288000</v>
      </c>
      <c r="AF60" s="1">
        <v>1728000</v>
      </c>
      <c r="AG60">
        <v>480000</v>
      </c>
      <c r="AH60">
        <v>480000</v>
      </c>
      <c r="AI60">
        <v>480000</v>
      </c>
      <c r="AJ60">
        <v>288000</v>
      </c>
      <c r="AK60">
        <v>960000</v>
      </c>
      <c r="AL60">
        <v>768000</v>
      </c>
    </row>
    <row r="61" spans="1:38">
      <c r="A61" t="s">
        <v>348</v>
      </c>
      <c r="B61" t="s">
        <v>349</v>
      </c>
      <c r="C61" t="s">
        <v>200</v>
      </c>
      <c r="D61" t="s">
        <v>201</v>
      </c>
      <c r="E61" t="s">
        <v>96</v>
      </c>
      <c r="F61">
        <v>2026</v>
      </c>
      <c r="G61" t="s">
        <v>202</v>
      </c>
      <c r="H61" t="s">
        <v>203</v>
      </c>
      <c r="I61" t="s">
        <v>204</v>
      </c>
      <c r="J61" t="s">
        <v>205</v>
      </c>
      <c r="K61" t="s">
        <v>350</v>
      </c>
      <c r="L61" t="s">
        <v>350</v>
      </c>
      <c r="M61" t="s">
        <v>349</v>
      </c>
      <c r="N61" t="s">
        <v>351</v>
      </c>
      <c r="O61" t="s">
        <v>182</v>
      </c>
      <c r="P61" t="s">
        <v>352</v>
      </c>
      <c r="Q61" t="s">
        <v>173</v>
      </c>
      <c r="R61" t="s">
        <v>357</v>
      </c>
      <c r="S61" t="s">
        <v>358</v>
      </c>
      <c r="Y61">
        <v>1700000</v>
      </c>
      <c r="Z61">
        <v>1200000</v>
      </c>
      <c r="AB61">
        <v>600000</v>
      </c>
      <c r="AF61" s="1">
        <v>3500000</v>
      </c>
      <c r="AG61">
        <v>0</v>
      </c>
      <c r="AH61">
        <v>1700000</v>
      </c>
      <c r="AI61">
        <v>1800000</v>
      </c>
      <c r="AJ61">
        <v>0</v>
      </c>
      <c r="AK61">
        <v>1700000</v>
      </c>
      <c r="AL61">
        <v>1800000</v>
      </c>
    </row>
    <row r="62" spans="1:38">
      <c r="A62" t="s">
        <v>348</v>
      </c>
      <c r="B62" t="s">
        <v>349</v>
      </c>
      <c r="C62" t="s">
        <v>200</v>
      </c>
      <c r="D62" t="s">
        <v>201</v>
      </c>
      <c r="E62" t="s">
        <v>96</v>
      </c>
      <c r="F62">
        <v>2026</v>
      </c>
      <c r="G62" t="s">
        <v>202</v>
      </c>
      <c r="H62" t="s">
        <v>203</v>
      </c>
      <c r="I62" t="s">
        <v>204</v>
      </c>
      <c r="J62" t="s">
        <v>205</v>
      </c>
      <c r="K62" t="s">
        <v>350</v>
      </c>
      <c r="L62" t="s">
        <v>350</v>
      </c>
      <c r="M62" t="s">
        <v>349</v>
      </c>
      <c r="N62" t="s">
        <v>351</v>
      </c>
      <c r="O62" t="s">
        <v>359</v>
      </c>
      <c r="P62" t="s">
        <v>360</v>
      </c>
      <c r="Q62" t="s">
        <v>175</v>
      </c>
      <c r="R62" t="s">
        <v>361</v>
      </c>
      <c r="S62" t="s">
        <v>362</v>
      </c>
      <c r="AF62" s="1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>
      <c r="A63" t="s">
        <v>348</v>
      </c>
      <c r="B63" t="s">
        <v>349</v>
      </c>
      <c r="C63" t="s">
        <v>200</v>
      </c>
      <c r="D63" t="s">
        <v>201</v>
      </c>
      <c r="E63" t="s">
        <v>96</v>
      </c>
      <c r="F63">
        <v>2026</v>
      </c>
      <c r="G63" t="s">
        <v>202</v>
      </c>
      <c r="H63" t="s">
        <v>203</v>
      </c>
      <c r="I63" t="s">
        <v>204</v>
      </c>
      <c r="J63" t="s">
        <v>205</v>
      </c>
      <c r="K63" t="s">
        <v>350</v>
      </c>
      <c r="L63" t="s">
        <v>350</v>
      </c>
      <c r="M63" t="s">
        <v>349</v>
      </c>
      <c r="N63" t="s">
        <v>351</v>
      </c>
      <c r="O63" t="s">
        <v>359</v>
      </c>
      <c r="P63" t="s">
        <v>360</v>
      </c>
      <c r="Q63" t="s">
        <v>177</v>
      </c>
      <c r="R63" t="s">
        <v>363</v>
      </c>
      <c r="S63" t="s">
        <v>364</v>
      </c>
      <c r="AE63">
        <v>900000</v>
      </c>
      <c r="AF63" s="1">
        <v>900000</v>
      </c>
      <c r="AG63">
        <v>0</v>
      </c>
      <c r="AH63">
        <v>0</v>
      </c>
      <c r="AI63">
        <v>0</v>
      </c>
      <c r="AJ63">
        <v>900000</v>
      </c>
      <c r="AK63">
        <v>0</v>
      </c>
      <c r="AL63">
        <v>900000</v>
      </c>
    </row>
    <row r="64" spans="1:38">
      <c r="A64" t="s">
        <v>348</v>
      </c>
      <c r="B64" t="s">
        <v>349</v>
      </c>
      <c r="C64" t="s">
        <v>200</v>
      </c>
      <c r="D64" t="s">
        <v>201</v>
      </c>
      <c r="E64" t="s">
        <v>96</v>
      </c>
      <c r="F64">
        <v>2026</v>
      </c>
      <c r="G64" t="s">
        <v>202</v>
      </c>
      <c r="H64" t="s">
        <v>203</v>
      </c>
      <c r="I64" t="s">
        <v>204</v>
      </c>
      <c r="J64" t="s">
        <v>205</v>
      </c>
      <c r="K64" t="s">
        <v>350</v>
      </c>
      <c r="L64" t="s">
        <v>350</v>
      </c>
      <c r="M64" t="s">
        <v>349</v>
      </c>
      <c r="N64" t="s">
        <v>351</v>
      </c>
      <c r="O64" t="s">
        <v>359</v>
      </c>
      <c r="P64" t="s">
        <v>360</v>
      </c>
      <c r="Q64" t="s">
        <v>180</v>
      </c>
      <c r="R64" t="s">
        <v>365</v>
      </c>
      <c r="S64" t="s">
        <v>366</v>
      </c>
      <c r="T64">
        <v>800000</v>
      </c>
      <c r="W64">
        <v>800000</v>
      </c>
      <c r="AC64">
        <v>800000</v>
      </c>
      <c r="AF64" s="1">
        <v>2400000</v>
      </c>
      <c r="AG64">
        <v>800000</v>
      </c>
      <c r="AH64">
        <v>800000</v>
      </c>
      <c r="AI64">
        <v>0</v>
      </c>
      <c r="AJ64">
        <v>800000</v>
      </c>
      <c r="AK64">
        <v>1600000</v>
      </c>
      <c r="AL64">
        <v>800000</v>
      </c>
    </row>
    <row r="65" spans="1:38">
      <c r="A65" t="s">
        <v>348</v>
      </c>
      <c r="B65" t="s">
        <v>349</v>
      </c>
      <c r="C65" t="s">
        <v>200</v>
      </c>
      <c r="D65" t="s">
        <v>201</v>
      </c>
      <c r="E65" t="s">
        <v>96</v>
      </c>
      <c r="F65">
        <v>2026</v>
      </c>
      <c r="G65" t="s">
        <v>202</v>
      </c>
      <c r="H65" t="s">
        <v>203</v>
      </c>
      <c r="I65" t="s">
        <v>204</v>
      </c>
      <c r="J65" t="s">
        <v>205</v>
      </c>
      <c r="K65" t="s">
        <v>350</v>
      </c>
      <c r="L65" t="s">
        <v>350</v>
      </c>
      <c r="M65" t="s">
        <v>349</v>
      </c>
      <c r="N65" t="s">
        <v>351</v>
      </c>
      <c r="O65" t="s">
        <v>359</v>
      </c>
      <c r="P65" t="s">
        <v>360</v>
      </c>
      <c r="Q65" t="s">
        <v>178</v>
      </c>
      <c r="R65" t="s">
        <v>367</v>
      </c>
      <c r="S65" t="s">
        <v>368</v>
      </c>
      <c r="Y65">
        <v>563000</v>
      </c>
      <c r="AC65">
        <v>563000</v>
      </c>
      <c r="AF65" s="1">
        <v>1126000</v>
      </c>
      <c r="AG65">
        <v>0</v>
      </c>
      <c r="AH65">
        <v>563000</v>
      </c>
      <c r="AI65">
        <v>0</v>
      </c>
      <c r="AJ65">
        <v>563000</v>
      </c>
      <c r="AK65">
        <v>563000</v>
      </c>
      <c r="AL65">
        <v>563000</v>
      </c>
    </row>
    <row r="66" spans="1:38">
      <c r="A66" t="s">
        <v>348</v>
      </c>
      <c r="B66" t="s">
        <v>349</v>
      </c>
      <c r="C66" t="s">
        <v>200</v>
      </c>
      <c r="D66" t="s">
        <v>201</v>
      </c>
      <c r="E66" t="s">
        <v>96</v>
      </c>
      <c r="F66">
        <v>2026</v>
      </c>
      <c r="G66" t="s">
        <v>202</v>
      </c>
      <c r="H66" t="s">
        <v>203</v>
      </c>
      <c r="I66" t="s">
        <v>204</v>
      </c>
      <c r="J66" t="s">
        <v>205</v>
      </c>
      <c r="K66" t="s">
        <v>350</v>
      </c>
      <c r="L66" t="s">
        <v>350</v>
      </c>
      <c r="M66" t="s">
        <v>349</v>
      </c>
      <c r="N66" t="s">
        <v>351</v>
      </c>
      <c r="O66" t="s">
        <v>359</v>
      </c>
      <c r="P66" t="s">
        <v>360</v>
      </c>
      <c r="Q66" t="s">
        <v>183</v>
      </c>
      <c r="R66" t="s">
        <v>369</v>
      </c>
      <c r="S66" t="s">
        <v>370</v>
      </c>
      <c r="W66">
        <v>7400000</v>
      </c>
      <c r="AE66">
        <v>12600000</v>
      </c>
      <c r="AF66" s="1">
        <v>20000000</v>
      </c>
      <c r="AG66">
        <v>0</v>
      </c>
      <c r="AH66">
        <v>7400000</v>
      </c>
      <c r="AI66">
        <v>0</v>
      </c>
      <c r="AJ66">
        <v>12600000</v>
      </c>
      <c r="AK66">
        <v>7400000</v>
      </c>
      <c r="AL66">
        <v>12600000</v>
      </c>
    </row>
    <row r="67" spans="1:38">
      <c r="A67" t="s">
        <v>348</v>
      </c>
      <c r="B67" t="s">
        <v>349</v>
      </c>
      <c r="C67" t="s">
        <v>200</v>
      </c>
      <c r="D67" t="s">
        <v>201</v>
      </c>
      <c r="E67" t="s">
        <v>96</v>
      </c>
      <c r="F67">
        <v>2026</v>
      </c>
      <c r="G67" t="s">
        <v>202</v>
      </c>
      <c r="H67" t="s">
        <v>203</v>
      </c>
      <c r="I67" t="s">
        <v>204</v>
      </c>
      <c r="J67" t="s">
        <v>205</v>
      </c>
      <c r="K67" t="s">
        <v>350</v>
      </c>
      <c r="L67" t="s">
        <v>350</v>
      </c>
      <c r="M67" t="s">
        <v>349</v>
      </c>
      <c r="N67" t="s">
        <v>351</v>
      </c>
      <c r="O67" t="s">
        <v>371</v>
      </c>
      <c r="P67" t="s">
        <v>372</v>
      </c>
      <c r="Q67" t="s">
        <v>185</v>
      </c>
      <c r="R67" t="s">
        <v>373</v>
      </c>
      <c r="S67" t="s">
        <v>374</v>
      </c>
      <c r="AE67">
        <v>1000000</v>
      </c>
      <c r="AF67" s="1">
        <v>1000000</v>
      </c>
      <c r="AG67">
        <v>0</v>
      </c>
      <c r="AH67">
        <v>0</v>
      </c>
      <c r="AI67">
        <v>0</v>
      </c>
      <c r="AJ67">
        <v>1000000</v>
      </c>
      <c r="AK67">
        <v>0</v>
      </c>
      <c r="AL67">
        <v>1000000</v>
      </c>
    </row>
    <row r="68" spans="1:38">
      <c r="A68" t="s">
        <v>348</v>
      </c>
      <c r="B68" t="s">
        <v>349</v>
      </c>
      <c r="C68" t="s">
        <v>200</v>
      </c>
      <c r="D68" t="s">
        <v>201</v>
      </c>
      <c r="E68" t="s">
        <v>96</v>
      </c>
      <c r="F68">
        <v>2026</v>
      </c>
      <c r="G68" t="s">
        <v>202</v>
      </c>
      <c r="H68" t="s">
        <v>203</v>
      </c>
      <c r="I68" t="s">
        <v>204</v>
      </c>
      <c r="J68" t="s">
        <v>205</v>
      </c>
      <c r="K68" t="s">
        <v>350</v>
      </c>
      <c r="L68" t="s">
        <v>350</v>
      </c>
      <c r="M68" t="s">
        <v>349</v>
      </c>
      <c r="N68" t="s">
        <v>351</v>
      </c>
      <c r="O68" t="s">
        <v>371</v>
      </c>
      <c r="P68" t="s">
        <v>372</v>
      </c>
      <c r="Q68" t="s">
        <v>188</v>
      </c>
      <c r="R68" t="s">
        <v>375</v>
      </c>
      <c r="S68" t="s">
        <v>376</v>
      </c>
      <c r="AE68">
        <v>2200000</v>
      </c>
      <c r="AF68" s="1">
        <v>2200000</v>
      </c>
      <c r="AG68">
        <v>0</v>
      </c>
      <c r="AH68">
        <v>0</v>
      </c>
      <c r="AI68">
        <v>0</v>
      </c>
      <c r="AJ68">
        <v>2200000</v>
      </c>
      <c r="AK68">
        <v>0</v>
      </c>
      <c r="AL68">
        <v>2200000</v>
      </c>
    </row>
    <row r="69" spans="1:38">
      <c r="A69" t="s">
        <v>348</v>
      </c>
      <c r="B69" t="s">
        <v>349</v>
      </c>
      <c r="C69" t="s">
        <v>200</v>
      </c>
      <c r="D69" t="s">
        <v>201</v>
      </c>
      <c r="E69" t="s">
        <v>96</v>
      </c>
      <c r="F69">
        <v>2026</v>
      </c>
      <c r="G69" t="s">
        <v>202</v>
      </c>
      <c r="H69" t="s">
        <v>203</v>
      </c>
      <c r="I69" t="s">
        <v>204</v>
      </c>
      <c r="J69" t="s">
        <v>205</v>
      </c>
      <c r="K69" t="s">
        <v>350</v>
      </c>
      <c r="L69" t="s">
        <v>350</v>
      </c>
      <c r="M69" t="s">
        <v>349</v>
      </c>
      <c r="N69" t="s">
        <v>351</v>
      </c>
      <c r="O69" t="s">
        <v>371</v>
      </c>
      <c r="P69" t="s">
        <v>372</v>
      </c>
      <c r="Q69" t="s">
        <v>191</v>
      </c>
      <c r="R69" t="s">
        <v>377</v>
      </c>
      <c r="S69" t="s">
        <v>378</v>
      </c>
      <c r="AC69">
        <v>2400000</v>
      </c>
      <c r="AF69" s="1">
        <v>2400000</v>
      </c>
      <c r="AG69">
        <v>0</v>
      </c>
      <c r="AH69">
        <v>0</v>
      </c>
      <c r="AI69">
        <v>0</v>
      </c>
      <c r="AJ69">
        <v>2400000</v>
      </c>
      <c r="AK69">
        <v>0</v>
      </c>
      <c r="AL69">
        <v>2400000</v>
      </c>
    </row>
    <row r="70" spans="1:38">
      <c r="B70" t="s">
        <v>349</v>
      </c>
      <c r="C70" t="s">
        <v>200</v>
      </c>
      <c r="D70" t="s">
        <v>201</v>
      </c>
      <c r="E70" t="s">
        <v>96</v>
      </c>
      <c r="N70" t="s">
        <v>351</v>
      </c>
      <c r="O70" t="s">
        <v>371</v>
      </c>
      <c r="P70" t="s">
        <v>372</v>
      </c>
      <c r="Q70" t="s">
        <v>193</v>
      </c>
      <c r="R70" t="s">
        <v>379</v>
      </c>
      <c r="S70" t="s">
        <v>380</v>
      </c>
      <c r="U70">
        <v>1000000</v>
      </c>
      <c r="AC70">
        <v>3150000</v>
      </c>
      <c r="AF70" s="1">
        <v>4150000</v>
      </c>
      <c r="AG70">
        <v>1000000</v>
      </c>
      <c r="AH70">
        <v>0</v>
      </c>
      <c r="AI70">
        <v>0</v>
      </c>
      <c r="AJ70">
        <v>3150000</v>
      </c>
      <c r="AK70">
        <v>1000000</v>
      </c>
      <c r="AL70">
        <v>3150000</v>
      </c>
    </row>
    <row r="71" spans="1:38">
      <c r="A71" t="s">
        <v>348</v>
      </c>
      <c r="B71" t="s">
        <v>349</v>
      </c>
      <c r="C71" t="s">
        <v>200</v>
      </c>
      <c r="D71" t="s">
        <v>201</v>
      </c>
      <c r="E71" t="s">
        <v>96</v>
      </c>
      <c r="F71">
        <v>2026</v>
      </c>
      <c r="G71" t="s">
        <v>202</v>
      </c>
      <c r="H71" t="s">
        <v>203</v>
      </c>
      <c r="I71" t="s">
        <v>204</v>
      </c>
      <c r="J71" t="s">
        <v>205</v>
      </c>
      <c r="K71" t="s">
        <v>350</v>
      </c>
      <c r="L71" t="s">
        <v>350</v>
      </c>
      <c r="M71" t="s">
        <v>349</v>
      </c>
      <c r="N71" t="s">
        <v>351</v>
      </c>
      <c r="O71" t="s">
        <v>381</v>
      </c>
      <c r="P71" t="s">
        <v>382</v>
      </c>
      <c r="Q71" t="s">
        <v>195</v>
      </c>
      <c r="R71" t="s">
        <v>383</v>
      </c>
      <c r="S71" t="s">
        <v>384</v>
      </c>
      <c r="U71">
        <v>150000</v>
      </c>
      <c r="Y71">
        <v>150000</v>
      </c>
      <c r="AD71">
        <v>150000</v>
      </c>
      <c r="AE71">
        <v>150000</v>
      </c>
      <c r="AF71" s="1">
        <v>600000</v>
      </c>
      <c r="AG71">
        <v>150000</v>
      </c>
      <c r="AH71">
        <v>150000</v>
      </c>
      <c r="AI71">
        <v>0</v>
      </c>
      <c r="AJ71">
        <v>300000</v>
      </c>
      <c r="AK71">
        <v>300000</v>
      </c>
      <c r="AL71">
        <v>300000</v>
      </c>
    </row>
    <row r="72" spans="1:38">
      <c r="A72" t="s">
        <v>348</v>
      </c>
      <c r="B72" t="s">
        <v>349</v>
      </c>
      <c r="C72" t="s">
        <v>200</v>
      </c>
      <c r="D72" t="s">
        <v>201</v>
      </c>
      <c r="E72" t="s">
        <v>96</v>
      </c>
      <c r="F72">
        <v>2026</v>
      </c>
      <c r="G72" t="s">
        <v>202</v>
      </c>
      <c r="H72" t="s">
        <v>203</v>
      </c>
      <c r="I72" t="s">
        <v>204</v>
      </c>
      <c r="J72" t="s">
        <v>205</v>
      </c>
      <c r="K72" t="s">
        <v>350</v>
      </c>
      <c r="L72" t="s">
        <v>350</v>
      </c>
      <c r="M72" t="s">
        <v>349</v>
      </c>
      <c r="N72" t="s">
        <v>351</v>
      </c>
      <c r="O72" t="s">
        <v>381</v>
      </c>
      <c r="P72" t="s">
        <v>382</v>
      </c>
      <c r="Q72" t="s">
        <v>197</v>
      </c>
      <c r="R72" t="s">
        <v>385</v>
      </c>
      <c r="S72" t="s">
        <v>386</v>
      </c>
      <c r="Y72">
        <v>600000</v>
      </c>
      <c r="AD72">
        <v>600000</v>
      </c>
      <c r="AF72" s="1">
        <v>1200000</v>
      </c>
      <c r="AG72">
        <v>0</v>
      </c>
      <c r="AH72">
        <v>600000</v>
      </c>
      <c r="AI72">
        <v>0</v>
      </c>
      <c r="AJ72">
        <v>600000</v>
      </c>
      <c r="AK72">
        <v>600000</v>
      </c>
      <c r="AL72">
        <v>600000</v>
      </c>
    </row>
    <row r="73" spans="1:38">
      <c r="A73" t="s">
        <v>348</v>
      </c>
      <c r="B73" t="s">
        <v>349</v>
      </c>
      <c r="C73" t="s">
        <v>200</v>
      </c>
      <c r="D73" t="s">
        <v>201</v>
      </c>
      <c r="E73" t="s">
        <v>96</v>
      </c>
      <c r="F73">
        <v>2026</v>
      </c>
      <c r="G73" t="s">
        <v>202</v>
      </c>
      <c r="H73" t="s">
        <v>203</v>
      </c>
      <c r="I73" t="s">
        <v>204</v>
      </c>
      <c r="J73" t="s">
        <v>205</v>
      </c>
      <c r="K73" t="s">
        <v>350</v>
      </c>
      <c r="L73" t="s">
        <v>350</v>
      </c>
      <c r="M73" t="s">
        <v>349</v>
      </c>
      <c r="N73" t="s">
        <v>351</v>
      </c>
      <c r="O73" t="s">
        <v>187</v>
      </c>
      <c r="P73" t="s">
        <v>387</v>
      </c>
      <c r="Q73" t="s">
        <v>273</v>
      </c>
      <c r="R73" t="s">
        <v>388</v>
      </c>
      <c r="S73" t="s">
        <v>389</v>
      </c>
      <c r="W73">
        <v>300000</v>
      </c>
      <c r="AB73">
        <v>300000</v>
      </c>
      <c r="AF73" s="1">
        <v>600000</v>
      </c>
      <c r="AG73">
        <v>0</v>
      </c>
      <c r="AH73">
        <v>300000</v>
      </c>
      <c r="AI73">
        <v>300000</v>
      </c>
      <c r="AJ73">
        <v>0</v>
      </c>
      <c r="AK73">
        <v>300000</v>
      </c>
      <c r="AL73">
        <v>300000</v>
      </c>
    </row>
    <row r="74" spans="1:38">
      <c r="A74" t="s">
        <v>348</v>
      </c>
      <c r="B74" t="s">
        <v>349</v>
      </c>
      <c r="C74" t="s">
        <v>200</v>
      </c>
      <c r="D74" t="s">
        <v>201</v>
      </c>
      <c r="E74" t="s">
        <v>96</v>
      </c>
      <c r="F74">
        <v>2026</v>
      </c>
      <c r="G74" t="s">
        <v>202</v>
      </c>
      <c r="H74" t="s">
        <v>203</v>
      </c>
      <c r="I74" t="s">
        <v>204</v>
      </c>
      <c r="J74" t="s">
        <v>205</v>
      </c>
      <c r="K74" t="s">
        <v>350</v>
      </c>
      <c r="L74" t="s">
        <v>350</v>
      </c>
      <c r="M74" t="s">
        <v>349</v>
      </c>
      <c r="N74" t="s">
        <v>351</v>
      </c>
      <c r="O74" t="s">
        <v>170</v>
      </c>
      <c r="P74" t="s">
        <v>390</v>
      </c>
      <c r="Q74" t="s">
        <v>276</v>
      </c>
      <c r="R74" t="s">
        <v>391</v>
      </c>
      <c r="S74" t="s">
        <v>392</v>
      </c>
      <c r="T74">
        <v>52500</v>
      </c>
      <c r="U74">
        <v>45000</v>
      </c>
      <c r="V74">
        <v>51000</v>
      </c>
      <c r="W74">
        <v>54000</v>
      </c>
      <c r="X74">
        <v>54000</v>
      </c>
      <c r="Y74">
        <v>54000</v>
      </c>
      <c r="Z74">
        <v>54000</v>
      </c>
      <c r="AA74">
        <v>54000</v>
      </c>
      <c r="AB74">
        <v>54000</v>
      </c>
      <c r="AC74">
        <v>54000</v>
      </c>
      <c r="AD74">
        <v>54000</v>
      </c>
      <c r="AE74">
        <v>54000</v>
      </c>
      <c r="AF74" s="1">
        <v>634500</v>
      </c>
      <c r="AG74">
        <v>148500</v>
      </c>
      <c r="AH74">
        <v>162000</v>
      </c>
      <c r="AI74">
        <v>162000</v>
      </c>
      <c r="AJ74">
        <v>162000</v>
      </c>
      <c r="AK74">
        <v>310500</v>
      </c>
      <c r="AL74">
        <v>324000</v>
      </c>
    </row>
    <row r="75" spans="1:38">
      <c r="A75" t="s">
        <v>348</v>
      </c>
      <c r="B75" t="s">
        <v>349</v>
      </c>
      <c r="C75" t="s">
        <v>200</v>
      </c>
      <c r="D75" t="s">
        <v>201</v>
      </c>
      <c r="E75" t="s">
        <v>96</v>
      </c>
      <c r="F75">
        <v>2026</v>
      </c>
      <c r="G75" t="s">
        <v>202</v>
      </c>
      <c r="H75" t="s">
        <v>203</v>
      </c>
      <c r="I75" t="s">
        <v>204</v>
      </c>
      <c r="J75" t="s">
        <v>205</v>
      </c>
      <c r="K75" t="s">
        <v>350</v>
      </c>
      <c r="L75" t="s">
        <v>350</v>
      </c>
      <c r="M75" t="s">
        <v>349</v>
      </c>
      <c r="N75" t="s">
        <v>351</v>
      </c>
      <c r="O75" t="s">
        <v>182</v>
      </c>
      <c r="P75" t="s">
        <v>352</v>
      </c>
      <c r="Q75" t="s">
        <v>280</v>
      </c>
      <c r="R75" t="s">
        <v>393</v>
      </c>
      <c r="S75" t="s">
        <v>394</v>
      </c>
      <c r="V75">
        <v>100000</v>
      </c>
      <c r="Y75">
        <v>200000</v>
      </c>
      <c r="Z75">
        <v>150000</v>
      </c>
      <c r="AD75">
        <v>200000</v>
      </c>
      <c r="AF75" s="1">
        <v>650000</v>
      </c>
      <c r="AG75">
        <v>100000</v>
      </c>
      <c r="AH75">
        <v>200000</v>
      </c>
      <c r="AI75">
        <v>150000</v>
      </c>
      <c r="AJ75">
        <v>200000</v>
      </c>
      <c r="AK75">
        <v>300000</v>
      </c>
      <c r="AL75">
        <v>350000</v>
      </c>
    </row>
    <row r="76" spans="1:38">
      <c r="A76" t="s">
        <v>348</v>
      </c>
      <c r="B76" t="s">
        <v>349</v>
      </c>
      <c r="C76" t="s">
        <v>200</v>
      </c>
      <c r="D76" t="s">
        <v>201</v>
      </c>
      <c r="E76" t="s">
        <v>96</v>
      </c>
      <c r="F76">
        <v>2026</v>
      </c>
      <c r="G76" t="s">
        <v>202</v>
      </c>
      <c r="H76" t="s">
        <v>203</v>
      </c>
      <c r="I76" t="s">
        <v>204</v>
      </c>
      <c r="J76" t="s">
        <v>205</v>
      </c>
      <c r="K76" t="s">
        <v>350</v>
      </c>
      <c r="L76" t="s">
        <v>350</v>
      </c>
      <c r="M76" t="s">
        <v>349</v>
      </c>
      <c r="N76" t="s">
        <v>351</v>
      </c>
      <c r="O76" t="s">
        <v>182</v>
      </c>
      <c r="P76" t="s">
        <v>352</v>
      </c>
      <c r="Q76" t="s">
        <v>283</v>
      </c>
      <c r="R76" t="s">
        <v>395</v>
      </c>
      <c r="S76" t="s">
        <v>396</v>
      </c>
      <c r="V76">
        <v>150000</v>
      </c>
      <c r="Y76">
        <v>150000</v>
      </c>
      <c r="AF76" s="1">
        <v>300000</v>
      </c>
      <c r="AG76">
        <v>150000</v>
      </c>
      <c r="AH76">
        <v>150000</v>
      </c>
      <c r="AI76">
        <v>0</v>
      </c>
      <c r="AJ76">
        <v>0</v>
      </c>
      <c r="AK76">
        <v>300000</v>
      </c>
      <c r="AL76">
        <v>0</v>
      </c>
    </row>
    <row r="77" spans="1:38">
      <c r="A77" t="s">
        <v>348</v>
      </c>
      <c r="B77" t="s">
        <v>349</v>
      </c>
      <c r="C77" t="s">
        <v>200</v>
      </c>
      <c r="D77" t="s">
        <v>201</v>
      </c>
      <c r="E77" t="s">
        <v>96</v>
      </c>
      <c r="F77">
        <v>2026</v>
      </c>
      <c r="G77" t="s">
        <v>202</v>
      </c>
      <c r="H77" t="s">
        <v>203</v>
      </c>
      <c r="I77" t="s">
        <v>204</v>
      </c>
      <c r="J77" t="s">
        <v>205</v>
      </c>
      <c r="K77" t="s">
        <v>350</v>
      </c>
      <c r="L77" t="s">
        <v>350</v>
      </c>
      <c r="M77" t="s">
        <v>349</v>
      </c>
      <c r="N77" t="s">
        <v>351</v>
      </c>
      <c r="O77" t="s">
        <v>182</v>
      </c>
      <c r="P77" t="s">
        <v>352</v>
      </c>
      <c r="Q77" t="s">
        <v>286</v>
      </c>
      <c r="R77" t="s">
        <v>397</v>
      </c>
      <c r="S77" t="s">
        <v>398</v>
      </c>
      <c r="X77">
        <v>150000</v>
      </c>
      <c r="AF77" s="1">
        <v>150000</v>
      </c>
      <c r="AG77">
        <v>150000</v>
      </c>
      <c r="AH77">
        <v>150000</v>
      </c>
      <c r="AI77">
        <v>0</v>
      </c>
      <c r="AJ77">
        <v>0</v>
      </c>
      <c r="AK77">
        <v>300000</v>
      </c>
      <c r="AL77">
        <v>0</v>
      </c>
    </row>
    <row r="78" spans="1:38">
      <c r="A78" t="s">
        <v>348</v>
      </c>
      <c r="B78" t="s">
        <v>349</v>
      </c>
      <c r="C78" t="s">
        <v>200</v>
      </c>
      <c r="D78" t="s">
        <v>201</v>
      </c>
      <c r="E78" t="s">
        <v>96</v>
      </c>
      <c r="F78">
        <v>2026</v>
      </c>
      <c r="G78" t="s">
        <v>202</v>
      </c>
      <c r="H78" t="s">
        <v>203</v>
      </c>
      <c r="I78" t="s">
        <v>204</v>
      </c>
      <c r="J78" t="s">
        <v>205</v>
      </c>
      <c r="K78" t="s">
        <v>350</v>
      </c>
      <c r="L78" t="s">
        <v>350</v>
      </c>
      <c r="M78" t="s">
        <v>349</v>
      </c>
      <c r="N78" t="s">
        <v>351</v>
      </c>
      <c r="O78" t="s">
        <v>187</v>
      </c>
      <c r="P78" t="s">
        <v>387</v>
      </c>
      <c r="Q78" t="s">
        <v>289</v>
      </c>
      <c r="R78" t="s">
        <v>399</v>
      </c>
      <c r="S78" t="s">
        <v>400</v>
      </c>
      <c r="AD78">
        <v>150000</v>
      </c>
      <c r="AF78" s="1">
        <v>150000</v>
      </c>
      <c r="AG78">
        <v>0</v>
      </c>
      <c r="AH78">
        <v>0</v>
      </c>
      <c r="AI78">
        <v>0</v>
      </c>
      <c r="AJ78">
        <v>150000</v>
      </c>
      <c r="AK78">
        <v>0</v>
      </c>
      <c r="AL78">
        <v>150000</v>
      </c>
    </row>
    <row r="79" spans="1:38">
      <c r="A79" t="s">
        <v>348</v>
      </c>
      <c r="B79" t="s">
        <v>349</v>
      </c>
      <c r="C79" t="s">
        <v>200</v>
      </c>
      <c r="D79" t="s">
        <v>201</v>
      </c>
      <c r="E79" t="s">
        <v>96</v>
      </c>
      <c r="F79">
        <v>2026</v>
      </c>
      <c r="G79" t="s">
        <v>202</v>
      </c>
      <c r="H79" t="s">
        <v>203</v>
      </c>
      <c r="I79" t="s">
        <v>204</v>
      </c>
      <c r="J79" t="s">
        <v>205</v>
      </c>
      <c r="K79" t="s">
        <v>350</v>
      </c>
      <c r="L79" t="s">
        <v>350</v>
      </c>
      <c r="M79" t="s">
        <v>349</v>
      </c>
      <c r="N79" t="s">
        <v>351</v>
      </c>
      <c r="O79" t="s">
        <v>170</v>
      </c>
      <c r="P79" t="s">
        <v>390</v>
      </c>
      <c r="Q79" t="s">
        <v>343</v>
      </c>
      <c r="R79" t="s">
        <v>401</v>
      </c>
      <c r="AF79" s="1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>
      <c r="A80" t="s">
        <v>348</v>
      </c>
      <c r="B80" t="s">
        <v>349</v>
      </c>
      <c r="C80" t="s">
        <v>200</v>
      </c>
      <c r="D80" t="s">
        <v>201</v>
      </c>
      <c r="E80" t="s">
        <v>96</v>
      </c>
      <c r="F80">
        <v>2026</v>
      </c>
      <c r="G80" t="s">
        <v>202</v>
      </c>
      <c r="H80" t="s">
        <v>203</v>
      </c>
      <c r="I80" t="s">
        <v>204</v>
      </c>
      <c r="J80" t="s">
        <v>205</v>
      </c>
      <c r="K80" t="s">
        <v>350</v>
      </c>
      <c r="L80" t="s">
        <v>350</v>
      </c>
      <c r="M80" t="s">
        <v>349</v>
      </c>
      <c r="N80" t="s">
        <v>351</v>
      </c>
      <c r="O80" t="s">
        <v>170</v>
      </c>
      <c r="P80" t="s">
        <v>390</v>
      </c>
      <c r="Q80" t="s">
        <v>346</v>
      </c>
      <c r="R80" t="s">
        <v>402</v>
      </c>
      <c r="AF80" s="1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>
      <c r="A81" t="s">
        <v>348</v>
      </c>
      <c r="B81" t="s">
        <v>349</v>
      </c>
      <c r="C81" t="s">
        <v>200</v>
      </c>
      <c r="D81" t="s">
        <v>201</v>
      </c>
      <c r="E81" t="s">
        <v>96</v>
      </c>
      <c r="F81">
        <v>2026</v>
      </c>
      <c r="G81" t="s">
        <v>202</v>
      </c>
      <c r="H81" t="s">
        <v>203</v>
      </c>
      <c r="I81" t="s">
        <v>204</v>
      </c>
      <c r="J81" t="s">
        <v>205</v>
      </c>
      <c r="K81" t="s">
        <v>350</v>
      </c>
      <c r="L81" t="s">
        <v>350</v>
      </c>
      <c r="M81" t="s">
        <v>349</v>
      </c>
      <c r="N81" t="s">
        <v>351</v>
      </c>
      <c r="O81" t="s">
        <v>170</v>
      </c>
      <c r="P81" t="s">
        <v>390</v>
      </c>
      <c r="Q81" t="s">
        <v>403</v>
      </c>
      <c r="R81" t="s">
        <v>404</v>
      </c>
      <c r="AF81" s="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>
      <c r="A82" t="s">
        <v>348</v>
      </c>
      <c r="B82" t="s">
        <v>349</v>
      </c>
      <c r="C82" t="s">
        <v>200</v>
      </c>
      <c r="D82" t="s">
        <v>201</v>
      </c>
      <c r="E82" t="s">
        <v>96</v>
      </c>
      <c r="F82">
        <v>2026</v>
      </c>
      <c r="G82" t="s">
        <v>202</v>
      </c>
      <c r="H82" t="s">
        <v>203</v>
      </c>
      <c r="I82" t="s">
        <v>204</v>
      </c>
      <c r="J82" t="s">
        <v>205</v>
      </c>
      <c r="K82" t="s">
        <v>350</v>
      </c>
      <c r="L82" t="s">
        <v>350</v>
      </c>
      <c r="M82" t="s">
        <v>349</v>
      </c>
      <c r="N82" t="s">
        <v>351</v>
      </c>
      <c r="O82" t="s">
        <v>170</v>
      </c>
      <c r="P82" t="s">
        <v>390</v>
      </c>
      <c r="Q82" t="s">
        <v>405</v>
      </c>
      <c r="R82" t="s">
        <v>406</v>
      </c>
      <c r="AF82" s="1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</row>
    <row r="83" spans="1:38">
      <c r="A83" t="s">
        <v>348</v>
      </c>
      <c r="B83" t="s">
        <v>349</v>
      </c>
      <c r="C83" t="s">
        <v>200</v>
      </c>
      <c r="D83" t="s">
        <v>201</v>
      </c>
      <c r="E83" t="s">
        <v>96</v>
      </c>
      <c r="F83">
        <v>2026</v>
      </c>
      <c r="G83" t="s">
        <v>202</v>
      </c>
      <c r="H83" t="s">
        <v>203</v>
      </c>
      <c r="I83" t="s">
        <v>204</v>
      </c>
      <c r="J83" t="s">
        <v>205</v>
      </c>
      <c r="K83" t="s">
        <v>350</v>
      </c>
      <c r="L83" t="s">
        <v>350</v>
      </c>
      <c r="M83" t="s">
        <v>349</v>
      </c>
      <c r="N83" t="s">
        <v>351</v>
      </c>
      <c r="O83" t="s">
        <v>170</v>
      </c>
      <c r="P83" t="s">
        <v>390</v>
      </c>
      <c r="Q83" t="s">
        <v>407</v>
      </c>
      <c r="R83" t="s">
        <v>408</v>
      </c>
      <c r="AF83" s="1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>
      <c r="A84" t="s">
        <v>348</v>
      </c>
      <c r="B84" t="s">
        <v>349</v>
      </c>
      <c r="C84" t="s">
        <v>200</v>
      </c>
      <c r="D84" t="s">
        <v>201</v>
      </c>
      <c r="E84" t="s">
        <v>96</v>
      </c>
      <c r="F84">
        <v>2026</v>
      </c>
      <c r="G84" t="s">
        <v>202</v>
      </c>
      <c r="H84" t="s">
        <v>203</v>
      </c>
      <c r="I84" t="s">
        <v>204</v>
      </c>
      <c r="J84" t="s">
        <v>205</v>
      </c>
      <c r="K84" t="s">
        <v>350</v>
      </c>
      <c r="L84" t="s">
        <v>350</v>
      </c>
      <c r="M84" t="s">
        <v>349</v>
      </c>
      <c r="N84" t="s">
        <v>351</v>
      </c>
      <c r="O84" t="s">
        <v>170</v>
      </c>
      <c r="P84" t="s">
        <v>390</v>
      </c>
      <c r="Q84" t="s">
        <v>409</v>
      </c>
      <c r="R84" t="s">
        <v>410</v>
      </c>
      <c r="AF84" s="1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>
      <c r="A85" t="s">
        <v>348</v>
      </c>
      <c r="B85" t="s">
        <v>349</v>
      </c>
      <c r="C85" t="s">
        <v>200</v>
      </c>
      <c r="D85" t="s">
        <v>201</v>
      </c>
      <c r="E85" t="s">
        <v>96</v>
      </c>
      <c r="F85">
        <v>2026</v>
      </c>
      <c r="G85" t="s">
        <v>202</v>
      </c>
      <c r="H85" t="s">
        <v>203</v>
      </c>
      <c r="I85" t="s">
        <v>204</v>
      </c>
      <c r="J85" t="s">
        <v>205</v>
      </c>
      <c r="K85" t="s">
        <v>350</v>
      </c>
      <c r="L85" t="s">
        <v>350</v>
      </c>
      <c r="M85" t="s">
        <v>349</v>
      </c>
      <c r="N85" t="s">
        <v>351</v>
      </c>
      <c r="O85" t="s">
        <v>170</v>
      </c>
      <c r="P85" t="s">
        <v>390</v>
      </c>
      <c r="Q85" t="s">
        <v>411</v>
      </c>
      <c r="R85" t="s">
        <v>412</v>
      </c>
      <c r="AF85" s="1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</row>
    <row r="86" spans="1:38">
      <c r="A86" t="s">
        <v>348</v>
      </c>
      <c r="B86" t="s">
        <v>349</v>
      </c>
      <c r="C86" t="s">
        <v>200</v>
      </c>
      <c r="D86" t="s">
        <v>201</v>
      </c>
      <c r="E86" t="s">
        <v>96</v>
      </c>
      <c r="F86">
        <v>2026</v>
      </c>
      <c r="G86" t="s">
        <v>202</v>
      </c>
      <c r="H86" t="s">
        <v>203</v>
      </c>
      <c r="I86" t="s">
        <v>204</v>
      </c>
      <c r="J86" t="s">
        <v>205</v>
      </c>
      <c r="K86" t="s">
        <v>350</v>
      </c>
      <c r="L86" t="s">
        <v>350</v>
      </c>
      <c r="M86" t="s">
        <v>349</v>
      </c>
      <c r="N86" t="s">
        <v>351</v>
      </c>
      <c r="O86" t="s">
        <v>170</v>
      </c>
      <c r="P86" t="s">
        <v>390</v>
      </c>
      <c r="Q86" t="s">
        <v>413</v>
      </c>
      <c r="R86" t="s">
        <v>414</v>
      </c>
      <c r="AF86" s="1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</row>
    <row r="87" spans="1:38">
      <c r="B87" t="s">
        <v>349</v>
      </c>
      <c r="C87" t="s">
        <v>135</v>
      </c>
      <c r="E87" t="s">
        <v>96</v>
      </c>
      <c r="N87" t="s">
        <v>135</v>
      </c>
      <c r="O87" t="s">
        <v>415</v>
      </c>
      <c r="P87" t="s">
        <v>416</v>
      </c>
      <c r="S87" t="s">
        <v>416</v>
      </c>
      <c r="T87">
        <v>284000</v>
      </c>
      <c r="U87">
        <v>284000</v>
      </c>
      <c r="V87">
        <v>284000</v>
      </c>
      <c r="W87">
        <v>284000</v>
      </c>
      <c r="X87">
        <v>284000</v>
      </c>
      <c r="Y87">
        <v>284000</v>
      </c>
      <c r="Z87">
        <v>284000</v>
      </c>
      <c r="AA87">
        <v>284000</v>
      </c>
      <c r="AB87">
        <v>284000</v>
      </c>
      <c r="AC87">
        <v>284000</v>
      </c>
      <c r="AD87">
        <v>284000</v>
      </c>
      <c r="AE87">
        <v>284000</v>
      </c>
      <c r="AF87">
        <v>3408000</v>
      </c>
    </row>
    <row r="88" spans="1:38">
      <c r="B88" t="s">
        <v>349</v>
      </c>
      <c r="C88" t="s">
        <v>135</v>
      </c>
      <c r="E88" t="s">
        <v>96</v>
      </c>
      <c r="N88" t="s">
        <v>135</v>
      </c>
      <c r="O88" t="s">
        <v>417</v>
      </c>
      <c r="S88" t="s">
        <v>418</v>
      </c>
      <c r="V88">
        <v>90000</v>
      </c>
      <c r="Y88">
        <v>90000</v>
      </c>
      <c r="AC88">
        <v>90000</v>
      </c>
      <c r="AD88">
        <v>90000</v>
      </c>
      <c r="AF88">
        <v>360000</v>
      </c>
    </row>
    <row r="89" spans="1:38">
      <c r="B89" t="s">
        <v>349</v>
      </c>
      <c r="C89" t="s">
        <v>135</v>
      </c>
      <c r="E89" t="s">
        <v>96</v>
      </c>
      <c r="N89" t="s">
        <v>135</v>
      </c>
      <c r="O89" t="s">
        <v>419</v>
      </c>
      <c r="AB89">
        <v>29000</v>
      </c>
      <c r="AF89">
        <v>29000</v>
      </c>
    </row>
    <row r="90" spans="1:38">
      <c r="B90" t="s">
        <v>349</v>
      </c>
      <c r="C90" t="s">
        <v>135</v>
      </c>
      <c r="E90" t="s">
        <v>96</v>
      </c>
      <c r="N90" t="s">
        <v>135</v>
      </c>
      <c r="O90" t="s">
        <v>420</v>
      </c>
      <c r="AB90">
        <v>50000</v>
      </c>
      <c r="AF90">
        <v>50000</v>
      </c>
    </row>
    <row r="91" spans="1:38">
      <c r="A91" t="s">
        <v>421</v>
      </c>
      <c r="B91" t="s">
        <v>422</v>
      </c>
      <c r="C91" t="s">
        <v>200</v>
      </c>
      <c r="D91" t="s">
        <v>201</v>
      </c>
      <c r="E91" t="s">
        <v>95</v>
      </c>
      <c r="F91">
        <v>2026</v>
      </c>
      <c r="G91" t="s">
        <v>202</v>
      </c>
      <c r="H91" t="s">
        <v>203</v>
      </c>
      <c r="I91" t="s">
        <v>204</v>
      </c>
      <c r="J91" t="s">
        <v>205</v>
      </c>
      <c r="K91" t="s">
        <v>350</v>
      </c>
      <c r="L91" t="s">
        <v>350</v>
      </c>
      <c r="M91" t="s">
        <v>422</v>
      </c>
      <c r="N91" t="s">
        <v>351</v>
      </c>
      <c r="O91" t="s">
        <v>371</v>
      </c>
      <c r="P91" t="s">
        <v>423</v>
      </c>
      <c r="Q91" t="s">
        <v>208</v>
      </c>
      <c r="R91" t="s">
        <v>424</v>
      </c>
      <c r="S91" t="s">
        <v>425</v>
      </c>
      <c r="V91">
        <v>252000</v>
      </c>
      <c r="AE91">
        <v>252000</v>
      </c>
      <c r="AF91" s="1">
        <v>504000</v>
      </c>
      <c r="AG91">
        <v>252000</v>
      </c>
      <c r="AH91">
        <v>0</v>
      </c>
      <c r="AI91">
        <v>0</v>
      </c>
      <c r="AJ91">
        <v>252000</v>
      </c>
      <c r="AK91">
        <v>252000</v>
      </c>
      <c r="AL91">
        <v>252000</v>
      </c>
    </row>
    <row r="92" spans="1:38">
      <c r="A92" t="s">
        <v>421</v>
      </c>
      <c r="B92" t="s">
        <v>422</v>
      </c>
      <c r="C92" t="s">
        <v>200</v>
      </c>
      <c r="D92" t="s">
        <v>201</v>
      </c>
      <c r="E92" t="s">
        <v>95</v>
      </c>
      <c r="F92">
        <v>2026</v>
      </c>
      <c r="G92" t="s">
        <v>202</v>
      </c>
      <c r="H92" t="s">
        <v>203</v>
      </c>
      <c r="I92" t="s">
        <v>204</v>
      </c>
      <c r="J92" t="s">
        <v>205</v>
      </c>
      <c r="K92" t="s">
        <v>350</v>
      </c>
      <c r="L92" t="s">
        <v>350</v>
      </c>
      <c r="M92" t="s">
        <v>422</v>
      </c>
      <c r="N92" t="s">
        <v>351</v>
      </c>
      <c r="O92" t="s">
        <v>371</v>
      </c>
      <c r="P92" t="s">
        <v>423</v>
      </c>
      <c r="Q92" t="s">
        <v>211</v>
      </c>
      <c r="R92" t="s">
        <v>426</v>
      </c>
      <c r="S92" t="s">
        <v>427</v>
      </c>
      <c r="U92">
        <v>250000</v>
      </c>
      <c r="W92">
        <v>200000</v>
      </c>
      <c r="Y92">
        <v>100000</v>
      </c>
      <c r="AB92">
        <v>200000</v>
      </c>
      <c r="AD92">
        <v>150000</v>
      </c>
      <c r="AF92" s="1">
        <v>900000</v>
      </c>
      <c r="AG92">
        <v>250000</v>
      </c>
      <c r="AH92">
        <v>300000</v>
      </c>
      <c r="AI92">
        <v>200000</v>
      </c>
      <c r="AJ92">
        <v>150000</v>
      </c>
      <c r="AK92">
        <v>550000</v>
      </c>
      <c r="AL92">
        <v>350000</v>
      </c>
    </row>
    <row r="93" spans="1:38">
      <c r="A93" t="s">
        <v>421</v>
      </c>
      <c r="B93" t="s">
        <v>422</v>
      </c>
      <c r="C93" t="s">
        <v>200</v>
      </c>
      <c r="D93" t="s">
        <v>201</v>
      </c>
      <c r="E93" t="s">
        <v>95</v>
      </c>
      <c r="F93">
        <v>2026</v>
      </c>
      <c r="G93" t="s">
        <v>202</v>
      </c>
      <c r="H93" t="s">
        <v>203</v>
      </c>
      <c r="I93" t="s">
        <v>204</v>
      </c>
      <c r="J93" t="s">
        <v>205</v>
      </c>
      <c r="K93" t="s">
        <v>350</v>
      </c>
      <c r="L93" t="s">
        <v>350</v>
      </c>
      <c r="M93" t="s">
        <v>422</v>
      </c>
      <c r="N93" t="s">
        <v>351</v>
      </c>
      <c r="O93" t="s">
        <v>371</v>
      </c>
      <c r="P93" t="s">
        <v>423</v>
      </c>
      <c r="Q93" t="s">
        <v>173</v>
      </c>
      <c r="R93" t="s">
        <v>428</v>
      </c>
      <c r="S93" t="s">
        <v>429</v>
      </c>
      <c r="T93">
        <v>300000</v>
      </c>
      <c r="U93">
        <v>150000</v>
      </c>
      <c r="V93">
        <v>100000</v>
      </c>
      <c r="W93">
        <v>150000</v>
      </c>
      <c r="X93">
        <v>300000</v>
      </c>
      <c r="Y93">
        <v>200000</v>
      </c>
      <c r="Z93">
        <v>300000</v>
      </c>
      <c r="AA93">
        <v>300000</v>
      </c>
      <c r="AC93">
        <v>300000</v>
      </c>
      <c r="AD93">
        <v>100000</v>
      </c>
      <c r="AE93">
        <v>300000</v>
      </c>
      <c r="AF93" s="1">
        <v>2500000</v>
      </c>
      <c r="AG93">
        <v>550000</v>
      </c>
      <c r="AH93">
        <v>650000</v>
      </c>
      <c r="AI93">
        <v>600000</v>
      </c>
      <c r="AJ93">
        <v>700000</v>
      </c>
      <c r="AK93">
        <v>1200000</v>
      </c>
      <c r="AL93">
        <v>1300000</v>
      </c>
    </row>
    <row r="94" spans="1:38">
      <c r="A94" t="s">
        <v>421</v>
      </c>
      <c r="B94" t="s">
        <v>422</v>
      </c>
      <c r="C94" t="s">
        <v>200</v>
      </c>
      <c r="D94" t="s">
        <v>201</v>
      </c>
      <c r="E94" t="s">
        <v>95</v>
      </c>
      <c r="F94">
        <v>2026</v>
      </c>
      <c r="G94" t="s">
        <v>202</v>
      </c>
      <c r="H94" t="s">
        <v>203</v>
      </c>
      <c r="I94" t="s">
        <v>204</v>
      </c>
      <c r="J94" t="s">
        <v>205</v>
      </c>
      <c r="K94" t="s">
        <v>350</v>
      </c>
      <c r="L94" t="s">
        <v>350</v>
      </c>
      <c r="M94" t="s">
        <v>422</v>
      </c>
      <c r="N94" t="s">
        <v>351</v>
      </c>
      <c r="O94" t="s">
        <v>371</v>
      </c>
      <c r="P94" t="s">
        <v>423</v>
      </c>
      <c r="Q94" t="s">
        <v>175</v>
      </c>
      <c r="R94" t="s">
        <v>430</v>
      </c>
      <c r="S94" t="s">
        <v>431</v>
      </c>
      <c r="T94">
        <v>150000</v>
      </c>
      <c r="V94">
        <v>300000</v>
      </c>
      <c r="W94">
        <v>200000</v>
      </c>
      <c r="Y94">
        <v>150000</v>
      </c>
      <c r="AA94">
        <v>300000</v>
      </c>
      <c r="AB94">
        <v>100000</v>
      </c>
      <c r="AC94">
        <v>200000</v>
      </c>
      <c r="AE94">
        <v>100000</v>
      </c>
      <c r="AF94" s="1">
        <v>1500000</v>
      </c>
      <c r="AG94">
        <v>450000</v>
      </c>
      <c r="AH94">
        <v>350000</v>
      </c>
      <c r="AI94">
        <v>400000</v>
      </c>
      <c r="AJ94">
        <v>300000</v>
      </c>
      <c r="AK94">
        <v>800000</v>
      </c>
      <c r="AL94">
        <v>700000</v>
      </c>
    </row>
    <row r="95" spans="1:38">
      <c r="A95" t="s">
        <v>421</v>
      </c>
      <c r="B95" t="s">
        <v>422</v>
      </c>
      <c r="C95" t="s">
        <v>200</v>
      </c>
      <c r="D95" t="s">
        <v>201</v>
      </c>
      <c r="E95" t="s">
        <v>95</v>
      </c>
      <c r="F95">
        <v>2026</v>
      </c>
      <c r="G95" t="s">
        <v>202</v>
      </c>
      <c r="H95" t="s">
        <v>203</v>
      </c>
      <c r="I95" t="s">
        <v>204</v>
      </c>
      <c r="J95" t="s">
        <v>205</v>
      </c>
      <c r="K95" t="s">
        <v>350</v>
      </c>
      <c r="L95" t="s">
        <v>350</v>
      </c>
      <c r="M95" t="s">
        <v>422</v>
      </c>
      <c r="N95" t="s">
        <v>351</v>
      </c>
      <c r="O95" t="s">
        <v>371</v>
      </c>
      <c r="P95" t="s">
        <v>423</v>
      </c>
      <c r="Q95" t="s">
        <v>177</v>
      </c>
      <c r="R95" t="s">
        <v>432</v>
      </c>
      <c r="S95" t="s">
        <v>433</v>
      </c>
      <c r="T95">
        <v>100000</v>
      </c>
      <c r="U95">
        <v>80000</v>
      </c>
      <c r="V95">
        <v>80000</v>
      </c>
      <c r="W95">
        <v>150000</v>
      </c>
      <c r="X95">
        <v>100000</v>
      </c>
      <c r="Y95">
        <v>60000</v>
      </c>
      <c r="Z95">
        <v>100000</v>
      </c>
      <c r="AA95">
        <v>150000</v>
      </c>
      <c r="AB95">
        <v>100000</v>
      </c>
      <c r="AC95">
        <v>60000</v>
      </c>
      <c r="AD95">
        <v>80000</v>
      </c>
      <c r="AE95">
        <v>80000</v>
      </c>
      <c r="AF95" s="1">
        <v>1140000</v>
      </c>
      <c r="AG95">
        <v>260000</v>
      </c>
      <c r="AH95">
        <v>310000</v>
      </c>
      <c r="AI95">
        <v>350000</v>
      </c>
      <c r="AJ95">
        <v>220000</v>
      </c>
      <c r="AK95">
        <v>570000</v>
      </c>
      <c r="AL95">
        <v>570000</v>
      </c>
    </row>
    <row r="96" spans="1:38">
      <c r="A96" t="s">
        <v>421</v>
      </c>
      <c r="B96" t="s">
        <v>422</v>
      </c>
      <c r="C96" t="s">
        <v>200</v>
      </c>
      <c r="D96" t="s">
        <v>201</v>
      </c>
      <c r="E96" t="s">
        <v>95</v>
      </c>
      <c r="F96">
        <v>2026</v>
      </c>
      <c r="G96" t="s">
        <v>202</v>
      </c>
      <c r="H96" t="s">
        <v>203</v>
      </c>
      <c r="I96" t="s">
        <v>204</v>
      </c>
      <c r="J96" t="s">
        <v>205</v>
      </c>
      <c r="K96" t="s">
        <v>350</v>
      </c>
      <c r="L96" t="s">
        <v>350</v>
      </c>
      <c r="M96" t="s">
        <v>422</v>
      </c>
      <c r="N96" t="s">
        <v>351</v>
      </c>
      <c r="O96" t="s">
        <v>182</v>
      </c>
      <c r="P96" t="s">
        <v>434</v>
      </c>
      <c r="Q96" t="s">
        <v>178</v>
      </c>
      <c r="R96" t="s">
        <v>435</v>
      </c>
      <c r="S96" t="s">
        <v>436</v>
      </c>
      <c r="T96">
        <v>300000</v>
      </c>
      <c r="U96">
        <v>300000</v>
      </c>
      <c r="V96">
        <v>550000</v>
      </c>
      <c r="W96">
        <v>400000</v>
      </c>
      <c r="X96">
        <v>300000</v>
      </c>
      <c r="Y96">
        <v>300000</v>
      </c>
      <c r="Z96">
        <v>550000</v>
      </c>
      <c r="AA96">
        <v>300000</v>
      </c>
      <c r="AB96">
        <v>400000</v>
      </c>
      <c r="AC96">
        <v>300000</v>
      </c>
      <c r="AD96">
        <v>400000</v>
      </c>
      <c r="AE96">
        <v>550000</v>
      </c>
      <c r="AF96" s="1">
        <v>4650000</v>
      </c>
      <c r="AG96">
        <v>1150000</v>
      </c>
      <c r="AH96">
        <v>1000000</v>
      </c>
      <c r="AI96">
        <v>1250000</v>
      </c>
      <c r="AJ96">
        <v>1250000</v>
      </c>
      <c r="AK96">
        <v>2150000</v>
      </c>
      <c r="AL96">
        <v>2500000</v>
      </c>
    </row>
    <row r="97" spans="1:38">
      <c r="A97" t="s">
        <v>421</v>
      </c>
      <c r="B97" t="s">
        <v>422</v>
      </c>
      <c r="C97" t="s">
        <v>200</v>
      </c>
      <c r="D97" t="s">
        <v>201</v>
      </c>
      <c r="E97" t="s">
        <v>95</v>
      </c>
      <c r="F97">
        <v>2026</v>
      </c>
      <c r="G97" t="s">
        <v>202</v>
      </c>
      <c r="H97" t="s">
        <v>203</v>
      </c>
      <c r="I97" t="s">
        <v>204</v>
      </c>
      <c r="J97" t="s">
        <v>205</v>
      </c>
      <c r="K97" t="s">
        <v>350</v>
      </c>
      <c r="L97" t="s">
        <v>350</v>
      </c>
      <c r="M97" t="s">
        <v>422</v>
      </c>
      <c r="N97" t="s">
        <v>351</v>
      </c>
      <c r="O97" t="s">
        <v>170</v>
      </c>
      <c r="P97" t="s">
        <v>437</v>
      </c>
      <c r="Q97" t="s">
        <v>180</v>
      </c>
      <c r="R97" t="s">
        <v>438</v>
      </c>
      <c r="S97" t="s">
        <v>439</v>
      </c>
      <c r="T97">
        <v>10000</v>
      </c>
      <c r="U97">
        <v>10000</v>
      </c>
      <c r="V97">
        <v>12000</v>
      </c>
      <c r="W97">
        <v>10000</v>
      </c>
      <c r="X97">
        <v>10000</v>
      </c>
      <c r="Y97">
        <v>13000</v>
      </c>
      <c r="Z97">
        <v>10000</v>
      </c>
      <c r="AA97">
        <v>10000</v>
      </c>
      <c r="AB97">
        <v>13000</v>
      </c>
      <c r="AC97">
        <v>10000</v>
      </c>
      <c r="AD97">
        <v>10000</v>
      </c>
      <c r="AE97">
        <v>13000</v>
      </c>
      <c r="AF97" s="1">
        <v>131000</v>
      </c>
      <c r="AG97">
        <v>32000</v>
      </c>
      <c r="AH97">
        <v>33000</v>
      </c>
      <c r="AI97">
        <v>33000</v>
      </c>
      <c r="AJ97">
        <v>33000</v>
      </c>
      <c r="AK97">
        <v>65000</v>
      </c>
      <c r="AL97">
        <v>66000</v>
      </c>
    </row>
    <row r="98" spans="1:38">
      <c r="A98" t="s">
        <v>421</v>
      </c>
      <c r="B98" t="s">
        <v>422</v>
      </c>
      <c r="C98" t="s">
        <v>200</v>
      </c>
      <c r="D98" t="s">
        <v>201</v>
      </c>
      <c r="E98" t="s">
        <v>95</v>
      </c>
      <c r="F98">
        <v>2026</v>
      </c>
      <c r="G98" t="s">
        <v>202</v>
      </c>
      <c r="H98" t="s">
        <v>203</v>
      </c>
      <c r="I98" t="s">
        <v>204</v>
      </c>
      <c r="J98" t="s">
        <v>205</v>
      </c>
      <c r="K98" t="s">
        <v>350</v>
      </c>
      <c r="L98" t="s">
        <v>350</v>
      </c>
      <c r="M98" t="s">
        <v>422</v>
      </c>
      <c r="N98" t="s">
        <v>351</v>
      </c>
      <c r="O98" t="s">
        <v>182</v>
      </c>
      <c r="P98" t="s">
        <v>434</v>
      </c>
      <c r="Q98" t="s">
        <v>183</v>
      </c>
      <c r="R98" t="s">
        <v>440</v>
      </c>
      <c r="S98" t="s">
        <v>441</v>
      </c>
      <c r="T98">
        <v>100000</v>
      </c>
      <c r="U98">
        <v>150000</v>
      </c>
      <c r="V98">
        <v>100000</v>
      </c>
      <c r="W98">
        <v>150000</v>
      </c>
      <c r="X98">
        <v>150000</v>
      </c>
      <c r="Y98">
        <v>100000</v>
      </c>
      <c r="Z98">
        <v>150000</v>
      </c>
      <c r="AA98">
        <v>100000</v>
      </c>
      <c r="AB98">
        <v>100000</v>
      </c>
      <c r="AC98">
        <v>100000</v>
      </c>
      <c r="AD98">
        <v>100000</v>
      </c>
      <c r="AE98">
        <v>100000</v>
      </c>
      <c r="AF98" s="1">
        <v>1400000</v>
      </c>
      <c r="AG98">
        <v>350000</v>
      </c>
      <c r="AH98">
        <v>400000</v>
      </c>
      <c r="AI98">
        <v>350000</v>
      </c>
      <c r="AJ98">
        <v>300000</v>
      </c>
      <c r="AK98">
        <v>750000</v>
      </c>
      <c r="AL98">
        <v>650000</v>
      </c>
    </row>
    <row r="99" spans="1:38">
      <c r="A99" t="s">
        <v>421</v>
      </c>
      <c r="B99" t="s">
        <v>422</v>
      </c>
      <c r="C99" t="s">
        <v>200</v>
      </c>
      <c r="D99" t="s">
        <v>201</v>
      </c>
      <c r="E99" t="s">
        <v>95</v>
      </c>
      <c r="F99">
        <v>2026</v>
      </c>
      <c r="G99" t="s">
        <v>202</v>
      </c>
      <c r="H99" t="s">
        <v>203</v>
      </c>
      <c r="I99" t="s">
        <v>204</v>
      </c>
      <c r="J99" t="s">
        <v>205</v>
      </c>
      <c r="K99" t="s">
        <v>350</v>
      </c>
      <c r="L99" t="s">
        <v>350</v>
      </c>
      <c r="M99" t="s">
        <v>422</v>
      </c>
      <c r="N99" t="s">
        <v>351</v>
      </c>
      <c r="O99" t="s">
        <v>187</v>
      </c>
      <c r="P99" t="s">
        <v>442</v>
      </c>
      <c r="Q99" t="s">
        <v>185</v>
      </c>
      <c r="R99" t="s">
        <v>443</v>
      </c>
      <c r="S99" t="s">
        <v>444</v>
      </c>
      <c r="T99">
        <v>200000</v>
      </c>
      <c r="U99">
        <v>200000</v>
      </c>
      <c r="V99">
        <v>200000</v>
      </c>
      <c r="W99">
        <v>200000</v>
      </c>
      <c r="X99">
        <v>200000</v>
      </c>
      <c r="Y99">
        <v>300000</v>
      </c>
      <c r="Z99">
        <v>200000</v>
      </c>
      <c r="AA99">
        <v>200000</v>
      </c>
      <c r="AB99">
        <v>200000</v>
      </c>
      <c r="AC99">
        <v>200000</v>
      </c>
      <c r="AD99">
        <v>200000</v>
      </c>
      <c r="AE99">
        <v>300000</v>
      </c>
      <c r="AF99" s="1">
        <v>2600000</v>
      </c>
      <c r="AG99">
        <v>600000</v>
      </c>
      <c r="AH99">
        <v>700000</v>
      </c>
      <c r="AI99">
        <v>600000</v>
      </c>
      <c r="AJ99">
        <v>700000</v>
      </c>
      <c r="AK99">
        <v>1300000</v>
      </c>
      <c r="AL99">
        <v>1300000</v>
      </c>
    </row>
    <row r="100" spans="1:38">
      <c r="A100" t="s">
        <v>421</v>
      </c>
      <c r="B100" t="s">
        <v>422</v>
      </c>
      <c r="C100" t="s">
        <v>200</v>
      </c>
      <c r="D100" t="s">
        <v>201</v>
      </c>
      <c r="E100" t="s">
        <v>95</v>
      </c>
      <c r="F100">
        <v>2026</v>
      </c>
      <c r="G100" t="s">
        <v>202</v>
      </c>
      <c r="H100" t="s">
        <v>203</v>
      </c>
      <c r="I100" t="s">
        <v>204</v>
      </c>
      <c r="J100" t="s">
        <v>205</v>
      </c>
      <c r="K100" t="s">
        <v>350</v>
      </c>
      <c r="L100" t="s">
        <v>350</v>
      </c>
      <c r="M100" t="s">
        <v>422</v>
      </c>
      <c r="N100" t="s">
        <v>351</v>
      </c>
      <c r="O100" t="s">
        <v>194</v>
      </c>
      <c r="P100" t="s">
        <v>445</v>
      </c>
      <c r="Q100" t="s">
        <v>188</v>
      </c>
      <c r="R100" t="s">
        <v>446</v>
      </c>
      <c r="S100" t="s">
        <v>447</v>
      </c>
      <c r="T100">
        <v>45600</v>
      </c>
      <c r="U100">
        <v>45600</v>
      </c>
      <c r="V100">
        <v>45600</v>
      </c>
      <c r="W100">
        <v>45600</v>
      </c>
      <c r="X100">
        <v>45600</v>
      </c>
      <c r="Y100">
        <v>45600</v>
      </c>
      <c r="Z100">
        <v>45600</v>
      </c>
      <c r="AA100">
        <v>45600</v>
      </c>
      <c r="AB100">
        <v>45600</v>
      </c>
      <c r="AC100">
        <v>45600</v>
      </c>
      <c r="AD100">
        <v>45600</v>
      </c>
      <c r="AE100">
        <v>45600</v>
      </c>
      <c r="AF100" s="1">
        <v>547200</v>
      </c>
      <c r="AG100">
        <v>136800</v>
      </c>
      <c r="AH100">
        <v>136800</v>
      </c>
      <c r="AI100">
        <v>136800</v>
      </c>
      <c r="AJ100">
        <v>136800</v>
      </c>
      <c r="AK100">
        <v>273600</v>
      </c>
      <c r="AL100">
        <v>273600</v>
      </c>
    </row>
    <row r="101" spans="1:38">
      <c r="A101" t="s">
        <v>421</v>
      </c>
      <c r="B101" t="s">
        <v>422</v>
      </c>
      <c r="C101" t="s">
        <v>200</v>
      </c>
      <c r="D101" t="s">
        <v>201</v>
      </c>
      <c r="E101" t="s">
        <v>95</v>
      </c>
      <c r="F101">
        <v>2026</v>
      </c>
      <c r="G101" t="s">
        <v>202</v>
      </c>
      <c r="H101" t="s">
        <v>203</v>
      </c>
      <c r="I101" t="s">
        <v>204</v>
      </c>
      <c r="J101" t="s">
        <v>205</v>
      </c>
      <c r="K101" t="s">
        <v>350</v>
      </c>
      <c r="L101" t="s">
        <v>350</v>
      </c>
      <c r="M101" t="s">
        <v>422</v>
      </c>
      <c r="N101" t="s">
        <v>351</v>
      </c>
      <c r="O101" t="s">
        <v>448</v>
      </c>
      <c r="P101" t="s">
        <v>449</v>
      </c>
      <c r="Q101" t="s">
        <v>191</v>
      </c>
      <c r="R101" t="s">
        <v>450</v>
      </c>
      <c r="S101" t="s">
        <v>451</v>
      </c>
      <c r="V101">
        <v>100000</v>
      </c>
      <c r="Y101">
        <v>100000</v>
      </c>
      <c r="AC101">
        <v>100000</v>
      </c>
      <c r="AF101" s="1">
        <v>300000</v>
      </c>
      <c r="AG101">
        <v>100000</v>
      </c>
      <c r="AH101">
        <v>100000</v>
      </c>
      <c r="AI101">
        <v>0</v>
      </c>
      <c r="AJ101">
        <v>100000</v>
      </c>
      <c r="AK101">
        <v>200000</v>
      </c>
      <c r="AL101">
        <v>100000</v>
      </c>
    </row>
    <row r="102" spans="1:38">
      <c r="A102" t="s">
        <v>421</v>
      </c>
      <c r="B102" t="s">
        <v>422</v>
      </c>
      <c r="C102" t="s">
        <v>200</v>
      </c>
      <c r="D102" t="s">
        <v>201</v>
      </c>
      <c r="E102" t="s">
        <v>95</v>
      </c>
      <c r="F102">
        <v>2026</v>
      </c>
      <c r="G102" t="s">
        <v>202</v>
      </c>
      <c r="H102" t="s">
        <v>203</v>
      </c>
      <c r="I102" t="s">
        <v>204</v>
      </c>
      <c r="J102" t="s">
        <v>205</v>
      </c>
      <c r="K102" t="s">
        <v>350</v>
      </c>
      <c r="L102" t="s">
        <v>350</v>
      </c>
      <c r="M102" t="s">
        <v>422</v>
      </c>
      <c r="N102" t="s">
        <v>351</v>
      </c>
      <c r="O102" t="s">
        <v>448</v>
      </c>
      <c r="P102" t="s">
        <v>449</v>
      </c>
      <c r="Q102" t="s">
        <v>193</v>
      </c>
      <c r="R102" t="s">
        <v>452</v>
      </c>
      <c r="S102">
        <v>206</v>
      </c>
      <c r="Y102">
        <v>50000</v>
      </c>
      <c r="AE102">
        <v>50000</v>
      </c>
      <c r="AF102" s="1">
        <v>100000</v>
      </c>
      <c r="AG102">
        <v>0</v>
      </c>
      <c r="AH102">
        <v>50000</v>
      </c>
      <c r="AI102">
        <v>0</v>
      </c>
      <c r="AJ102">
        <v>50000</v>
      </c>
      <c r="AK102">
        <v>50000</v>
      </c>
      <c r="AL102">
        <v>50000</v>
      </c>
    </row>
    <row r="103" spans="1:38">
      <c r="A103" t="s">
        <v>421</v>
      </c>
      <c r="B103" t="s">
        <v>422</v>
      </c>
      <c r="C103" t="s">
        <v>200</v>
      </c>
      <c r="D103" t="s">
        <v>201</v>
      </c>
      <c r="E103" t="s">
        <v>95</v>
      </c>
      <c r="F103">
        <v>2026</v>
      </c>
      <c r="G103" t="s">
        <v>202</v>
      </c>
      <c r="H103" t="s">
        <v>203</v>
      </c>
      <c r="I103" t="s">
        <v>204</v>
      </c>
      <c r="J103" t="s">
        <v>205</v>
      </c>
      <c r="K103" t="s">
        <v>350</v>
      </c>
      <c r="L103" t="s">
        <v>350</v>
      </c>
      <c r="M103" t="s">
        <v>422</v>
      </c>
      <c r="N103" t="s">
        <v>351</v>
      </c>
      <c r="O103" t="s">
        <v>453</v>
      </c>
      <c r="P103" t="s">
        <v>454</v>
      </c>
      <c r="Q103" t="s">
        <v>195</v>
      </c>
      <c r="R103" t="s">
        <v>455</v>
      </c>
      <c r="S103" t="s">
        <v>456</v>
      </c>
      <c r="V103">
        <v>50000</v>
      </c>
      <c r="Y103">
        <v>50000</v>
      </c>
      <c r="AB103">
        <v>50000</v>
      </c>
      <c r="AE103">
        <v>50000</v>
      </c>
      <c r="AF103" s="1">
        <v>200000</v>
      </c>
      <c r="AG103">
        <v>50000</v>
      </c>
      <c r="AH103">
        <v>50000</v>
      </c>
      <c r="AI103">
        <v>50000</v>
      </c>
      <c r="AJ103">
        <v>50000</v>
      </c>
      <c r="AK103">
        <v>100000</v>
      </c>
      <c r="AL103">
        <v>100000</v>
      </c>
    </row>
    <row r="104" spans="1:38">
      <c r="A104" t="s">
        <v>421</v>
      </c>
      <c r="B104" t="s">
        <v>422</v>
      </c>
      <c r="C104" t="s">
        <v>200</v>
      </c>
      <c r="D104" t="s">
        <v>201</v>
      </c>
      <c r="E104" t="s">
        <v>95</v>
      </c>
      <c r="F104">
        <v>2026</v>
      </c>
      <c r="G104" t="s">
        <v>202</v>
      </c>
      <c r="H104" t="s">
        <v>203</v>
      </c>
      <c r="I104" t="s">
        <v>204</v>
      </c>
      <c r="J104" t="s">
        <v>205</v>
      </c>
      <c r="K104" t="s">
        <v>350</v>
      </c>
      <c r="L104" t="s">
        <v>350</v>
      </c>
      <c r="M104" t="s">
        <v>422</v>
      </c>
      <c r="N104" t="s">
        <v>351</v>
      </c>
      <c r="O104" t="s">
        <v>194</v>
      </c>
      <c r="P104" t="s">
        <v>445</v>
      </c>
      <c r="Q104" t="s">
        <v>197</v>
      </c>
      <c r="R104" t="s">
        <v>457</v>
      </c>
      <c r="S104" t="s">
        <v>458</v>
      </c>
      <c r="T104">
        <v>5000</v>
      </c>
      <c r="U104">
        <v>5000</v>
      </c>
      <c r="V104">
        <v>5000</v>
      </c>
      <c r="W104">
        <v>5000</v>
      </c>
      <c r="X104">
        <v>5000</v>
      </c>
      <c r="Y104">
        <v>5000</v>
      </c>
      <c r="Z104">
        <v>5000</v>
      </c>
      <c r="AA104">
        <v>5000</v>
      </c>
      <c r="AB104">
        <v>5000</v>
      </c>
      <c r="AC104">
        <v>5000</v>
      </c>
      <c r="AD104">
        <v>5000</v>
      </c>
      <c r="AE104">
        <v>5000</v>
      </c>
      <c r="AF104" s="1">
        <v>60000</v>
      </c>
      <c r="AG104">
        <v>15000</v>
      </c>
      <c r="AH104">
        <v>15000</v>
      </c>
      <c r="AI104">
        <v>15000</v>
      </c>
      <c r="AJ104">
        <v>15000</v>
      </c>
      <c r="AK104">
        <v>30000</v>
      </c>
      <c r="AL104">
        <v>30000</v>
      </c>
    </row>
    <row r="105" spans="1:38">
      <c r="A105" t="s">
        <v>421</v>
      </c>
      <c r="B105" t="s">
        <v>422</v>
      </c>
      <c r="C105" t="s">
        <v>200</v>
      </c>
      <c r="D105" t="s">
        <v>201</v>
      </c>
      <c r="E105" t="s">
        <v>95</v>
      </c>
      <c r="F105">
        <v>2026</v>
      </c>
      <c r="G105" t="s">
        <v>202</v>
      </c>
      <c r="H105" t="s">
        <v>203</v>
      </c>
      <c r="I105" t="s">
        <v>204</v>
      </c>
      <c r="J105" t="s">
        <v>205</v>
      </c>
      <c r="K105" t="s">
        <v>350</v>
      </c>
      <c r="L105" t="s">
        <v>350</v>
      </c>
      <c r="M105" t="s">
        <v>422</v>
      </c>
      <c r="N105" t="s">
        <v>351</v>
      </c>
      <c r="O105" t="s">
        <v>194</v>
      </c>
      <c r="P105" t="s">
        <v>445</v>
      </c>
      <c r="Q105" t="s">
        <v>273</v>
      </c>
      <c r="R105" t="s">
        <v>459</v>
      </c>
      <c r="S105" t="s">
        <v>460</v>
      </c>
      <c r="Y105">
        <v>100000</v>
      </c>
      <c r="AE105">
        <v>100000</v>
      </c>
      <c r="AF105" s="1">
        <v>200000</v>
      </c>
      <c r="AG105">
        <v>0</v>
      </c>
      <c r="AH105">
        <v>100000</v>
      </c>
      <c r="AI105">
        <v>0</v>
      </c>
      <c r="AJ105">
        <v>100000</v>
      </c>
      <c r="AK105">
        <v>100000</v>
      </c>
      <c r="AL105">
        <v>100000</v>
      </c>
    </row>
    <row r="106" spans="1:38">
      <c r="A106" t="s">
        <v>421</v>
      </c>
      <c r="B106" t="s">
        <v>422</v>
      </c>
      <c r="C106" t="s">
        <v>135</v>
      </c>
      <c r="D106" t="s">
        <v>201</v>
      </c>
      <c r="E106" t="s">
        <v>95</v>
      </c>
      <c r="F106">
        <v>2026</v>
      </c>
      <c r="G106" t="s">
        <v>202</v>
      </c>
      <c r="H106" t="s">
        <v>203</v>
      </c>
      <c r="I106" t="s">
        <v>204</v>
      </c>
      <c r="J106" t="s">
        <v>205</v>
      </c>
      <c r="K106" t="s">
        <v>350</v>
      </c>
      <c r="L106" t="s">
        <v>350</v>
      </c>
      <c r="M106" t="s">
        <v>422</v>
      </c>
      <c r="N106" t="s">
        <v>351</v>
      </c>
      <c r="O106" t="s">
        <v>194</v>
      </c>
      <c r="P106" t="s">
        <v>445</v>
      </c>
      <c r="Q106" t="s">
        <v>276</v>
      </c>
      <c r="R106" t="s">
        <v>461</v>
      </c>
      <c r="S106" t="s">
        <v>135</v>
      </c>
      <c r="T106">
        <v>140000</v>
      </c>
      <c r="U106">
        <v>140000</v>
      </c>
      <c r="V106">
        <v>140000</v>
      </c>
      <c r="W106">
        <v>140000</v>
      </c>
      <c r="X106">
        <v>140000</v>
      </c>
      <c r="Y106">
        <v>140000</v>
      </c>
      <c r="Z106">
        <v>140000</v>
      </c>
      <c r="AA106">
        <v>140000</v>
      </c>
      <c r="AB106">
        <v>140000</v>
      </c>
      <c r="AC106">
        <v>140000</v>
      </c>
      <c r="AD106">
        <v>140000</v>
      </c>
      <c r="AE106">
        <v>140000</v>
      </c>
      <c r="AF106">
        <v>1680000</v>
      </c>
      <c r="AG106">
        <v>420000</v>
      </c>
      <c r="AH106">
        <v>420000</v>
      </c>
      <c r="AI106">
        <v>420000</v>
      </c>
      <c r="AJ106">
        <v>420000</v>
      </c>
      <c r="AK106">
        <v>840000</v>
      </c>
      <c r="AL106">
        <v>840000</v>
      </c>
    </row>
    <row r="107" spans="1:38">
      <c r="A107" t="s">
        <v>421</v>
      </c>
      <c r="B107" t="s">
        <v>422</v>
      </c>
      <c r="C107" t="s">
        <v>135</v>
      </c>
      <c r="D107" t="s">
        <v>201</v>
      </c>
      <c r="E107" t="s">
        <v>95</v>
      </c>
      <c r="F107">
        <v>2026</v>
      </c>
      <c r="G107" t="s">
        <v>202</v>
      </c>
      <c r="H107" t="s">
        <v>203</v>
      </c>
      <c r="I107" t="s">
        <v>204</v>
      </c>
      <c r="J107" t="s">
        <v>205</v>
      </c>
      <c r="K107" t="s">
        <v>350</v>
      </c>
      <c r="L107" t="s">
        <v>350</v>
      </c>
      <c r="M107" t="s">
        <v>422</v>
      </c>
      <c r="N107" t="s">
        <v>351</v>
      </c>
      <c r="O107" t="s">
        <v>194</v>
      </c>
      <c r="P107" t="s">
        <v>445</v>
      </c>
      <c r="Q107" t="s">
        <v>280</v>
      </c>
      <c r="R107" t="s">
        <v>462</v>
      </c>
      <c r="S107" t="s">
        <v>463</v>
      </c>
      <c r="Y107">
        <v>30000</v>
      </c>
      <c r="AE107">
        <v>30000</v>
      </c>
      <c r="AF107">
        <v>60000</v>
      </c>
      <c r="AG107">
        <v>0</v>
      </c>
      <c r="AH107">
        <v>30000</v>
      </c>
      <c r="AI107">
        <v>0</v>
      </c>
      <c r="AJ107">
        <v>30000</v>
      </c>
      <c r="AK107">
        <v>30000</v>
      </c>
      <c r="AL107">
        <v>30000</v>
      </c>
    </row>
    <row r="108" spans="1:38">
      <c r="A108" t="s">
        <v>464</v>
      </c>
      <c r="B108" t="s">
        <v>465</v>
      </c>
      <c r="C108" t="s">
        <v>200</v>
      </c>
      <c r="D108" t="s">
        <v>201</v>
      </c>
      <c r="E108" t="s">
        <v>129</v>
      </c>
      <c r="F108">
        <v>2026</v>
      </c>
      <c r="G108" t="s">
        <v>202</v>
      </c>
      <c r="H108" t="s">
        <v>203</v>
      </c>
      <c r="I108" t="s">
        <v>204</v>
      </c>
      <c r="J108" t="s">
        <v>205</v>
      </c>
      <c r="K108" t="s">
        <v>350</v>
      </c>
      <c r="L108" t="s">
        <v>350</v>
      </c>
      <c r="M108" t="s">
        <v>465</v>
      </c>
      <c r="N108" t="s">
        <v>351</v>
      </c>
      <c r="O108" t="s">
        <v>170</v>
      </c>
      <c r="P108" t="s">
        <v>466</v>
      </c>
      <c r="Q108" t="s">
        <v>208</v>
      </c>
      <c r="R108" t="s">
        <v>467</v>
      </c>
      <c r="S108" t="s">
        <v>468</v>
      </c>
      <c r="T108">
        <v>100000</v>
      </c>
      <c r="U108">
        <v>100000</v>
      </c>
      <c r="V108">
        <v>130000</v>
      </c>
      <c r="W108">
        <v>100000</v>
      </c>
      <c r="X108">
        <v>100000</v>
      </c>
      <c r="Y108">
        <v>130000</v>
      </c>
      <c r="Z108">
        <v>100000</v>
      </c>
      <c r="AA108">
        <v>100000</v>
      </c>
      <c r="AB108">
        <v>130000</v>
      </c>
      <c r="AC108">
        <v>100000</v>
      </c>
      <c r="AD108">
        <v>100000</v>
      </c>
      <c r="AE108">
        <v>150000</v>
      </c>
      <c r="AF108" s="1">
        <v>1340000</v>
      </c>
      <c r="AG108">
        <v>330000</v>
      </c>
      <c r="AH108">
        <v>330000</v>
      </c>
      <c r="AI108">
        <v>330000</v>
      </c>
      <c r="AJ108">
        <v>350000</v>
      </c>
      <c r="AK108">
        <v>660000</v>
      </c>
      <c r="AL108">
        <v>680000</v>
      </c>
    </row>
    <row r="109" spans="1:38">
      <c r="A109" t="s">
        <v>464</v>
      </c>
      <c r="B109" t="s">
        <v>465</v>
      </c>
      <c r="C109" t="s">
        <v>200</v>
      </c>
      <c r="D109" t="s">
        <v>201</v>
      </c>
      <c r="E109" t="s">
        <v>129</v>
      </c>
      <c r="F109">
        <v>2026</v>
      </c>
      <c r="G109" t="s">
        <v>202</v>
      </c>
      <c r="H109" t="s">
        <v>203</v>
      </c>
      <c r="I109" t="s">
        <v>204</v>
      </c>
      <c r="J109" t="s">
        <v>205</v>
      </c>
      <c r="K109" t="s">
        <v>350</v>
      </c>
      <c r="L109" t="s">
        <v>350</v>
      </c>
      <c r="M109" t="s">
        <v>465</v>
      </c>
      <c r="N109" t="s">
        <v>351</v>
      </c>
      <c r="O109" t="s">
        <v>170</v>
      </c>
      <c r="P109" t="s">
        <v>466</v>
      </c>
      <c r="Q109" t="s">
        <v>211</v>
      </c>
      <c r="R109" t="s">
        <v>469</v>
      </c>
      <c r="S109" t="s">
        <v>470</v>
      </c>
      <c r="T109">
        <v>200000</v>
      </c>
      <c r="U109">
        <v>200000</v>
      </c>
      <c r="V109">
        <v>300000</v>
      </c>
      <c r="W109">
        <v>300000</v>
      </c>
      <c r="X109">
        <v>350000</v>
      </c>
      <c r="Y109">
        <v>300000</v>
      </c>
      <c r="Z109">
        <v>300000</v>
      </c>
      <c r="AA109">
        <v>300000</v>
      </c>
      <c r="AB109">
        <v>350000</v>
      </c>
      <c r="AC109">
        <v>300000</v>
      </c>
      <c r="AD109">
        <v>300000</v>
      </c>
      <c r="AE109">
        <v>500000</v>
      </c>
      <c r="AF109" s="1">
        <v>3700000</v>
      </c>
      <c r="AG109">
        <v>700000</v>
      </c>
      <c r="AH109">
        <v>950000</v>
      </c>
      <c r="AI109">
        <v>950000</v>
      </c>
      <c r="AJ109">
        <v>1100000</v>
      </c>
      <c r="AK109">
        <v>1650000</v>
      </c>
      <c r="AL109">
        <v>2050000</v>
      </c>
    </row>
    <row r="110" spans="1:38">
      <c r="A110" t="s">
        <v>464</v>
      </c>
      <c r="B110" t="s">
        <v>465</v>
      </c>
      <c r="C110" t="s">
        <v>200</v>
      </c>
      <c r="D110" t="s">
        <v>201</v>
      </c>
      <c r="E110" t="s">
        <v>129</v>
      </c>
      <c r="F110">
        <v>2026</v>
      </c>
      <c r="G110" t="s">
        <v>202</v>
      </c>
      <c r="H110" t="s">
        <v>203</v>
      </c>
      <c r="I110" t="s">
        <v>204</v>
      </c>
      <c r="J110" t="s">
        <v>205</v>
      </c>
      <c r="K110" t="s">
        <v>350</v>
      </c>
      <c r="L110" t="s">
        <v>350</v>
      </c>
      <c r="M110" t="s">
        <v>465</v>
      </c>
      <c r="N110" t="s">
        <v>351</v>
      </c>
      <c r="O110" t="s">
        <v>170</v>
      </c>
      <c r="P110" t="s">
        <v>466</v>
      </c>
      <c r="Q110" t="s">
        <v>173</v>
      </c>
      <c r="R110" t="s">
        <v>471</v>
      </c>
      <c r="S110" t="s">
        <v>472</v>
      </c>
      <c r="V110">
        <v>100000</v>
      </c>
      <c r="W110">
        <v>100000</v>
      </c>
      <c r="X110">
        <v>100000</v>
      </c>
      <c r="Y110">
        <v>100000</v>
      </c>
      <c r="Z110">
        <v>100000</v>
      </c>
      <c r="AA110">
        <v>100000</v>
      </c>
      <c r="AB110">
        <v>100000</v>
      </c>
      <c r="AC110">
        <v>100000</v>
      </c>
      <c r="AD110">
        <v>100000</v>
      </c>
      <c r="AE110">
        <v>100000</v>
      </c>
      <c r="AF110" s="1">
        <v>1000000</v>
      </c>
      <c r="AG110">
        <v>100000</v>
      </c>
      <c r="AH110">
        <v>300000</v>
      </c>
      <c r="AI110">
        <v>300000</v>
      </c>
      <c r="AJ110">
        <v>300000</v>
      </c>
      <c r="AK110">
        <v>400000</v>
      </c>
      <c r="AL110">
        <v>600000</v>
      </c>
    </row>
    <row r="111" spans="1:38">
      <c r="A111" t="s">
        <v>464</v>
      </c>
      <c r="B111" t="s">
        <v>465</v>
      </c>
      <c r="C111" t="s">
        <v>200</v>
      </c>
      <c r="D111" t="s">
        <v>201</v>
      </c>
      <c r="E111" t="s">
        <v>129</v>
      </c>
      <c r="F111">
        <v>2026</v>
      </c>
      <c r="G111" t="s">
        <v>202</v>
      </c>
      <c r="H111" t="s">
        <v>203</v>
      </c>
      <c r="I111" t="s">
        <v>204</v>
      </c>
      <c r="J111" t="s">
        <v>205</v>
      </c>
      <c r="K111" t="s">
        <v>350</v>
      </c>
      <c r="L111" t="s">
        <v>350</v>
      </c>
      <c r="M111" t="s">
        <v>465</v>
      </c>
      <c r="N111" t="s">
        <v>351</v>
      </c>
      <c r="O111" t="s">
        <v>170</v>
      </c>
      <c r="P111" t="s">
        <v>466</v>
      </c>
      <c r="Q111" t="s">
        <v>175</v>
      </c>
      <c r="R111" t="s">
        <v>473</v>
      </c>
      <c r="S111" t="s">
        <v>474</v>
      </c>
      <c r="T111">
        <v>300000</v>
      </c>
      <c r="U111">
        <v>300000</v>
      </c>
      <c r="V111">
        <v>300000</v>
      </c>
      <c r="W111">
        <v>400000</v>
      </c>
      <c r="X111">
        <v>400000</v>
      </c>
      <c r="Y111">
        <v>400000</v>
      </c>
      <c r="Z111">
        <v>400000</v>
      </c>
      <c r="AA111">
        <v>400000</v>
      </c>
      <c r="AB111">
        <v>400000</v>
      </c>
      <c r="AC111">
        <v>400000</v>
      </c>
      <c r="AD111">
        <v>400000</v>
      </c>
      <c r="AE111">
        <v>400000</v>
      </c>
      <c r="AF111" s="1">
        <v>4500000</v>
      </c>
      <c r="AG111">
        <v>900000</v>
      </c>
      <c r="AH111">
        <v>1200000</v>
      </c>
      <c r="AI111">
        <v>1200000</v>
      </c>
      <c r="AJ111">
        <v>1200000</v>
      </c>
      <c r="AK111">
        <v>2100000</v>
      </c>
      <c r="AL111">
        <v>2400000</v>
      </c>
    </row>
    <row r="112" spans="1:38">
      <c r="A112" t="s">
        <v>464</v>
      </c>
      <c r="B112" t="s">
        <v>465</v>
      </c>
      <c r="C112" t="s">
        <v>200</v>
      </c>
      <c r="D112" t="s">
        <v>201</v>
      </c>
      <c r="E112" t="s">
        <v>129</v>
      </c>
      <c r="F112">
        <v>2026</v>
      </c>
      <c r="G112" t="s">
        <v>202</v>
      </c>
      <c r="H112" t="s">
        <v>203</v>
      </c>
      <c r="I112" t="s">
        <v>204</v>
      </c>
      <c r="J112" t="s">
        <v>205</v>
      </c>
      <c r="K112" t="s">
        <v>350</v>
      </c>
      <c r="L112" t="s">
        <v>350</v>
      </c>
      <c r="M112" t="s">
        <v>465</v>
      </c>
      <c r="N112" t="s">
        <v>351</v>
      </c>
      <c r="O112" t="s">
        <v>170</v>
      </c>
      <c r="P112" t="s">
        <v>466</v>
      </c>
      <c r="Q112" t="s">
        <v>177</v>
      </c>
      <c r="R112" t="s">
        <v>475</v>
      </c>
      <c r="S112" t="s">
        <v>476</v>
      </c>
      <c r="T112">
        <v>300000</v>
      </c>
      <c r="U112">
        <v>300000</v>
      </c>
      <c r="V112">
        <v>400000</v>
      </c>
      <c r="W112">
        <v>350000</v>
      </c>
      <c r="X112">
        <v>400000</v>
      </c>
      <c r="Y112">
        <v>600000</v>
      </c>
      <c r="Z112">
        <v>300000</v>
      </c>
      <c r="AA112">
        <v>300000</v>
      </c>
      <c r="AB112">
        <v>600000</v>
      </c>
      <c r="AC112">
        <v>300000</v>
      </c>
      <c r="AD112">
        <v>300000</v>
      </c>
      <c r="AE112">
        <v>300000</v>
      </c>
      <c r="AF112" s="1">
        <v>4450000</v>
      </c>
      <c r="AG112">
        <v>1000000</v>
      </c>
      <c r="AH112">
        <v>1350000</v>
      </c>
      <c r="AI112">
        <v>1200000</v>
      </c>
      <c r="AJ112">
        <v>900000</v>
      </c>
      <c r="AK112">
        <v>2350000</v>
      </c>
      <c r="AL112">
        <v>2100000</v>
      </c>
    </row>
    <row r="113" spans="1:38">
      <c r="A113" t="s">
        <v>464</v>
      </c>
      <c r="B113" t="s">
        <v>465</v>
      </c>
      <c r="C113" t="s">
        <v>200</v>
      </c>
      <c r="D113" t="s">
        <v>201</v>
      </c>
      <c r="E113" t="s">
        <v>129</v>
      </c>
      <c r="F113">
        <v>2026</v>
      </c>
      <c r="G113" t="s">
        <v>202</v>
      </c>
      <c r="H113" t="s">
        <v>203</v>
      </c>
      <c r="I113" t="s">
        <v>204</v>
      </c>
      <c r="J113" t="s">
        <v>205</v>
      </c>
      <c r="K113" t="s">
        <v>350</v>
      </c>
      <c r="L113" t="s">
        <v>350</v>
      </c>
      <c r="M113" t="s">
        <v>465</v>
      </c>
      <c r="N113" t="s">
        <v>351</v>
      </c>
      <c r="O113" t="s">
        <v>170</v>
      </c>
      <c r="P113" t="s">
        <v>466</v>
      </c>
      <c r="Q113" t="s">
        <v>178</v>
      </c>
      <c r="R113" t="s">
        <v>477</v>
      </c>
      <c r="S113" t="s">
        <v>478</v>
      </c>
      <c r="T113">
        <v>400000</v>
      </c>
      <c r="U113">
        <v>400000</v>
      </c>
      <c r="V113">
        <v>600000</v>
      </c>
      <c r="W113">
        <v>400000</v>
      </c>
      <c r="X113">
        <v>600000</v>
      </c>
      <c r="Y113">
        <v>500000</v>
      </c>
      <c r="Z113">
        <v>600000</v>
      </c>
      <c r="AA113">
        <v>600000</v>
      </c>
      <c r="AB113">
        <v>600000</v>
      </c>
      <c r="AC113">
        <v>600000</v>
      </c>
      <c r="AD113">
        <v>500000</v>
      </c>
      <c r="AE113">
        <v>600000</v>
      </c>
      <c r="AF113" s="1">
        <v>6400000</v>
      </c>
      <c r="AG113">
        <v>1400000</v>
      </c>
      <c r="AH113">
        <v>1500000</v>
      </c>
      <c r="AI113">
        <v>1800000</v>
      </c>
      <c r="AJ113">
        <v>1700000</v>
      </c>
      <c r="AK113">
        <v>2900000</v>
      </c>
      <c r="AL113">
        <v>3500000</v>
      </c>
    </row>
    <row r="114" spans="1:38">
      <c r="A114" t="s">
        <v>464</v>
      </c>
      <c r="B114" t="s">
        <v>465</v>
      </c>
      <c r="C114" t="s">
        <v>200</v>
      </c>
      <c r="D114" t="s">
        <v>201</v>
      </c>
      <c r="E114" t="s">
        <v>129</v>
      </c>
      <c r="F114">
        <v>2026</v>
      </c>
      <c r="G114" t="s">
        <v>202</v>
      </c>
      <c r="H114" t="s">
        <v>203</v>
      </c>
      <c r="I114" t="s">
        <v>204</v>
      </c>
      <c r="J114" t="s">
        <v>205</v>
      </c>
      <c r="K114" t="s">
        <v>350</v>
      </c>
      <c r="L114" t="s">
        <v>350</v>
      </c>
      <c r="M114" t="s">
        <v>465</v>
      </c>
      <c r="N114" t="s">
        <v>351</v>
      </c>
      <c r="O114" t="s">
        <v>170</v>
      </c>
      <c r="P114" t="s">
        <v>466</v>
      </c>
      <c r="Q114" t="s">
        <v>180</v>
      </c>
      <c r="R114" t="s">
        <v>479</v>
      </c>
      <c r="S114" t="s">
        <v>480</v>
      </c>
      <c r="V114">
        <v>200000</v>
      </c>
      <c r="Y114">
        <v>200000</v>
      </c>
      <c r="AA114">
        <v>100000</v>
      </c>
      <c r="AB114">
        <v>200000</v>
      </c>
      <c r="AD114">
        <v>100000</v>
      </c>
      <c r="AE114">
        <v>200000</v>
      </c>
      <c r="AF114" s="1">
        <v>1000000</v>
      </c>
      <c r="AG114">
        <v>200000</v>
      </c>
      <c r="AH114">
        <v>200000</v>
      </c>
      <c r="AI114">
        <v>300000</v>
      </c>
      <c r="AJ114">
        <v>300000</v>
      </c>
      <c r="AK114">
        <v>400000</v>
      </c>
      <c r="AL114">
        <v>600000</v>
      </c>
    </row>
    <row r="115" spans="1:38">
      <c r="A115" t="s">
        <v>464</v>
      </c>
      <c r="B115" t="s">
        <v>465</v>
      </c>
      <c r="C115" t="s">
        <v>200</v>
      </c>
      <c r="D115" t="s">
        <v>201</v>
      </c>
      <c r="E115" t="s">
        <v>129</v>
      </c>
      <c r="F115">
        <v>2026</v>
      </c>
      <c r="G115" t="s">
        <v>202</v>
      </c>
      <c r="H115" t="s">
        <v>203</v>
      </c>
      <c r="I115" t="s">
        <v>204</v>
      </c>
      <c r="J115" t="s">
        <v>205</v>
      </c>
      <c r="K115" t="s">
        <v>350</v>
      </c>
      <c r="L115" t="s">
        <v>350</v>
      </c>
      <c r="M115" t="s">
        <v>465</v>
      </c>
      <c r="N115" t="s">
        <v>351</v>
      </c>
      <c r="O115" t="s">
        <v>170</v>
      </c>
      <c r="P115" t="s">
        <v>466</v>
      </c>
      <c r="Q115" t="s">
        <v>183</v>
      </c>
      <c r="R115" t="s">
        <v>481</v>
      </c>
      <c r="S115" t="s">
        <v>482</v>
      </c>
      <c r="T115">
        <v>200000</v>
      </c>
      <c r="U115">
        <v>200000</v>
      </c>
      <c r="V115">
        <v>200000</v>
      </c>
      <c r="W115">
        <v>200000</v>
      </c>
      <c r="X115">
        <v>300000</v>
      </c>
      <c r="Y115">
        <v>200000</v>
      </c>
      <c r="Z115">
        <v>300000</v>
      </c>
      <c r="AA115">
        <v>200000</v>
      </c>
      <c r="AB115">
        <v>200000</v>
      </c>
      <c r="AC115">
        <v>300000</v>
      </c>
      <c r="AD115">
        <v>200000</v>
      </c>
      <c r="AE115">
        <v>200000</v>
      </c>
      <c r="AF115" s="1">
        <v>2700000</v>
      </c>
      <c r="AG115">
        <v>600000</v>
      </c>
      <c r="AH115">
        <v>700000</v>
      </c>
      <c r="AI115">
        <v>700000</v>
      </c>
      <c r="AJ115">
        <v>700000</v>
      </c>
      <c r="AK115">
        <v>1300000</v>
      </c>
      <c r="AL115">
        <v>1400000</v>
      </c>
    </row>
    <row r="116" spans="1:38">
      <c r="A116" t="s">
        <v>464</v>
      </c>
      <c r="B116" t="s">
        <v>465</v>
      </c>
      <c r="C116" t="s">
        <v>200</v>
      </c>
      <c r="D116" t="s">
        <v>201</v>
      </c>
      <c r="E116" t="s">
        <v>129</v>
      </c>
      <c r="F116">
        <v>2026</v>
      </c>
      <c r="G116" t="s">
        <v>202</v>
      </c>
      <c r="H116" t="s">
        <v>203</v>
      </c>
      <c r="I116" t="s">
        <v>204</v>
      </c>
      <c r="J116" t="s">
        <v>205</v>
      </c>
      <c r="K116" t="s">
        <v>350</v>
      </c>
      <c r="L116" t="s">
        <v>350</v>
      </c>
      <c r="M116" t="s">
        <v>465</v>
      </c>
      <c r="N116" t="s">
        <v>351</v>
      </c>
      <c r="O116" t="s">
        <v>170</v>
      </c>
      <c r="P116" t="s">
        <v>466</v>
      </c>
      <c r="Q116" t="s">
        <v>185</v>
      </c>
      <c r="R116" t="s">
        <v>483</v>
      </c>
      <c r="S116" t="s">
        <v>484</v>
      </c>
      <c r="W116">
        <v>200000</v>
      </c>
      <c r="X116">
        <v>200000</v>
      </c>
      <c r="Y116">
        <v>200000</v>
      </c>
      <c r="Z116">
        <v>200000</v>
      </c>
      <c r="AA116">
        <v>200000</v>
      </c>
      <c r="AB116">
        <v>200000</v>
      </c>
      <c r="AC116">
        <v>200000</v>
      </c>
      <c r="AD116">
        <v>200000</v>
      </c>
      <c r="AE116">
        <v>200000</v>
      </c>
      <c r="AF116" s="1">
        <v>1800000</v>
      </c>
      <c r="AG116">
        <v>0</v>
      </c>
      <c r="AH116">
        <v>600000</v>
      </c>
      <c r="AI116">
        <v>600000</v>
      </c>
      <c r="AJ116">
        <v>600000</v>
      </c>
      <c r="AK116">
        <v>600000</v>
      </c>
      <c r="AL116">
        <v>1200000</v>
      </c>
    </row>
    <row r="117" spans="1:38">
      <c r="A117" t="s">
        <v>464</v>
      </c>
      <c r="B117" t="s">
        <v>465</v>
      </c>
      <c r="C117" t="s">
        <v>200</v>
      </c>
      <c r="D117" t="s">
        <v>201</v>
      </c>
      <c r="E117" t="s">
        <v>129</v>
      </c>
      <c r="F117">
        <v>2026</v>
      </c>
      <c r="G117" t="s">
        <v>202</v>
      </c>
      <c r="H117" t="s">
        <v>203</v>
      </c>
      <c r="I117" t="s">
        <v>204</v>
      </c>
      <c r="J117" t="s">
        <v>205</v>
      </c>
      <c r="K117" t="s">
        <v>350</v>
      </c>
      <c r="L117" t="s">
        <v>350</v>
      </c>
      <c r="M117" t="s">
        <v>465</v>
      </c>
      <c r="N117" t="s">
        <v>351</v>
      </c>
      <c r="O117" t="s">
        <v>170</v>
      </c>
      <c r="P117" t="s">
        <v>466</v>
      </c>
      <c r="Q117" t="s">
        <v>188</v>
      </c>
      <c r="R117" t="s">
        <v>485</v>
      </c>
      <c r="S117" t="s">
        <v>486</v>
      </c>
      <c r="W117">
        <v>100000</v>
      </c>
      <c r="X117">
        <v>200000</v>
      </c>
      <c r="Y117">
        <v>100000</v>
      </c>
      <c r="Z117">
        <v>100000</v>
      </c>
      <c r="AA117">
        <v>200000</v>
      </c>
      <c r="AB117">
        <v>100000</v>
      </c>
      <c r="AC117">
        <v>100000</v>
      </c>
      <c r="AD117">
        <v>100000</v>
      </c>
      <c r="AE117">
        <v>200000</v>
      </c>
      <c r="AF117" s="1">
        <v>1200000</v>
      </c>
      <c r="AG117">
        <v>0</v>
      </c>
      <c r="AH117">
        <v>400000</v>
      </c>
      <c r="AI117">
        <v>400000</v>
      </c>
      <c r="AJ117">
        <v>400000</v>
      </c>
      <c r="AK117">
        <v>400000</v>
      </c>
      <c r="AL117">
        <v>800000</v>
      </c>
    </row>
    <row r="118" spans="1:38">
      <c r="A118" t="s">
        <v>464</v>
      </c>
      <c r="B118" t="s">
        <v>465</v>
      </c>
      <c r="C118" t="s">
        <v>200</v>
      </c>
      <c r="D118" t="s">
        <v>201</v>
      </c>
      <c r="E118" t="s">
        <v>129</v>
      </c>
      <c r="F118">
        <v>2026</v>
      </c>
      <c r="G118" t="s">
        <v>202</v>
      </c>
      <c r="H118" t="s">
        <v>203</v>
      </c>
      <c r="I118" t="s">
        <v>204</v>
      </c>
      <c r="J118" t="s">
        <v>205</v>
      </c>
      <c r="K118" t="s">
        <v>350</v>
      </c>
      <c r="L118" t="s">
        <v>350</v>
      </c>
      <c r="M118" t="s">
        <v>465</v>
      </c>
      <c r="N118" t="s">
        <v>351</v>
      </c>
      <c r="O118" t="s">
        <v>170</v>
      </c>
      <c r="P118" t="s">
        <v>466</v>
      </c>
      <c r="Q118" t="s">
        <v>191</v>
      </c>
      <c r="R118" t="s">
        <v>487</v>
      </c>
      <c r="S118" t="s">
        <v>444</v>
      </c>
      <c r="T118">
        <v>300000</v>
      </c>
      <c r="U118">
        <v>300000</v>
      </c>
      <c r="V118">
        <v>400000</v>
      </c>
      <c r="W118">
        <v>300000</v>
      </c>
      <c r="X118">
        <v>400000</v>
      </c>
      <c r="Y118">
        <v>400000</v>
      </c>
      <c r="Z118">
        <v>300000</v>
      </c>
      <c r="AA118">
        <v>400000</v>
      </c>
      <c r="AB118">
        <v>300000</v>
      </c>
      <c r="AC118">
        <v>400000</v>
      </c>
      <c r="AD118">
        <v>400000</v>
      </c>
      <c r="AE118">
        <v>400000</v>
      </c>
      <c r="AF118" s="1">
        <v>4300000</v>
      </c>
      <c r="AG118">
        <v>1000000</v>
      </c>
      <c r="AH118">
        <v>1100000</v>
      </c>
      <c r="AI118">
        <v>1000000</v>
      </c>
      <c r="AJ118">
        <v>1200000</v>
      </c>
      <c r="AK118">
        <v>2100000</v>
      </c>
      <c r="AL118">
        <v>2200000</v>
      </c>
    </row>
    <row r="119" spans="1:38">
      <c r="A119" t="s">
        <v>464</v>
      </c>
      <c r="B119" t="s">
        <v>465</v>
      </c>
      <c r="C119" t="s">
        <v>200</v>
      </c>
      <c r="D119" t="s">
        <v>201</v>
      </c>
      <c r="E119" t="s">
        <v>129</v>
      </c>
      <c r="F119">
        <v>2026</v>
      </c>
      <c r="G119" t="s">
        <v>202</v>
      </c>
      <c r="H119" t="s">
        <v>203</v>
      </c>
      <c r="I119" t="s">
        <v>204</v>
      </c>
      <c r="J119" t="s">
        <v>205</v>
      </c>
      <c r="K119" t="s">
        <v>350</v>
      </c>
      <c r="L119" t="s">
        <v>350</v>
      </c>
      <c r="M119" t="s">
        <v>465</v>
      </c>
      <c r="N119" t="s">
        <v>351</v>
      </c>
      <c r="O119" t="s">
        <v>170</v>
      </c>
      <c r="P119" t="s">
        <v>466</v>
      </c>
      <c r="Q119" t="s">
        <v>193</v>
      </c>
      <c r="R119" t="s">
        <v>488</v>
      </c>
      <c r="S119" t="s">
        <v>489</v>
      </c>
      <c r="U119">
        <v>20000</v>
      </c>
      <c r="V119">
        <v>20000</v>
      </c>
      <c r="W119">
        <v>20000</v>
      </c>
      <c r="X119">
        <v>20000</v>
      </c>
      <c r="Y119">
        <v>220000</v>
      </c>
      <c r="Z119">
        <v>20000</v>
      </c>
      <c r="AA119">
        <v>20000</v>
      </c>
      <c r="AB119">
        <v>20000</v>
      </c>
      <c r="AC119">
        <v>20000</v>
      </c>
      <c r="AD119">
        <v>20000</v>
      </c>
      <c r="AE119">
        <v>220000</v>
      </c>
      <c r="AF119" s="1">
        <v>620000</v>
      </c>
      <c r="AG119">
        <v>40000</v>
      </c>
      <c r="AH119">
        <v>260000</v>
      </c>
      <c r="AI119">
        <v>60000</v>
      </c>
      <c r="AJ119">
        <v>260000</v>
      </c>
      <c r="AK119">
        <v>300000</v>
      </c>
      <c r="AL119">
        <v>320000</v>
      </c>
    </row>
    <row r="120" spans="1:38">
      <c r="A120" t="s">
        <v>464</v>
      </c>
      <c r="B120" t="s">
        <v>465</v>
      </c>
      <c r="C120" t="s">
        <v>200</v>
      </c>
      <c r="D120" t="s">
        <v>201</v>
      </c>
      <c r="E120" t="s">
        <v>129</v>
      </c>
      <c r="F120">
        <v>2026</v>
      </c>
      <c r="G120" t="s">
        <v>202</v>
      </c>
      <c r="H120" t="s">
        <v>203</v>
      </c>
      <c r="I120" t="s">
        <v>204</v>
      </c>
      <c r="J120" t="s">
        <v>205</v>
      </c>
      <c r="K120" t="s">
        <v>350</v>
      </c>
      <c r="L120" t="s">
        <v>350</v>
      </c>
      <c r="M120" t="s">
        <v>465</v>
      </c>
      <c r="N120" t="s">
        <v>351</v>
      </c>
      <c r="O120" t="s">
        <v>170</v>
      </c>
      <c r="P120" t="s">
        <v>466</v>
      </c>
      <c r="Q120" t="s">
        <v>195</v>
      </c>
      <c r="R120" t="s">
        <v>490</v>
      </c>
      <c r="S120" t="s">
        <v>491</v>
      </c>
      <c r="T120">
        <v>0</v>
      </c>
      <c r="U120">
        <v>0</v>
      </c>
      <c r="V120">
        <v>0</v>
      </c>
      <c r="W120">
        <v>83600</v>
      </c>
      <c r="X120">
        <v>209000</v>
      </c>
      <c r="Y120">
        <v>376200</v>
      </c>
      <c r="Z120">
        <v>627000</v>
      </c>
      <c r="AA120">
        <v>877800</v>
      </c>
      <c r="AB120">
        <v>1128600</v>
      </c>
      <c r="AC120">
        <v>1546600</v>
      </c>
      <c r="AD120">
        <v>1964600</v>
      </c>
      <c r="AE120">
        <v>2382600</v>
      </c>
      <c r="AF120" s="1">
        <v>9196000</v>
      </c>
      <c r="AG120">
        <v>3302200</v>
      </c>
      <c r="AH120">
        <v>668800</v>
      </c>
      <c r="AI120">
        <v>2633400</v>
      </c>
      <c r="AJ120">
        <v>5893800</v>
      </c>
      <c r="AK120">
        <v>3971000</v>
      </c>
      <c r="AL120">
        <v>8527200</v>
      </c>
    </row>
    <row r="121" spans="1:38">
      <c r="A121" t="s">
        <v>464</v>
      </c>
      <c r="B121" t="s">
        <v>465</v>
      </c>
      <c r="C121" t="s">
        <v>200</v>
      </c>
      <c r="D121" t="s">
        <v>201</v>
      </c>
      <c r="E121" t="s">
        <v>129</v>
      </c>
      <c r="F121">
        <v>2026</v>
      </c>
      <c r="G121" t="s">
        <v>202</v>
      </c>
      <c r="H121" t="s">
        <v>203</v>
      </c>
      <c r="I121" t="s">
        <v>204</v>
      </c>
      <c r="J121" t="s">
        <v>205</v>
      </c>
      <c r="K121" t="s">
        <v>350</v>
      </c>
      <c r="L121" t="s">
        <v>350</v>
      </c>
      <c r="M121" t="s">
        <v>465</v>
      </c>
      <c r="N121" t="s">
        <v>351</v>
      </c>
      <c r="O121" t="s">
        <v>170</v>
      </c>
      <c r="P121" t="s">
        <v>466</v>
      </c>
      <c r="Q121" t="s">
        <v>197</v>
      </c>
      <c r="R121" t="s">
        <v>492</v>
      </c>
      <c r="S121" t="s">
        <v>493</v>
      </c>
      <c r="U121">
        <v>15000</v>
      </c>
      <c r="V121">
        <v>60000</v>
      </c>
      <c r="W121">
        <v>30000</v>
      </c>
      <c r="X121">
        <v>15000</v>
      </c>
      <c r="Y121">
        <v>30000</v>
      </c>
      <c r="Z121">
        <v>60000</v>
      </c>
      <c r="AA121">
        <v>30000</v>
      </c>
      <c r="AB121">
        <v>15000</v>
      </c>
      <c r="AC121">
        <v>30000</v>
      </c>
      <c r="AD121">
        <v>60000</v>
      </c>
      <c r="AE121">
        <v>15000</v>
      </c>
      <c r="AF121" s="1">
        <v>360000</v>
      </c>
      <c r="AG121">
        <v>75000</v>
      </c>
      <c r="AH121">
        <v>75000</v>
      </c>
      <c r="AI121">
        <v>105000</v>
      </c>
      <c r="AJ121">
        <v>105000</v>
      </c>
      <c r="AK121">
        <v>150000</v>
      </c>
      <c r="AL121">
        <v>210000</v>
      </c>
    </row>
    <row r="122" spans="1:38">
      <c r="A122" t="s">
        <v>464</v>
      </c>
      <c r="B122" t="s">
        <v>465</v>
      </c>
      <c r="C122" t="s">
        <v>200</v>
      </c>
      <c r="D122" t="s">
        <v>201</v>
      </c>
      <c r="E122" t="s">
        <v>129</v>
      </c>
      <c r="F122">
        <v>2026</v>
      </c>
      <c r="G122" t="s">
        <v>202</v>
      </c>
      <c r="H122" t="s">
        <v>203</v>
      </c>
      <c r="I122" t="s">
        <v>204</v>
      </c>
      <c r="J122" t="s">
        <v>205</v>
      </c>
      <c r="K122" t="s">
        <v>350</v>
      </c>
      <c r="L122" t="s">
        <v>350</v>
      </c>
      <c r="M122" t="s">
        <v>465</v>
      </c>
      <c r="N122" t="s">
        <v>351</v>
      </c>
      <c r="O122" t="s">
        <v>170</v>
      </c>
      <c r="P122" t="s">
        <v>466</v>
      </c>
      <c r="Q122" t="s">
        <v>273</v>
      </c>
      <c r="R122" t="s">
        <v>494</v>
      </c>
      <c r="S122" t="s">
        <v>495</v>
      </c>
      <c r="T122">
        <v>12000</v>
      </c>
      <c r="U122">
        <v>12000</v>
      </c>
      <c r="V122">
        <v>12000</v>
      </c>
      <c r="W122">
        <v>12000</v>
      </c>
      <c r="X122">
        <v>12000</v>
      </c>
      <c r="Y122">
        <v>12000</v>
      </c>
      <c r="Z122">
        <v>13000</v>
      </c>
      <c r="AA122">
        <v>13000</v>
      </c>
      <c r="AB122">
        <v>13000</v>
      </c>
      <c r="AC122">
        <v>13000</v>
      </c>
      <c r="AD122">
        <v>13000</v>
      </c>
      <c r="AE122">
        <v>13000</v>
      </c>
      <c r="AF122" s="1">
        <v>150000</v>
      </c>
      <c r="AG122">
        <v>36000</v>
      </c>
      <c r="AH122">
        <v>36000</v>
      </c>
      <c r="AI122">
        <v>39000</v>
      </c>
      <c r="AJ122">
        <v>39000</v>
      </c>
      <c r="AK122">
        <v>72000</v>
      </c>
      <c r="AL122">
        <v>78000</v>
      </c>
    </row>
    <row r="123" spans="1:38">
      <c r="A123" t="s">
        <v>464</v>
      </c>
      <c r="B123" t="s">
        <v>465</v>
      </c>
      <c r="C123" t="s">
        <v>200</v>
      </c>
      <c r="D123" t="s">
        <v>201</v>
      </c>
      <c r="E123" t="s">
        <v>129</v>
      </c>
      <c r="F123">
        <v>2026</v>
      </c>
      <c r="G123" t="s">
        <v>202</v>
      </c>
      <c r="H123" t="s">
        <v>203</v>
      </c>
      <c r="I123" t="s">
        <v>204</v>
      </c>
      <c r="J123" t="s">
        <v>205</v>
      </c>
      <c r="K123" t="s">
        <v>350</v>
      </c>
      <c r="L123" t="s">
        <v>350</v>
      </c>
      <c r="M123" t="s">
        <v>465</v>
      </c>
      <c r="N123" t="s">
        <v>351</v>
      </c>
      <c r="O123" t="s">
        <v>170</v>
      </c>
      <c r="P123" t="s">
        <v>466</v>
      </c>
      <c r="Q123" t="s">
        <v>276</v>
      </c>
      <c r="R123" t="s">
        <v>496</v>
      </c>
      <c r="AF123" s="1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</row>
    <row r="124" spans="1:38">
      <c r="A124" t="s">
        <v>464</v>
      </c>
      <c r="B124" t="s">
        <v>465</v>
      </c>
      <c r="C124" t="s">
        <v>200</v>
      </c>
      <c r="D124" t="s">
        <v>201</v>
      </c>
      <c r="E124" t="s">
        <v>129</v>
      </c>
      <c r="F124">
        <v>2026</v>
      </c>
      <c r="G124" t="s">
        <v>202</v>
      </c>
      <c r="H124" t="s">
        <v>203</v>
      </c>
      <c r="I124" t="s">
        <v>204</v>
      </c>
      <c r="J124" t="s">
        <v>205</v>
      </c>
      <c r="K124" t="s">
        <v>350</v>
      </c>
      <c r="L124" t="s">
        <v>350</v>
      </c>
      <c r="M124" t="s">
        <v>465</v>
      </c>
      <c r="N124" t="s">
        <v>351</v>
      </c>
      <c r="O124" t="s">
        <v>170</v>
      </c>
      <c r="P124" t="s">
        <v>466</v>
      </c>
      <c r="Q124" t="s">
        <v>280</v>
      </c>
      <c r="R124" t="s">
        <v>497</v>
      </c>
      <c r="AF124" s="1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</row>
    <row r="125" spans="1:38">
      <c r="A125" t="s">
        <v>464</v>
      </c>
      <c r="B125" t="s">
        <v>465</v>
      </c>
      <c r="C125" t="s">
        <v>200</v>
      </c>
      <c r="D125" t="s">
        <v>201</v>
      </c>
      <c r="E125" t="s">
        <v>129</v>
      </c>
      <c r="F125">
        <v>2026</v>
      </c>
      <c r="G125" t="s">
        <v>202</v>
      </c>
      <c r="H125" t="s">
        <v>203</v>
      </c>
      <c r="I125" t="s">
        <v>204</v>
      </c>
      <c r="J125" t="s">
        <v>205</v>
      </c>
      <c r="K125" t="s">
        <v>350</v>
      </c>
      <c r="L125" t="s">
        <v>350</v>
      </c>
      <c r="M125" t="s">
        <v>465</v>
      </c>
      <c r="N125" t="s">
        <v>351</v>
      </c>
      <c r="O125" t="s">
        <v>170</v>
      </c>
      <c r="P125" t="s">
        <v>466</v>
      </c>
      <c r="Q125" t="s">
        <v>283</v>
      </c>
      <c r="R125" t="s">
        <v>498</v>
      </c>
      <c r="AF125" s="1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>
      <c r="A126" t="s">
        <v>464</v>
      </c>
      <c r="B126" t="s">
        <v>465</v>
      </c>
      <c r="C126" t="s">
        <v>200</v>
      </c>
      <c r="D126" t="s">
        <v>201</v>
      </c>
      <c r="E126" t="s">
        <v>129</v>
      </c>
      <c r="F126">
        <v>2026</v>
      </c>
      <c r="G126" t="s">
        <v>202</v>
      </c>
      <c r="H126" t="s">
        <v>203</v>
      </c>
      <c r="I126" t="s">
        <v>204</v>
      </c>
      <c r="J126" t="s">
        <v>205</v>
      </c>
      <c r="K126" t="s">
        <v>350</v>
      </c>
      <c r="L126" t="s">
        <v>350</v>
      </c>
      <c r="M126" t="s">
        <v>465</v>
      </c>
      <c r="N126" t="s">
        <v>351</v>
      </c>
      <c r="O126" t="s">
        <v>170</v>
      </c>
      <c r="P126" t="s">
        <v>466</v>
      </c>
      <c r="Q126" t="s">
        <v>286</v>
      </c>
      <c r="R126" t="s">
        <v>499</v>
      </c>
      <c r="AF126" s="1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</row>
    <row r="127" spans="1:38">
      <c r="A127" t="s">
        <v>464</v>
      </c>
      <c r="B127" t="s">
        <v>465</v>
      </c>
      <c r="C127" t="s">
        <v>200</v>
      </c>
      <c r="D127" t="s">
        <v>201</v>
      </c>
      <c r="E127" t="s">
        <v>129</v>
      </c>
      <c r="F127">
        <v>2026</v>
      </c>
      <c r="G127" t="s">
        <v>202</v>
      </c>
      <c r="H127" t="s">
        <v>203</v>
      </c>
      <c r="I127" t="s">
        <v>204</v>
      </c>
      <c r="J127" t="s">
        <v>205</v>
      </c>
      <c r="K127" t="s">
        <v>350</v>
      </c>
      <c r="L127" t="s">
        <v>350</v>
      </c>
      <c r="M127" t="s">
        <v>465</v>
      </c>
      <c r="N127" t="s">
        <v>351</v>
      </c>
      <c r="O127" t="s">
        <v>170</v>
      </c>
      <c r="P127" t="s">
        <v>466</v>
      </c>
      <c r="Q127" t="s">
        <v>289</v>
      </c>
      <c r="R127" t="s">
        <v>500</v>
      </c>
      <c r="AF127" s="1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>
      <c r="A128" t="s">
        <v>464</v>
      </c>
      <c r="B128" t="s">
        <v>465</v>
      </c>
      <c r="C128" t="s">
        <v>200</v>
      </c>
      <c r="D128" t="s">
        <v>201</v>
      </c>
      <c r="E128" t="s">
        <v>129</v>
      </c>
      <c r="F128">
        <v>2026</v>
      </c>
      <c r="G128" t="s">
        <v>202</v>
      </c>
      <c r="H128" t="s">
        <v>203</v>
      </c>
      <c r="I128" t="s">
        <v>204</v>
      </c>
      <c r="J128" t="s">
        <v>205</v>
      </c>
      <c r="K128" t="s">
        <v>350</v>
      </c>
      <c r="L128" t="s">
        <v>350</v>
      </c>
      <c r="M128" t="s">
        <v>465</v>
      </c>
      <c r="N128" t="s">
        <v>351</v>
      </c>
      <c r="O128" t="s">
        <v>170</v>
      </c>
      <c r="P128" t="s">
        <v>466</v>
      </c>
      <c r="Q128" t="s">
        <v>343</v>
      </c>
      <c r="R128" t="s">
        <v>501</v>
      </c>
      <c r="AF128" s="1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</row>
    <row r="129" spans="1:38">
      <c r="A129" t="s">
        <v>464</v>
      </c>
      <c r="B129" t="s">
        <v>465</v>
      </c>
      <c r="C129" t="s">
        <v>200</v>
      </c>
      <c r="D129" t="s">
        <v>201</v>
      </c>
      <c r="E129" t="s">
        <v>129</v>
      </c>
      <c r="F129">
        <v>2026</v>
      </c>
      <c r="G129" t="s">
        <v>202</v>
      </c>
      <c r="H129" t="s">
        <v>203</v>
      </c>
      <c r="I129" t="s">
        <v>204</v>
      </c>
      <c r="J129" t="s">
        <v>205</v>
      </c>
      <c r="K129" t="s">
        <v>350</v>
      </c>
      <c r="L129" t="s">
        <v>350</v>
      </c>
      <c r="M129" t="s">
        <v>465</v>
      </c>
      <c r="N129" t="s">
        <v>351</v>
      </c>
      <c r="O129" t="s">
        <v>170</v>
      </c>
      <c r="P129" t="s">
        <v>466</v>
      </c>
      <c r="Q129" t="s">
        <v>346</v>
      </c>
      <c r="R129" t="s">
        <v>502</v>
      </c>
      <c r="AF129" s="1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>
      <c r="A130" t="s">
        <v>464</v>
      </c>
      <c r="B130" t="s">
        <v>465</v>
      </c>
      <c r="C130" t="s">
        <v>200</v>
      </c>
      <c r="D130" t="s">
        <v>201</v>
      </c>
      <c r="E130" t="s">
        <v>129</v>
      </c>
      <c r="F130">
        <v>2026</v>
      </c>
      <c r="G130" t="s">
        <v>202</v>
      </c>
      <c r="H130" t="s">
        <v>203</v>
      </c>
      <c r="I130" t="s">
        <v>204</v>
      </c>
      <c r="J130" t="s">
        <v>205</v>
      </c>
      <c r="K130" t="s">
        <v>350</v>
      </c>
      <c r="L130" t="s">
        <v>350</v>
      </c>
      <c r="M130" t="s">
        <v>465</v>
      </c>
      <c r="N130" t="s">
        <v>351</v>
      </c>
      <c r="O130" t="s">
        <v>170</v>
      </c>
      <c r="P130" t="s">
        <v>466</v>
      </c>
      <c r="Q130" t="s">
        <v>403</v>
      </c>
      <c r="R130" t="s">
        <v>503</v>
      </c>
      <c r="AF130" s="1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>
      <c r="A131" t="s">
        <v>464</v>
      </c>
      <c r="B131" t="s">
        <v>465</v>
      </c>
      <c r="C131" t="s">
        <v>200</v>
      </c>
      <c r="D131" t="s">
        <v>201</v>
      </c>
      <c r="E131" t="s">
        <v>129</v>
      </c>
      <c r="F131">
        <v>2026</v>
      </c>
      <c r="G131" t="s">
        <v>202</v>
      </c>
      <c r="H131" t="s">
        <v>203</v>
      </c>
      <c r="I131" t="s">
        <v>204</v>
      </c>
      <c r="J131" t="s">
        <v>205</v>
      </c>
      <c r="K131" t="s">
        <v>350</v>
      </c>
      <c r="L131" t="s">
        <v>350</v>
      </c>
      <c r="M131" t="s">
        <v>465</v>
      </c>
      <c r="N131" t="s">
        <v>351</v>
      </c>
      <c r="O131" t="s">
        <v>170</v>
      </c>
      <c r="P131" t="s">
        <v>466</v>
      </c>
      <c r="Q131" t="s">
        <v>405</v>
      </c>
      <c r="R131" t="s">
        <v>504</v>
      </c>
      <c r="AF131" s="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</row>
    <row r="132" spans="1:38">
      <c r="A132" t="s">
        <v>464</v>
      </c>
      <c r="B132" t="s">
        <v>465</v>
      </c>
      <c r="C132" t="s">
        <v>200</v>
      </c>
      <c r="D132" t="s">
        <v>201</v>
      </c>
      <c r="E132" t="s">
        <v>129</v>
      </c>
      <c r="F132">
        <v>2026</v>
      </c>
      <c r="G132" t="s">
        <v>202</v>
      </c>
      <c r="H132" t="s">
        <v>203</v>
      </c>
      <c r="I132" t="s">
        <v>204</v>
      </c>
      <c r="J132" t="s">
        <v>205</v>
      </c>
      <c r="K132" t="s">
        <v>350</v>
      </c>
      <c r="L132" t="s">
        <v>350</v>
      </c>
      <c r="M132" t="s">
        <v>465</v>
      </c>
      <c r="N132" t="s">
        <v>351</v>
      </c>
      <c r="O132" t="s">
        <v>170</v>
      </c>
      <c r="P132" t="s">
        <v>466</v>
      </c>
      <c r="Q132" t="s">
        <v>407</v>
      </c>
      <c r="R132" t="s">
        <v>505</v>
      </c>
      <c r="AF132" s="1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>
      <c r="A133" t="s">
        <v>464</v>
      </c>
      <c r="B133" t="s">
        <v>465</v>
      </c>
      <c r="C133" t="s">
        <v>135</v>
      </c>
      <c r="D133" t="s">
        <v>201</v>
      </c>
      <c r="E133" t="s">
        <v>129</v>
      </c>
      <c r="F133">
        <v>2026</v>
      </c>
      <c r="G133" t="s">
        <v>202</v>
      </c>
      <c r="H133" t="s">
        <v>203</v>
      </c>
      <c r="I133" t="s">
        <v>204</v>
      </c>
      <c r="J133" t="s">
        <v>205</v>
      </c>
      <c r="K133" t="s">
        <v>350</v>
      </c>
      <c r="L133" t="s">
        <v>350</v>
      </c>
      <c r="M133" t="s">
        <v>465</v>
      </c>
      <c r="N133" t="s">
        <v>351</v>
      </c>
      <c r="O133" t="s">
        <v>170</v>
      </c>
      <c r="S133" t="s">
        <v>463</v>
      </c>
      <c r="Y133">
        <v>30000</v>
      </c>
      <c r="AE133">
        <v>30000</v>
      </c>
      <c r="AF133">
        <v>60000</v>
      </c>
      <c r="AG133">
        <v>0</v>
      </c>
      <c r="AH133">
        <v>30000</v>
      </c>
      <c r="AI133">
        <v>0</v>
      </c>
      <c r="AJ133">
        <v>30000</v>
      </c>
      <c r="AK133">
        <v>30000</v>
      </c>
      <c r="AL133">
        <v>30000</v>
      </c>
    </row>
    <row r="134" spans="1:38">
      <c r="A134" t="s">
        <v>464</v>
      </c>
      <c r="B134" t="s">
        <v>465</v>
      </c>
      <c r="C134" t="s">
        <v>135</v>
      </c>
      <c r="D134" t="s">
        <v>201</v>
      </c>
      <c r="E134" t="s">
        <v>129</v>
      </c>
      <c r="F134">
        <v>2026</v>
      </c>
      <c r="G134" t="s">
        <v>202</v>
      </c>
      <c r="H134" t="s">
        <v>203</v>
      </c>
      <c r="I134" t="s">
        <v>204</v>
      </c>
      <c r="J134" t="s">
        <v>205</v>
      </c>
      <c r="K134" t="s">
        <v>350</v>
      </c>
      <c r="L134" t="s">
        <v>350</v>
      </c>
      <c r="M134" t="s">
        <v>465</v>
      </c>
      <c r="N134" t="s">
        <v>351</v>
      </c>
      <c r="O134" t="s">
        <v>170</v>
      </c>
      <c r="S134" t="s">
        <v>135</v>
      </c>
      <c r="T134">
        <v>150000</v>
      </c>
      <c r="U134">
        <v>150000</v>
      </c>
      <c r="V134">
        <v>150000</v>
      </c>
      <c r="W134">
        <v>150000</v>
      </c>
      <c r="X134">
        <v>150000</v>
      </c>
      <c r="Y134">
        <v>150000</v>
      </c>
      <c r="Z134">
        <v>150000</v>
      </c>
      <c r="AA134">
        <v>150000</v>
      </c>
      <c r="AB134">
        <v>150000</v>
      </c>
      <c r="AC134">
        <v>150000</v>
      </c>
      <c r="AD134">
        <v>150000</v>
      </c>
      <c r="AE134">
        <v>150000</v>
      </c>
      <c r="AF134">
        <v>1800000</v>
      </c>
      <c r="AG134">
        <v>450000</v>
      </c>
      <c r="AH134">
        <v>450000</v>
      </c>
      <c r="AI134">
        <v>450000</v>
      </c>
      <c r="AJ134">
        <v>450000</v>
      </c>
      <c r="AK134">
        <v>900000</v>
      </c>
      <c r="AL134">
        <v>900000</v>
      </c>
    </row>
    <row r="135" spans="1:38">
      <c r="A135" t="s">
        <v>506</v>
      </c>
      <c r="B135" t="s">
        <v>507</v>
      </c>
      <c r="C135" t="s">
        <v>200</v>
      </c>
      <c r="D135" t="s">
        <v>201</v>
      </c>
      <c r="E135" t="s">
        <v>95</v>
      </c>
      <c r="F135">
        <v>2026</v>
      </c>
      <c r="G135" t="s">
        <v>202</v>
      </c>
      <c r="H135" t="s">
        <v>203</v>
      </c>
      <c r="I135" t="s">
        <v>204</v>
      </c>
      <c r="J135" t="s">
        <v>205</v>
      </c>
      <c r="K135" t="s">
        <v>507</v>
      </c>
      <c r="L135" t="s">
        <v>507</v>
      </c>
      <c r="M135" t="s">
        <v>507</v>
      </c>
      <c r="N135" t="s">
        <v>508</v>
      </c>
      <c r="O135" t="s">
        <v>194</v>
      </c>
      <c r="P135" t="s">
        <v>509</v>
      </c>
      <c r="Q135" t="s">
        <v>208</v>
      </c>
      <c r="R135" t="s">
        <v>510</v>
      </c>
      <c r="S135" t="s">
        <v>511</v>
      </c>
      <c r="V135">
        <v>300000</v>
      </c>
      <c r="W135">
        <v>300000</v>
      </c>
      <c r="X135">
        <v>300000</v>
      </c>
      <c r="Y135">
        <v>300000</v>
      </c>
      <c r="Z135">
        <v>300000</v>
      </c>
      <c r="AA135">
        <v>300000</v>
      </c>
      <c r="AB135">
        <v>300000</v>
      </c>
      <c r="AC135">
        <v>300000</v>
      </c>
      <c r="AD135">
        <v>300000</v>
      </c>
      <c r="AE135">
        <v>300000</v>
      </c>
      <c r="AF135" s="1">
        <v>3000000</v>
      </c>
      <c r="AG135">
        <v>300000</v>
      </c>
      <c r="AH135">
        <v>900000</v>
      </c>
      <c r="AI135">
        <v>900000</v>
      </c>
      <c r="AJ135">
        <v>900000</v>
      </c>
      <c r="AK135">
        <v>1200000</v>
      </c>
      <c r="AL135">
        <v>1800000</v>
      </c>
    </row>
    <row r="136" spans="1:38">
      <c r="A136" t="s">
        <v>506</v>
      </c>
      <c r="B136" t="s">
        <v>507</v>
      </c>
      <c r="C136" t="s">
        <v>200</v>
      </c>
      <c r="D136" t="s">
        <v>201</v>
      </c>
      <c r="E136" t="s">
        <v>96</v>
      </c>
      <c r="F136">
        <v>2026</v>
      </c>
      <c r="G136" t="s">
        <v>202</v>
      </c>
      <c r="H136" t="s">
        <v>203</v>
      </c>
      <c r="I136" t="s">
        <v>204</v>
      </c>
      <c r="J136" t="s">
        <v>205</v>
      </c>
      <c r="K136" t="s">
        <v>507</v>
      </c>
      <c r="L136" t="s">
        <v>507</v>
      </c>
      <c r="M136" t="s">
        <v>507</v>
      </c>
      <c r="N136" t="s">
        <v>508</v>
      </c>
      <c r="O136" t="s">
        <v>512</v>
      </c>
      <c r="P136" t="s">
        <v>513</v>
      </c>
      <c r="Q136" t="s">
        <v>211</v>
      </c>
      <c r="R136" t="s">
        <v>514</v>
      </c>
      <c r="S136" t="s">
        <v>515</v>
      </c>
      <c r="W136">
        <v>400000</v>
      </c>
      <c r="AF136" s="1">
        <v>400000</v>
      </c>
      <c r="AG136">
        <v>0</v>
      </c>
      <c r="AH136">
        <v>400000</v>
      </c>
      <c r="AI136">
        <v>0</v>
      </c>
      <c r="AJ136">
        <v>0</v>
      </c>
      <c r="AK136">
        <v>400000</v>
      </c>
      <c r="AL136">
        <v>0</v>
      </c>
    </row>
    <row r="137" spans="1:38">
      <c r="A137" t="s">
        <v>506</v>
      </c>
      <c r="B137" t="s">
        <v>507</v>
      </c>
      <c r="C137" t="s">
        <v>200</v>
      </c>
      <c r="D137" t="s">
        <v>201</v>
      </c>
      <c r="E137" t="s">
        <v>96</v>
      </c>
      <c r="F137">
        <v>2026</v>
      </c>
      <c r="G137" t="s">
        <v>202</v>
      </c>
      <c r="H137" t="s">
        <v>203</v>
      </c>
      <c r="I137" t="s">
        <v>204</v>
      </c>
      <c r="J137" t="s">
        <v>205</v>
      </c>
      <c r="K137" t="s">
        <v>507</v>
      </c>
      <c r="L137" t="s">
        <v>507</v>
      </c>
      <c r="M137" t="s">
        <v>507</v>
      </c>
      <c r="N137" t="s">
        <v>508</v>
      </c>
      <c r="O137" t="s">
        <v>512</v>
      </c>
      <c r="P137" t="s">
        <v>513</v>
      </c>
      <c r="Q137" t="s">
        <v>173</v>
      </c>
      <c r="R137" t="s">
        <v>516</v>
      </c>
      <c r="S137" t="s">
        <v>517</v>
      </c>
      <c r="V137">
        <v>150000</v>
      </c>
      <c r="AF137" s="1">
        <v>150000</v>
      </c>
      <c r="AG137">
        <v>150000</v>
      </c>
      <c r="AH137">
        <v>150000</v>
      </c>
      <c r="AI137">
        <v>0</v>
      </c>
      <c r="AJ137">
        <v>0</v>
      </c>
      <c r="AK137">
        <v>300000</v>
      </c>
      <c r="AL137">
        <v>0</v>
      </c>
    </row>
    <row r="138" spans="1:38">
      <c r="A138" t="s">
        <v>506</v>
      </c>
      <c r="B138" t="s">
        <v>507</v>
      </c>
      <c r="C138" t="s">
        <v>200</v>
      </c>
      <c r="D138" t="s">
        <v>201</v>
      </c>
      <c r="E138" t="s">
        <v>96</v>
      </c>
      <c r="F138">
        <v>2026</v>
      </c>
      <c r="G138" t="s">
        <v>202</v>
      </c>
      <c r="H138" t="s">
        <v>203</v>
      </c>
      <c r="I138" t="s">
        <v>204</v>
      </c>
      <c r="J138" t="s">
        <v>205</v>
      </c>
      <c r="K138" t="s">
        <v>507</v>
      </c>
      <c r="L138" t="s">
        <v>507</v>
      </c>
      <c r="M138" t="s">
        <v>507</v>
      </c>
      <c r="N138" t="s">
        <v>508</v>
      </c>
      <c r="O138" t="s">
        <v>518</v>
      </c>
      <c r="P138" t="s">
        <v>519</v>
      </c>
      <c r="Q138" t="s">
        <v>175</v>
      </c>
      <c r="R138" t="s">
        <v>520</v>
      </c>
      <c r="S138" t="s">
        <v>521</v>
      </c>
      <c r="V138">
        <v>80000</v>
      </c>
      <c r="X138">
        <v>80000</v>
      </c>
      <c r="AA138">
        <v>80000</v>
      </c>
      <c r="AC138">
        <v>80000</v>
      </c>
      <c r="AF138" s="1">
        <v>320000</v>
      </c>
      <c r="AG138">
        <v>80000</v>
      </c>
      <c r="AH138">
        <v>80000</v>
      </c>
      <c r="AI138">
        <v>80000</v>
      </c>
      <c r="AJ138">
        <v>80000</v>
      </c>
      <c r="AK138">
        <v>160000</v>
      </c>
      <c r="AL138">
        <v>160000</v>
      </c>
    </row>
    <row r="139" spans="1:38">
      <c r="A139" t="s">
        <v>506</v>
      </c>
      <c r="B139" t="s">
        <v>507</v>
      </c>
      <c r="C139" t="s">
        <v>200</v>
      </c>
      <c r="D139" t="s">
        <v>201</v>
      </c>
      <c r="E139" t="s">
        <v>96</v>
      </c>
      <c r="F139">
        <v>2026</v>
      </c>
      <c r="G139" t="s">
        <v>202</v>
      </c>
      <c r="H139" t="s">
        <v>203</v>
      </c>
      <c r="I139" t="s">
        <v>204</v>
      </c>
      <c r="J139" t="s">
        <v>205</v>
      </c>
      <c r="K139" t="s">
        <v>507</v>
      </c>
      <c r="L139" t="s">
        <v>507</v>
      </c>
      <c r="M139" t="s">
        <v>507</v>
      </c>
      <c r="N139" t="s">
        <v>508</v>
      </c>
      <c r="O139" t="s">
        <v>518</v>
      </c>
      <c r="P139" t="s">
        <v>519</v>
      </c>
      <c r="Q139" t="s">
        <v>177</v>
      </c>
      <c r="R139" t="s">
        <v>522</v>
      </c>
      <c r="S139" t="s">
        <v>523</v>
      </c>
      <c r="W139">
        <v>300000</v>
      </c>
      <c r="Z139">
        <v>300000</v>
      </c>
      <c r="AC139">
        <v>300000</v>
      </c>
      <c r="AF139" s="1">
        <v>900000</v>
      </c>
      <c r="AG139">
        <v>0</v>
      </c>
      <c r="AH139">
        <v>300000</v>
      </c>
      <c r="AI139">
        <v>300000</v>
      </c>
      <c r="AJ139">
        <v>300000</v>
      </c>
      <c r="AK139">
        <v>300000</v>
      </c>
      <c r="AL139">
        <v>600000</v>
      </c>
    </row>
    <row r="140" spans="1:38">
      <c r="A140" t="s">
        <v>506</v>
      </c>
      <c r="B140" t="s">
        <v>507</v>
      </c>
      <c r="C140" t="s">
        <v>200</v>
      </c>
      <c r="D140" t="s">
        <v>201</v>
      </c>
      <c r="E140" t="s">
        <v>96</v>
      </c>
      <c r="F140">
        <v>2026</v>
      </c>
      <c r="G140" t="s">
        <v>202</v>
      </c>
      <c r="H140" t="s">
        <v>203</v>
      </c>
      <c r="I140" t="s">
        <v>204</v>
      </c>
      <c r="J140" t="s">
        <v>205</v>
      </c>
      <c r="K140" t="s">
        <v>507</v>
      </c>
      <c r="L140" t="s">
        <v>507</v>
      </c>
      <c r="M140" t="s">
        <v>507</v>
      </c>
      <c r="N140" t="s">
        <v>508</v>
      </c>
      <c r="O140" t="s">
        <v>518</v>
      </c>
      <c r="P140" t="s">
        <v>519</v>
      </c>
      <c r="Q140" t="s">
        <v>178</v>
      </c>
      <c r="R140" t="s">
        <v>524</v>
      </c>
      <c r="S140" t="s">
        <v>525</v>
      </c>
      <c r="W140">
        <v>300000</v>
      </c>
      <c r="Y140">
        <v>300000</v>
      </c>
      <c r="Z140">
        <v>300000</v>
      </c>
      <c r="AA140">
        <v>300000</v>
      </c>
      <c r="AB140">
        <v>300000</v>
      </c>
      <c r="AE140">
        <v>300000</v>
      </c>
      <c r="AF140" s="1">
        <v>1800000</v>
      </c>
      <c r="AG140">
        <v>0</v>
      </c>
      <c r="AH140">
        <v>600000</v>
      </c>
      <c r="AI140">
        <v>900000</v>
      </c>
      <c r="AJ140">
        <v>1200000</v>
      </c>
      <c r="AK140">
        <v>600000</v>
      </c>
      <c r="AL140">
        <v>2100000</v>
      </c>
    </row>
    <row r="141" spans="1:38">
      <c r="A141" t="s">
        <v>506</v>
      </c>
      <c r="B141" t="s">
        <v>507</v>
      </c>
      <c r="C141" t="s">
        <v>200</v>
      </c>
      <c r="D141" t="s">
        <v>201</v>
      </c>
      <c r="E141" t="s">
        <v>95</v>
      </c>
      <c r="F141">
        <v>2026</v>
      </c>
      <c r="G141" t="s">
        <v>202</v>
      </c>
      <c r="H141" t="s">
        <v>203</v>
      </c>
      <c r="I141" t="s">
        <v>204</v>
      </c>
      <c r="J141" t="s">
        <v>205</v>
      </c>
      <c r="K141" t="s">
        <v>507</v>
      </c>
      <c r="L141" t="s">
        <v>507</v>
      </c>
      <c r="M141" t="s">
        <v>507</v>
      </c>
      <c r="N141" t="s">
        <v>508</v>
      </c>
      <c r="O141" t="s">
        <v>512</v>
      </c>
      <c r="P141" t="s">
        <v>526</v>
      </c>
      <c r="Q141" t="s">
        <v>180</v>
      </c>
      <c r="R141" t="s">
        <v>527</v>
      </c>
      <c r="S141" t="s">
        <v>528</v>
      </c>
      <c r="T141">
        <v>50000</v>
      </c>
      <c r="U141">
        <v>50000</v>
      </c>
      <c r="V141">
        <v>100000</v>
      </c>
      <c r="W141">
        <v>50000</v>
      </c>
      <c r="X141">
        <v>50000</v>
      </c>
      <c r="AF141" s="1">
        <v>300000</v>
      </c>
      <c r="AG141">
        <v>200000</v>
      </c>
      <c r="AH141">
        <v>100000</v>
      </c>
      <c r="AI141">
        <v>0</v>
      </c>
      <c r="AJ141">
        <v>0</v>
      </c>
      <c r="AK141">
        <v>300000</v>
      </c>
      <c r="AL141">
        <v>0</v>
      </c>
    </row>
    <row r="142" spans="1:38">
      <c r="A142" t="s">
        <v>506</v>
      </c>
      <c r="B142" t="s">
        <v>507</v>
      </c>
      <c r="C142" t="s">
        <v>200</v>
      </c>
      <c r="D142" t="s">
        <v>201</v>
      </c>
      <c r="E142" t="s">
        <v>129</v>
      </c>
      <c r="F142">
        <v>2026</v>
      </c>
      <c r="G142" t="s">
        <v>202</v>
      </c>
      <c r="H142" t="s">
        <v>203</v>
      </c>
      <c r="I142" t="s">
        <v>204</v>
      </c>
      <c r="J142" t="s">
        <v>205</v>
      </c>
      <c r="K142" t="s">
        <v>507</v>
      </c>
      <c r="L142" t="s">
        <v>507</v>
      </c>
      <c r="M142" t="s">
        <v>507</v>
      </c>
      <c r="N142" t="s">
        <v>508</v>
      </c>
      <c r="O142" t="s">
        <v>194</v>
      </c>
      <c r="P142" t="s">
        <v>529</v>
      </c>
      <c r="Q142" t="s">
        <v>183</v>
      </c>
      <c r="R142" t="s">
        <v>530</v>
      </c>
      <c r="S142" t="s">
        <v>531</v>
      </c>
      <c r="Y142">
        <v>300000</v>
      </c>
      <c r="AF142" s="1">
        <v>300000</v>
      </c>
      <c r="AG142">
        <v>0</v>
      </c>
      <c r="AH142">
        <v>300000</v>
      </c>
      <c r="AI142">
        <v>0</v>
      </c>
      <c r="AJ142">
        <v>0</v>
      </c>
      <c r="AK142">
        <v>300000</v>
      </c>
      <c r="AL142">
        <v>0</v>
      </c>
    </row>
    <row r="143" spans="1:38">
      <c r="A143" t="s">
        <v>506</v>
      </c>
      <c r="B143" t="s">
        <v>507</v>
      </c>
      <c r="C143" t="s">
        <v>200</v>
      </c>
      <c r="D143" t="s">
        <v>201</v>
      </c>
      <c r="E143" t="s">
        <v>96</v>
      </c>
      <c r="F143">
        <v>2027</v>
      </c>
      <c r="G143" t="s">
        <v>202</v>
      </c>
      <c r="H143" t="s">
        <v>203</v>
      </c>
      <c r="I143" t="s">
        <v>204</v>
      </c>
      <c r="J143" t="s">
        <v>205</v>
      </c>
      <c r="K143" t="s">
        <v>507</v>
      </c>
      <c r="L143" t="s">
        <v>507</v>
      </c>
      <c r="M143" t="s">
        <v>507</v>
      </c>
      <c r="N143" t="s">
        <v>508</v>
      </c>
      <c r="O143" t="s">
        <v>194</v>
      </c>
      <c r="P143" t="s">
        <v>532</v>
      </c>
      <c r="Q143" t="s">
        <v>185</v>
      </c>
      <c r="R143" t="s">
        <v>533</v>
      </c>
      <c r="S143" t="s">
        <v>534</v>
      </c>
      <c r="X143">
        <v>250000</v>
      </c>
      <c r="Y143">
        <v>250000</v>
      </c>
      <c r="Z143">
        <v>250000</v>
      </c>
      <c r="AA143">
        <v>250000</v>
      </c>
      <c r="AF143" s="1">
        <v>1000000</v>
      </c>
      <c r="AG143">
        <v>0</v>
      </c>
      <c r="AH143">
        <v>500000</v>
      </c>
      <c r="AI143">
        <v>500000</v>
      </c>
      <c r="AJ143">
        <v>0</v>
      </c>
      <c r="AK143">
        <v>500000</v>
      </c>
      <c r="AL143">
        <v>500000</v>
      </c>
    </row>
    <row r="144" spans="1:38">
      <c r="A144" t="s">
        <v>506</v>
      </c>
      <c r="B144" t="s">
        <v>507</v>
      </c>
      <c r="C144" t="s">
        <v>200</v>
      </c>
      <c r="D144" t="s">
        <v>201</v>
      </c>
      <c r="E144" t="s">
        <v>95</v>
      </c>
      <c r="F144">
        <v>2026</v>
      </c>
      <c r="G144" t="s">
        <v>202</v>
      </c>
      <c r="H144" t="s">
        <v>203</v>
      </c>
      <c r="I144" t="s">
        <v>204</v>
      </c>
      <c r="J144" t="s">
        <v>205</v>
      </c>
      <c r="K144" t="s">
        <v>507</v>
      </c>
      <c r="L144" t="s">
        <v>507</v>
      </c>
      <c r="M144" t="s">
        <v>507</v>
      </c>
      <c r="N144" t="s">
        <v>535</v>
      </c>
      <c r="O144" t="s">
        <v>194</v>
      </c>
      <c r="P144" t="s">
        <v>536</v>
      </c>
      <c r="Q144" t="s">
        <v>188</v>
      </c>
      <c r="R144" t="s">
        <v>537</v>
      </c>
      <c r="S144" t="s">
        <v>538</v>
      </c>
      <c r="T144">
        <v>200000</v>
      </c>
      <c r="U144">
        <v>50000</v>
      </c>
      <c r="V144">
        <v>250000</v>
      </c>
      <c r="W144">
        <v>300000</v>
      </c>
      <c r="X144">
        <v>0</v>
      </c>
      <c r="Y144">
        <v>200000</v>
      </c>
      <c r="Z144">
        <v>120000</v>
      </c>
      <c r="AA144">
        <v>50000</v>
      </c>
      <c r="AB144">
        <v>50000</v>
      </c>
      <c r="AC144">
        <v>100000</v>
      </c>
      <c r="AD144">
        <v>30000</v>
      </c>
      <c r="AE144">
        <v>0</v>
      </c>
      <c r="AF144" s="1">
        <v>1350000</v>
      </c>
      <c r="AG144">
        <v>500000</v>
      </c>
      <c r="AH144">
        <v>500000</v>
      </c>
      <c r="AI144">
        <v>220000</v>
      </c>
      <c r="AJ144">
        <v>130000</v>
      </c>
      <c r="AK144">
        <v>1000000</v>
      </c>
      <c r="AL144">
        <v>350000</v>
      </c>
    </row>
    <row r="145" spans="1:38">
      <c r="A145" t="s">
        <v>506</v>
      </c>
      <c r="B145" t="s">
        <v>507</v>
      </c>
      <c r="C145" t="s">
        <v>200</v>
      </c>
      <c r="D145" t="s">
        <v>201</v>
      </c>
      <c r="E145" t="s">
        <v>129</v>
      </c>
      <c r="F145">
        <v>2026</v>
      </c>
      <c r="G145" t="s">
        <v>202</v>
      </c>
      <c r="H145" t="s">
        <v>203</v>
      </c>
      <c r="I145" t="s">
        <v>204</v>
      </c>
      <c r="J145" t="s">
        <v>205</v>
      </c>
      <c r="K145" t="s">
        <v>507</v>
      </c>
      <c r="L145" t="s">
        <v>507</v>
      </c>
      <c r="M145" t="s">
        <v>507</v>
      </c>
      <c r="N145" t="s">
        <v>535</v>
      </c>
      <c r="O145" t="s">
        <v>194</v>
      </c>
      <c r="P145" t="s">
        <v>539</v>
      </c>
      <c r="Q145" t="s">
        <v>191</v>
      </c>
      <c r="R145" t="s">
        <v>540</v>
      </c>
      <c r="S145" t="s">
        <v>538</v>
      </c>
      <c r="T145">
        <v>550000</v>
      </c>
      <c r="U145">
        <v>560000</v>
      </c>
      <c r="V145">
        <v>960000</v>
      </c>
      <c r="W145">
        <v>1000000</v>
      </c>
      <c r="X145">
        <v>1280000</v>
      </c>
      <c r="Y145">
        <v>880000</v>
      </c>
      <c r="Z145">
        <v>700000</v>
      </c>
      <c r="AA145">
        <v>890000</v>
      </c>
      <c r="AB145">
        <v>520000</v>
      </c>
      <c r="AC145">
        <v>410000</v>
      </c>
      <c r="AD145">
        <v>300000</v>
      </c>
      <c r="AE145">
        <v>500000</v>
      </c>
      <c r="AF145" s="1">
        <v>8550000</v>
      </c>
      <c r="AG145">
        <v>2070000</v>
      </c>
      <c r="AH145">
        <v>3160000</v>
      </c>
      <c r="AI145">
        <v>2110000</v>
      </c>
      <c r="AJ145">
        <v>1210000</v>
      </c>
      <c r="AK145">
        <v>5230000</v>
      </c>
      <c r="AL145">
        <v>3320000</v>
      </c>
    </row>
    <row r="146" spans="1:38">
      <c r="A146" t="s">
        <v>506</v>
      </c>
      <c r="B146" t="s">
        <v>507</v>
      </c>
      <c r="C146" t="s">
        <v>200</v>
      </c>
      <c r="D146" t="s">
        <v>201</v>
      </c>
      <c r="E146" t="s">
        <v>96</v>
      </c>
      <c r="F146">
        <v>2026</v>
      </c>
      <c r="G146" t="s">
        <v>202</v>
      </c>
      <c r="H146" t="s">
        <v>203</v>
      </c>
      <c r="I146" t="s">
        <v>204</v>
      </c>
      <c r="J146" t="s">
        <v>205</v>
      </c>
      <c r="K146" t="s">
        <v>507</v>
      </c>
      <c r="L146" t="s">
        <v>507</v>
      </c>
      <c r="M146" t="s">
        <v>507</v>
      </c>
      <c r="N146" t="s">
        <v>535</v>
      </c>
      <c r="O146" t="s">
        <v>194</v>
      </c>
      <c r="P146" t="s">
        <v>541</v>
      </c>
      <c r="Q146" t="s">
        <v>193</v>
      </c>
      <c r="R146" t="s">
        <v>542</v>
      </c>
      <c r="S146" t="s">
        <v>538</v>
      </c>
      <c r="T146">
        <v>170000</v>
      </c>
      <c r="U146">
        <v>100000</v>
      </c>
      <c r="V146">
        <v>670000</v>
      </c>
      <c r="W146">
        <v>80000</v>
      </c>
      <c r="X146">
        <v>400000</v>
      </c>
      <c r="Y146">
        <v>200000</v>
      </c>
      <c r="Z146">
        <v>320000</v>
      </c>
      <c r="AA146">
        <v>0</v>
      </c>
      <c r="AB146">
        <v>170000</v>
      </c>
      <c r="AC146">
        <v>70000</v>
      </c>
      <c r="AD146">
        <v>0</v>
      </c>
      <c r="AE146">
        <v>0</v>
      </c>
      <c r="AF146" s="1">
        <v>2180000</v>
      </c>
      <c r="AG146">
        <v>940000</v>
      </c>
      <c r="AH146">
        <v>680000</v>
      </c>
      <c r="AI146">
        <v>490000</v>
      </c>
      <c r="AJ146">
        <v>70000</v>
      </c>
      <c r="AK146">
        <v>1620000</v>
      </c>
      <c r="AL146">
        <v>560000</v>
      </c>
    </row>
    <row r="147" spans="1:38">
      <c r="A147" t="s">
        <v>506</v>
      </c>
      <c r="B147" t="s">
        <v>507</v>
      </c>
      <c r="C147" t="s">
        <v>135</v>
      </c>
      <c r="D147" t="s">
        <v>201</v>
      </c>
      <c r="E147" t="s">
        <v>95</v>
      </c>
      <c r="F147">
        <v>2026</v>
      </c>
      <c r="G147" t="s">
        <v>202</v>
      </c>
      <c r="H147" t="s">
        <v>203</v>
      </c>
      <c r="I147" t="s">
        <v>204</v>
      </c>
      <c r="J147" t="s">
        <v>205</v>
      </c>
      <c r="K147" t="s">
        <v>507</v>
      </c>
      <c r="L147" t="s">
        <v>507</v>
      </c>
      <c r="M147" t="s">
        <v>507</v>
      </c>
      <c r="N147" t="s">
        <v>135</v>
      </c>
      <c r="O147" t="s">
        <v>135</v>
      </c>
      <c r="S147" t="s">
        <v>135</v>
      </c>
      <c r="T147">
        <v>100000</v>
      </c>
      <c r="U147">
        <v>100000</v>
      </c>
      <c r="V147">
        <v>150000</v>
      </c>
      <c r="W147">
        <v>100000</v>
      </c>
      <c r="X147">
        <v>100000</v>
      </c>
      <c r="Y147">
        <v>100000</v>
      </c>
      <c r="Z147">
        <v>100000</v>
      </c>
      <c r="AA147">
        <v>100000</v>
      </c>
      <c r="AB147">
        <v>150000</v>
      </c>
      <c r="AC147">
        <v>100000</v>
      </c>
      <c r="AD147">
        <v>100000</v>
      </c>
      <c r="AE147">
        <v>100000</v>
      </c>
      <c r="AF147">
        <v>1300000</v>
      </c>
      <c r="AG147">
        <v>350000</v>
      </c>
      <c r="AH147">
        <v>300000</v>
      </c>
      <c r="AI147">
        <v>350000</v>
      </c>
      <c r="AJ147">
        <v>300000</v>
      </c>
      <c r="AK147">
        <v>650000</v>
      </c>
      <c r="AL147">
        <v>650000</v>
      </c>
    </row>
    <row r="148" spans="1:38">
      <c r="A148" t="s">
        <v>506</v>
      </c>
      <c r="B148" t="s">
        <v>507</v>
      </c>
      <c r="C148" t="s">
        <v>135</v>
      </c>
      <c r="D148" t="s">
        <v>201</v>
      </c>
      <c r="E148" t="s">
        <v>96</v>
      </c>
      <c r="F148">
        <v>2026</v>
      </c>
      <c r="G148" t="s">
        <v>202</v>
      </c>
      <c r="H148" t="s">
        <v>203</v>
      </c>
      <c r="I148" t="s">
        <v>204</v>
      </c>
      <c r="J148" t="s">
        <v>205</v>
      </c>
      <c r="K148" t="s">
        <v>507</v>
      </c>
      <c r="L148" t="s">
        <v>507</v>
      </c>
      <c r="M148" t="s">
        <v>507</v>
      </c>
      <c r="N148" t="s">
        <v>135</v>
      </c>
      <c r="O148" t="s">
        <v>135</v>
      </c>
      <c r="S148" t="s">
        <v>135</v>
      </c>
      <c r="T148">
        <v>100000</v>
      </c>
      <c r="U148">
        <v>100000</v>
      </c>
      <c r="V148">
        <v>100000</v>
      </c>
      <c r="W148">
        <v>100000</v>
      </c>
      <c r="X148">
        <v>100000</v>
      </c>
      <c r="Y148">
        <v>150000</v>
      </c>
      <c r="Z148">
        <v>100000</v>
      </c>
      <c r="AA148">
        <v>100000</v>
      </c>
      <c r="AB148">
        <v>100000</v>
      </c>
      <c r="AC148">
        <v>100000</v>
      </c>
      <c r="AD148">
        <v>100000</v>
      </c>
      <c r="AE148">
        <v>150000</v>
      </c>
      <c r="AF148">
        <v>1300000</v>
      </c>
      <c r="AG148">
        <v>300000</v>
      </c>
      <c r="AH148">
        <v>350000</v>
      </c>
      <c r="AI148">
        <v>300000</v>
      </c>
      <c r="AJ148">
        <v>350000</v>
      </c>
      <c r="AK148">
        <v>650000</v>
      </c>
      <c r="AL148">
        <v>650000</v>
      </c>
    </row>
    <row r="149" spans="1:38">
      <c r="A149" t="s">
        <v>506</v>
      </c>
      <c r="B149" t="s">
        <v>507</v>
      </c>
      <c r="C149" t="s">
        <v>135</v>
      </c>
      <c r="D149" t="s">
        <v>201</v>
      </c>
      <c r="E149" t="s">
        <v>129</v>
      </c>
      <c r="F149">
        <v>2026</v>
      </c>
      <c r="G149" t="s">
        <v>202</v>
      </c>
      <c r="H149" t="s">
        <v>203</v>
      </c>
      <c r="I149" t="s">
        <v>204</v>
      </c>
      <c r="J149" t="s">
        <v>205</v>
      </c>
      <c r="K149" t="s">
        <v>507</v>
      </c>
      <c r="L149" t="s">
        <v>507</v>
      </c>
      <c r="M149" t="s">
        <v>507</v>
      </c>
      <c r="N149" t="s">
        <v>135</v>
      </c>
      <c r="O149" t="s">
        <v>135</v>
      </c>
      <c r="S149" t="s">
        <v>135</v>
      </c>
      <c r="T149">
        <v>100000</v>
      </c>
      <c r="U149">
        <v>150000</v>
      </c>
      <c r="V149">
        <v>100000</v>
      </c>
      <c r="W149">
        <v>100000</v>
      </c>
      <c r="X149">
        <v>150000</v>
      </c>
      <c r="Y149">
        <v>100000</v>
      </c>
      <c r="Z149">
        <v>100000</v>
      </c>
      <c r="AA149">
        <v>150000</v>
      </c>
      <c r="AB149">
        <v>100000</v>
      </c>
      <c r="AC149">
        <v>100000</v>
      </c>
      <c r="AD149">
        <v>150000</v>
      </c>
      <c r="AE149">
        <v>100000</v>
      </c>
      <c r="AF149">
        <v>1400000</v>
      </c>
      <c r="AG149">
        <v>350000</v>
      </c>
      <c r="AH149">
        <v>350000</v>
      </c>
      <c r="AI149">
        <v>350000</v>
      </c>
      <c r="AJ149">
        <v>350000</v>
      </c>
      <c r="AK149">
        <v>700000</v>
      </c>
      <c r="AL149">
        <v>700000</v>
      </c>
    </row>
    <row r="150" spans="1:38">
      <c r="B150" t="s">
        <v>543</v>
      </c>
      <c r="C150" t="s">
        <v>17</v>
      </c>
      <c r="E150" t="s">
        <v>95</v>
      </c>
      <c r="T150" s="1">
        <v>41735.000999999997</v>
      </c>
      <c r="U150" s="1">
        <v>40035.000999999997</v>
      </c>
      <c r="V150" s="1">
        <v>287135.00099999999</v>
      </c>
      <c r="W150" s="1">
        <v>103535.00099999999</v>
      </c>
      <c r="X150" s="1">
        <v>295935</v>
      </c>
      <c r="Y150" s="1">
        <v>190515</v>
      </c>
      <c r="Z150" s="1">
        <v>51900</v>
      </c>
      <c r="AA150" s="1">
        <v>381900</v>
      </c>
      <c r="AB150" s="1">
        <v>327800</v>
      </c>
      <c r="AC150" s="1">
        <v>160100</v>
      </c>
      <c r="AD150" s="1">
        <v>260000</v>
      </c>
      <c r="AE150" s="1">
        <v>320000</v>
      </c>
      <c r="AF150" s="1">
        <f>SUM(T150:AE150)</f>
        <v>2460590.0039999997</v>
      </c>
    </row>
    <row r="151" spans="1:38">
      <c r="B151" t="s">
        <v>543</v>
      </c>
      <c r="C151" t="s">
        <v>17</v>
      </c>
      <c r="E151" t="s">
        <v>96</v>
      </c>
      <c r="T151" s="1">
        <v>89558.334999999992</v>
      </c>
      <c r="U151" s="1">
        <v>70058.334999999992</v>
      </c>
      <c r="V151" s="1">
        <v>498558.33499999996</v>
      </c>
      <c r="W151" s="1">
        <v>192558.33499999999</v>
      </c>
      <c r="X151" s="1">
        <v>263225</v>
      </c>
      <c r="Y151" s="1">
        <v>517525</v>
      </c>
      <c r="Z151" s="1">
        <v>86500</v>
      </c>
      <c r="AA151" s="1">
        <v>636500</v>
      </c>
      <c r="AB151" s="1">
        <v>463000</v>
      </c>
      <c r="AC151" s="1">
        <v>183500</v>
      </c>
      <c r="AD151" s="1">
        <v>350000</v>
      </c>
      <c r="AE151" s="1">
        <v>450000</v>
      </c>
      <c r="AF151" s="1">
        <f t="shared" ref="AF151:AF155" si="0">SUM(T151:AE151)</f>
        <v>3800983.34</v>
      </c>
    </row>
    <row r="152" spans="1:38">
      <c r="B152" t="s">
        <v>543</v>
      </c>
      <c r="C152" t="s">
        <v>17</v>
      </c>
      <c r="E152" t="s">
        <v>129</v>
      </c>
      <c r="T152" s="1">
        <v>117823.334</v>
      </c>
      <c r="U152" s="1">
        <v>100023.334</v>
      </c>
      <c r="V152" s="1">
        <v>251423.334</v>
      </c>
      <c r="W152" s="1">
        <v>149023.334</v>
      </c>
      <c r="X152" s="1">
        <v>377290</v>
      </c>
      <c r="Y152" s="1">
        <v>707010</v>
      </c>
      <c r="Z152" s="1">
        <v>54600</v>
      </c>
      <c r="AA152" s="1">
        <v>274600</v>
      </c>
      <c r="AB152" s="1">
        <v>185200</v>
      </c>
      <c r="AC152" s="1">
        <v>73400</v>
      </c>
      <c r="AD152" s="1">
        <v>140000</v>
      </c>
      <c r="AE152" s="1">
        <v>180000</v>
      </c>
      <c r="AF152" s="1">
        <f t="shared" si="0"/>
        <v>2610393.3360000001</v>
      </c>
    </row>
    <row r="153" spans="1:38">
      <c r="B153" t="s">
        <v>543</v>
      </c>
      <c r="C153" t="s">
        <v>19</v>
      </c>
      <c r="E153" t="s">
        <v>95</v>
      </c>
      <c r="T153" s="1">
        <v>76710</v>
      </c>
      <c r="U153" s="1">
        <v>76710</v>
      </c>
      <c r="V153" s="1">
        <v>113070</v>
      </c>
      <c r="W153" s="1">
        <v>81270</v>
      </c>
      <c r="X153" s="1">
        <v>81270</v>
      </c>
      <c r="Y153" s="1">
        <v>113070</v>
      </c>
      <c r="Z153" s="1">
        <v>81270</v>
      </c>
      <c r="AA153" s="1">
        <v>81270</v>
      </c>
      <c r="AB153" s="1">
        <v>113070</v>
      </c>
      <c r="AC153" s="1">
        <v>81270</v>
      </c>
      <c r="AD153" s="1">
        <v>81270</v>
      </c>
      <c r="AE153" s="1">
        <v>113070</v>
      </c>
      <c r="AF153" s="6">
        <f t="shared" si="0"/>
        <v>1093320</v>
      </c>
    </row>
    <row r="154" spans="1:38">
      <c r="B154" t="s">
        <v>543</v>
      </c>
      <c r="C154" t="s">
        <v>19</v>
      </c>
      <c r="E154" t="s">
        <v>96</v>
      </c>
      <c r="T154" s="1">
        <v>127850</v>
      </c>
      <c r="U154" s="1">
        <v>127850</v>
      </c>
      <c r="V154" s="1">
        <v>188450</v>
      </c>
      <c r="W154" s="1">
        <v>135450</v>
      </c>
      <c r="X154" s="1">
        <v>135450</v>
      </c>
      <c r="Y154" s="1">
        <v>188450</v>
      </c>
      <c r="Z154" s="1">
        <v>135450</v>
      </c>
      <c r="AA154" s="1">
        <v>135450</v>
      </c>
      <c r="AB154" s="1">
        <v>188450</v>
      </c>
      <c r="AC154" s="1">
        <v>135450</v>
      </c>
      <c r="AD154" s="1">
        <v>135450</v>
      </c>
      <c r="AE154" s="1">
        <v>188450</v>
      </c>
      <c r="AF154" s="6">
        <f t="shared" si="0"/>
        <v>1822200</v>
      </c>
    </row>
    <row r="155" spans="1:38">
      <c r="B155" t="s">
        <v>543</v>
      </c>
      <c r="C155" t="s">
        <v>19</v>
      </c>
      <c r="E155" t="s">
        <v>129</v>
      </c>
      <c r="T155" s="1">
        <v>51140</v>
      </c>
      <c r="U155" s="1">
        <v>51140</v>
      </c>
      <c r="V155" s="1">
        <v>75380</v>
      </c>
      <c r="W155" s="1">
        <v>54180</v>
      </c>
      <c r="X155" s="1">
        <v>54180</v>
      </c>
      <c r="Y155" s="1">
        <v>75380</v>
      </c>
      <c r="Z155" s="1">
        <v>54180</v>
      </c>
      <c r="AA155" s="1">
        <v>54180</v>
      </c>
      <c r="AB155" s="1">
        <v>75380</v>
      </c>
      <c r="AC155" s="1">
        <v>54180</v>
      </c>
      <c r="AD155" s="1">
        <v>54180</v>
      </c>
      <c r="AE155" s="1">
        <v>75380</v>
      </c>
      <c r="AF155" s="6">
        <f t="shared" si="0"/>
        <v>728880</v>
      </c>
    </row>
    <row r="156" spans="1:38">
      <c r="A156" t="s">
        <v>544</v>
      </c>
      <c r="B156" t="s">
        <v>545</v>
      </c>
      <c r="C156" t="s">
        <v>200</v>
      </c>
      <c r="D156" t="s">
        <v>201</v>
      </c>
      <c r="E156" t="s">
        <v>546</v>
      </c>
      <c r="F156">
        <v>2026</v>
      </c>
      <c r="G156" t="s">
        <v>202</v>
      </c>
      <c r="H156" t="s">
        <v>203</v>
      </c>
      <c r="I156" t="s">
        <v>204</v>
      </c>
      <c r="J156" t="s">
        <v>205</v>
      </c>
      <c r="K156" t="s">
        <v>545</v>
      </c>
      <c r="L156" t="s">
        <v>545</v>
      </c>
      <c r="M156" t="s">
        <v>545</v>
      </c>
      <c r="N156" t="s">
        <v>547</v>
      </c>
      <c r="O156" t="s">
        <v>548</v>
      </c>
      <c r="P156" t="s">
        <v>549</v>
      </c>
      <c r="Q156" t="s">
        <v>208</v>
      </c>
      <c r="R156" t="s">
        <v>550</v>
      </c>
      <c r="S156" t="s">
        <v>551</v>
      </c>
      <c r="U156">
        <v>60000</v>
      </c>
      <c r="Y156">
        <v>300000</v>
      </c>
      <c r="AF156" s="1">
        <v>360000</v>
      </c>
      <c r="AG156">
        <v>60000</v>
      </c>
      <c r="AH156">
        <v>300000</v>
      </c>
      <c r="AI156">
        <v>0</v>
      </c>
      <c r="AJ156">
        <v>0</v>
      </c>
      <c r="AK156">
        <v>360000</v>
      </c>
      <c r="AL156">
        <v>0</v>
      </c>
    </row>
    <row r="157" spans="1:38">
      <c r="A157" t="s">
        <v>544</v>
      </c>
      <c r="B157" t="s">
        <v>545</v>
      </c>
      <c r="C157" t="s">
        <v>200</v>
      </c>
      <c r="D157" t="s">
        <v>201</v>
      </c>
      <c r="E157" t="s">
        <v>546</v>
      </c>
      <c r="F157">
        <v>2026</v>
      </c>
      <c r="G157" t="s">
        <v>202</v>
      </c>
      <c r="H157" t="s">
        <v>203</v>
      </c>
      <c r="I157" t="s">
        <v>204</v>
      </c>
      <c r="J157" t="s">
        <v>205</v>
      </c>
      <c r="K157" t="s">
        <v>545</v>
      </c>
      <c r="L157" t="s">
        <v>545</v>
      </c>
      <c r="M157" t="s">
        <v>545</v>
      </c>
      <c r="N157" t="s">
        <v>547</v>
      </c>
      <c r="O157" t="s">
        <v>548</v>
      </c>
      <c r="P157" t="s">
        <v>549</v>
      </c>
      <c r="Q157" t="s">
        <v>211</v>
      </c>
      <c r="R157" t="s">
        <v>552</v>
      </c>
      <c r="S157" t="s">
        <v>553</v>
      </c>
      <c r="AA157">
        <v>500000</v>
      </c>
      <c r="AF157" s="1">
        <v>500000</v>
      </c>
    </row>
    <row r="158" spans="1:38">
      <c r="A158" t="s">
        <v>544</v>
      </c>
      <c r="B158" t="s">
        <v>545</v>
      </c>
      <c r="C158" t="s">
        <v>200</v>
      </c>
      <c r="D158" t="s">
        <v>201</v>
      </c>
      <c r="E158" t="s">
        <v>546</v>
      </c>
      <c r="F158">
        <v>2026</v>
      </c>
      <c r="G158" t="s">
        <v>202</v>
      </c>
      <c r="H158" t="s">
        <v>203</v>
      </c>
      <c r="I158" t="s">
        <v>204</v>
      </c>
      <c r="J158" t="s">
        <v>205</v>
      </c>
      <c r="K158" t="s">
        <v>545</v>
      </c>
      <c r="L158" t="s">
        <v>545</v>
      </c>
      <c r="M158" t="s">
        <v>545</v>
      </c>
      <c r="N158" t="s">
        <v>547</v>
      </c>
      <c r="O158" t="s">
        <v>548</v>
      </c>
      <c r="P158" t="s">
        <v>549</v>
      </c>
      <c r="Q158" t="s">
        <v>173</v>
      </c>
      <c r="R158" t="s">
        <v>554</v>
      </c>
      <c r="S158" t="s">
        <v>555</v>
      </c>
      <c r="V158">
        <v>200000</v>
      </c>
      <c r="AF158" s="1">
        <v>200000</v>
      </c>
      <c r="AG158">
        <v>200000</v>
      </c>
      <c r="AH158">
        <v>0</v>
      </c>
      <c r="AI158">
        <v>0</v>
      </c>
      <c r="AJ158">
        <v>0</v>
      </c>
      <c r="AK158">
        <v>200000</v>
      </c>
      <c r="AL158">
        <v>0</v>
      </c>
    </row>
    <row r="159" spans="1:38">
      <c r="A159" t="s">
        <v>544</v>
      </c>
      <c r="B159" t="s">
        <v>545</v>
      </c>
      <c r="C159" t="s">
        <v>200</v>
      </c>
      <c r="D159" t="s">
        <v>201</v>
      </c>
      <c r="E159" t="s">
        <v>546</v>
      </c>
      <c r="F159">
        <v>2026</v>
      </c>
      <c r="G159" t="s">
        <v>202</v>
      </c>
      <c r="H159" t="s">
        <v>203</v>
      </c>
      <c r="I159" t="s">
        <v>204</v>
      </c>
      <c r="J159" t="s">
        <v>205</v>
      </c>
      <c r="K159" t="s">
        <v>545</v>
      </c>
      <c r="L159" t="s">
        <v>545</v>
      </c>
      <c r="M159" t="s">
        <v>545</v>
      </c>
      <c r="N159" t="s">
        <v>547</v>
      </c>
      <c r="O159" t="s">
        <v>548</v>
      </c>
      <c r="P159" t="s">
        <v>549</v>
      </c>
      <c r="Q159" t="s">
        <v>175</v>
      </c>
      <c r="R159" t="s">
        <v>556</v>
      </c>
      <c r="S159" t="s">
        <v>557</v>
      </c>
      <c r="W159">
        <v>100000</v>
      </c>
      <c r="AF159" s="1">
        <v>100000</v>
      </c>
      <c r="AG159">
        <v>0</v>
      </c>
      <c r="AH159">
        <v>100000</v>
      </c>
      <c r="AI159">
        <v>0</v>
      </c>
      <c r="AJ159">
        <v>0</v>
      </c>
      <c r="AK159">
        <v>100000</v>
      </c>
      <c r="AL159">
        <v>0</v>
      </c>
    </row>
    <row r="160" spans="1:38">
      <c r="A160" t="s">
        <v>544</v>
      </c>
      <c r="B160" t="s">
        <v>545</v>
      </c>
      <c r="C160" t="s">
        <v>200</v>
      </c>
      <c r="D160" t="s">
        <v>201</v>
      </c>
      <c r="E160" t="s">
        <v>546</v>
      </c>
      <c r="F160">
        <v>2026</v>
      </c>
      <c r="G160" t="s">
        <v>202</v>
      </c>
      <c r="H160" t="s">
        <v>203</v>
      </c>
      <c r="I160" t="s">
        <v>204</v>
      </c>
      <c r="J160" t="s">
        <v>205</v>
      </c>
      <c r="K160" t="s">
        <v>545</v>
      </c>
      <c r="L160" t="s">
        <v>545</v>
      </c>
      <c r="M160" t="s">
        <v>545</v>
      </c>
      <c r="N160" t="s">
        <v>547</v>
      </c>
      <c r="O160" t="s">
        <v>558</v>
      </c>
      <c r="P160" t="s">
        <v>559</v>
      </c>
      <c r="Q160" t="s">
        <v>177</v>
      </c>
      <c r="R160" t="s">
        <v>560</v>
      </c>
      <c r="S160" t="s">
        <v>561</v>
      </c>
      <c r="W160">
        <v>500000</v>
      </c>
      <c r="AB160">
        <v>500000</v>
      </c>
      <c r="AF160" s="1">
        <v>1000000</v>
      </c>
      <c r="AG160">
        <v>0</v>
      </c>
      <c r="AH160">
        <v>500000</v>
      </c>
      <c r="AI160">
        <v>500000</v>
      </c>
      <c r="AJ160">
        <v>0</v>
      </c>
      <c r="AK160">
        <v>500000</v>
      </c>
      <c r="AL160">
        <v>500000</v>
      </c>
    </row>
    <row r="161" spans="1:38">
      <c r="A161" t="s">
        <v>544</v>
      </c>
      <c r="B161" t="s">
        <v>545</v>
      </c>
      <c r="C161" t="s">
        <v>200</v>
      </c>
      <c r="D161" t="s">
        <v>201</v>
      </c>
      <c r="E161" t="s">
        <v>546</v>
      </c>
      <c r="F161">
        <v>2026</v>
      </c>
      <c r="G161" t="s">
        <v>202</v>
      </c>
      <c r="H161" t="s">
        <v>203</v>
      </c>
      <c r="I161" t="s">
        <v>204</v>
      </c>
      <c r="J161" t="s">
        <v>205</v>
      </c>
      <c r="K161" t="s">
        <v>545</v>
      </c>
      <c r="L161" t="s">
        <v>545</v>
      </c>
      <c r="M161" t="s">
        <v>545</v>
      </c>
      <c r="N161" t="s">
        <v>547</v>
      </c>
      <c r="O161" t="s">
        <v>562</v>
      </c>
      <c r="P161" t="s">
        <v>563</v>
      </c>
      <c r="Q161" t="s">
        <v>178</v>
      </c>
      <c r="R161" t="s">
        <v>564</v>
      </c>
      <c r="S161" t="s">
        <v>565</v>
      </c>
      <c r="V161">
        <v>100000</v>
      </c>
      <c r="AC161">
        <v>200000</v>
      </c>
      <c r="AF161" s="1">
        <v>300000</v>
      </c>
      <c r="AG161">
        <v>100000</v>
      </c>
      <c r="AH161">
        <v>0</v>
      </c>
      <c r="AI161">
        <v>0</v>
      </c>
      <c r="AJ161">
        <v>200000</v>
      </c>
      <c r="AK161">
        <v>100000</v>
      </c>
      <c r="AL161">
        <v>200000</v>
      </c>
    </row>
    <row r="162" spans="1:38">
      <c r="A162" t="s">
        <v>544</v>
      </c>
      <c r="B162" t="s">
        <v>545</v>
      </c>
      <c r="C162" t="s">
        <v>200</v>
      </c>
      <c r="D162" t="s">
        <v>201</v>
      </c>
      <c r="E162" t="s">
        <v>546</v>
      </c>
      <c r="F162">
        <v>2026</v>
      </c>
      <c r="G162" t="s">
        <v>202</v>
      </c>
      <c r="H162" t="s">
        <v>203</v>
      </c>
      <c r="I162" t="s">
        <v>204</v>
      </c>
      <c r="J162" t="s">
        <v>205</v>
      </c>
      <c r="K162" t="s">
        <v>545</v>
      </c>
      <c r="L162" t="s">
        <v>545</v>
      </c>
      <c r="M162" t="s">
        <v>545</v>
      </c>
      <c r="N162" t="s">
        <v>547</v>
      </c>
      <c r="O162" t="s">
        <v>187</v>
      </c>
      <c r="P162" t="s">
        <v>566</v>
      </c>
      <c r="Q162" t="s">
        <v>180</v>
      </c>
      <c r="R162" t="s">
        <v>567</v>
      </c>
      <c r="S162" t="s">
        <v>568</v>
      </c>
      <c r="Y162">
        <v>100000</v>
      </c>
      <c r="AC162">
        <v>100000</v>
      </c>
      <c r="AF162" s="1">
        <v>200000</v>
      </c>
      <c r="AG162">
        <v>0</v>
      </c>
      <c r="AH162">
        <v>100000</v>
      </c>
      <c r="AI162">
        <v>0</v>
      </c>
      <c r="AJ162">
        <v>100000</v>
      </c>
      <c r="AK162">
        <v>100000</v>
      </c>
      <c r="AL162">
        <v>100000</v>
      </c>
    </row>
    <row r="163" spans="1:38">
      <c r="A163" t="s">
        <v>544</v>
      </c>
      <c r="B163" t="s">
        <v>545</v>
      </c>
      <c r="C163" t="s">
        <v>200</v>
      </c>
      <c r="D163" t="s">
        <v>201</v>
      </c>
      <c r="E163" t="s">
        <v>546</v>
      </c>
      <c r="F163">
        <v>2026</v>
      </c>
      <c r="G163" t="s">
        <v>202</v>
      </c>
      <c r="H163" t="s">
        <v>203</v>
      </c>
      <c r="I163" t="s">
        <v>204</v>
      </c>
      <c r="J163" t="s">
        <v>205</v>
      </c>
      <c r="K163" t="s">
        <v>545</v>
      </c>
      <c r="L163" t="s">
        <v>545</v>
      </c>
      <c r="M163" t="s">
        <v>545</v>
      </c>
      <c r="N163" t="s">
        <v>547</v>
      </c>
      <c r="O163" t="s">
        <v>182</v>
      </c>
      <c r="P163" t="s">
        <v>569</v>
      </c>
      <c r="Q163" t="s">
        <v>183</v>
      </c>
      <c r="R163" t="s">
        <v>570</v>
      </c>
      <c r="S163" t="s">
        <v>571</v>
      </c>
      <c r="AC163">
        <v>300000</v>
      </c>
      <c r="AF163" s="1">
        <v>300000</v>
      </c>
      <c r="AG163">
        <v>0</v>
      </c>
      <c r="AH163">
        <v>0</v>
      </c>
      <c r="AI163">
        <v>0</v>
      </c>
      <c r="AJ163">
        <v>300000</v>
      </c>
      <c r="AK163">
        <v>0</v>
      </c>
      <c r="AL163">
        <v>300000</v>
      </c>
    </row>
    <row r="164" spans="1:38">
      <c r="A164" t="s">
        <v>544</v>
      </c>
      <c r="B164" t="s">
        <v>545</v>
      </c>
      <c r="C164" t="s">
        <v>200</v>
      </c>
      <c r="D164" t="s">
        <v>201</v>
      </c>
      <c r="E164" t="s">
        <v>546</v>
      </c>
      <c r="F164">
        <v>2026</v>
      </c>
      <c r="G164" t="s">
        <v>202</v>
      </c>
      <c r="H164" t="s">
        <v>203</v>
      </c>
      <c r="I164" t="s">
        <v>204</v>
      </c>
      <c r="J164" t="s">
        <v>205</v>
      </c>
      <c r="K164" t="s">
        <v>545</v>
      </c>
      <c r="L164" t="s">
        <v>545</v>
      </c>
      <c r="M164" t="s">
        <v>545</v>
      </c>
      <c r="N164" t="s">
        <v>547</v>
      </c>
      <c r="O164" t="s">
        <v>562</v>
      </c>
      <c r="P164" t="s">
        <v>563</v>
      </c>
      <c r="Q164" t="s">
        <v>185</v>
      </c>
      <c r="R164" t="s">
        <v>572</v>
      </c>
      <c r="S164" t="s">
        <v>573</v>
      </c>
      <c r="AC164">
        <v>200000</v>
      </c>
      <c r="AF164" s="1">
        <v>200000</v>
      </c>
      <c r="AG164">
        <v>0</v>
      </c>
      <c r="AH164">
        <v>0</v>
      </c>
      <c r="AI164">
        <v>0</v>
      </c>
      <c r="AJ164">
        <v>200000</v>
      </c>
      <c r="AK164">
        <v>0</v>
      </c>
      <c r="AL164">
        <v>200000</v>
      </c>
    </row>
    <row r="165" spans="1:38">
      <c r="A165" t="s">
        <v>544</v>
      </c>
      <c r="B165" t="s">
        <v>545</v>
      </c>
      <c r="C165" t="s">
        <v>200</v>
      </c>
      <c r="D165" t="s">
        <v>201</v>
      </c>
      <c r="E165" t="s">
        <v>546</v>
      </c>
      <c r="F165">
        <v>2026</v>
      </c>
      <c r="G165" t="s">
        <v>202</v>
      </c>
      <c r="H165" t="s">
        <v>203</v>
      </c>
      <c r="I165" t="s">
        <v>204</v>
      </c>
      <c r="J165" t="s">
        <v>205</v>
      </c>
      <c r="K165" t="s">
        <v>545</v>
      </c>
      <c r="L165" t="s">
        <v>545</v>
      </c>
      <c r="M165" t="s">
        <v>545</v>
      </c>
      <c r="N165" t="s">
        <v>547</v>
      </c>
      <c r="O165" t="s">
        <v>558</v>
      </c>
      <c r="P165" t="s">
        <v>559</v>
      </c>
      <c r="Q165" t="s">
        <v>188</v>
      </c>
      <c r="R165" t="s">
        <v>574</v>
      </c>
      <c r="S165" t="s">
        <v>575</v>
      </c>
      <c r="W165">
        <v>800000</v>
      </c>
      <c r="AA165">
        <v>2000000</v>
      </c>
      <c r="AD165">
        <v>1200000</v>
      </c>
      <c r="AF165" s="1">
        <v>4000000</v>
      </c>
      <c r="AG165">
        <v>0</v>
      </c>
      <c r="AH165">
        <v>800000</v>
      </c>
      <c r="AI165">
        <v>2000000</v>
      </c>
      <c r="AJ165">
        <v>1200000</v>
      </c>
      <c r="AK165">
        <v>800000</v>
      </c>
      <c r="AL165">
        <v>3200000</v>
      </c>
    </row>
    <row r="166" spans="1:38">
      <c r="A166" t="s">
        <v>544</v>
      </c>
      <c r="B166" t="s">
        <v>545</v>
      </c>
      <c r="C166" t="s">
        <v>200</v>
      </c>
      <c r="D166" t="s">
        <v>201</v>
      </c>
      <c r="E166" t="s">
        <v>546</v>
      </c>
      <c r="F166">
        <v>2026</v>
      </c>
      <c r="G166" t="s">
        <v>202</v>
      </c>
      <c r="H166" t="s">
        <v>203</v>
      </c>
      <c r="I166" t="s">
        <v>204</v>
      </c>
      <c r="J166" t="s">
        <v>205</v>
      </c>
      <c r="K166" t="s">
        <v>545</v>
      </c>
      <c r="L166" t="s">
        <v>545</v>
      </c>
      <c r="M166" t="s">
        <v>545</v>
      </c>
      <c r="N166" t="s">
        <v>547</v>
      </c>
      <c r="O166" t="s">
        <v>558</v>
      </c>
      <c r="P166" t="s">
        <v>559</v>
      </c>
      <c r="Q166" t="s">
        <v>191</v>
      </c>
      <c r="R166" t="s">
        <v>576</v>
      </c>
      <c r="S166" t="s">
        <v>577</v>
      </c>
      <c r="W166">
        <v>600000</v>
      </c>
      <c r="X166">
        <v>300000</v>
      </c>
      <c r="Y166">
        <v>300000</v>
      </c>
      <c r="Z166">
        <v>300000</v>
      </c>
      <c r="AA166">
        <v>300000</v>
      </c>
      <c r="AB166">
        <v>300000</v>
      </c>
      <c r="AC166">
        <v>300000</v>
      </c>
      <c r="AD166">
        <v>300000</v>
      </c>
      <c r="AE166">
        <v>300000</v>
      </c>
      <c r="AF166" s="1">
        <v>3000000</v>
      </c>
      <c r="AG166">
        <v>600000</v>
      </c>
      <c r="AH166">
        <v>1200000</v>
      </c>
      <c r="AI166">
        <v>900000</v>
      </c>
      <c r="AJ166">
        <v>900000</v>
      </c>
      <c r="AK166">
        <v>1800000</v>
      </c>
      <c r="AL166">
        <v>1800000</v>
      </c>
    </row>
    <row r="167" spans="1:38">
      <c r="A167" t="s">
        <v>544</v>
      </c>
      <c r="B167" t="s">
        <v>545</v>
      </c>
      <c r="C167" t="s">
        <v>200</v>
      </c>
      <c r="D167" t="s">
        <v>201</v>
      </c>
      <c r="E167" t="s">
        <v>546</v>
      </c>
      <c r="F167">
        <v>2026</v>
      </c>
      <c r="G167" t="s">
        <v>202</v>
      </c>
      <c r="H167" t="s">
        <v>203</v>
      </c>
      <c r="I167" t="s">
        <v>204</v>
      </c>
      <c r="J167" t="s">
        <v>205</v>
      </c>
      <c r="K167" t="s">
        <v>545</v>
      </c>
      <c r="L167" t="s">
        <v>545</v>
      </c>
      <c r="M167" t="s">
        <v>545</v>
      </c>
      <c r="N167" t="s">
        <v>547</v>
      </c>
      <c r="O167" t="s">
        <v>190</v>
      </c>
      <c r="P167" t="s">
        <v>578</v>
      </c>
      <c r="Q167" t="s">
        <v>193</v>
      </c>
      <c r="R167" t="s">
        <v>579</v>
      </c>
      <c r="S167" t="s">
        <v>580</v>
      </c>
      <c r="V167">
        <v>30000</v>
      </c>
      <c r="Z167">
        <v>30000</v>
      </c>
      <c r="AC167">
        <v>30000</v>
      </c>
      <c r="AF167" s="1">
        <v>90000</v>
      </c>
      <c r="AG167">
        <v>30000</v>
      </c>
      <c r="AH167">
        <v>0</v>
      </c>
      <c r="AI167">
        <v>30000</v>
      </c>
      <c r="AJ167">
        <v>30000</v>
      </c>
      <c r="AK167">
        <v>30000</v>
      </c>
      <c r="AL167">
        <v>60000</v>
      </c>
    </row>
    <row r="168" spans="1:38">
      <c r="A168" t="s">
        <v>581</v>
      </c>
      <c r="B168" t="s">
        <v>582</v>
      </c>
      <c r="C168" t="s">
        <v>18</v>
      </c>
      <c r="D168" t="s">
        <v>201</v>
      </c>
      <c r="E168" t="s">
        <v>95</v>
      </c>
      <c r="F168">
        <v>2026</v>
      </c>
      <c r="G168" t="s">
        <v>202</v>
      </c>
      <c r="H168" t="s">
        <v>203</v>
      </c>
      <c r="I168" t="s">
        <v>204</v>
      </c>
      <c r="J168" t="s">
        <v>205</v>
      </c>
      <c r="K168" t="s">
        <v>582</v>
      </c>
      <c r="L168" t="s">
        <v>582</v>
      </c>
      <c r="M168" t="s">
        <v>582</v>
      </c>
      <c r="N168" t="s">
        <v>547</v>
      </c>
      <c r="O168" t="s">
        <v>194</v>
      </c>
      <c r="P168" t="s">
        <v>583</v>
      </c>
      <c r="Q168" t="s">
        <v>208</v>
      </c>
      <c r="R168" t="s">
        <v>584</v>
      </c>
      <c r="S168" t="s">
        <v>585</v>
      </c>
      <c r="T168">
        <v>1860000</v>
      </c>
      <c r="U168">
        <v>2362200</v>
      </c>
      <c r="V168">
        <v>2325000</v>
      </c>
      <c r="W168">
        <v>2325000</v>
      </c>
      <c r="X168">
        <v>2362200</v>
      </c>
      <c r="Y168">
        <v>2455200</v>
      </c>
      <c r="Z168">
        <v>2418000</v>
      </c>
      <c r="AA168">
        <v>2529600</v>
      </c>
      <c r="AB168">
        <v>2790000</v>
      </c>
      <c r="AC168">
        <v>2752800</v>
      </c>
      <c r="AD168">
        <v>2790000</v>
      </c>
      <c r="AE168">
        <v>2790000</v>
      </c>
      <c r="AF168">
        <v>29760000</v>
      </c>
      <c r="AG168">
        <v>6547200</v>
      </c>
      <c r="AH168">
        <v>7142400</v>
      </c>
      <c r="AI168">
        <v>7737600</v>
      </c>
      <c r="AJ168">
        <v>8332800</v>
      </c>
      <c r="AK168" s="1">
        <v>13689600</v>
      </c>
      <c r="AL168" s="1">
        <v>16070400</v>
      </c>
    </row>
    <row r="169" spans="1:38">
      <c r="A169" t="s">
        <v>581</v>
      </c>
      <c r="B169" t="s">
        <v>582</v>
      </c>
      <c r="C169" t="s">
        <v>200</v>
      </c>
      <c r="D169" t="s">
        <v>201</v>
      </c>
      <c r="E169" t="s">
        <v>95</v>
      </c>
      <c r="F169">
        <v>2026</v>
      </c>
      <c r="G169" t="s">
        <v>202</v>
      </c>
      <c r="H169" t="s">
        <v>203</v>
      </c>
      <c r="I169" t="s">
        <v>204</v>
      </c>
      <c r="J169" t="s">
        <v>205</v>
      </c>
      <c r="K169" t="s">
        <v>582</v>
      </c>
      <c r="L169" t="s">
        <v>582</v>
      </c>
      <c r="M169" t="s">
        <v>582</v>
      </c>
      <c r="N169" t="s">
        <v>547</v>
      </c>
      <c r="O169" t="s">
        <v>182</v>
      </c>
      <c r="P169" t="s">
        <v>586</v>
      </c>
      <c r="Q169" t="s">
        <v>211</v>
      </c>
      <c r="R169" t="s">
        <v>587</v>
      </c>
      <c r="S169" t="s">
        <v>588</v>
      </c>
      <c r="T169">
        <v>400000</v>
      </c>
      <c r="U169">
        <v>400000</v>
      </c>
      <c r="V169">
        <v>600000</v>
      </c>
      <c r="W169">
        <v>400000</v>
      </c>
      <c r="X169">
        <v>400000</v>
      </c>
      <c r="Y169">
        <v>600000</v>
      </c>
      <c r="Z169">
        <v>300000</v>
      </c>
      <c r="AA169">
        <v>400000</v>
      </c>
      <c r="AB169">
        <v>600000</v>
      </c>
      <c r="AC169">
        <v>600000</v>
      </c>
      <c r="AD169">
        <v>400000</v>
      </c>
      <c r="AE169">
        <v>300000</v>
      </c>
      <c r="AF169" s="1">
        <v>5400000</v>
      </c>
      <c r="AG169">
        <v>1400000</v>
      </c>
      <c r="AH169">
        <v>1400000</v>
      </c>
      <c r="AI169">
        <v>1300000</v>
      </c>
      <c r="AJ169">
        <v>1300000</v>
      </c>
      <c r="AK169" s="1">
        <v>2800000</v>
      </c>
      <c r="AL169" s="1">
        <v>2600000</v>
      </c>
    </row>
    <row r="170" spans="1:38">
      <c r="A170" t="s">
        <v>581</v>
      </c>
      <c r="B170" t="s">
        <v>582</v>
      </c>
      <c r="C170" t="s">
        <v>18</v>
      </c>
      <c r="D170" t="s">
        <v>201</v>
      </c>
      <c r="E170" t="s">
        <v>96</v>
      </c>
      <c r="F170">
        <v>2026</v>
      </c>
      <c r="G170" t="s">
        <v>202</v>
      </c>
      <c r="H170" t="s">
        <v>203</v>
      </c>
      <c r="I170" t="s">
        <v>204</v>
      </c>
      <c r="J170" t="s">
        <v>205</v>
      </c>
      <c r="K170" t="s">
        <v>582</v>
      </c>
      <c r="L170" t="s">
        <v>582</v>
      </c>
      <c r="M170" t="s">
        <v>582</v>
      </c>
      <c r="N170" t="s">
        <v>547</v>
      </c>
      <c r="O170" t="s">
        <v>194</v>
      </c>
      <c r="P170" t="s">
        <v>589</v>
      </c>
      <c r="Q170" t="s">
        <v>173</v>
      </c>
      <c r="R170" t="s">
        <v>590</v>
      </c>
      <c r="S170" t="s">
        <v>585</v>
      </c>
      <c r="T170">
        <v>350000</v>
      </c>
      <c r="U170">
        <v>875000</v>
      </c>
      <c r="V170">
        <v>1750000</v>
      </c>
      <c r="W170">
        <v>2625000</v>
      </c>
      <c r="X170">
        <v>3500000</v>
      </c>
      <c r="Y170">
        <v>5250000</v>
      </c>
      <c r="Z170">
        <v>6125000</v>
      </c>
      <c r="AA170">
        <v>7874999.9999999991</v>
      </c>
      <c r="AB170">
        <v>8750000</v>
      </c>
      <c r="AC170">
        <v>10150000</v>
      </c>
      <c r="AD170">
        <v>10500000</v>
      </c>
      <c r="AE170">
        <v>12250000</v>
      </c>
      <c r="AF170">
        <v>70000000</v>
      </c>
      <c r="AG170">
        <v>2975000</v>
      </c>
      <c r="AH170">
        <v>11375000</v>
      </c>
      <c r="AI170">
        <v>22750000</v>
      </c>
      <c r="AJ170">
        <v>32900000</v>
      </c>
      <c r="AK170" s="1">
        <v>14350000</v>
      </c>
      <c r="AL170" s="1">
        <v>55650000</v>
      </c>
    </row>
    <row r="171" spans="1:38">
      <c r="A171" t="s">
        <v>581</v>
      </c>
      <c r="B171" t="s">
        <v>582</v>
      </c>
      <c r="C171" t="s">
        <v>200</v>
      </c>
      <c r="D171" t="s">
        <v>201</v>
      </c>
      <c r="E171" t="s">
        <v>96</v>
      </c>
      <c r="F171">
        <v>2026</v>
      </c>
      <c r="G171" t="s">
        <v>202</v>
      </c>
      <c r="H171" t="s">
        <v>203</v>
      </c>
      <c r="I171" t="s">
        <v>204</v>
      </c>
      <c r="J171" t="s">
        <v>205</v>
      </c>
      <c r="K171" t="s">
        <v>582</v>
      </c>
      <c r="L171" t="s">
        <v>582</v>
      </c>
      <c r="M171" t="s">
        <v>582</v>
      </c>
      <c r="N171" t="s">
        <v>547</v>
      </c>
      <c r="O171" t="s">
        <v>182</v>
      </c>
      <c r="P171" t="s">
        <v>591</v>
      </c>
      <c r="Q171" t="s">
        <v>175</v>
      </c>
      <c r="R171" t="s">
        <v>592</v>
      </c>
      <c r="S171" t="s">
        <v>588</v>
      </c>
      <c r="T171">
        <v>156560</v>
      </c>
      <c r="U171">
        <v>391400</v>
      </c>
      <c r="V171">
        <v>782800</v>
      </c>
      <c r="W171">
        <v>1174200</v>
      </c>
      <c r="X171">
        <v>1565600</v>
      </c>
      <c r="Y171">
        <v>2348400</v>
      </c>
      <c r="Z171">
        <v>156560</v>
      </c>
      <c r="AA171">
        <v>156560</v>
      </c>
      <c r="AB171">
        <v>391400</v>
      </c>
      <c r="AC171">
        <v>156560</v>
      </c>
      <c r="AD171">
        <v>156560</v>
      </c>
      <c r="AE171">
        <v>391400</v>
      </c>
      <c r="AF171" s="1">
        <v>7828000</v>
      </c>
      <c r="AG171">
        <v>1330760</v>
      </c>
      <c r="AH171">
        <v>5088200</v>
      </c>
      <c r="AI171">
        <v>704520</v>
      </c>
      <c r="AJ171">
        <v>704520</v>
      </c>
      <c r="AK171" s="1">
        <v>6418960</v>
      </c>
      <c r="AL171" s="1">
        <v>1409040</v>
      </c>
    </row>
    <row r="172" spans="1:38">
      <c r="A172" t="s">
        <v>581</v>
      </c>
      <c r="B172" t="s">
        <v>582</v>
      </c>
      <c r="C172" t="s">
        <v>135</v>
      </c>
      <c r="D172" t="s">
        <v>201</v>
      </c>
      <c r="E172" t="s">
        <v>95</v>
      </c>
      <c r="F172">
        <v>2026</v>
      </c>
      <c r="G172" t="s">
        <v>202</v>
      </c>
      <c r="H172" t="s">
        <v>203</v>
      </c>
      <c r="I172" t="s">
        <v>204</v>
      </c>
      <c r="J172" t="s">
        <v>205</v>
      </c>
      <c r="K172" t="s">
        <v>582</v>
      </c>
      <c r="L172" t="s">
        <v>582</v>
      </c>
      <c r="M172" t="s">
        <v>582</v>
      </c>
      <c r="N172" t="s">
        <v>135</v>
      </c>
      <c r="O172" t="s">
        <v>135</v>
      </c>
      <c r="S172" t="s">
        <v>135</v>
      </c>
      <c r="T172">
        <v>100000</v>
      </c>
      <c r="U172">
        <v>100000</v>
      </c>
      <c r="V172">
        <v>150000</v>
      </c>
      <c r="W172">
        <v>100000</v>
      </c>
      <c r="X172">
        <v>100000</v>
      </c>
      <c r="Y172">
        <v>100000</v>
      </c>
      <c r="Z172">
        <v>100000</v>
      </c>
      <c r="AA172">
        <v>100000</v>
      </c>
      <c r="AB172">
        <v>150000</v>
      </c>
      <c r="AC172">
        <v>100000</v>
      </c>
      <c r="AD172">
        <v>100000</v>
      </c>
      <c r="AE172">
        <v>100000</v>
      </c>
      <c r="AF172">
        <v>1300000</v>
      </c>
      <c r="AG172">
        <v>350000</v>
      </c>
      <c r="AH172">
        <v>300000</v>
      </c>
      <c r="AI172">
        <v>350000</v>
      </c>
      <c r="AJ172">
        <v>300000</v>
      </c>
      <c r="AK172" s="1">
        <v>650000</v>
      </c>
      <c r="AL172" s="1">
        <v>650000</v>
      </c>
    </row>
    <row r="173" spans="1:38">
      <c r="A173" t="s">
        <v>581</v>
      </c>
      <c r="B173" t="s">
        <v>582</v>
      </c>
      <c r="C173" t="s">
        <v>135</v>
      </c>
      <c r="D173" t="s">
        <v>201</v>
      </c>
      <c r="E173" t="s">
        <v>96</v>
      </c>
      <c r="F173">
        <v>2026</v>
      </c>
      <c r="G173" t="s">
        <v>202</v>
      </c>
      <c r="H173" t="s">
        <v>203</v>
      </c>
      <c r="I173" t="s">
        <v>204</v>
      </c>
      <c r="J173" t="s">
        <v>205</v>
      </c>
      <c r="K173" t="s">
        <v>582</v>
      </c>
      <c r="L173" t="s">
        <v>582</v>
      </c>
      <c r="M173" t="s">
        <v>582</v>
      </c>
      <c r="N173" t="s">
        <v>135</v>
      </c>
      <c r="O173" t="s">
        <v>135</v>
      </c>
      <c r="S173" t="s">
        <v>135</v>
      </c>
      <c r="T173">
        <v>100000</v>
      </c>
      <c r="U173">
        <v>100000</v>
      </c>
      <c r="V173">
        <v>100000</v>
      </c>
      <c r="W173">
        <v>100000</v>
      </c>
      <c r="X173">
        <v>100000</v>
      </c>
      <c r="Y173">
        <v>150000</v>
      </c>
      <c r="Z173">
        <v>100000</v>
      </c>
      <c r="AA173">
        <v>100000</v>
      </c>
      <c r="AB173">
        <v>100000</v>
      </c>
      <c r="AC173">
        <v>100000</v>
      </c>
      <c r="AD173">
        <v>100000</v>
      </c>
      <c r="AE173">
        <v>150000</v>
      </c>
      <c r="AF173">
        <v>1300000</v>
      </c>
      <c r="AG173">
        <v>300000</v>
      </c>
      <c r="AH173">
        <v>350000</v>
      </c>
      <c r="AI173">
        <v>300000</v>
      </c>
      <c r="AJ173">
        <v>350000</v>
      </c>
      <c r="AK173" s="1">
        <v>650000</v>
      </c>
      <c r="AL173" s="1">
        <v>650000</v>
      </c>
    </row>
    <row r="174" spans="1:38">
      <c r="A174" t="s">
        <v>593</v>
      </c>
      <c r="B174" t="s">
        <v>594</v>
      </c>
      <c r="C174" t="s">
        <v>200</v>
      </c>
      <c r="D174" t="s">
        <v>201</v>
      </c>
      <c r="E174" t="s">
        <v>547</v>
      </c>
      <c r="F174">
        <v>2026</v>
      </c>
      <c r="G174" t="s">
        <v>202</v>
      </c>
      <c r="H174" t="s">
        <v>203</v>
      </c>
      <c r="I174" t="s">
        <v>204</v>
      </c>
      <c r="J174" t="s">
        <v>205</v>
      </c>
      <c r="K174" t="s">
        <v>595</v>
      </c>
      <c r="L174" t="s">
        <v>596</v>
      </c>
      <c r="M174" t="s">
        <v>596</v>
      </c>
      <c r="N174" t="s">
        <v>547</v>
      </c>
      <c r="O174" t="s">
        <v>597</v>
      </c>
      <c r="P174" t="s">
        <v>598</v>
      </c>
      <c r="Q174" t="s">
        <v>208</v>
      </c>
      <c r="R174" t="s">
        <v>599</v>
      </c>
      <c r="S174" t="s">
        <v>600</v>
      </c>
      <c r="T174" s="1">
        <v>0</v>
      </c>
      <c r="U174" s="1">
        <v>31499.999999999996</v>
      </c>
      <c r="V174" s="1">
        <v>14000</v>
      </c>
      <c r="W174" s="1">
        <v>38500</v>
      </c>
      <c r="X174" s="1">
        <v>154000</v>
      </c>
      <c r="Y174" s="1">
        <v>21000</v>
      </c>
      <c r="Z174" s="1">
        <v>0</v>
      </c>
      <c r="AA174" s="1">
        <v>62999.999999999993</v>
      </c>
      <c r="AB174" s="1">
        <v>0</v>
      </c>
      <c r="AC174" s="1">
        <v>0</v>
      </c>
      <c r="AD174" s="1">
        <v>42000</v>
      </c>
      <c r="AE174" s="1">
        <v>0</v>
      </c>
      <c r="AF174" s="1">
        <v>364000</v>
      </c>
      <c r="AG174">
        <v>45500</v>
      </c>
      <c r="AH174">
        <v>213500</v>
      </c>
      <c r="AI174">
        <v>62999.999999999993</v>
      </c>
      <c r="AJ174">
        <v>42000</v>
      </c>
      <c r="AK174">
        <v>259000</v>
      </c>
      <c r="AL174">
        <v>105000</v>
      </c>
    </row>
    <row r="175" spans="1:38">
      <c r="A175" t="s">
        <v>593</v>
      </c>
      <c r="B175" t="s">
        <v>594</v>
      </c>
      <c r="C175" t="s">
        <v>200</v>
      </c>
      <c r="D175" t="s">
        <v>201</v>
      </c>
      <c r="E175" t="s">
        <v>547</v>
      </c>
      <c r="F175">
        <v>2026</v>
      </c>
      <c r="G175" t="s">
        <v>202</v>
      </c>
      <c r="H175" t="s">
        <v>203</v>
      </c>
      <c r="I175" t="s">
        <v>204</v>
      </c>
      <c r="J175" t="s">
        <v>205</v>
      </c>
      <c r="K175" t="s">
        <v>595</v>
      </c>
      <c r="L175" t="s">
        <v>596</v>
      </c>
      <c r="M175" t="s">
        <v>596</v>
      </c>
      <c r="N175" t="s">
        <v>547</v>
      </c>
      <c r="O175" t="s">
        <v>597</v>
      </c>
      <c r="P175" t="s">
        <v>598</v>
      </c>
      <c r="Q175" t="s">
        <v>211</v>
      </c>
      <c r="R175" t="s">
        <v>601</v>
      </c>
      <c r="S175" t="s">
        <v>602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1200000</v>
      </c>
      <c r="AE175" s="1"/>
      <c r="AF175" s="1">
        <v>1200000</v>
      </c>
      <c r="AG175">
        <v>0</v>
      </c>
      <c r="AH175">
        <v>0</v>
      </c>
      <c r="AI175">
        <v>0</v>
      </c>
      <c r="AJ175">
        <v>1200000</v>
      </c>
      <c r="AK175">
        <v>0</v>
      </c>
      <c r="AL175">
        <v>1200000</v>
      </c>
    </row>
    <row r="176" spans="1:38">
      <c r="A176" t="s">
        <v>593</v>
      </c>
      <c r="B176" t="s">
        <v>594</v>
      </c>
      <c r="C176" t="s">
        <v>200</v>
      </c>
      <c r="D176" t="s">
        <v>201</v>
      </c>
      <c r="E176" t="s">
        <v>547</v>
      </c>
      <c r="F176">
        <v>2026</v>
      </c>
      <c r="G176" t="s">
        <v>202</v>
      </c>
      <c r="H176" t="s">
        <v>203</v>
      </c>
      <c r="I176" t="s">
        <v>204</v>
      </c>
      <c r="J176" t="s">
        <v>205</v>
      </c>
      <c r="K176" t="s">
        <v>595</v>
      </c>
      <c r="L176" t="s">
        <v>596</v>
      </c>
      <c r="M176" t="s">
        <v>596</v>
      </c>
      <c r="N176" t="s">
        <v>547</v>
      </c>
      <c r="O176" t="s">
        <v>597</v>
      </c>
      <c r="P176" t="s">
        <v>598</v>
      </c>
      <c r="Q176" t="s">
        <v>173</v>
      </c>
      <c r="R176" t="s">
        <v>603</v>
      </c>
      <c r="S176" t="s">
        <v>604</v>
      </c>
      <c r="T176" s="1">
        <v>0</v>
      </c>
      <c r="U176" s="1">
        <v>0</v>
      </c>
      <c r="V176" s="1">
        <v>50000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50000</v>
      </c>
      <c r="AE176" s="1">
        <v>0</v>
      </c>
      <c r="AF176" s="1">
        <v>100000</v>
      </c>
      <c r="AG176">
        <v>50000</v>
      </c>
      <c r="AH176">
        <v>0</v>
      </c>
      <c r="AI176">
        <v>0</v>
      </c>
      <c r="AJ176">
        <v>50000</v>
      </c>
      <c r="AK176">
        <v>50000</v>
      </c>
      <c r="AL176">
        <v>50000</v>
      </c>
    </row>
    <row r="177" spans="1:38">
      <c r="A177" t="s">
        <v>593</v>
      </c>
      <c r="B177" t="s">
        <v>594</v>
      </c>
      <c r="C177" t="s">
        <v>200</v>
      </c>
      <c r="D177" t="s">
        <v>201</v>
      </c>
      <c r="E177" t="s">
        <v>547</v>
      </c>
      <c r="F177">
        <v>2026</v>
      </c>
      <c r="G177" t="s">
        <v>202</v>
      </c>
      <c r="H177" t="s">
        <v>203</v>
      </c>
      <c r="I177" t="s">
        <v>204</v>
      </c>
      <c r="J177" t="s">
        <v>205</v>
      </c>
      <c r="K177" t="s">
        <v>595</v>
      </c>
      <c r="L177" t="s">
        <v>596</v>
      </c>
      <c r="M177" t="s">
        <v>596</v>
      </c>
      <c r="N177" t="s">
        <v>547</v>
      </c>
      <c r="O177" t="s">
        <v>597</v>
      </c>
      <c r="P177" t="s">
        <v>598</v>
      </c>
      <c r="Q177" t="s">
        <v>175</v>
      </c>
      <c r="R177" t="s">
        <v>605</v>
      </c>
      <c r="S177" t="s">
        <v>606</v>
      </c>
      <c r="T177" s="1">
        <v>0</v>
      </c>
      <c r="U177" s="1">
        <v>0</v>
      </c>
      <c r="V177" s="1">
        <v>180000</v>
      </c>
      <c r="W177" s="1">
        <v>0</v>
      </c>
      <c r="X177" s="1">
        <v>70000</v>
      </c>
      <c r="Y177" s="1"/>
      <c r="Z177" s="1"/>
      <c r="AA177" s="1">
        <v>0</v>
      </c>
      <c r="AB177" s="1">
        <v>0</v>
      </c>
      <c r="AC177" s="1">
        <v>0</v>
      </c>
      <c r="AD177" s="1">
        <v>0</v>
      </c>
      <c r="AE177" s="1"/>
      <c r="AF177" s="1">
        <v>250000</v>
      </c>
      <c r="AG177">
        <v>180000</v>
      </c>
      <c r="AH177">
        <v>70000</v>
      </c>
      <c r="AI177">
        <v>0</v>
      </c>
      <c r="AJ177">
        <v>0</v>
      </c>
      <c r="AK177">
        <v>250000</v>
      </c>
      <c r="AL177">
        <v>0</v>
      </c>
    </row>
    <row r="178" spans="1:38">
      <c r="A178" t="s">
        <v>593</v>
      </c>
      <c r="B178" t="s">
        <v>594</v>
      </c>
      <c r="C178" t="s">
        <v>135</v>
      </c>
      <c r="D178" t="s">
        <v>201</v>
      </c>
      <c r="E178" t="s">
        <v>547</v>
      </c>
      <c r="F178">
        <v>2026</v>
      </c>
      <c r="G178" t="s">
        <v>202</v>
      </c>
      <c r="H178" t="s">
        <v>203</v>
      </c>
      <c r="I178" t="s">
        <v>204</v>
      </c>
      <c r="J178" t="s">
        <v>205</v>
      </c>
      <c r="K178" t="s">
        <v>595</v>
      </c>
      <c r="L178" t="s">
        <v>596</v>
      </c>
      <c r="M178" t="s">
        <v>596</v>
      </c>
      <c r="N178" t="s">
        <v>547</v>
      </c>
      <c r="O178" t="s">
        <v>597</v>
      </c>
      <c r="S178" t="s">
        <v>135</v>
      </c>
      <c r="T178" s="1">
        <v>83300</v>
      </c>
      <c r="U178" s="1">
        <v>83300</v>
      </c>
      <c r="V178" s="1">
        <v>83300</v>
      </c>
      <c r="W178" s="1">
        <v>83300</v>
      </c>
      <c r="X178" s="1">
        <v>83300</v>
      </c>
      <c r="Y178" s="1">
        <v>83300</v>
      </c>
      <c r="Z178" s="1">
        <v>83300</v>
      </c>
      <c r="AA178" s="1">
        <v>83300</v>
      </c>
      <c r="AB178" s="1">
        <v>83300</v>
      </c>
      <c r="AC178" s="1">
        <v>83300</v>
      </c>
      <c r="AD178" s="1">
        <v>83300</v>
      </c>
      <c r="AE178" s="1">
        <v>83700</v>
      </c>
      <c r="AF178" s="1">
        <v>1000000</v>
      </c>
      <c r="AG178">
        <v>249900</v>
      </c>
      <c r="AH178">
        <v>249900</v>
      </c>
      <c r="AI178">
        <v>249900</v>
      </c>
      <c r="AJ178">
        <v>250300</v>
      </c>
      <c r="AK178">
        <v>499800</v>
      </c>
      <c r="AL178">
        <v>500200</v>
      </c>
    </row>
    <row r="179" spans="1:38">
      <c r="A179" t="s">
        <v>692</v>
      </c>
      <c r="B179" t="s">
        <v>607</v>
      </c>
      <c r="C179" t="s">
        <v>200</v>
      </c>
      <c r="D179" t="s">
        <v>201</v>
      </c>
      <c r="E179" t="s">
        <v>96</v>
      </c>
      <c r="F179">
        <v>2026</v>
      </c>
      <c r="G179" t="s">
        <v>202</v>
      </c>
      <c r="H179" t="s">
        <v>203</v>
      </c>
      <c r="I179" t="s">
        <v>204</v>
      </c>
      <c r="J179" t="s">
        <v>205</v>
      </c>
      <c r="K179" t="s">
        <v>607</v>
      </c>
      <c r="L179" t="s">
        <v>607</v>
      </c>
      <c r="M179" t="s">
        <v>607</v>
      </c>
      <c r="N179" t="s">
        <v>169</v>
      </c>
      <c r="O179" t="s">
        <v>562</v>
      </c>
      <c r="P179" t="s">
        <v>608</v>
      </c>
      <c r="Q179" t="s">
        <v>208</v>
      </c>
      <c r="R179" t="s">
        <v>609</v>
      </c>
      <c r="S179" t="s">
        <v>610</v>
      </c>
      <c r="T179">
        <v>4000000</v>
      </c>
      <c r="X179">
        <v>4000000</v>
      </c>
      <c r="AC179">
        <v>4000000</v>
      </c>
      <c r="AE179">
        <v>1160000</v>
      </c>
      <c r="AF179" s="1">
        <v>13160000</v>
      </c>
      <c r="AG179">
        <v>4000000</v>
      </c>
      <c r="AH179">
        <v>4000000</v>
      </c>
      <c r="AI179">
        <v>0</v>
      </c>
      <c r="AJ179">
        <v>5160000</v>
      </c>
      <c r="AK179">
        <v>8000000</v>
      </c>
      <c r="AL179">
        <v>5160000</v>
      </c>
    </row>
    <row r="180" spans="1:38">
      <c r="A180" t="s">
        <v>692</v>
      </c>
      <c r="B180" t="s">
        <v>607</v>
      </c>
      <c r="C180" t="s">
        <v>200</v>
      </c>
      <c r="D180" t="s">
        <v>201</v>
      </c>
      <c r="E180" t="s">
        <v>96</v>
      </c>
      <c r="F180">
        <v>2026</v>
      </c>
      <c r="G180" t="s">
        <v>202</v>
      </c>
      <c r="H180" t="s">
        <v>203</v>
      </c>
      <c r="I180" t="s">
        <v>204</v>
      </c>
      <c r="J180" t="s">
        <v>205</v>
      </c>
      <c r="K180" t="s">
        <v>607</v>
      </c>
      <c r="L180" t="s">
        <v>607</v>
      </c>
      <c r="M180" t="s">
        <v>607</v>
      </c>
      <c r="N180" t="s">
        <v>169</v>
      </c>
      <c r="O180" t="s">
        <v>611</v>
      </c>
      <c r="P180" t="s">
        <v>612</v>
      </c>
      <c r="Q180" t="s">
        <v>211</v>
      </c>
      <c r="R180" t="s">
        <v>613</v>
      </c>
      <c r="S180" t="s">
        <v>614</v>
      </c>
      <c r="U180">
        <v>600000</v>
      </c>
      <c r="Y180">
        <v>600000</v>
      </c>
      <c r="AB180">
        <v>800000</v>
      </c>
      <c r="AF180" s="1">
        <v>2000000</v>
      </c>
      <c r="AG180">
        <v>600000</v>
      </c>
      <c r="AH180">
        <v>600000</v>
      </c>
      <c r="AI180">
        <v>800000</v>
      </c>
      <c r="AJ180">
        <v>0</v>
      </c>
      <c r="AK180">
        <v>1200000</v>
      </c>
      <c r="AL180">
        <v>800000</v>
      </c>
    </row>
    <row r="181" spans="1:38">
      <c r="A181" t="s">
        <v>692</v>
      </c>
      <c r="B181" t="s">
        <v>607</v>
      </c>
      <c r="C181" t="s">
        <v>200</v>
      </c>
      <c r="D181" t="s">
        <v>201</v>
      </c>
      <c r="E181" t="s">
        <v>96</v>
      </c>
      <c r="F181">
        <v>2026</v>
      </c>
      <c r="G181" t="s">
        <v>202</v>
      </c>
      <c r="H181" t="s">
        <v>203</v>
      </c>
      <c r="I181" t="s">
        <v>204</v>
      </c>
      <c r="J181" t="s">
        <v>205</v>
      </c>
      <c r="K181" t="s">
        <v>607</v>
      </c>
      <c r="L181" t="s">
        <v>607</v>
      </c>
      <c r="M181" t="s">
        <v>607</v>
      </c>
      <c r="N181" t="s">
        <v>169</v>
      </c>
      <c r="O181" t="s">
        <v>611</v>
      </c>
      <c r="P181" t="s">
        <v>612</v>
      </c>
      <c r="Q181" t="s">
        <v>173</v>
      </c>
      <c r="R181" t="s">
        <v>615</v>
      </c>
      <c r="S181" t="s">
        <v>616</v>
      </c>
      <c r="T181">
        <v>390000</v>
      </c>
      <c r="X181">
        <v>520000</v>
      </c>
      <c r="AB181">
        <v>260000</v>
      </c>
      <c r="AE181">
        <v>130000</v>
      </c>
      <c r="AF181" s="1">
        <v>1300000</v>
      </c>
      <c r="AG181">
        <v>390000</v>
      </c>
      <c r="AH181">
        <v>520000</v>
      </c>
      <c r="AI181">
        <v>260000</v>
      </c>
      <c r="AJ181">
        <v>130000</v>
      </c>
      <c r="AK181">
        <v>910000</v>
      </c>
      <c r="AL181">
        <v>390000</v>
      </c>
    </row>
    <row r="182" spans="1:38">
      <c r="A182" t="s">
        <v>692</v>
      </c>
      <c r="B182" t="s">
        <v>607</v>
      </c>
      <c r="C182" t="s">
        <v>200</v>
      </c>
      <c r="D182" t="s">
        <v>201</v>
      </c>
      <c r="E182" t="s">
        <v>96</v>
      </c>
      <c r="F182">
        <v>2026</v>
      </c>
      <c r="G182" t="s">
        <v>202</v>
      </c>
      <c r="H182" t="s">
        <v>203</v>
      </c>
      <c r="I182" t="s">
        <v>204</v>
      </c>
      <c r="J182" t="s">
        <v>205</v>
      </c>
      <c r="K182" t="s">
        <v>607</v>
      </c>
      <c r="L182" t="s">
        <v>607</v>
      </c>
      <c r="M182" t="s">
        <v>607</v>
      </c>
      <c r="N182" t="s">
        <v>172</v>
      </c>
      <c r="O182" t="s">
        <v>562</v>
      </c>
      <c r="P182" t="s">
        <v>617</v>
      </c>
      <c r="Q182" t="s">
        <v>175</v>
      </c>
      <c r="R182" t="s">
        <v>618</v>
      </c>
      <c r="S182" t="s">
        <v>619</v>
      </c>
      <c r="U182">
        <v>2220000</v>
      </c>
      <c r="X182">
        <v>2220000</v>
      </c>
      <c r="AB182">
        <v>2220000</v>
      </c>
      <c r="AE182">
        <v>740000</v>
      </c>
      <c r="AF182" s="1">
        <v>7400000</v>
      </c>
      <c r="AG182">
        <v>2220000</v>
      </c>
      <c r="AH182">
        <v>2220000</v>
      </c>
      <c r="AI182">
        <v>2220000</v>
      </c>
      <c r="AJ182">
        <v>740000</v>
      </c>
      <c r="AK182">
        <v>4440000</v>
      </c>
      <c r="AL182">
        <v>2960000</v>
      </c>
    </row>
    <row r="183" spans="1:38">
      <c r="A183" t="s">
        <v>692</v>
      </c>
      <c r="B183" t="s">
        <v>607</v>
      </c>
      <c r="C183" t="s">
        <v>200</v>
      </c>
      <c r="D183" t="s">
        <v>201</v>
      </c>
      <c r="E183" t="s">
        <v>96</v>
      </c>
      <c r="F183">
        <v>2026</v>
      </c>
      <c r="G183" t="s">
        <v>202</v>
      </c>
      <c r="H183" t="s">
        <v>203</v>
      </c>
      <c r="I183" t="s">
        <v>204</v>
      </c>
      <c r="J183" t="s">
        <v>205</v>
      </c>
      <c r="K183" t="s">
        <v>607</v>
      </c>
      <c r="L183" t="s">
        <v>607</v>
      </c>
      <c r="M183" t="s">
        <v>607</v>
      </c>
      <c r="N183" t="s">
        <v>172</v>
      </c>
      <c r="O183" t="s">
        <v>611</v>
      </c>
      <c r="P183" t="s">
        <v>620</v>
      </c>
      <c r="Q183" t="s">
        <v>177</v>
      </c>
      <c r="R183" t="s">
        <v>621</v>
      </c>
      <c r="S183" t="s">
        <v>622</v>
      </c>
      <c r="U183">
        <v>900000</v>
      </c>
      <c r="Y183">
        <v>900000</v>
      </c>
      <c r="AB183">
        <v>900000</v>
      </c>
      <c r="AD183">
        <v>300000</v>
      </c>
      <c r="AF183" s="1">
        <v>3000000</v>
      </c>
      <c r="AG183">
        <v>900000</v>
      </c>
      <c r="AH183">
        <v>900000</v>
      </c>
      <c r="AI183">
        <v>900000</v>
      </c>
      <c r="AJ183">
        <v>300000</v>
      </c>
      <c r="AK183">
        <v>1800000</v>
      </c>
      <c r="AL183">
        <v>1200000</v>
      </c>
    </row>
    <row r="184" spans="1:38">
      <c r="A184" t="s">
        <v>692</v>
      </c>
      <c r="B184" t="s">
        <v>607</v>
      </c>
      <c r="C184" t="s">
        <v>200</v>
      </c>
      <c r="D184" t="s">
        <v>201</v>
      </c>
      <c r="E184" t="s">
        <v>96</v>
      </c>
      <c r="F184">
        <v>2026</v>
      </c>
      <c r="G184" t="s">
        <v>202</v>
      </c>
      <c r="H184" t="s">
        <v>203</v>
      </c>
      <c r="I184" t="s">
        <v>204</v>
      </c>
      <c r="J184" t="s">
        <v>205</v>
      </c>
      <c r="K184" t="s">
        <v>607</v>
      </c>
      <c r="L184" t="s">
        <v>607</v>
      </c>
      <c r="M184" t="s">
        <v>607</v>
      </c>
      <c r="N184" t="s">
        <v>172</v>
      </c>
      <c r="O184" t="s">
        <v>190</v>
      </c>
      <c r="P184" t="s">
        <v>623</v>
      </c>
      <c r="Q184" t="s">
        <v>178</v>
      </c>
      <c r="R184" t="s">
        <v>624</v>
      </c>
      <c r="S184" t="s">
        <v>625</v>
      </c>
      <c r="T184">
        <v>120000</v>
      </c>
      <c r="X184">
        <v>120000</v>
      </c>
      <c r="AE184">
        <v>60000</v>
      </c>
      <c r="AF184" s="1">
        <v>300000</v>
      </c>
      <c r="AG184">
        <v>120000</v>
      </c>
      <c r="AH184">
        <v>120000</v>
      </c>
      <c r="AI184">
        <v>0</v>
      </c>
      <c r="AJ184">
        <v>60000</v>
      </c>
      <c r="AK184">
        <v>240000</v>
      </c>
      <c r="AL184">
        <v>60000</v>
      </c>
    </row>
    <row r="185" spans="1:38">
      <c r="A185" t="s">
        <v>692</v>
      </c>
      <c r="B185" t="s">
        <v>607</v>
      </c>
      <c r="C185" t="s">
        <v>200</v>
      </c>
      <c r="D185" t="s">
        <v>201</v>
      </c>
      <c r="E185" t="s">
        <v>96</v>
      </c>
      <c r="F185">
        <v>2026</v>
      </c>
      <c r="G185" t="s">
        <v>202</v>
      </c>
      <c r="H185" t="s">
        <v>203</v>
      </c>
      <c r="I185" t="s">
        <v>204</v>
      </c>
      <c r="J185" t="s">
        <v>205</v>
      </c>
      <c r="K185" t="s">
        <v>607</v>
      </c>
      <c r="L185" t="s">
        <v>607</v>
      </c>
      <c r="M185" t="s">
        <v>607</v>
      </c>
      <c r="N185" t="s">
        <v>172</v>
      </c>
      <c r="O185" t="s">
        <v>190</v>
      </c>
      <c r="P185" t="s">
        <v>623</v>
      </c>
      <c r="Q185" t="s">
        <v>180</v>
      </c>
      <c r="R185" t="s">
        <v>626</v>
      </c>
      <c r="S185" t="s">
        <v>627</v>
      </c>
      <c r="U185">
        <v>670500</v>
      </c>
      <c r="AD185">
        <v>670500</v>
      </c>
      <c r="AF185" s="1">
        <v>1341000</v>
      </c>
      <c r="AG185">
        <v>670500</v>
      </c>
      <c r="AH185">
        <v>0</v>
      </c>
      <c r="AI185">
        <v>0</v>
      </c>
      <c r="AJ185">
        <v>670500</v>
      </c>
      <c r="AK185">
        <v>670500</v>
      </c>
      <c r="AL185">
        <v>670500</v>
      </c>
    </row>
    <row r="186" spans="1:38">
      <c r="A186" t="s">
        <v>692</v>
      </c>
      <c r="B186" t="s">
        <v>607</v>
      </c>
      <c r="C186" t="s">
        <v>200</v>
      </c>
      <c r="D186" t="s">
        <v>201</v>
      </c>
      <c r="E186" t="s">
        <v>96</v>
      </c>
      <c r="F186">
        <v>2026</v>
      </c>
      <c r="G186" t="s">
        <v>202</v>
      </c>
      <c r="H186" t="s">
        <v>203</v>
      </c>
      <c r="I186" t="s">
        <v>204</v>
      </c>
      <c r="J186" t="s">
        <v>205</v>
      </c>
      <c r="K186" t="s">
        <v>607</v>
      </c>
      <c r="L186" t="s">
        <v>607</v>
      </c>
      <c r="M186" t="s">
        <v>607</v>
      </c>
      <c r="N186" t="s">
        <v>172</v>
      </c>
      <c r="O186" t="s">
        <v>190</v>
      </c>
      <c r="P186" t="s">
        <v>623</v>
      </c>
      <c r="Q186" t="s">
        <v>183</v>
      </c>
      <c r="R186" t="s">
        <v>628</v>
      </c>
      <c r="S186" t="s">
        <v>629</v>
      </c>
      <c r="W186">
        <v>550000</v>
      </c>
      <c r="AD186">
        <v>550000</v>
      </c>
      <c r="AF186" s="1">
        <v>1100000</v>
      </c>
      <c r="AG186">
        <v>0</v>
      </c>
      <c r="AH186">
        <v>550000</v>
      </c>
      <c r="AI186">
        <v>0</v>
      </c>
      <c r="AJ186">
        <v>550000</v>
      </c>
      <c r="AK186">
        <v>550000</v>
      </c>
      <c r="AL186">
        <v>550000</v>
      </c>
    </row>
    <row r="187" spans="1:38">
      <c r="A187" t="s">
        <v>692</v>
      </c>
      <c r="B187" t="s">
        <v>607</v>
      </c>
      <c r="C187" t="s">
        <v>200</v>
      </c>
      <c r="D187" t="s">
        <v>201</v>
      </c>
      <c r="E187" t="s">
        <v>96</v>
      </c>
      <c r="F187">
        <v>2026</v>
      </c>
      <c r="G187" t="s">
        <v>202</v>
      </c>
      <c r="H187" t="s">
        <v>203</v>
      </c>
      <c r="I187" t="s">
        <v>204</v>
      </c>
      <c r="J187" t="s">
        <v>205</v>
      </c>
      <c r="K187" t="s">
        <v>607</v>
      </c>
      <c r="L187" t="s">
        <v>607</v>
      </c>
      <c r="M187" t="s">
        <v>607</v>
      </c>
      <c r="N187" t="s">
        <v>172</v>
      </c>
      <c r="O187" t="s">
        <v>190</v>
      </c>
      <c r="P187" t="s">
        <v>623</v>
      </c>
      <c r="Q187" t="s">
        <v>185</v>
      </c>
      <c r="R187" t="s">
        <v>630</v>
      </c>
      <c r="S187" t="s">
        <v>631</v>
      </c>
      <c r="U187">
        <v>250000</v>
      </c>
      <c r="Z187">
        <v>250000</v>
      </c>
      <c r="AF187" s="1">
        <v>500000</v>
      </c>
      <c r="AG187">
        <v>250000</v>
      </c>
      <c r="AH187">
        <v>0</v>
      </c>
      <c r="AI187">
        <v>250000</v>
      </c>
      <c r="AJ187">
        <v>0</v>
      </c>
      <c r="AK187">
        <v>250000</v>
      </c>
      <c r="AL187">
        <v>250000</v>
      </c>
    </row>
    <row r="188" spans="1:38">
      <c r="A188" t="s">
        <v>692</v>
      </c>
      <c r="B188" t="s">
        <v>607</v>
      </c>
      <c r="C188" t="s">
        <v>200</v>
      </c>
      <c r="D188" t="s">
        <v>201</v>
      </c>
      <c r="E188" t="s">
        <v>96</v>
      </c>
      <c r="F188">
        <v>2026</v>
      </c>
      <c r="G188" t="s">
        <v>202</v>
      </c>
      <c r="H188" t="s">
        <v>203</v>
      </c>
      <c r="I188" t="s">
        <v>204</v>
      </c>
      <c r="J188" t="s">
        <v>205</v>
      </c>
      <c r="K188" t="s">
        <v>607</v>
      </c>
      <c r="L188" t="s">
        <v>607</v>
      </c>
      <c r="M188" t="s">
        <v>607</v>
      </c>
      <c r="N188" t="s">
        <v>172</v>
      </c>
      <c r="O188" t="s">
        <v>190</v>
      </c>
      <c r="P188" t="s">
        <v>623</v>
      </c>
      <c r="Q188" t="s">
        <v>188</v>
      </c>
      <c r="R188" t="s">
        <v>632</v>
      </c>
      <c r="S188" t="s">
        <v>633</v>
      </c>
      <c r="T188">
        <v>750000</v>
      </c>
      <c r="AF188" s="1">
        <v>750000</v>
      </c>
      <c r="AG188">
        <v>750000</v>
      </c>
      <c r="AH188">
        <v>0</v>
      </c>
      <c r="AI188">
        <v>0</v>
      </c>
      <c r="AJ188">
        <v>0</v>
      </c>
      <c r="AK188">
        <v>750000</v>
      </c>
      <c r="AL188">
        <v>0</v>
      </c>
    </row>
    <row r="189" spans="1:38">
      <c r="A189" t="s">
        <v>692</v>
      </c>
      <c r="B189" t="s">
        <v>607</v>
      </c>
      <c r="C189" t="s">
        <v>200</v>
      </c>
      <c r="D189" t="s">
        <v>201</v>
      </c>
      <c r="E189" t="s">
        <v>96</v>
      </c>
      <c r="F189">
        <v>2026</v>
      </c>
      <c r="G189" t="s">
        <v>202</v>
      </c>
      <c r="H189" t="s">
        <v>203</v>
      </c>
      <c r="I189" t="s">
        <v>204</v>
      </c>
      <c r="J189" t="s">
        <v>205</v>
      </c>
      <c r="K189" t="s">
        <v>607</v>
      </c>
      <c r="L189" t="s">
        <v>607</v>
      </c>
      <c r="M189" t="s">
        <v>607</v>
      </c>
      <c r="N189" t="s">
        <v>172</v>
      </c>
      <c r="O189" t="s">
        <v>611</v>
      </c>
      <c r="P189" t="s">
        <v>620</v>
      </c>
      <c r="Q189" t="s">
        <v>191</v>
      </c>
      <c r="R189" t="s">
        <v>634</v>
      </c>
      <c r="S189" t="s">
        <v>635</v>
      </c>
      <c r="U189">
        <v>200000</v>
      </c>
      <c r="AF189" s="1">
        <v>200000</v>
      </c>
      <c r="AG189">
        <v>200000</v>
      </c>
      <c r="AH189">
        <v>0</v>
      </c>
      <c r="AI189">
        <v>0</v>
      </c>
      <c r="AJ189">
        <v>0</v>
      </c>
      <c r="AK189">
        <v>200000</v>
      </c>
      <c r="AL189">
        <v>0</v>
      </c>
    </row>
    <row r="190" spans="1:38">
      <c r="A190" t="s">
        <v>692</v>
      </c>
      <c r="B190" t="s">
        <v>607</v>
      </c>
      <c r="C190" t="s">
        <v>200</v>
      </c>
      <c r="D190" t="s">
        <v>201</v>
      </c>
      <c r="E190" t="s">
        <v>96</v>
      </c>
      <c r="F190">
        <v>2026</v>
      </c>
      <c r="G190" t="s">
        <v>202</v>
      </c>
      <c r="H190" t="s">
        <v>203</v>
      </c>
      <c r="I190" t="s">
        <v>204</v>
      </c>
      <c r="J190" t="s">
        <v>205</v>
      </c>
      <c r="K190" t="s">
        <v>607</v>
      </c>
      <c r="L190" t="s">
        <v>607</v>
      </c>
      <c r="M190" t="s">
        <v>607</v>
      </c>
      <c r="N190" t="s">
        <v>172</v>
      </c>
      <c r="O190" t="s">
        <v>611</v>
      </c>
      <c r="P190" t="s">
        <v>620</v>
      </c>
      <c r="Q190" t="s">
        <v>193</v>
      </c>
      <c r="R190" t="s">
        <v>636</v>
      </c>
      <c r="S190" t="s">
        <v>637</v>
      </c>
      <c r="T190">
        <v>135000</v>
      </c>
      <c r="X190">
        <v>180000</v>
      </c>
      <c r="AD190">
        <v>135000</v>
      </c>
      <c r="AF190" s="1">
        <v>450000</v>
      </c>
      <c r="AG190">
        <v>135000</v>
      </c>
      <c r="AH190">
        <v>180000</v>
      </c>
      <c r="AI190">
        <v>0</v>
      </c>
      <c r="AJ190">
        <v>135000</v>
      </c>
      <c r="AK190">
        <v>315000</v>
      </c>
      <c r="AL190">
        <v>135000</v>
      </c>
    </row>
    <row r="191" spans="1:38">
      <c r="A191" t="s">
        <v>692</v>
      </c>
      <c r="B191" t="s">
        <v>607</v>
      </c>
      <c r="C191" t="s">
        <v>200</v>
      </c>
      <c r="D191" t="s">
        <v>201</v>
      </c>
      <c r="E191" t="s">
        <v>96</v>
      </c>
      <c r="F191">
        <v>2026</v>
      </c>
      <c r="G191" t="s">
        <v>202</v>
      </c>
      <c r="H191" t="s">
        <v>203</v>
      </c>
      <c r="I191" t="s">
        <v>204</v>
      </c>
      <c r="J191" t="s">
        <v>205</v>
      </c>
      <c r="K191" t="s">
        <v>607</v>
      </c>
      <c r="L191" t="s">
        <v>607</v>
      </c>
      <c r="M191" t="s">
        <v>607</v>
      </c>
      <c r="N191" t="s">
        <v>172</v>
      </c>
      <c r="O191" t="s">
        <v>611</v>
      </c>
      <c r="P191" t="s">
        <v>620</v>
      </c>
      <c r="Q191" t="s">
        <v>195</v>
      </c>
      <c r="R191" t="s">
        <v>638</v>
      </c>
      <c r="S191" t="s">
        <v>639</v>
      </c>
      <c r="V191">
        <v>145000</v>
      </c>
      <c r="Y191">
        <v>145000</v>
      </c>
      <c r="AB191">
        <v>145000</v>
      </c>
      <c r="AE191">
        <v>165000</v>
      </c>
      <c r="AF191" s="1">
        <v>600000</v>
      </c>
      <c r="AG191">
        <v>145000</v>
      </c>
      <c r="AH191">
        <v>145000</v>
      </c>
      <c r="AI191">
        <v>145000</v>
      </c>
      <c r="AJ191">
        <v>165000</v>
      </c>
      <c r="AK191">
        <v>290000</v>
      </c>
      <c r="AL191">
        <v>310000</v>
      </c>
    </row>
    <row r="192" spans="1:38">
      <c r="A192" t="s">
        <v>692</v>
      </c>
      <c r="B192" t="s">
        <v>607</v>
      </c>
      <c r="C192" t="s">
        <v>200</v>
      </c>
      <c r="D192" t="s">
        <v>201</v>
      </c>
      <c r="E192" t="s">
        <v>96</v>
      </c>
      <c r="F192">
        <v>2026</v>
      </c>
      <c r="G192" t="s">
        <v>202</v>
      </c>
      <c r="H192" t="s">
        <v>203</v>
      </c>
      <c r="I192" t="s">
        <v>204</v>
      </c>
      <c r="J192" t="s">
        <v>205</v>
      </c>
      <c r="K192" t="s">
        <v>607</v>
      </c>
      <c r="L192" t="s">
        <v>607</v>
      </c>
      <c r="M192" t="s">
        <v>607</v>
      </c>
      <c r="N192" t="s">
        <v>172</v>
      </c>
      <c r="O192" t="s">
        <v>187</v>
      </c>
      <c r="P192" t="s">
        <v>640</v>
      </c>
      <c r="Q192" t="s">
        <v>197</v>
      </c>
      <c r="R192" t="s">
        <v>641</v>
      </c>
      <c r="S192" t="s">
        <v>642</v>
      </c>
      <c r="V192">
        <v>210000</v>
      </c>
      <c r="AA192">
        <v>210000</v>
      </c>
      <c r="AF192" s="1">
        <v>420000</v>
      </c>
      <c r="AG192">
        <v>210000</v>
      </c>
      <c r="AH192">
        <v>0</v>
      </c>
      <c r="AI192">
        <v>210000</v>
      </c>
      <c r="AJ192">
        <v>0</v>
      </c>
      <c r="AK192">
        <v>210000</v>
      </c>
      <c r="AL192">
        <v>210000</v>
      </c>
    </row>
    <row r="193" spans="1:38">
      <c r="A193" t="s">
        <v>692</v>
      </c>
      <c r="B193" t="s">
        <v>607</v>
      </c>
      <c r="C193" t="s">
        <v>200</v>
      </c>
      <c r="D193" t="s">
        <v>201</v>
      </c>
      <c r="E193" t="s">
        <v>96</v>
      </c>
      <c r="F193">
        <v>2026</v>
      </c>
      <c r="G193" t="s">
        <v>202</v>
      </c>
      <c r="H193" t="s">
        <v>203</v>
      </c>
      <c r="I193" t="s">
        <v>204</v>
      </c>
      <c r="J193" t="s">
        <v>205</v>
      </c>
      <c r="K193" t="s">
        <v>607</v>
      </c>
      <c r="L193" t="s">
        <v>607</v>
      </c>
      <c r="M193" t="s">
        <v>607</v>
      </c>
      <c r="N193" t="s">
        <v>172</v>
      </c>
      <c r="O193" t="s">
        <v>187</v>
      </c>
      <c r="P193" t="s">
        <v>640</v>
      </c>
      <c r="Q193" t="s">
        <v>273</v>
      </c>
      <c r="R193" t="s">
        <v>643</v>
      </c>
      <c r="S193" t="s">
        <v>644</v>
      </c>
      <c r="T193">
        <v>100000</v>
      </c>
      <c r="Y193">
        <v>100000</v>
      </c>
      <c r="AB193">
        <v>100000</v>
      </c>
      <c r="AF193" s="1">
        <v>300000</v>
      </c>
      <c r="AG193">
        <v>100000</v>
      </c>
      <c r="AH193">
        <v>100000</v>
      </c>
      <c r="AI193">
        <v>100000</v>
      </c>
      <c r="AJ193">
        <v>0</v>
      </c>
      <c r="AK193">
        <v>200000</v>
      </c>
      <c r="AL193">
        <v>100000</v>
      </c>
    </row>
    <row r="194" spans="1:38">
      <c r="A194" t="s">
        <v>692</v>
      </c>
      <c r="B194" t="s">
        <v>607</v>
      </c>
      <c r="C194" t="s">
        <v>200</v>
      </c>
      <c r="D194" t="s">
        <v>201</v>
      </c>
      <c r="E194" t="s">
        <v>96</v>
      </c>
      <c r="F194">
        <v>2026</v>
      </c>
      <c r="G194" t="s">
        <v>202</v>
      </c>
      <c r="H194" t="s">
        <v>203</v>
      </c>
      <c r="I194" t="s">
        <v>204</v>
      </c>
      <c r="J194" t="s">
        <v>205</v>
      </c>
      <c r="K194" t="s">
        <v>607</v>
      </c>
      <c r="L194" t="s">
        <v>607</v>
      </c>
      <c r="M194" t="s">
        <v>607</v>
      </c>
      <c r="N194" t="s">
        <v>172</v>
      </c>
      <c r="O194" t="s">
        <v>192</v>
      </c>
      <c r="P194" t="s">
        <v>645</v>
      </c>
      <c r="Q194" t="s">
        <v>276</v>
      </c>
      <c r="R194" t="s">
        <v>646</v>
      </c>
      <c r="S194" t="s">
        <v>647</v>
      </c>
      <c r="AC194">
        <v>200000</v>
      </c>
      <c r="AF194" s="1">
        <v>200000</v>
      </c>
      <c r="AG194">
        <v>0</v>
      </c>
      <c r="AH194">
        <v>0</v>
      </c>
      <c r="AI194">
        <v>0</v>
      </c>
      <c r="AJ194">
        <v>200000</v>
      </c>
      <c r="AK194">
        <v>0</v>
      </c>
      <c r="AL194">
        <v>200000</v>
      </c>
    </row>
    <row r="195" spans="1:38">
      <c r="A195" t="s">
        <v>692</v>
      </c>
      <c r="B195" t="s">
        <v>607</v>
      </c>
      <c r="C195" t="s">
        <v>200</v>
      </c>
      <c r="D195" t="s">
        <v>201</v>
      </c>
      <c r="E195" t="s">
        <v>129</v>
      </c>
      <c r="F195">
        <v>2026</v>
      </c>
      <c r="G195" t="s">
        <v>202</v>
      </c>
      <c r="H195" t="s">
        <v>203</v>
      </c>
      <c r="I195" t="s">
        <v>204</v>
      </c>
      <c r="J195" t="s">
        <v>205</v>
      </c>
      <c r="K195" t="s">
        <v>607</v>
      </c>
      <c r="L195" t="s">
        <v>607</v>
      </c>
      <c r="M195" t="s">
        <v>607</v>
      </c>
      <c r="N195" t="s">
        <v>312</v>
      </c>
      <c r="O195" t="s">
        <v>648</v>
      </c>
      <c r="P195" t="s">
        <v>649</v>
      </c>
      <c r="Q195" t="s">
        <v>280</v>
      </c>
      <c r="R195" t="s">
        <v>650</v>
      </c>
      <c r="S195" t="s">
        <v>651</v>
      </c>
      <c r="X195">
        <v>4500000</v>
      </c>
      <c r="AA195">
        <v>4500000</v>
      </c>
      <c r="AD195">
        <v>4500000</v>
      </c>
      <c r="AE195">
        <v>1500000</v>
      </c>
      <c r="AF195" s="1">
        <v>15000000</v>
      </c>
      <c r="AG195">
        <v>0</v>
      </c>
      <c r="AH195">
        <v>4500000</v>
      </c>
      <c r="AI195">
        <v>4500000</v>
      </c>
      <c r="AJ195">
        <v>6000000</v>
      </c>
      <c r="AK195">
        <v>4500000</v>
      </c>
      <c r="AL195">
        <v>10500000</v>
      </c>
    </row>
    <row r="196" spans="1:38">
      <c r="A196" t="s">
        <v>692</v>
      </c>
      <c r="B196" t="s">
        <v>607</v>
      </c>
      <c r="C196" t="s">
        <v>200</v>
      </c>
      <c r="D196" t="s">
        <v>201</v>
      </c>
      <c r="E196" t="s">
        <v>129</v>
      </c>
      <c r="F196">
        <v>2026</v>
      </c>
      <c r="G196" t="s">
        <v>202</v>
      </c>
      <c r="H196" t="s">
        <v>203</v>
      </c>
      <c r="I196" t="s">
        <v>204</v>
      </c>
      <c r="J196" t="s">
        <v>205</v>
      </c>
      <c r="K196" t="s">
        <v>607</v>
      </c>
      <c r="L196" t="s">
        <v>607</v>
      </c>
      <c r="M196" t="s">
        <v>607</v>
      </c>
      <c r="N196" t="s">
        <v>312</v>
      </c>
      <c r="O196" t="s">
        <v>648</v>
      </c>
      <c r="P196" t="s">
        <v>649</v>
      </c>
      <c r="Q196" t="s">
        <v>283</v>
      </c>
      <c r="R196" t="s">
        <v>652</v>
      </c>
      <c r="S196" t="s">
        <v>653</v>
      </c>
      <c r="W196">
        <v>2090000</v>
      </c>
      <c r="X196">
        <v>2508000</v>
      </c>
      <c r="Y196">
        <v>2758800</v>
      </c>
      <c r="Z196">
        <v>2842400</v>
      </c>
      <c r="AA196">
        <v>2976160</v>
      </c>
      <c r="AB196">
        <v>2976160</v>
      </c>
      <c r="AC196">
        <v>2976160</v>
      </c>
      <c r="AD196">
        <v>2976160</v>
      </c>
      <c r="AE196">
        <v>2976160</v>
      </c>
      <c r="AF196" s="1">
        <v>25080000</v>
      </c>
      <c r="AG196">
        <v>0</v>
      </c>
      <c r="AH196">
        <v>7356800</v>
      </c>
      <c r="AI196">
        <v>8794720</v>
      </c>
      <c r="AJ196">
        <v>8928480</v>
      </c>
      <c r="AK196">
        <v>7356800</v>
      </c>
      <c r="AL196">
        <v>17723200</v>
      </c>
    </row>
    <row r="197" spans="1:38">
      <c r="A197" t="s">
        <v>692</v>
      </c>
      <c r="B197" t="s">
        <v>607</v>
      </c>
      <c r="C197" t="s">
        <v>200</v>
      </c>
      <c r="D197" t="s">
        <v>201</v>
      </c>
      <c r="E197" t="s">
        <v>129</v>
      </c>
      <c r="F197">
        <v>2026</v>
      </c>
      <c r="G197" t="s">
        <v>202</v>
      </c>
      <c r="H197" t="s">
        <v>203</v>
      </c>
      <c r="I197" t="s">
        <v>204</v>
      </c>
      <c r="J197" t="s">
        <v>205</v>
      </c>
      <c r="K197" t="s">
        <v>607</v>
      </c>
      <c r="L197" t="s">
        <v>607</v>
      </c>
      <c r="M197" t="s">
        <v>607</v>
      </c>
      <c r="N197" t="s">
        <v>312</v>
      </c>
      <c r="O197" t="s">
        <v>611</v>
      </c>
      <c r="P197" t="s">
        <v>654</v>
      </c>
      <c r="Q197" t="s">
        <v>286</v>
      </c>
      <c r="R197" t="s">
        <v>655</v>
      </c>
      <c r="S197" t="s">
        <v>656</v>
      </c>
      <c r="T197">
        <v>900000</v>
      </c>
      <c r="X197">
        <v>1200000</v>
      </c>
      <c r="AB197">
        <v>600000</v>
      </c>
      <c r="AE197">
        <v>300000</v>
      </c>
      <c r="AF197" s="1">
        <v>3000000</v>
      </c>
      <c r="AG197">
        <v>900000</v>
      </c>
      <c r="AH197">
        <v>1200000</v>
      </c>
      <c r="AI197">
        <v>600000</v>
      </c>
      <c r="AJ197">
        <v>300000</v>
      </c>
      <c r="AK197">
        <v>2100000</v>
      </c>
      <c r="AL197">
        <v>900000</v>
      </c>
    </row>
    <row r="198" spans="1:38">
      <c r="A198" t="s">
        <v>692</v>
      </c>
      <c r="B198" t="s">
        <v>607</v>
      </c>
      <c r="C198" t="s">
        <v>200</v>
      </c>
      <c r="D198" t="s">
        <v>201</v>
      </c>
      <c r="E198" t="s">
        <v>129</v>
      </c>
      <c r="F198">
        <v>2026</v>
      </c>
      <c r="G198" t="s">
        <v>202</v>
      </c>
      <c r="H198" t="s">
        <v>203</v>
      </c>
      <c r="I198" t="s">
        <v>204</v>
      </c>
      <c r="J198" t="s">
        <v>205</v>
      </c>
      <c r="K198" t="s">
        <v>607</v>
      </c>
      <c r="L198" t="s">
        <v>607</v>
      </c>
      <c r="M198" t="s">
        <v>607</v>
      </c>
      <c r="N198" t="s">
        <v>339</v>
      </c>
      <c r="O198" t="s">
        <v>190</v>
      </c>
      <c r="P198" t="s">
        <v>657</v>
      </c>
      <c r="Q198" t="s">
        <v>289</v>
      </c>
      <c r="R198" t="s">
        <v>658</v>
      </c>
      <c r="S198" t="s">
        <v>659</v>
      </c>
      <c r="T198">
        <v>500000</v>
      </c>
      <c r="V198">
        <v>500000</v>
      </c>
      <c r="Z198">
        <v>400000</v>
      </c>
      <c r="AF198" s="1">
        <v>1400000</v>
      </c>
      <c r="AG198">
        <v>1000000</v>
      </c>
      <c r="AH198">
        <v>0</v>
      </c>
      <c r="AI198">
        <v>400000</v>
      </c>
      <c r="AJ198">
        <v>0</v>
      </c>
      <c r="AK198">
        <v>1000000</v>
      </c>
      <c r="AL198">
        <v>400000</v>
      </c>
    </row>
    <row r="199" spans="1:38">
      <c r="A199" t="s">
        <v>692</v>
      </c>
      <c r="B199" t="s">
        <v>607</v>
      </c>
      <c r="C199" t="s">
        <v>200</v>
      </c>
      <c r="D199" t="s">
        <v>201</v>
      </c>
      <c r="E199" t="s">
        <v>129</v>
      </c>
      <c r="F199">
        <v>2026</v>
      </c>
      <c r="G199" t="s">
        <v>202</v>
      </c>
      <c r="H199" t="s">
        <v>203</v>
      </c>
      <c r="I199" t="s">
        <v>204</v>
      </c>
      <c r="J199" t="s">
        <v>205</v>
      </c>
      <c r="K199" t="s">
        <v>607</v>
      </c>
      <c r="L199" t="s">
        <v>607</v>
      </c>
      <c r="M199" t="s">
        <v>607</v>
      </c>
      <c r="N199" t="s">
        <v>339</v>
      </c>
      <c r="O199" t="s">
        <v>562</v>
      </c>
      <c r="P199" t="s">
        <v>660</v>
      </c>
      <c r="Q199" t="s">
        <v>343</v>
      </c>
      <c r="R199" t="s">
        <v>661</v>
      </c>
      <c r="S199" t="s">
        <v>662</v>
      </c>
      <c r="T199">
        <v>105000</v>
      </c>
      <c r="X199">
        <v>140000</v>
      </c>
      <c r="AD199">
        <v>105000</v>
      </c>
      <c r="AF199" s="1">
        <v>350000</v>
      </c>
      <c r="AG199">
        <v>105000</v>
      </c>
      <c r="AH199">
        <v>140000</v>
      </c>
      <c r="AI199">
        <v>0</v>
      </c>
      <c r="AJ199">
        <v>105000</v>
      </c>
      <c r="AK199">
        <v>245000</v>
      </c>
      <c r="AL199">
        <v>105000</v>
      </c>
    </row>
    <row r="200" spans="1:38">
      <c r="A200" t="s">
        <v>692</v>
      </c>
      <c r="B200" t="s">
        <v>607</v>
      </c>
      <c r="C200" t="s">
        <v>200</v>
      </c>
      <c r="D200" t="s">
        <v>201</v>
      </c>
      <c r="E200" t="s">
        <v>129</v>
      </c>
      <c r="F200">
        <v>2026</v>
      </c>
      <c r="G200" t="s">
        <v>202</v>
      </c>
      <c r="H200" t="s">
        <v>203</v>
      </c>
      <c r="I200" t="s">
        <v>204</v>
      </c>
      <c r="J200" t="s">
        <v>205</v>
      </c>
      <c r="K200" t="s">
        <v>607</v>
      </c>
      <c r="L200" t="s">
        <v>607</v>
      </c>
      <c r="M200" t="s">
        <v>607</v>
      </c>
      <c r="N200" t="s">
        <v>312</v>
      </c>
      <c r="O200" t="s">
        <v>562</v>
      </c>
      <c r="P200" t="s">
        <v>663</v>
      </c>
      <c r="Q200" t="s">
        <v>346</v>
      </c>
      <c r="R200" t="s">
        <v>664</v>
      </c>
      <c r="S200" t="s">
        <v>665</v>
      </c>
      <c r="V200">
        <v>450000</v>
      </c>
      <c r="Y200">
        <v>750000</v>
      </c>
      <c r="AB200">
        <v>300000</v>
      </c>
      <c r="AF200" s="1">
        <v>1500000</v>
      </c>
      <c r="AG200">
        <v>450000</v>
      </c>
      <c r="AH200">
        <v>750000</v>
      </c>
      <c r="AI200">
        <v>300000</v>
      </c>
      <c r="AJ200">
        <v>0</v>
      </c>
      <c r="AK200">
        <v>1200000</v>
      </c>
      <c r="AL200">
        <v>300000</v>
      </c>
    </row>
    <row r="201" spans="1:38">
      <c r="A201" t="s">
        <v>692</v>
      </c>
      <c r="B201" t="s">
        <v>607</v>
      </c>
      <c r="C201" t="s">
        <v>200</v>
      </c>
      <c r="D201" t="s">
        <v>201</v>
      </c>
      <c r="E201" t="s">
        <v>129</v>
      </c>
      <c r="F201">
        <v>2026</v>
      </c>
      <c r="G201" t="s">
        <v>202</v>
      </c>
      <c r="H201" t="s">
        <v>203</v>
      </c>
      <c r="I201" t="s">
        <v>204</v>
      </c>
      <c r="J201" t="s">
        <v>205</v>
      </c>
      <c r="K201" t="s">
        <v>607</v>
      </c>
      <c r="L201" t="s">
        <v>607</v>
      </c>
      <c r="M201" t="s">
        <v>607</v>
      </c>
      <c r="N201" t="s">
        <v>339</v>
      </c>
      <c r="O201" t="s">
        <v>611</v>
      </c>
      <c r="P201" t="s">
        <v>666</v>
      </c>
      <c r="Q201" t="s">
        <v>403</v>
      </c>
      <c r="R201" t="s">
        <v>667</v>
      </c>
      <c r="S201" t="s">
        <v>668</v>
      </c>
      <c r="U201">
        <v>480000</v>
      </c>
      <c r="X201">
        <v>480000</v>
      </c>
      <c r="AA201">
        <v>320000</v>
      </c>
      <c r="AD201">
        <v>320000</v>
      </c>
      <c r="AF201" s="1">
        <v>1600000</v>
      </c>
      <c r="AG201">
        <v>480000</v>
      </c>
      <c r="AH201">
        <v>480000</v>
      </c>
      <c r="AI201">
        <v>320000</v>
      </c>
      <c r="AJ201">
        <v>320000</v>
      </c>
      <c r="AK201">
        <v>960000</v>
      </c>
      <c r="AL201">
        <v>640000</v>
      </c>
    </row>
    <row r="202" spans="1:38">
      <c r="A202" t="s">
        <v>692</v>
      </c>
      <c r="B202" t="s">
        <v>607</v>
      </c>
      <c r="C202" t="s">
        <v>200</v>
      </c>
      <c r="D202" t="s">
        <v>201</v>
      </c>
      <c r="E202" t="s">
        <v>129</v>
      </c>
      <c r="F202">
        <v>2026</v>
      </c>
      <c r="G202" t="s">
        <v>202</v>
      </c>
      <c r="H202" t="s">
        <v>203</v>
      </c>
      <c r="I202" t="s">
        <v>204</v>
      </c>
      <c r="J202" t="s">
        <v>205</v>
      </c>
      <c r="K202" t="s">
        <v>607</v>
      </c>
      <c r="L202" t="s">
        <v>607</v>
      </c>
      <c r="M202" t="s">
        <v>607</v>
      </c>
      <c r="N202" t="s">
        <v>339</v>
      </c>
      <c r="O202" t="s">
        <v>611</v>
      </c>
      <c r="P202" t="s">
        <v>666</v>
      </c>
      <c r="Q202" t="s">
        <v>405</v>
      </c>
      <c r="R202" t="s">
        <v>669</v>
      </c>
      <c r="S202" t="s">
        <v>670</v>
      </c>
      <c r="T202">
        <v>174000</v>
      </c>
      <c r="X202">
        <v>232000</v>
      </c>
      <c r="AD202">
        <v>174000</v>
      </c>
      <c r="AF202" s="1">
        <v>580000</v>
      </c>
      <c r="AG202">
        <v>174000</v>
      </c>
      <c r="AH202">
        <v>232000</v>
      </c>
      <c r="AI202">
        <v>0</v>
      </c>
      <c r="AJ202">
        <v>174000</v>
      </c>
      <c r="AK202">
        <v>406000</v>
      </c>
      <c r="AL202">
        <v>174000</v>
      </c>
    </row>
    <row r="203" spans="1:38">
      <c r="A203" t="s">
        <v>692</v>
      </c>
      <c r="B203" t="s">
        <v>607</v>
      </c>
      <c r="C203" t="s">
        <v>200</v>
      </c>
      <c r="D203" t="s">
        <v>201</v>
      </c>
      <c r="E203" t="s">
        <v>129</v>
      </c>
      <c r="F203">
        <v>2026</v>
      </c>
      <c r="G203" t="s">
        <v>202</v>
      </c>
      <c r="H203" t="s">
        <v>203</v>
      </c>
      <c r="I203" t="s">
        <v>204</v>
      </c>
      <c r="J203" t="s">
        <v>205</v>
      </c>
      <c r="K203" t="s">
        <v>607</v>
      </c>
      <c r="L203" t="s">
        <v>607</v>
      </c>
      <c r="M203" t="s">
        <v>607</v>
      </c>
      <c r="N203" t="s">
        <v>339</v>
      </c>
      <c r="O203" t="s">
        <v>611</v>
      </c>
      <c r="P203" t="s">
        <v>666</v>
      </c>
      <c r="Q203" t="s">
        <v>407</v>
      </c>
      <c r="R203" t="s">
        <v>671</v>
      </c>
      <c r="S203" t="s">
        <v>672</v>
      </c>
      <c r="V203">
        <v>145000</v>
      </c>
      <c r="Y203">
        <v>145000</v>
      </c>
      <c r="AB203">
        <v>145000</v>
      </c>
      <c r="AE203">
        <v>165000</v>
      </c>
      <c r="AF203" s="1">
        <v>600000</v>
      </c>
      <c r="AG203">
        <v>145000</v>
      </c>
      <c r="AH203">
        <v>145000</v>
      </c>
      <c r="AI203">
        <v>145000</v>
      </c>
      <c r="AJ203">
        <v>165000</v>
      </c>
      <c r="AK203">
        <v>290000</v>
      </c>
      <c r="AL203">
        <v>310000</v>
      </c>
    </row>
    <row r="204" spans="1:38">
      <c r="A204" t="s">
        <v>692</v>
      </c>
      <c r="B204" t="s">
        <v>607</v>
      </c>
      <c r="C204" t="s">
        <v>200</v>
      </c>
      <c r="D204" t="s">
        <v>201</v>
      </c>
      <c r="E204" t="s">
        <v>129</v>
      </c>
      <c r="F204">
        <v>2026</v>
      </c>
      <c r="G204" t="s">
        <v>202</v>
      </c>
      <c r="H204" t="s">
        <v>203</v>
      </c>
      <c r="I204" t="s">
        <v>204</v>
      </c>
      <c r="J204" t="s">
        <v>205</v>
      </c>
      <c r="K204" t="s">
        <v>607</v>
      </c>
      <c r="L204" t="s">
        <v>607</v>
      </c>
      <c r="M204" t="s">
        <v>607</v>
      </c>
      <c r="N204" t="s">
        <v>339</v>
      </c>
      <c r="O204" t="s">
        <v>190</v>
      </c>
      <c r="P204" t="s">
        <v>657</v>
      </c>
      <c r="Q204" t="s">
        <v>409</v>
      </c>
      <c r="R204" t="s">
        <v>673</v>
      </c>
      <c r="S204" t="s">
        <v>674</v>
      </c>
      <c r="T204">
        <v>750000</v>
      </c>
      <c r="AF204" s="1">
        <v>750000</v>
      </c>
      <c r="AG204">
        <v>750000</v>
      </c>
      <c r="AH204">
        <v>0</v>
      </c>
      <c r="AI204">
        <v>0</v>
      </c>
      <c r="AJ204">
        <v>0</v>
      </c>
      <c r="AK204">
        <v>750000</v>
      </c>
      <c r="AL204">
        <v>0</v>
      </c>
    </row>
    <row r="205" spans="1:38">
      <c r="A205" t="s">
        <v>692</v>
      </c>
      <c r="B205" t="s">
        <v>607</v>
      </c>
      <c r="C205" t="s">
        <v>200</v>
      </c>
      <c r="D205" t="s">
        <v>201</v>
      </c>
      <c r="E205" t="s">
        <v>129</v>
      </c>
      <c r="F205">
        <v>2026</v>
      </c>
      <c r="G205" t="s">
        <v>202</v>
      </c>
      <c r="H205" t="s">
        <v>203</v>
      </c>
      <c r="I205" t="s">
        <v>204</v>
      </c>
      <c r="J205" t="s">
        <v>205</v>
      </c>
      <c r="K205" t="s">
        <v>607</v>
      </c>
      <c r="L205" t="s">
        <v>607</v>
      </c>
      <c r="M205" t="s">
        <v>607</v>
      </c>
      <c r="N205" t="s">
        <v>312</v>
      </c>
      <c r="O205" t="s">
        <v>562</v>
      </c>
      <c r="P205" t="s">
        <v>663</v>
      </c>
      <c r="Q205" t="s">
        <v>411</v>
      </c>
      <c r="R205" t="s">
        <v>675</v>
      </c>
      <c r="S205" t="s">
        <v>676</v>
      </c>
      <c r="AC205">
        <v>150000</v>
      </c>
      <c r="AF205" s="1">
        <v>150000</v>
      </c>
      <c r="AG205">
        <v>0</v>
      </c>
      <c r="AH205">
        <v>0</v>
      </c>
      <c r="AI205">
        <v>0</v>
      </c>
      <c r="AJ205">
        <v>150000</v>
      </c>
      <c r="AK205">
        <v>0</v>
      </c>
      <c r="AL205">
        <v>150000</v>
      </c>
    </row>
    <row r="206" spans="1:38">
      <c r="A206" t="s">
        <v>692</v>
      </c>
      <c r="B206" t="s">
        <v>607</v>
      </c>
      <c r="C206" t="s">
        <v>200</v>
      </c>
      <c r="D206" t="s">
        <v>201</v>
      </c>
      <c r="E206" t="s">
        <v>129</v>
      </c>
      <c r="F206">
        <v>2026</v>
      </c>
      <c r="G206" t="s">
        <v>202</v>
      </c>
      <c r="H206" t="s">
        <v>203</v>
      </c>
      <c r="I206" t="s">
        <v>204</v>
      </c>
      <c r="J206" t="s">
        <v>205</v>
      </c>
      <c r="K206" t="s">
        <v>607</v>
      </c>
      <c r="L206" t="s">
        <v>607</v>
      </c>
      <c r="M206" t="s">
        <v>607</v>
      </c>
      <c r="N206" t="s">
        <v>312</v>
      </c>
      <c r="O206" t="s">
        <v>562</v>
      </c>
      <c r="P206" t="s">
        <v>663</v>
      </c>
      <c r="Q206" t="s">
        <v>413</v>
      </c>
      <c r="R206" t="s">
        <v>677</v>
      </c>
      <c r="S206" t="s">
        <v>678</v>
      </c>
      <c r="V206">
        <v>100000</v>
      </c>
      <c r="AF206" s="1">
        <v>100000</v>
      </c>
      <c r="AG206">
        <v>100000</v>
      </c>
      <c r="AH206">
        <v>0</v>
      </c>
      <c r="AI206">
        <v>0</v>
      </c>
      <c r="AJ206">
        <v>0</v>
      </c>
      <c r="AK206">
        <v>100000</v>
      </c>
      <c r="AL206">
        <v>0</v>
      </c>
    </row>
    <row r="207" spans="1:38">
      <c r="A207" t="s">
        <v>692</v>
      </c>
      <c r="B207" t="s">
        <v>607</v>
      </c>
      <c r="C207" t="s">
        <v>200</v>
      </c>
      <c r="D207" t="s">
        <v>201</v>
      </c>
      <c r="E207" t="s">
        <v>129</v>
      </c>
      <c r="F207">
        <v>2026</v>
      </c>
      <c r="G207" t="s">
        <v>202</v>
      </c>
      <c r="H207" t="s">
        <v>203</v>
      </c>
      <c r="I207" t="s">
        <v>204</v>
      </c>
      <c r="J207" t="s">
        <v>205</v>
      </c>
      <c r="K207" t="s">
        <v>607</v>
      </c>
      <c r="L207" t="s">
        <v>607</v>
      </c>
      <c r="M207" t="s">
        <v>607</v>
      </c>
      <c r="N207" t="s">
        <v>339</v>
      </c>
      <c r="O207" t="s">
        <v>187</v>
      </c>
      <c r="P207" t="s">
        <v>679</v>
      </c>
      <c r="Q207" t="s">
        <v>680</v>
      </c>
      <c r="R207" t="s">
        <v>681</v>
      </c>
      <c r="S207" t="s">
        <v>682</v>
      </c>
      <c r="T207">
        <v>60000</v>
      </c>
      <c r="Z207">
        <v>60000</v>
      </c>
      <c r="AF207" s="1">
        <v>120000</v>
      </c>
      <c r="AG207">
        <v>60000</v>
      </c>
      <c r="AH207">
        <v>0</v>
      </c>
      <c r="AI207">
        <v>60000</v>
      </c>
      <c r="AJ207">
        <v>0</v>
      </c>
      <c r="AK207">
        <v>60000</v>
      </c>
      <c r="AL207">
        <v>60000</v>
      </c>
    </row>
    <row r="208" spans="1:38">
      <c r="A208" t="s">
        <v>692</v>
      </c>
      <c r="B208" t="s">
        <v>607</v>
      </c>
      <c r="C208" t="s">
        <v>200</v>
      </c>
      <c r="D208" t="s">
        <v>201</v>
      </c>
      <c r="E208" t="s">
        <v>129</v>
      </c>
      <c r="F208">
        <v>2026</v>
      </c>
      <c r="G208" t="s">
        <v>202</v>
      </c>
      <c r="H208" t="s">
        <v>203</v>
      </c>
      <c r="I208" t="s">
        <v>204</v>
      </c>
      <c r="J208" t="s">
        <v>205</v>
      </c>
      <c r="K208" t="s">
        <v>607</v>
      </c>
      <c r="L208" t="s">
        <v>607</v>
      </c>
      <c r="M208" t="s">
        <v>607</v>
      </c>
      <c r="N208" t="s">
        <v>339</v>
      </c>
      <c r="O208" t="s">
        <v>187</v>
      </c>
      <c r="P208" t="s">
        <v>679</v>
      </c>
      <c r="Q208" t="s">
        <v>683</v>
      </c>
      <c r="R208" t="s">
        <v>684</v>
      </c>
      <c r="S208" t="s">
        <v>644</v>
      </c>
      <c r="U208">
        <v>40000</v>
      </c>
      <c r="Y208">
        <v>40000</v>
      </c>
      <c r="AE208">
        <v>20000</v>
      </c>
      <c r="AF208" s="1">
        <v>100000</v>
      </c>
      <c r="AG208">
        <v>40000</v>
      </c>
      <c r="AH208">
        <v>40000</v>
      </c>
      <c r="AI208">
        <v>0</v>
      </c>
      <c r="AJ208">
        <v>20000</v>
      </c>
      <c r="AK208">
        <v>80000</v>
      </c>
      <c r="AL208">
        <v>20000</v>
      </c>
    </row>
    <row r="209" spans="1:38">
      <c r="A209" t="s">
        <v>692</v>
      </c>
      <c r="B209" t="s">
        <v>607</v>
      </c>
      <c r="C209" t="s">
        <v>200</v>
      </c>
      <c r="D209" t="s">
        <v>201</v>
      </c>
      <c r="E209" t="s">
        <v>129</v>
      </c>
      <c r="F209">
        <v>2026</v>
      </c>
      <c r="G209" t="s">
        <v>202</v>
      </c>
      <c r="H209" t="s">
        <v>203</v>
      </c>
      <c r="I209" t="s">
        <v>204</v>
      </c>
      <c r="J209" t="s">
        <v>205</v>
      </c>
      <c r="K209" t="s">
        <v>607</v>
      </c>
      <c r="L209" t="s">
        <v>607</v>
      </c>
      <c r="M209" t="s">
        <v>607</v>
      </c>
      <c r="N209" t="s">
        <v>312</v>
      </c>
      <c r="O209" t="s">
        <v>192</v>
      </c>
      <c r="P209" t="s">
        <v>685</v>
      </c>
      <c r="Q209" t="s">
        <v>686</v>
      </c>
      <c r="R209" t="s">
        <v>687</v>
      </c>
      <c r="S209" t="s">
        <v>647</v>
      </c>
      <c r="AC209">
        <v>200000</v>
      </c>
      <c r="AF209" s="1">
        <v>200000</v>
      </c>
      <c r="AG209">
        <v>0</v>
      </c>
      <c r="AH209">
        <v>0</v>
      </c>
      <c r="AI209">
        <v>0</v>
      </c>
      <c r="AJ209">
        <v>200000</v>
      </c>
      <c r="AK209">
        <v>0</v>
      </c>
      <c r="AL209">
        <v>200000</v>
      </c>
    </row>
    <row r="210" spans="1:38">
      <c r="A210" t="s">
        <v>692</v>
      </c>
      <c r="B210" t="s">
        <v>607</v>
      </c>
      <c r="C210" t="s">
        <v>200</v>
      </c>
      <c r="D210" t="s">
        <v>201</v>
      </c>
      <c r="E210" t="s">
        <v>95</v>
      </c>
      <c r="F210">
        <v>2026</v>
      </c>
      <c r="G210" t="s">
        <v>202</v>
      </c>
      <c r="H210" t="s">
        <v>203</v>
      </c>
      <c r="I210" t="s">
        <v>204</v>
      </c>
      <c r="J210" t="s">
        <v>205</v>
      </c>
      <c r="K210" t="s">
        <v>607</v>
      </c>
      <c r="L210" t="s">
        <v>607</v>
      </c>
      <c r="M210" t="s">
        <v>607</v>
      </c>
      <c r="N210" t="s">
        <v>688</v>
      </c>
      <c r="O210" t="s">
        <v>611</v>
      </c>
      <c r="P210" t="s">
        <v>689</v>
      </c>
      <c r="Q210" t="s">
        <v>690</v>
      </c>
      <c r="R210" t="s">
        <v>691</v>
      </c>
      <c r="S210" t="s">
        <v>670</v>
      </c>
      <c r="T210">
        <v>90000</v>
      </c>
      <c r="X210">
        <v>120000</v>
      </c>
      <c r="AD210">
        <v>90000</v>
      </c>
      <c r="AF210" s="1">
        <v>300000</v>
      </c>
      <c r="AG210">
        <v>90000</v>
      </c>
      <c r="AH210">
        <v>120000</v>
      </c>
      <c r="AI210">
        <v>0</v>
      </c>
      <c r="AJ210">
        <v>90000</v>
      </c>
      <c r="AK210">
        <v>210000</v>
      </c>
      <c r="AL210">
        <v>90000</v>
      </c>
    </row>
    <row r="211" spans="1:38">
      <c r="A211" t="s">
        <v>692</v>
      </c>
      <c r="B211" t="s">
        <v>607</v>
      </c>
      <c r="C211" t="s">
        <v>135</v>
      </c>
      <c r="D211">
        <v>0.3</v>
      </c>
      <c r="E211" t="s">
        <v>95</v>
      </c>
      <c r="F211">
        <v>2026</v>
      </c>
      <c r="G211" t="s">
        <v>202</v>
      </c>
      <c r="H211" t="s">
        <v>203</v>
      </c>
      <c r="I211" t="s">
        <v>204</v>
      </c>
      <c r="J211" t="s">
        <v>205</v>
      </c>
      <c r="K211" t="s">
        <v>607</v>
      </c>
      <c r="L211" t="s">
        <v>607</v>
      </c>
      <c r="M211" t="s">
        <v>607</v>
      </c>
      <c r="S211" t="s">
        <v>135</v>
      </c>
      <c r="T211">
        <v>9000</v>
      </c>
      <c r="U211">
        <v>3000</v>
      </c>
      <c r="V211">
        <v>24000</v>
      </c>
      <c r="W211">
        <v>24000</v>
      </c>
      <c r="X211">
        <v>24000</v>
      </c>
      <c r="Y211">
        <v>24000</v>
      </c>
      <c r="Z211">
        <v>24000</v>
      </c>
      <c r="AA211">
        <v>24000</v>
      </c>
      <c r="AB211">
        <v>24000</v>
      </c>
      <c r="AC211">
        <v>24000</v>
      </c>
      <c r="AD211">
        <v>24000</v>
      </c>
      <c r="AE211">
        <v>24000</v>
      </c>
      <c r="AF211">
        <v>252000</v>
      </c>
      <c r="AG211">
        <v>36000</v>
      </c>
      <c r="AH211">
        <v>72000</v>
      </c>
      <c r="AI211">
        <v>72000</v>
      </c>
      <c r="AJ211">
        <v>72000</v>
      </c>
      <c r="AK211">
        <v>108000</v>
      </c>
      <c r="AL211">
        <v>144000</v>
      </c>
    </row>
    <row r="212" spans="1:38">
      <c r="A212" t="s">
        <v>692</v>
      </c>
      <c r="B212" t="s">
        <v>607</v>
      </c>
      <c r="C212" t="s">
        <v>135</v>
      </c>
      <c r="D212">
        <v>0.7</v>
      </c>
      <c r="E212" t="s">
        <v>96</v>
      </c>
      <c r="F212">
        <v>2026</v>
      </c>
      <c r="G212" t="s">
        <v>202</v>
      </c>
      <c r="H212" t="s">
        <v>203</v>
      </c>
      <c r="I212" t="s">
        <v>204</v>
      </c>
      <c r="J212" t="s">
        <v>205</v>
      </c>
      <c r="K212" t="s">
        <v>607</v>
      </c>
      <c r="L212" t="s">
        <v>607</v>
      </c>
      <c r="M212" t="s">
        <v>607</v>
      </c>
      <c r="S212" t="s">
        <v>135</v>
      </c>
      <c r="T212">
        <v>21000</v>
      </c>
      <c r="U212">
        <v>7000</v>
      </c>
      <c r="V212">
        <v>56000</v>
      </c>
      <c r="W212">
        <v>56000</v>
      </c>
      <c r="X212">
        <v>56000</v>
      </c>
      <c r="Y212">
        <v>56000</v>
      </c>
      <c r="Z212">
        <v>56000</v>
      </c>
      <c r="AA212">
        <v>56000</v>
      </c>
      <c r="AB212">
        <v>56000</v>
      </c>
      <c r="AC212">
        <v>56000</v>
      </c>
      <c r="AD212">
        <v>56000</v>
      </c>
      <c r="AE212">
        <v>56000</v>
      </c>
      <c r="AF212">
        <v>588000</v>
      </c>
      <c r="AG212">
        <v>84000</v>
      </c>
      <c r="AH212">
        <v>168000</v>
      </c>
      <c r="AI212">
        <v>168000</v>
      </c>
      <c r="AJ212">
        <v>168000</v>
      </c>
      <c r="AK212">
        <v>252000</v>
      </c>
      <c r="AL212">
        <v>336000</v>
      </c>
    </row>
    <row r="213" spans="1:38">
      <c r="A213" t="s">
        <v>692</v>
      </c>
      <c r="B213" t="s">
        <v>607</v>
      </c>
      <c r="C213" t="s">
        <v>135</v>
      </c>
      <c r="D213">
        <v>0</v>
      </c>
      <c r="E213" t="s">
        <v>129</v>
      </c>
      <c r="F213">
        <v>2026</v>
      </c>
      <c r="G213" t="s">
        <v>202</v>
      </c>
      <c r="H213" t="s">
        <v>203</v>
      </c>
      <c r="I213" t="s">
        <v>204</v>
      </c>
      <c r="J213" t="s">
        <v>205</v>
      </c>
      <c r="K213" t="s">
        <v>607</v>
      </c>
      <c r="L213" t="s">
        <v>607</v>
      </c>
      <c r="M213" t="s">
        <v>607</v>
      </c>
      <c r="S213" t="s">
        <v>135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>
      <c r="A214" t="s">
        <v>693</v>
      </c>
      <c r="B214" t="s">
        <v>694</v>
      </c>
      <c r="C214" t="s">
        <v>200</v>
      </c>
      <c r="D214" t="s">
        <v>201</v>
      </c>
      <c r="E214" t="s">
        <v>547</v>
      </c>
      <c r="F214">
        <v>2026</v>
      </c>
      <c r="G214" t="s">
        <v>202</v>
      </c>
      <c r="H214" t="s">
        <v>203</v>
      </c>
      <c r="I214" t="s">
        <v>204</v>
      </c>
      <c r="J214" t="s">
        <v>205</v>
      </c>
      <c r="K214" t="s">
        <v>595</v>
      </c>
      <c r="L214" t="s">
        <v>694</v>
      </c>
      <c r="M214" t="s">
        <v>694</v>
      </c>
      <c r="N214" t="s">
        <v>547</v>
      </c>
      <c r="O214" t="s">
        <v>194</v>
      </c>
      <c r="P214" t="s">
        <v>695</v>
      </c>
      <c r="Q214" t="s">
        <v>208</v>
      </c>
      <c r="R214" t="s">
        <v>696</v>
      </c>
      <c r="S214" t="s">
        <v>697</v>
      </c>
      <c r="T214" s="1">
        <v>200000</v>
      </c>
      <c r="U214" s="1">
        <v>100000</v>
      </c>
      <c r="V214" s="1">
        <v>100000</v>
      </c>
      <c r="W214" s="1">
        <v>50000</v>
      </c>
      <c r="X214" s="1">
        <v>20000</v>
      </c>
      <c r="Y214" s="1">
        <v>20000</v>
      </c>
      <c r="Z214" s="1">
        <v>100000</v>
      </c>
      <c r="AA214" s="1">
        <v>80000</v>
      </c>
      <c r="AB214" s="1">
        <v>20000</v>
      </c>
      <c r="AC214" s="1">
        <v>20000</v>
      </c>
      <c r="AD214" s="1">
        <v>20000</v>
      </c>
      <c r="AE214" s="1">
        <v>20000</v>
      </c>
      <c r="AF214" s="1">
        <v>750000</v>
      </c>
      <c r="AG214">
        <v>400000</v>
      </c>
      <c r="AH214">
        <v>90000</v>
      </c>
      <c r="AI214">
        <v>200000</v>
      </c>
      <c r="AJ214">
        <v>60000</v>
      </c>
      <c r="AK214">
        <v>490000</v>
      </c>
      <c r="AL214">
        <v>260000</v>
      </c>
    </row>
    <row r="215" spans="1:38">
      <c r="A215" t="s">
        <v>693</v>
      </c>
      <c r="B215" t="s">
        <v>694</v>
      </c>
      <c r="C215" t="s">
        <v>200</v>
      </c>
      <c r="D215" t="s">
        <v>201</v>
      </c>
      <c r="E215" t="s">
        <v>547</v>
      </c>
      <c r="F215">
        <v>2026</v>
      </c>
      <c r="G215" t="s">
        <v>202</v>
      </c>
      <c r="H215" t="s">
        <v>203</v>
      </c>
      <c r="I215" t="s">
        <v>204</v>
      </c>
      <c r="J215" t="s">
        <v>205</v>
      </c>
      <c r="K215" t="s">
        <v>595</v>
      </c>
      <c r="L215" t="s">
        <v>694</v>
      </c>
      <c r="M215" t="s">
        <v>694</v>
      </c>
      <c r="N215" t="s">
        <v>547</v>
      </c>
      <c r="O215" t="s">
        <v>194</v>
      </c>
      <c r="P215" t="s">
        <v>695</v>
      </c>
      <c r="Q215" t="s">
        <v>211</v>
      </c>
      <c r="R215" t="s">
        <v>698</v>
      </c>
      <c r="S215" t="s">
        <v>699</v>
      </c>
      <c r="T215" s="1">
        <v>300000</v>
      </c>
      <c r="U215" s="1">
        <v>300000</v>
      </c>
      <c r="V215" s="1">
        <v>65000</v>
      </c>
      <c r="W215" s="1">
        <v>65000</v>
      </c>
      <c r="X215" s="1">
        <v>65000</v>
      </c>
      <c r="Y215" s="1">
        <v>65000</v>
      </c>
      <c r="Z215" s="1">
        <v>65000</v>
      </c>
      <c r="AA215" s="1">
        <v>65000</v>
      </c>
      <c r="AB215" s="1">
        <v>65000</v>
      </c>
      <c r="AC215" s="1">
        <v>65000</v>
      </c>
      <c r="AD215" s="1">
        <v>65000</v>
      </c>
      <c r="AE215" s="1">
        <v>65000</v>
      </c>
      <c r="AF215" s="1">
        <v>1250000</v>
      </c>
      <c r="AG215">
        <v>665000</v>
      </c>
      <c r="AH215">
        <v>195000</v>
      </c>
      <c r="AI215">
        <v>195000</v>
      </c>
      <c r="AJ215">
        <v>195000</v>
      </c>
      <c r="AK215">
        <v>860000</v>
      </c>
      <c r="AL215">
        <v>390000</v>
      </c>
    </row>
    <row r="216" spans="1:38">
      <c r="A216" t="s">
        <v>693</v>
      </c>
      <c r="B216" t="s">
        <v>694</v>
      </c>
      <c r="C216" t="s">
        <v>200</v>
      </c>
      <c r="D216" t="s">
        <v>201</v>
      </c>
      <c r="E216" t="s">
        <v>547</v>
      </c>
      <c r="F216">
        <v>2026</v>
      </c>
      <c r="G216" t="s">
        <v>202</v>
      </c>
      <c r="H216" t="s">
        <v>203</v>
      </c>
      <c r="I216" t="s">
        <v>204</v>
      </c>
      <c r="J216" t="s">
        <v>205</v>
      </c>
      <c r="K216" t="s">
        <v>595</v>
      </c>
      <c r="L216" t="s">
        <v>694</v>
      </c>
      <c r="M216" t="s">
        <v>694</v>
      </c>
      <c r="N216" t="s">
        <v>547</v>
      </c>
      <c r="O216" t="s">
        <v>194</v>
      </c>
      <c r="P216" t="s">
        <v>695</v>
      </c>
      <c r="Q216" t="s">
        <v>173</v>
      </c>
      <c r="R216" t="s">
        <v>700</v>
      </c>
      <c r="S216" t="s">
        <v>701</v>
      </c>
      <c r="T216" s="1">
        <v>100000</v>
      </c>
      <c r="U216" s="1">
        <v>100000</v>
      </c>
      <c r="V216" s="1">
        <v>8000</v>
      </c>
      <c r="W216" s="1">
        <v>8000</v>
      </c>
      <c r="X216" s="1">
        <v>8000</v>
      </c>
      <c r="Y216" s="1">
        <v>8000</v>
      </c>
      <c r="Z216" s="1">
        <v>8000</v>
      </c>
      <c r="AA216" s="1">
        <v>8000</v>
      </c>
      <c r="AB216" s="1">
        <v>8000</v>
      </c>
      <c r="AC216" s="1">
        <v>8000</v>
      </c>
      <c r="AD216" s="1">
        <v>8000</v>
      </c>
      <c r="AE216" s="1">
        <v>8000</v>
      </c>
      <c r="AF216" s="1">
        <v>280000</v>
      </c>
      <c r="AG216">
        <v>208000</v>
      </c>
      <c r="AH216">
        <v>24000</v>
      </c>
      <c r="AI216">
        <v>24000</v>
      </c>
      <c r="AJ216">
        <v>24000</v>
      </c>
      <c r="AK216">
        <v>232000</v>
      </c>
      <c r="AL216">
        <v>48000</v>
      </c>
    </row>
    <row r="217" spans="1:38">
      <c r="A217" t="s">
        <v>693</v>
      </c>
      <c r="B217" t="s">
        <v>694</v>
      </c>
      <c r="C217" t="s">
        <v>200</v>
      </c>
      <c r="D217" t="s">
        <v>201</v>
      </c>
      <c r="E217" t="s">
        <v>547</v>
      </c>
      <c r="F217">
        <v>2026</v>
      </c>
      <c r="G217" t="s">
        <v>202</v>
      </c>
      <c r="H217" t="s">
        <v>203</v>
      </c>
      <c r="I217" t="s">
        <v>204</v>
      </c>
      <c r="J217" t="s">
        <v>205</v>
      </c>
      <c r="K217" t="s">
        <v>595</v>
      </c>
      <c r="L217" t="s">
        <v>694</v>
      </c>
      <c r="M217" t="s">
        <v>694</v>
      </c>
      <c r="N217" t="s">
        <v>547</v>
      </c>
      <c r="O217" t="s">
        <v>194</v>
      </c>
      <c r="P217" t="s">
        <v>695</v>
      </c>
      <c r="Q217" t="s">
        <v>175</v>
      </c>
      <c r="R217" t="s">
        <v>702</v>
      </c>
      <c r="S217" t="s">
        <v>703</v>
      </c>
      <c r="T217" s="1">
        <v>200000</v>
      </c>
      <c r="U217" s="1">
        <v>200000</v>
      </c>
      <c r="V217" s="1">
        <v>200000</v>
      </c>
      <c r="W217" s="1">
        <v>10000</v>
      </c>
      <c r="X217" s="1">
        <v>10000</v>
      </c>
      <c r="Y217" s="1">
        <v>100000</v>
      </c>
      <c r="Z217" s="1">
        <v>20000</v>
      </c>
      <c r="AA217" s="1">
        <v>10000</v>
      </c>
      <c r="AB217" s="1">
        <v>10000</v>
      </c>
      <c r="AC217" s="1">
        <v>20000</v>
      </c>
      <c r="AD217" s="1">
        <v>10000</v>
      </c>
      <c r="AE217" s="1">
        <v>10000</v>
      </c>
      <c r="AF217" s="1">
        <v>800000</v>
      </c>
      <c r="AG217">
        <v>600000</v>
      </c>
      <c r="AH217">
        <v>120000</v>
      </c>
      <c r="AI217">
        <v>40000</v>
      </c>
      <c r="AJ217">
        <v>40000</v>
      </c>
      <c r="AK217">
        <v>720000</v>
      </c>
      <c r="AL217">
        <v>80000</v>
      </c>
    </row>
    <row r="218" spans="1:38">
      <c r="A218" t="s">
        <v>693</v>
      </c>
      <c r="B218" t="s">
        <v>694</v>
      </c>
      <c r="C218" t="s">
        <v>200</v>
      </c>
      <c r="D218" t="s">
        <v>201</v>
      </c>
      <c r="E218" t="s">
        <v>547</v>
      </c>
      <c r="F218">
        <v>2026</v>
      </c>
      <c r="G218" t="s">
        <v>202</v>
      </c>
      <c r="H218" t="s">
        <v>203</v>
      </c>
      <c r="I218" t="s">
        <v>204</v>
      </c>
      <c r="J218" t="s">
        <v>205</v>
      </c>
      <c r="K218" t="s">
        <v>595</v>
      </c>
      <c r="L218" t="s">
        <v>694</v>
      </c>
      <c r="M218" t="s">
        <v>694</v>
      </c>
      <c r="N218" t="s">
        <v>547</v>
      </c>
      <c r="O218" t="s">
        <v>194</v>
      </c>
      <c r="P218" t="s">
        <v>695</v>
      </c>
      <c r="Q218" t="s">
        <v>177</v>
      </c>
      <c r="R218" t="s">
        <v>704</v>
      </c>
      <c r="S218" t="s">
        <v>705</v>
      </c>
      <c r="T218" s="1"/>
      <c r="U218" s="1"/>
      <c r="V218" s="1"/>
      <c r="W218" s="1">
        <v>200000</v>
      </c>
      <c r="X218" s="1">
        <v>200000</v>
      </c>
      <c r="Y218" s="1">
        <v>200000</v>
      </c>
      <c r="Z218" s="1">
        <v>100000</v>
      </c>
      <c r="AA218" s="1">
        <v>100000</v>
      </c>
      <c r="AB218" s="1">
        <v>50000</v>
      </c>
      <c r="AC218" s="1">
        <v>50000</v>
      </c>
      <c r="AD218" s="1">
        <v>50000</v>
      </c>
      <c r="AE218" s="1">
        <v>50000</v>
      </c>
      <c r="AF218" s="1">
        <v>1000000</v>
      </c>
      <c r="AG218">
        <v>0</v>
      </c>
      <c r="AH218">
        <v>600000</v>
      </c>
      <c r="AI218">
        <v>250000</v>
      </c>
      <c r="AJ218">
        <v>150000</v>
      </c>
      <c r="AK218">
        <v>600000</v>
      </c>
      <c r="AL218">
        <v>400000</v>
      </c>
    </row>
    <row r="219" spans="1:38">
      <c r="A219" t="s">
        <v>693</v>
      </c>
      <c r="B219" t="s">
        <v>694</v>
      </c>
      <c r="C219" t="s">
        <v>200</v>
      </c>
      <c r="D219" t="s">
        <v>201</v>
      </c>
      <c r="E219" t="s">
        <v>547</v>
      </c>
      <c r="F219">
        <v>2026</v>
      </c>
      <c r="G219" t="s">
        <v>202</v>
      </c>
      <c r="H219" t="s">
        <v>203</v>
      </c>
      <c r="I219" t="s">
        <v>204</v>
      </c>
      <c r="J219" t="s">
        <v>205</v>
      </c>
      <c r="K219" t="s">
        <v>595</v>
      </c>
      <c r="L219" t="s">
        <v>694</v>
      </c>
      <c r="M219" t="s">
        <v>694</v>
      </c>
      <c r="N219" t="s">
        <v>547</v>
      </c>
      <c r="O219" t="s">
        <v>194</v>
      </c>
      <c r="P219" t="s">
        <v>695</v>
      </c>
      <c r="Q219" t="s">
        <v>178</v>
      </c>
      <c r="R219" t="s">
        <v>706</v>
      </c>
      <c r="S219" t="s">
        <v>707</v>
      </c>
      <c r="T219" s="1">
        <v>10000</v>
      </c>
      <c r="U219" s="1">
        <v>10000</v>
      </c>
      <c r="V219" s="1">
        <v>10000</v>
      </c>
      <c r="W219" s="1">
        <v>10000</v>
      </c>
      <c r="X219" s="1">
        <v>10000</v>
      </c>
      <c r="Y219" s="1">
        <v>10000</v>
      </c>
      <c r="Z219" s="1">
        <v>10000</v>
      </c>
      <c r="AA219" s="1">
        <v>10000</v>
      </c>
      <c r="AB219" s="1">
        <v>10000</v>
      </c>
      <c r="AC219" s="1">
        <v>10000</v>
      </c>
      <c r="AD219" s="1">
        <v>10000</v>
      </c>
      <c r="AE219" s="1">
        <v>10000</v>
      </c>
      <c r="AF219" s="1">
        <v>120000</v>
      </c>
      <c r="AG219">
        <v>30000</v>
      </c>
      <c r="AH219">
        <v>30000</v>
      </c>
      <c r="AI219">
        <v>30000</v>
      </c>
      <c r="AJ219">
        <v>30000</v>
      </c>
      <c r="AK219">
        <v>60000</v>
      </c>
      <c r="AL219">
        <v>60000</v>
      </c>
    </row>
    <row r="220" spans="1:38">
      <c r="A220" t="s">
        <v>693</v>
      </c>
      <c r="B220" t="s">
        <v>694</v>
      </c>
      <c r="C220" t="s">
        <v>200</v>
      </c>
      <c r="D220" t="s">
        <v>201</v>
      </c>
      <c r="E220" t="s">
        <v>547</v>
      </c>
      <c r="F220">
        <v>2026</v>
      </c>
      <c r="G220" t="s">
        <v>202</v>
      </c>
      <c r="H220" t="s">
        <v>203</v>
      </c>
      <c r="I220" t="s">
        <v>204</v>
      </c>
      <c r="J220" t="s">
        <v>205</v>
      </c>
      <c r="K220" t="s">
        <v>595</v>
      </c>
      <c r="L220" t="s">
        <v>694</v>
      </c>
      <c r="M220" t="s">
        <v>694</v>
      </c>
      <c r="N220" t="s">
        <v>547</v>
      </c>
      <c r="O220" t="s">
        <v>194</v>
      </c>
      <c r="P220" t="s">
        <v>695</v>
      </c>
      <c r="Q220" t="s">
        <v>180</v>
      </c>
      <c r="R220" t="s">
        <v>708</v>
      </c>
      <c r="S220" t="s">
        <v>709</v>
      </c>
      <c r="T220" s="1">
        <v>90000</v>
      </c>
      <c r="U220" s="1">
        <v>90000</v>
      </c>
      <c r="V220" s="1">
        <v>90000</v>
      </c>
      <c r="W220" s="1">
        <v>90000</v>
      </c>
      <c r="X220" s="1">
        <v>90000</v>
      </c>
      <c r="Y220" s="1">
        <v>90000</v>
      </c>
      <c r="Z220" s="1">
        <v>90000</v>
      </c>
      <c r="AA220" s="1">
        <v>90000</v>
      </c>
      <c r="AB220" s="1">
        <v>90000</v>
      </c>
      <c r="AC220" s="1">
        <v>90000</v>
      </c>
      <c r="AD220" s="1">
        <v>90000</v>
      </c>
      <c r="AE220" s="1">
        <v>50000</v>
      </c>
      <c r="AF220" s="1">
        <v>1040000</v>
      </c>
      <c r="AG220">
        <v>270000</v>
      </c>
      <c r="AH220">
        <v>270000</v>
      </c>
      <c r="AI220">
        <v>270000</v>
      </c>
      <c r="AJ220">
        <v>230000</v>
      </c>
      <c r="AK220">
        <v>540000</v>
      </c>
      <c r="AL220">
        <v>500000</v>
      </c>
    </row>
    <row r="221" spans="1:38">
      <c r="A221" t="s">
        <v>693</v>
      </c>
      <c r="B221" t="s">
        <v>694</v>
      </c>
      <c r="C221" t="s">
        <v>200</v>
      </c>
      <c r="D221" t="s">
        <v>201</v>
      </c>
      <c r="E221" t="s">
        <v>547</v>
      </c>
      <c r="F221">
        <v>2026</v>
      </c>
      <c r="G221" t="s">
        <v>202</v>
      </c>
      <c r="H221" t="s">
        <v>203</v>
      </c>
      <c r="I221" t="s">
        <v>204</v>
      </c>
      <c r="J221" t="s">
        <v>205</v>
      </c>
      <c r="K221" t="s">
        <v>595</v>
      </c>
      <c r="L221" t="s">
        <v>694</v>
      </c>
      <c r="M221" t="s">
        <v>694</v>
      </c>
      <c r="N221" t="s">
        <v>547</v>
      </c>
      <c r="O221" t="s">
        <v>194</v>
      </c>
      <c r="P221" t="s">
        <v>695</v>
      </c>
      <c r="Q221" t="s">
        <v>183</v>
      </c>
      <c r="R221" t="s">
        <v>710</v>
      </c>
      <c r="S221" t="s">
        <v>711</v>
      </c>
      <c r="T221" s="1">
        <v>50000</v>
      </c>
      <c r="U221" s="1"/>
      <c r="V221" s="1"/>
      <c r="W221" s="1">
        <v>250000</v>
      </c>
      <c r="X221" s="1"/>
      <c r="Y221" s="1"/>
      <c r="Z221" s="1"/>
      <c r="AA221" s="1"/>
      <c r="AB221" s="1"/>
      <c r="AC221" s="1"/>
      <c r="AD221" s="1"/>
      <c r="AE221" s="1"/>
      <c r="AF221" s="1">
        <v>300000</v>
      </c>
      <c r="AG221">
        <v>50000</v>
      </c>
      <c r="AH221">
        <v>250000</v>
      </c>
      <c r="AI221">
        <v>0</v>
      </c>
      <c r="AJ221">
        <v>0</v>
      </c>
      <c r="AK221">
        <v>300000</v>
      </c>
      <c r="AL221">
        <v>0</v>
      </c>
    </row>
    <row r="222" spans="1:38">
      <c r="A222" t="s">
        <v>693</v>
      </c>
      <c r="B222" t="s">
        <v>694</v>
      </c>
      <c r="C222" t="s">
        <v>200</v>
      </c>
      <c r="D222" t="s">
        <v>201</v>
      </c>
      <c r="E222" t="s">
        <v>547</v>
      </c>
      <c r="F222">
        <v>2026</v>
      </c>
      <c r="G222" t="s">
        <v>202</v>
      </c>
      <c r="H222" t="s">
        <v>203</v>
      </c>
      <c r="I222" t="s">
        <v>204</v>
      </c>
      <c r="J222" t="s">
        <v>205</v>
      </c>
      <c r="K222" t="s">
        <v>595</v>
      </c>
      <c r="L222" t="s">
        <v>694</v>
      </c>
      <c r="M222" t="s">
        <v>694</v>
      </c>
      <c r="N222" t="s">
        <v>547</v>
      </c>
      <c r="O222" t="s">
        <v>194</v>
      </c>
      <c r="P222" t="s">
        <v>695</v>
      </c>
      <c r="Q222" t="s">
        <v>185</v>
      </c>
      <c r="R222" t="s">
        <v>712</v>
      </c>
      <c r="S222" t="s">
        <v>713</v>
      </c>
      <c r="T222" s="1"/>
      <c r="U222" s="1"/>
      <c r="V222" s="1"/>
      <c r="W222" s="1"/>
      <c r="X222" s="1"/>
      <c r="Y222" s="1">
        <v>150000</v>
      </c>
      <c r="Z222" s="1"/>
      <c r="AA222" s="1"/>
      <c r="AB222" s="1"/>
      <c r="AC222" s="1"/>
      <c r="AD222" s="1"/>
      <c r="AE222" s="1"/>
      <c r="AF222" s="1">
        <v>150000</v>
      </c>
      <c r="AG222">
        <v>0</v>
      </c>
      <c r="AH222">
        <v>150000</v>
      </c>
      <c r="AI222">
        <v>0</v>
      </c>
      <c r="AJ222">
        <v>0</v>
      </c>
      <c r="AK222">
        <v>150000</v>
      </c>
      <c r="AL222">
        <v>0</v>
      </c>
    </row>
    <row r="223" spans="1:38">
      <c r="A223" t="s">
        <v>693</v>
      </c>
      <c r="B223" t="s">
        <v>694</v>
      </c>
      <c r="C223" t="s">
        <v>135</v>
      </c>
      <c r="D223" t="s">
        <v>201</v>
      </c>
      <c r="E223" t="s">
        <v>547</v>
      </c>
      <c r="F223">
        <v>2026</v>
      </c>
      <c r="G223" t="s">
        <v>202</v>
      </c>
      <c r="H223" t="s">
        <v>203</v>
      </c>
      <c r="I223" t="s">
        <v>204</v>
      </c>
      <c r="J223" t="s">
        <v>205</v>
      </c>
      <c r="K223" t="s">
        <v>595</v>
      </c>
      <c r="L223" t="s">
        <v>694</v>
      </c>
      <c r="M223" t="s">
        <v>694</v>
      </c>
      <c r="N223" t="s">
        <v>547</v>
      </c>
      <c r="O223" t="s">
        <v>194</v>
      </c>
      <c r="S223" t="s">
        <v>135</v>
      </c>
      <c r="T223" s="1">
        <v>10000</v>
      </c>
      <c r="U223" s="1">
        <v>10000</v>
      </c>
      <c r="V223" s="1">
        <v>10000</v>
      </c>
      <c r="W223" s="1">
        <v>10000</v>
      </c>
      <c r="X223" s="1">
        <v>10000</v>
      </c>
      <c r="Y223" s="1">
        <v>10000</v>
      </c>
      <c r="Z223" s="1">
        <v>10000</v>
      </c>
      <c r="AA223" s="1">
        <v>10000</v>
      </c>
      <c r="AB223" s="1">
        <v>10000</v>
      </c>
      <c r="AC223" s="1">
        <v>10000</v>
      </c>
      <c r="AD223" s="1">
        <v>10000</v>
      </c>
      <c r="AE223" s="1">
        <v>10000</v>
      </c>
      <c r="AF223" s="1">
        <v>120000</v>
      </c>
      <c r="AG223">
        <v>30000</v>
      </c>
      <c r="AH223">
        <v>30000</v>
      </c>
      <c r="AI223">
        <v>30000</v>
      </c>
      <c r="AJ223">
        <v>30000</v>
      </c>
      <c r="AK223">
        <v>60000</v>
      </c>
      <c r="AL223">
        <v>60000</v>
      </c>
    </row>
    <row r="224" spans="1:38">
      <c r="A224" t="s">
        <v>714</v>
      </c>
      <c r="B224" t="s">
        <v>715</v>
      </c>
      <c r="C224" t="s">
        <v>200</v>
      </c>
      <c r="D224" t="s">
        <v>201</v>
      </c>
      <c r="E224" t="s">
        <v>547</v>
      </c>
      <c r="F224">
        <v>2026</v>
      </c>
      <c r="G224" t="s">
        <v>202</v>
      </c>
      <c r="H224" t="s">
        <v>203</v>
      </c>
      <c r="I224" t="s">
        <v>204</v>
      </c>
      <c r="J224" t="s">
        <v>205</v>
      </c>
      <c r="K224" t="s">
        <v>595</v>
      </c>
      <c r="L224" t="s">
        <v>715</v>
      </c>
      <c r="M224" t="s">
        <v>715</v>
      </c>
      <c r="N224" t="s">
        <v>547</v>
      </c>
      <c r="O224" t="s">
        <v>194</v>
      </c>
      <c r="P224" t="s">
        <v>716</v>
      </c>
      <c r="Q224" t="s">
        <v>208</v>
      </c>
      <c r="R224" t="s">
        <v>717</v>
      </c>
      <c r="S224" t="s">
        <v>718</v>
      </c>
      <c r="T224" s="1">
        <v>50000</v>
      </c>
      <c r="U224" s="1">
        <v>50000</v>
      </c>
      <c r="V224" s="1">
        <v>50000</v>
      </c>
      <c r="W224" s="1">
        <v>50000</v>
      </c>
      <c r="X224" s="1">
        <v>50000</v>
      </c>
      <c r="Y224" s="1">
        <v>50000</v>
      </c>
      <c r="Z224" s="1">
        <v>50000</v>
      </c>
      <c r="AA224" s="1">
        <v>50000</v>
      </c>
      <c r="AB224" s="1">
        <v>50000</v>
      </c>
      <c r="AC224" s="1">
        <v>50000</v>
      </c>
      <c r="AD224" s="1">
        <v>50000</v>
      </c>
      <c r="AE224" s="1">
        <v>50000</v>
      </c>
      <c r="AF224" s="1">
        <v>600000</v>
      </c>
      <c r="AG224">
        <v>150000</v>
      </c>
      <c r="AH224">
        <v>150000</v>
      </c>
      <c r="AI224">
        <v>150000</v>
      </c>
      <c r="AJ224">
        <v>150000</v>
      </c>
      <c r="AK224">
        <v>300000</v>
      </c>
      <c r="AL224">
        <v>300000</v>
      </c>
    </row>
    <row r="225" spans="1:38">
      <c r="A225" t="s">
        <v>714</v>
      </c>
      <c r="B225" t="s">
        <v>715</v>
      </c>
      <c r="C225" t="s">
        <v>200</v>
      </c>
      <c r="D225" t="s">
        <v>201</v>
      </c>
      <c r="E225" t="s">
        <v>547</v>
      </c>
      <c r="F225">
        <v>2026</v>
      </c>
      <c r="G225" t="s">
        <v>202</v>
      </c>
      <c r="H225" t="s">
        <v>203</v>
      </c>
      <c r="I225" t="s">
        <v>204</v>
      </c>
      <c r="J225" t="s">
        <v>205</v>
      </c>
      <c r="K225" t="s">
        <v>595</v>
      </c>
      <c r="L225" t="s">
        <v>715</v>
      </c>
      <c r="M225" t="s">
        <v>715</v>
      </c>
      <c r="N225" t="s">
        <v>547</v>
      </c>
      <c r="O225" t="s">
        <v>194</v>
      </c>
      <c r="P225" t="s">
        <v>716</v>
      </c>
      <c r="Q225" t="s">
        <v>211</v>
      </c>
      <c r="R225" t="s">
        <v>719</v>
      </c>
      <c r="S225" t="s">
        <v>720</v>
      </c>
      <c r="T225" s="1">
        <v>20000</v>
      </c>
      <c r="U225" s="1">
        <v>20000</v>
      </c>
      <c r="V225" s="1">
        <v>20000</v>
      </c>
      <c r="W225" s="1">
        <v>20000</v>
      </c>
      <c r="X225" s="1">
        <v>20000</v>
      </c>
      <c r="Y225" s="1">
        <v>20000</v>
      </c>
      <c r="Z225" s="1">
        <v>20000</v>
      </c>
      <c r="AA225" s="1">
        <v>20000</v>
      </c>
      <c r="AB225" s="1">
        <v>20000</v>
      </c>
      <c r="AC225" s="1">
        <v>20000</v>
      </c>
      <c r="AD225" s="1">
        <v>20000</v>
      </c>
      <c r="AE225" s="1">
        <v>20000</v>
      </c>
      <c r="AF225" s="1">
        <v>240000</v>
      </c>
      <c r="AG225">
        <v>60000</v>
      </c>
      <c r="AH225">
        <v>60000</v>
      </c>
      <c r="AI225">
        <v>60000</v>
      </c>
      <c r="AJ225">
        <v>60000</v>
      </c>
      <c r="AK225">
        <v>120000</v>
      </c>
      <c r="AL225">
        <v>120000</v>
      </c>
    </row>
    <row r="226" spans="1:38">
      <c r="A226" t="s">
        <v>714</v>
      </c>
      <c r="B226" t="s">
        <v>715</v>
      </c>
      <c r="C226" t="s">
        <v>135</v>
      </c>
      <c r="D226" t="s">
        <v>201</v>
      </c>
      <c r="E226" t="s">
        <v>547</v>
      </c>
      <c r="F226">
        <v>2026</v>
      </c>
      <c r="G226" t="s">
        <v>202</v>
      </c>
      <c r="H226" t="s">
        <v>203</v>
      </c>
      <c r="I226" t="s">
        <v>204</v>
      </c>
      <c r="J226" t="s">
        <v>205</v>
      </c>
      <c r="K226" t="s">
        <v>595</v>
      </c>
      <c r="L226" t="s">
        <v>715</v>
      </c>
      <c r="M226" t="s">
        <v>715</v>
      </c>
      <c r="N226" t="s">
        <v>547</v>
      </c>
      <c r="O226" t="s">
        <v>194</v>
      </c>
      <c r="P226" t="s">
        <v>716</v>
      </c>
      <c r="Q226" t="s">
        <v>211</v>
      </c>
      <c r="R226" t="s">
        <v>719</v>
      </c>
      <c r="S226" t="s">
        <v>720</v>
      </c>
      <c r="T226" s="1">
        <v>20900</v>
      </c>
      <c r="U226" s="1">
        <v>14900</v>
      </c>
      <c r="V226" s="1">
        <v>93400</v>
      </c>
      <c r="W226" s="1">
        <v>15000</v>
      </c>
      <c r="X226" s="1">
        <v>21000</v>
      </c>
      <c r="Y226" s="1">
        <v>16000</v>
      </c>
      <c r="Z226" s="1">
        <v>21000</v>
      </c>
      <c r="AA226" s="1">
        <v>15000</v>
      </c>
      <c r="AB226" s="1">
        <v>93500</v>
      </c>
      <c r="AC226" s="1">
        <v>15000</v>
      </c>
      <c r="AD226" s="1">
        <v>21000</v>
      </c>
      <c r="AE226" s="1">
        <v>20000</v>
      </c>
      <c r="AF226" s="1">
        <v>366700</v>
      </c>
      <c r="AG226">
        <v>129200</v>
      </c>
      <c r="AH226">
        <v>52000</v>
      </c>
      <c r="AI226">
        <v>129500</v>
      </c>
      <c r="AJ226">
        <v>56000</v>
      </c>
      <c r="AK226">
        <v>181200</v>
      </c>
      <c r="AL226">
        <v>185500</v>
      </c>
    </row>
    <row r="227" spans="1:38">
      <c r="A227" t="s">
        <v>723</v>
      </c>
      <c r="B227" t="s">
        <v>724</v>
      </c>
      <c r="C227" t="s">
        <v>200</v>
      </c>
      <c r="D227" t="s">
        <v>201</v>
      </c>
      <c r="E227" t="s">
        <v>95</v>
      </c>
      <c r="F227">
        <v>2026</v>
      </c>
      <c r="G227" t="s">
        <v>202</v>
      </c>
      <c r="H227" t="s">
        <v>203</v>
      </c>
      <c r="I227" t="s">
        <v>204</v>
      </c>
      <c r="J227" t="s">
        <v>205</v>
      </c>
      <c r="K227" t="s">
        <v>595</v>
      </c>
      <c r="L227" t="s">
        <v>724</v>
      </c>
      <c r="M227" t="s">
        <v>724</v>
      </c>
      <c r="N227" t="s">
        <v>547</v>
      </c>
      <c r="O227" t="s">
        <v>194</v>
      </c>
      <c r="P227" t="s">
        <v>725</v>
      </c>
      <c r="Q227" t="s">
        <v>208</v>
      </c>
      <c r="R227" t="s">
        <v>726</v>
      </c>
      <c r="T227">
        <v>10000</v>
      </c>
      <c r="U227">
        <v>0</v>
      </c>
      <c r="V227">
        <v>45000</v>
      </c>
      <c r="W227">
        <v>210000</v>
      </c>
      <c r="X227">
        <v>9000</v>
      </c>
      <c r="Y227">
        <v>218000</v>
      </c>
      <c r="Z227">
        <v>25000</v>
      </c>
      <c r="AA227">
        <v>80000</v>
      </c>
      <c r="AB227">
        <v>39000</v>
      </c>
      <c r="AC227">
        <v>95000</v>
      </c>
      <c r="AD227">
        <v>0</v>
      </c>
      <c r="AE227">
        <v>0</v>
      </c>
      <c r="AF227" s="1">
        <f>SUM(T227:AE227)</f>
        <v>731000</v>
      </c>
    </row>
    <row r="228" spans="1:38">
      <c r="A228" t="s">
        <v>723</v>
      </c>
      <c r="B228" t="s">
        <v>724</v>
      </c>
      <c r="C228" t="s">
        <v>200</v>
      </c>
      <c r="D228" t="s">
        <v>201</v>
      </c>
      <c r="E228" t="s">
        <v>96</v>
      </c>
      <c r="F228">
        <v>2026</v>
      </c>
      <c r="G228" t="s">
        <v>202</v>
      </c>
      <c r="H228" t="s">
        <v>203</v>
      </c>
      <c r="I228" t="s">
        <v>204</v>
      </c>
      <c r="J228" t="s">
        <v>205</v>
      </c>
      <c r="K228" t="s">
        <v>595</v>
      </c>
      <c r="L228" t="s">
        <v>724</v>
      </c>
      <c r="M228" t="s">
        <v>724</v>
      </c>
      <c r="N228" t="s">
        <v>547</v>
      </c>
      <c r="O228" t="s">
        <v>194</v>
      </c>
      <c r="P228" t="s">
        <v>727</v>
      </c>
      <c r="Q228" t="s">
        <v>211</v>
      </c>
      <c r="R228" t="s">
        <v>728</v>
      </c>
      <c r="T228">
        <v>0</v>
      </c>
      <c r="U228">
        <v>10000</v>
      </c>
      <c r="V228">
        <v>145000</v>
      </c>
      <c r="W228">
        <v>280000</v>
      </c>
      <c r="X228">
        <v>71000</v>
      </c>
      <c r="Y228">
        <v>322000</v>
      </c>
      <c r="Z228">
        <v>75000</v>
      </c>
      <c r="AA228">
        <v>10000</v>
      </c>
      <c r="AB228">
        <v>131000</v>
      </c>
      <c r="AC228">
        <v>35000</v>
      </c>
      <c r="AD228">
        <v>40000</v>
      </c>
      <c r="AE228">
        <v>0</v>
      </c>
      <c r="AF228" s="1">
        <f t="shared" ref="AF228:AF235" si="1">SUM(T228:AE228)</f>
        <v>1119000</v>
      </c>
    </row>
    <row r="229" spans="1:38">
      <c r="A229" t="s">
        <v>723</v>
      </c>
      <c r="B229" t="s">
        <v>724</v>
      </c>
      <c r="C229" t="s">
        <v>200</v>
      </c>
      <c r="D229" t="s">
        <v>201</v>
      </c>
      <c r="E229" t="s">
        <v>129</v>
      </c>
      <c r="F229">
        <v>2026</v>
      </c>
      <c r="G229" t="s">
        <v>202</v>
      </c>
      <c r="H229" t="s">
        <v>203</v>
      </c>
      <c r="I229" t="s">
        <v>204</v>
      </c>
      <c r="J229" t="s">
        <v>205</v>
      </c>
      <c r="K229" t="s">
        <v>595</v>
      </c>
      <c r="L229" t="s">
        <v>724</v>
      </c>
      <c r="M229" t="s">
        <v>724</v>
      </c>
      <c r="N229" t="s">
        <v>547</v>
      </c>
      <c r="O229" t="s">
        <v>194</v>
      </c>
      <c r="P229" t="s">
        <v>729</v>
      </c>
      <c r="Q229" t="s">
        <v>173</v>
      </c>
      <c r="R229" t="s">
        <v>730</v>
      </c>
      <c r="T229">
        <v>50000</v>
      </c>
      <c r="U229">
        <v>0</v>
      </c>
      <c r="V229">
        <v>50000</v>
      </c>
      <c r="W229">
        <v>50000</v>
      </c>
      <c r="X229">
        <v>50000</v>
      </c>
      <c r="Y229">
        <v>10000</v>
      </c>
      <c r="Z229">
        <v>50000</v>
      </c>
      <c r="AA229">
        <v>0</v>
      </c>
      <c r="AB229">
        <v>60000</v>
      </c>
      <c r="AC229">
        <v>0</v>
      </c>
      <c r="AD229">
        <v>10000</v>
      </c>
      <c r="AE229">
        <v>0</v>
      </c>
      <c r="AF229" s="1">
        <f t="shared" si="1"/>
        <v>330000</v>
      </c>
    </row>
    <row r="230" spans="1:38">
      <c r="A230" t="s">
        <v>723</v>
      </c>
      <c r="B230" t="s">
        <v>724</v>
      </c>
      <c r="C230" t="s">
        <v>20</v>
      </c>
      <c r="D230" t="s">
        <v>201</v>
      </c>
      <c r="E230" t="s">
        <v>95</v>
      </c>
      <c r="F230">
        <v>2026</v>
      </c>
      <c r="G230" t="s">
        <v>202</v>
      </c>
      <c r="H230" t="s">
        <v>203</v>
      </c>
      <c r="I230" t="s">
        <v>204</v>
      </c>
      <c r="J230" t="s">
        <v>205</v>
      </c>
      <c r="K230" t="s">
        <v>595</v>
      </c>
      <c r="L230" t="s">
        <v>724</v>
      </c>
      <c r="M230" t="s">
        <v>724</v>
      </c>
      <c r="N230" t="s">
        <v>547</v>
      </c>
      <c r="O230" t="s">
        <v>194</v>
      </c>
      <c r="P230" t="s">
        <v>725</v>
      </c>
      <c r="Q230" t="s">
        <v>208</v>
      </c>
      <c r="R230" t="s">
        <v>726</v>
      </c>
      <c r="T230" s="1">
        <v>58852.624999999993</v>
      </c>
      <c r="U230" s="1">
        <v>58852.624999999993</v>
      </c>
      <c r="V230" s="1">
        <v>58852.624999999993</v>
      </c>
      <c r="W230" s="1">
        <v>58852.624999999993</v>
      </c>
      <c r="X230" s="1">
        <v>58852.624999999993</v>
      </c>
      <c r="Y230" s="1">
        <v>58852.624999999993</v>
      </c>
      <c r="Z230" s="1">
        <v>58852.624999999993</v>
      </c>
      <c r="AA230" s="1">
        <v>58852.624999999993</v>
      </c>
      <c r="AB230" s="1">
        <v>58852.624999999993</v>
      </c>
      <c r="AC230" s="1">
        <v>58852.624999999993</v>
      </c>
      <c r="AD230" s="1">
        <v>58852.624999999993</v>
      </c>
      <c r="AE230" s="1">
        <v>58852.624999999993</v>
      </c>
      <c r="AF230" s="1">
        <f t="shared" si="1"/>
        <v>706231.49999999988</v>
      </c>
    </row>
    <row r="231" spans="1:38">
      <c r="A231" t="s">
        <v>723</v>
      </c>
      <c r="B231" t="s">
        <v>724</v>
      </c>
      <c r="C231" t="s">
        <v>20</v>
      </c>
      <c r="D231" t="s">
        <v>201</v>
      </c>
      <c r="E231" t="s">
        <v>96</v>
      </c>
      <c r="F231">
        <v>2026</v>
      </c>
      <c r="G231" t="s">
        <v>202</v>
      </c>
      <c r="H231" t="s">
        <v>203</v>
      </c>
      <c r="I231" t="s">
        <v>204</v>
      </c>
      <c r="J231" t="s">
        <v>205</v>
      </c>
      <c r="K231" t="s">
        <v>595</v>
      </c>
      <c r="L231" t="s">
        <v>724</v>
      </c>
      <c r="M231" t="s">
        <v>724</v>
      </c>
      <c r="N231" t="s">
        <v>547</v>
      </c>
      <c r="O231" t="s">
        <v>194</v>
      </c>
      <c r="P231" t="s">
        <v>727</v>
      </c>
      <c r="Q231" t="s">
        <v>211</v>
      </c>
      <c r="R231" t="s">
        <v>728</v>
      </c>
      <c r="T231" s="1">
        <v>137322.79166666666</v>
      </c>
      <c r="U231" s="1">
        <v>137322.79166666666</v>
      </c>
      <c r="V231" s="1">
        <v>137322.79166666666</v>
      </c>
      <c r="W231" s="1">
        <v>137322.79166666666</v>
      </c>
      <c r="X231" s="1">
        <v>137322.79166666666</v>
      </c>
      <c r="Y231" s="1">
        <v>137322.79166666666</v>
      </c>
      <c r="Z231" s="1">
        <v>137322.79166666666</v>
      </c>
      <c r="AA231" s="1">
        <v>137322.79166666666</v>
      </c>
      <c r="AB231" s="1">
        <v>137322.79166666666</v>
      </c>
      <c r="AC231" s="1">
        <v>137322.79166666666</v>
      </c>
      <c r="AD231" s="1">
        <v>137322.79166666666</v>
      </c>
      <c r="AE231" s="1">
        <v>137322.79166666666</v>
      </c>
      <c r="AF231" s="1">
        <f t="shared" si="1"/>
        <v>1647873.5000000002</v>
      </c>
    </row>
    <row r="232" spans="1:38">
      <c r="A232" t="s">
        <v>723</v>
      </c>
      <c r="B232" t="s">
        <v>724</v>
      </c>
      <c r="C232" t="s">
        <v>20</v>
      </c>
      <c r="D232" t="s">
        <v>201</v>
      </c>
      <c r="E232" t="s">
        <v>129</v>
      </c>
      <c r="F232">
        <v>2026</v>
      </c>
      <c r="G232" t="s">
        <v>202</v>
      </c>
      <c r="H232" t="s">
        <v>203</v>
      </c>
      <c r="I232" t="s">
        <v>204</v>
      </c>
      <c r="J232" t="s">
        <v>205</v>
      </c>
      <c r="K232" t="s">
        <v>595</v>
      </c>
      <c r="L232" t="s">
        <v>724</v>
      </c>
      <c r="M232" t="s">
        <v>724</v>
      </c>
      <c r="N232" t="s">
        <v>547</v>
      </c>
      <c r="O232" t="s">
        <v>194</v>
      </c>
      <c r="P232" t="s">
        <v>729</v>
      </c>
      <c r="Q232" t="s">
        <v>173</v>
      </c>
      <c r="R232" t="s">
        <v>730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f t="shared" si="1"/>
        <v>0</v>
      </c>
    </row>
    <row r="233" spans="1:38">
      <c r="A233" t="s">
        <v>723</v>
      </c>
      <c r="B233" t="s">
        <v>724</v>
      </c>
      <c r="C233" t="s">
        <v>19</v>
      </c>
      <c r="D233" t="s">
        <v>201</v>
      </c>
      <c r="E233" t="s">
        <v>95</v>
      </c>
      <c r="F233">
        <v>2026</v>
      </c>
      <c r="G233" t="s">
        <v>202</v>
      </c>
      <c r="H233" t="s">
        <v>203</v>
      </c>
      <c r="I233" t="s">
        <v>204</v>
      </c>
      <c r="J233" t="s">
        <v>205</v>
      </c>
      <c r="K233" t="s">
        <v>595</v>
      </c>
      <c r="L233" t="s">
        <v>724</v>
      </c>
      <c r="M233" t="s">
        <v>724</v>
      </c>
      <c r="N233" t="s">
        <v>547</v>
      </c>
      <c r="O233" t="s">
        <v>194</v>
      </c>
      <c r="P233" t="s">
        <v>725</v>
      </c>
      <c r="Q233" t="s">
        <v>208</v>
      </c>
      <c r="R233" t="s">
        <v>726</v>
      </c>
      <c r="T233">
        <v>16800</v>
      </c>
      <c r="U233">
        <v>16800</v>
      </c>
      <c r="V233">
        <v>16800</v>
      </c>
      <c r="W233">
        <v>16800</v>
      </c>
      <c r="X233">
        <v>16800</v>
      </c>
      <c r="Y233">
        <v>26250</v>
      </c>
      <c r="Z233">
        <v>16800</v>
      </c>
      <c r="AA233">
        <v>16800</v>
      </c>
      <c r="AB233">
        <v>16800</v>
      </c>
      <c r="AC233">
        <v>16800</v>
      </c>
      <c r="AD233">
        <v>16800</v>
      </c>
      <c r="AE233">
        <v>26250</v>
      </c>
      <c r="AF233" s="1">
        <f t="shared" si="1"/>
        <v>220500</v>
      </c>
    </row>
    <row r="234" spans="1:38">
      <c r="A234" t="s">
        <v>723</v>
      </c>
      <c r="B234" t="s">
        <v>724</v>
      </c>
      <c r="C234" t="s">
        <v>19</v>
      </c>
      <c r="D234" t="s">
        <v>201</v>
      </c>
      <c r="E234" t="s">
        <v>96</v>
      </c>
      <c r="F234">
        <v>2026</v>
      </c>
      <c r="G234" t="s">
        <v>202</v>
      </c>
      <c r="H234" t="s">
        <v>203</v>
      </c>
      <c r="I234" t="s">
        <v>204</v>
      </c>
      <c r="J234" t="s">
        <v>205</v>
      </c>
      <c r="K234" t="s">
        <v>595</v>
      </c>
      <c r="L234" t="s">
        <v>724</v>
      </c>
      <c r="M234" t="s">
        <v>724</v>
      </c>
      <c r="N234" t="s">
        <v>547</v>
      </c>
      <c r="O234" t="s">
        <v>194</v>
      </c>
      <c r="P234" t="s">
        <v>727</v>
      </c>
      <c r="Q234" t="s">
        <v>211</v>
      </c>
      <c r="R234" t="s">
        <v>728</v>
      </c>
      <c r="T234">
        <v>31200</v>
      </c>
      <c r="U234">
        <v>31200</v>
      </c>
      <c r="V234">
        <v>31200</v>
      </c>
      <c r="W234">
        <v>31200</v>
      </c>
      <c r="X234">
        <v>31200</v>
      </c>
      <c r="Y234">
        <v>53250</v>
      </c>
      <c r="Z234">
        <v>31200</v>
      </c>
      <c r="AA234">
        <v>31200</v>
      </c>
      <c r="AB234">
        <v>31200</v>
      </c>
      <c r="AC234">
        <v>31200</v>
      </c>
      <c r="AD234">
        <v>31200</v>
      </c>
      <c r="AE234">
        <v>53250</v>
      </c>
      <c r="AF234" s="1">
        <f t="shared" si="1"/>
        <v>418500</v>
      </c>
    </row>
    <row r="235" spans="1:38">
      <c r="A235" t="s">
        <v>723</v>
      </c>
      <c r="B235" t="s">
        <v>724</v>
      </c>
      <c r="C235" t="s">
        <v>19</v>
      </c>
      <c r="D235" t="s">
        <v>201</v>
      </c>
      <c r="E235" t="s">
        <v>129</v>
      </c>
      <c r="F235">
        <v>2026</v>
      </c>
      <c r="G235" t="s">
        <v>202</v>
      </c>
      <c r="H235" t="s">
        <v>203</v>
      </c>
      <c r="I235" t="s">
        <v>204</v>
      </c>
      <c r="J235" t="s">
        <v>205</v>
      </c>
      <c r="K235" t="s">
        <v>595</v>
      </c>
      <c r="L235" t="s">
        <v>724</v>
      </c>
      <c r="M235" t="s">
        <v>724</v>
      </c>
      <c r="N235" t="s">
        <v>547</v>
      </c>
      <c r="O235" t="s">
        <v>194</v>
      </c>
      <c r="P235" t="s">
        <v>729</v>
      </c>
      <c r="Q235" t="s">
        <v>173</v>
      </c>
      <c r="R235" t="s">
        <v>730</v>
      </c>
      <c r="T235">
        <v>6000</v>
      </c>
      <c r="U235">
        <v>6000</v>
      </c>
      <c r="V235">
        <v>6000</v>
      </c>
      <c r="W235">
        <v>6000</v>
      </c>
      <c r="X235">
        <v>6000</v>
      </c>
      <c r="Y235">
        <v>6000</v>
      </c>
      <c r="Z235">
        <v>6000</v>
      </c>
      <c r="AA235">
        <v>6000</v>
      </c>
      <c r="AB235">
        <v>6000</v>
      </c>
      <c r="AC235">
        <v>6000</v>
      </c>
      <c r="AD235">
        <v>6000</v>
      </c>
      <c r="AE235">
        <v>6000</v>
      </c>
      <c r="AF235" s="1">
        <f t="shared" si="1"/>
        <v>72000</v>
      </c>
    </row>
  </sheetData>
  <autoFilter ref="A2:AL235" xr:uid="{9B51CE94-A6FA-4038-8F6D-E5AFE0127E9E}"/>
  <phoneticPr fontId="8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0FAC9-255F-4E19-A0CC-3505B55BB581}">
  <sheetPr filterMode="1"/>
  <dimension ref="D1:D86"/>
  <sheetViews>
    <sheetView workbookViewId="0">
      <selection activeCell="B10" activeCellId="1" sqref="B8:D8 B10:D10"/>
    </sheetView>
  </sheetViews>
  <sheetFormatPr defaultRowHeight="13.8"/>
  <cols>
    <col min="4" max="4" width="17.21875" customWidth="1"/>
  </cols>
  <sheetData>
    <row r="1" spans="4:4" ht="14.4" thickBot="1"/>
    <row r="2" spans="4:4">
      <c r="D2" s="190" t="s">
        <v>155</v>
      </c>
    </row>
    <row r="3" spans="4:4" hidden="1">
      <c r="D3" s="199" t="s">
        <v>207</v>
      </c>
    </row>
    <row r="4" spans="4:4" hidden="1">
      <c r="D4" s="199" t="s">
        <v>210</v>
      </c>
    </row>
    <row r="5" spans="4:4" hidden="1">
      <c r="D5" s="199" t="s">
        <v>220</v>
      </c>
    </row>
    <row r="6" spans="4:4" hidden="1">
      <c r="D6" s="199" t="s">
        <v>222</v>
      </c>
    </row>
    <row r="7" spans="4:4" hidden="1">
      <c r="D7" s="199" t="s">
        <v>225</v>
      </c>
    </row>
    <row r="8" spans="4:4" hidden="1">
      <c r="D8" s="199" t="s">
        <v>227</v>
      </c>
    </row>
    <row r="9" spans="4:4" hidden="1">
      <c r="D9" s="199" t="s">
        <v>229</v>
      </c>
    </row>
    <row r="10" spans="4:4" hidden="1">
      <c r="D10" s="199" t="s">
        <v>231</v>
      </c>
    </row>
    <row r="11" spans="4:4">
      <c r="D11" s="10" t="s">
        <v>237</v>
      </c>
    </row>
    <row r="12" spans="4:4">
      <c r="D12" s="10" t="s">
        <v>241</v>
      </c>
    </row>
    <row r="13" spans="4:4">
      <c r="D13" s="10" t="s">
        <v>253</v>
      </c>
    </row>
    <row r="14" spans="4:4">
      <c r="D14" s="10" t="s">
        <v>256</v>
      </c>
    </row>
    <row r="15" spans="4:4">
      <c r="D15" s="10" t="s">
        <v>259</v>
      </c>
    </row>
    <row r="16" spans="4:4">
      <c r="D16" s="10" t="s">
        <v>262</v>
      </c>
    </row>
    <row r="17" spans="4:4">
      <c r="D17" s="10" t="s">
        <v>265</v>
      </c>
    </row>
    <row r="18" spans="4:4">
      <c r="D18" t="s">
        <v>270</v>
      </c>
    </row>
    <row r="19" spans="4:4">
      <c r="D19" t="s">
        <v>279</v>
      </c>
    </row>
    <row r="20" spans="4:4" hidden="1"/>
    <row r="21" spans="4:4" hidden="1">
      <c r="D21" t="s">
        <v>293</v>
      </c>
    </row>
    <row r="22" spans="4:4" hidden="1">
      <c r="D22" t="s">
        <v>296</v>
      </c>
    </row>
    <row r="23" spans="4:4" hidden="1">
      <c r="D23" t="s">
        <v>303</v>
      </c>
    </row>
    <row r="24" spans="4:4" hidden="1">
      <c r="D24" t="s">
        <v>313</v>
      </c>
    </row>
    <row r="25" spans="4:4" hidden="1">
      <c r="D25" t="s">
        <v>316</v>
      </c>
    </row>
    <row r="26" spans="4:4" hidden="1">
      <c r="D26" t="s">
        <v>319</v>
      </c>
    </row>
    <row r="27" spans="4:4" hidden="1">
      <c r="D27" t="s">
        <v>330</v>
      </c>
    </row>
    <row r="28" spans="4:4" hidden="1">
      <c r="D28" t="s">
        <v>332</v>
      </c>
    </row>
    <row r="29" spans="4:4" hidden="1">
      <c r="D29" t="s">
        <v>335</v>
      </c>
    </row>
    <row r="30" spans="4:4" hidden="1">
      <c r="D30" t="s">
        <v>340</v>
      </c>
    </row>
    <row r="31" spans="4:4" hidden="1">
      <c r="D31" t="s">
        <v>352</v>
      </c>
    </row>
    <row r="32" spans="4:4" hidden="1">
      <c r="D32" t="s">
        <v>360</v>
      </c>
    </row>
    <row r="33" spans="4:4" hidden="1">
      <c r="D33" t="s">
        <v>372</v>
      </c>
    </row>
    <row r="34" spans="4:4" hidden="1">
      <c r="D34" t="s">
        <v>382</v>
      </c>
    </row>
    <row r="35" spans="4:4" hidden="1">
      <c r="D35" t="s">
        <v>387</v>
      </c>
    </row>
    <row r="36" spans="4:4" hidden="1">
      <c r="D36" t="s">
        <v>390</v>
      </c>
    </row>
    <row r="37" spans="4:4" hidden="1"/>
    <row r="38" spans="4:4">
      <c r="D38" t="s">
        <v>423</v>
      </c>
    </row>
    <row r="39" spans="4:4">
      <c r="D39" t="s">
        <v>434</v>
      </c>
    </row>
    <row r="40" spans="4:4">
      <c r="D40" t="s">
        <v>437</v>
      </c>
    </row>
    <row r="41" spans="4:4">
      <c r="D41" t="s">
        <v>442</v>
      </c>
    </row>
    <row r="42" spans="4:4">
      <c r="D42" t="s">
        <v>445</v>
      </c>
    </row>
    <row r="43" spans="4:4">
      <c r="D43" t="s">
        <v>449</v>
      </c>
    </row>
    <row r="44" spans="4:4">
      <c r="D44" t="s">
        <v>454</v>
      </c>
    </row>
    <row r="45" spans="4:4" hidden="1">
      <c r="D45" t="s">
        <v>466</v>
      </c>
    </row>
    <row r="46" spans="4:4">
      <c r="D46" t="s">
        <v>509</v>
      </c>
    </row>
    <row r="47" spans="4:4" hidden="1">
      <c r="D47" t="s">
        <v>513</v>
      </c>
    </row>
    <row r="48" spans="4:4" hidden="1">
      <c r="D48" t="s">
        <v>519</v>
      </c>
    </row>
    <row r="49" spans="4:4">
      <c r="D49" t="s">
        <v>526</v>
      </c>
    </row>
    <row r="50" spans="4:4" hidden="1">
      <c r="D50" t="s">
        <v>529</v>
      </c>
    </row>
    <row r="51" spans="4:4" hidden="1">
      <c r="D51" t="s">
        <v>532</v>
      </c>
    </row>
    <row r="52" spans="4:4">
      <c r="D52" t="s">
        <v>536</v>
      </c>
    </row>
    <row r="53" spans="4:4" hidden="1">
      <c r="D53" t="s">
        <v>539</v>
      </c>
    </row>
    <row r="54" spans="4:4" hidden="1">
      <c r="D54" t="s">
        <v>541</v>
      </c>
    </row>
    <row r="55" spans="4:4" hidden="1">
      <c r="D55" t="s">
        <v>549</v>
      </c>
    </row>
    <row r="56" spans="4:4" hidden="1">
      <c r="D56" t="s">
        <v>559</v>
      </c>
    </row>
    <row r="57" spans="4:4" hidden="1">
      <c r="D57" t="s">
        <v>563</v>
      </c>
    </row>
    <row r="58" spans="4:4" hidden="1">
      <c r="D58" t="s">
        <v>566</v>
      </c>
    </row>
    <row r="59" spans="4:4" hidden="1">
      <c r="D59" t="s">
        <v>569</v>
      </c>
    </row>
    <row r="60" spans="4:4" hidden="1">
      <c r="D60" t="s">
        <v>578</v>
      </c>
    </row>
    <row r="61" spans="4:4">
      <c r="D61" t="s">
        <v>583</v>
      </c>
    </row>
    <row r="62" spans="4:4">
      <c r="D62" t="s">
        <v>586</v>
      </c>
    </row>
    <row r="63" spans="4:4" hidden="1">
      <c r="D63" t="s">
        <v>589</v>
      </c>
    </row>
    <row r="64" spans="4:4" hidden="1">
      <c r="D64" t="s">
        <v>591</v>
      </c>
    </row>
    <row r="65" spans="4:4" hidden="1">
      <c r="D65" t="s">
        <v>598</v>
      </c>
    </row>
    <row r="66" spans="4:4" hidden="1">
      <c r="D66" t="s">
        <v>608</v>
      </c>
    </row>
    <row r="67" spans="4:4" hidden="1">
      <c r="D67" t="s">
        <v>612</v>
      </c>
    </row>
    <row r="68" spans="4:4" hidden="1">
      <c r="D68" t="s">
        <v>617</v>
      </c>
    </row>
    <row r="69" spans="4:4" hidden="1">
      <c r="D69" t="s">
        <v>620</v>
      </c>
    </row>
    <row r="70" spans="4:4" hidden="1">
      <c r="D70" t="s">
        <v>623</v>
      </c>
    </row>
    <row r="71" spans="4:4" hidden="1">
      <c r="D71" t="s">
        <v>640</v>
      </c>
    </row>
    <row r="72" spans="4:4" hidden="1">
      <c r="D72" t="s">
        <v>645</v>
      </c>
    </row>
    <row r="73" spans="4:4" hidden="1">
      <c r="D73" t="s">
        <v>649</v>
      </c>
    </row>
    <row r="74" spans="4:4" hidden="1">
      <c r="D74" t="s">
        <v>654</v>
      </c>
    </row>
    <row r="75" spans="4:4" hidden="1">
      <c r="D75" t="s">
        <v>657</v>
      </c>
    </row>
    <row r="76" spans="4:4" hidden="1">
      <c r="D76" t="s">
        <v>660</v>
      </c>
    </row>
    <row r="77" spans="4:4" hidden="1">
      <c r="D77" t="s">
        <v>663</v>
      </c>
    </row>
    <row r="78" spans="4:4" hidden="1">
      <c r="D78" t="s">
        <v>666</v>
      </c>
    </row>
    <row r="79" spans="4:4" hidden="1">
      <c r="D79" t="s">
        <v>679</v>
      </c>
    </row>
    <row r="80" spans="4:4" hidden="1">
      <c r="D80" t="s">
        <v>685</v>
      </c>
    </row>
    <row r="81" spans="4:4">
      <c r="D81" t="s">
        <v>689</v>
      </c>
    </row>
    <row r="82" spans="4:4" hidden="1">
      <c r="D82" t="s">
        <v>695</v>
      </c>
    </row>
    <row r="83" spans="4:4" hidden="1">
      <c r="D83" t="s">
        <v>716</v>
      </c>
    </row>
    <row r="84" spans="4:4">
      <c r="D84" t="s">
        <v>725</v>
      </c>
    </row>
    <row r="85" spans="4:4" hidden="1">
      <c r="D85" t="s">
        <v>727</v>
      </c>
    </row>
    <row r="86" spans="4:4" hidden="1">
      <c r="D86" t="s">
        <v>729</v>
      </c>
    </row>
  </sheetData>
  <autoFilter ref="D2:D86" xr:uid="{BEB0FAC9-255F-4E19-A0CC-3505B55BB581}">
    <filterColumn colId="0">
      <filters>
        <filter val="XER-CSO-OTH-02"/>
        <filter val="XER-CSO-OTH-99"/>
        <filter val="XER-INO-IN1-21"/>
        <filter val="XER-KA-KA1-52"/>
        <filter val="XER-KA-KA1-99"/>
        <filter val="XER-KA-KA2-99"/>
        <filter val="XER-MA-MA1-01"/>
        <filter val="XER-MA-MA1-02"/>
        <filter val="XER-MA-MA1-03"/>
        <filter val="XER-MA-MA1-31"/>
        <filter val="XER-MA-MA1-34"/>
        <filter val="XER-MA-MA1-35"/>
        <filter val="XER-MA-MA1-99"/>
        <filter val="XER-MKT-XS1-01"/>
        <filter val="XER-MKT-XS1-02"/>
        <filter val="XER-MKT-XS1-03"/>
        <filter val="XER-MKT-XS1-99"/>
        <filter val="XER-MKT-XS2-01"/>
        <filter val="XER-MKT-XS2-02"/>
        <filter val="XER-MKT-XS2-04"/>
        <filter val="XER-MKT-XS3-01"/>
        <filter val="XER-MKT-XS3-02"/>
        <filter val="XER-STR-OTH-99"/>
      </filters>
    </filterColumn>
  </autoFilter>
  <phoneticPr fontId="8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271BE-13A3-42B4-BA9E-4CA73E2DF14C}">
  <sheetPr>
    <tabColor rgb="FF92D050"/>
  </sheetPr>
  <dimension ref="C3:J15"/>
  <sheetViews>
    <sheetView workbookViewId="0">
      <selection activeCell="B10" activeCellId="1" sqref="B8:D8 B10:D10"/>
    </sheetView>
  </sheetViews>
  <sheetFormatPr defaultRowHeight="13.8"/>
  <sheetData>
    <row r="3" spans="3:10" ht="14.4" thickBot="1"/>
    <row r="4" spans="3:10" ht="13.95" customHeight="1">
      <c r="C4" s="168"/>
      <c r="D4" s="945">
        <v>2025</v>
      </c>
      <c r="E4" s="946"/>
      <c r="F4" s="947"/>
      <c r="G4" s="948">
        <v>2026</v>
      </c>
      <c r="H4" s="949"/>
      <c r="I4" s="950"/>
    </row>
    <row r="5" spans="3:10">
      <c r="C5" s="169" t="s">
        <v>99</v>
      </c>
      <c r="D5" s="173" t="s">
        <v>98</v>
      </c>
      <c r="E5" s="174" t="s">
        <v>93</v>
      </c>
      <c r="F5" s="175" t="s">
        <v>94</v>
      </c>
      <c r="G5" s="176" t="s">
        <v>98</v>
      </c>
      <c r="H5" s="174" t="s">
        <v>93</v>
      </c>
      <c r="I5" s="175" t="s">
        <v>94</v>
      </c>
    </row>
    <row r="6" spans="3:10">
      <c r="C6" s="169" t="s">
        <v>95</v>
      </c>
      <c r="D6" s="164"/>
      <c r="E6" s="161">
        <v>27</v>
      </c>
      <c r="F6" s="163">
        <v>127</v>
      </c>
      <c r="G6" s="171"/>
      <c r="H6" s="161">
        <v>27</v>
      </c>
      <c r="I6" s="163">
        <v>127</v>
      </c>
    </row>
    <row r="7" spans="3:10" ht="14.4" thickBot="1">
      <c r="C7" s="170" t="s">
        <v>96</v>
      </c>
      <c r="D7" s="165">
        <v>10</v>
      </c>
      <c r="E7" s="166">
        <v>29</v>
      </c>
      <c r="F7" s="167">
        <v>191</v>
      </c>
      <c r="G7" s="172">
        <v>10</v>
      </c>
      <c r="H7" s="166">
        <v>38</v>
      </c>
      <c r="I7" s="167">
        <v>251</v>
      </c>
    </row>
    <row r="11" spans="3:10">
      <c r="C11" s="186"/>
      <c r="D11" s="186"/>
      <c r="E11" s="186"/>
      <c r="F11" s="186"/>
      <c r="G11" s="186"/>
      <c r="H11" s="186"/>
      <c r="I11" s="186"/>
      <c r="J11" s="186"/>
    </row>
    <row r="12" spans="3:10">
      <c r="C12" s="186"/>
      <c r="D12" s="186"/>
      <c r="E12" s="186" t="s">
        <v>122</v>
      </c>
      <c r="F12" s="186" t="s">
        <v>123</v>
      </c>
      <c r="G12" s="186"/>
      <c r="H12" s="186" t="s">
        <v>85</v>
      </c>
      <c r="I12" s="186" t="s">
        <v>124</v>
      </c>
      <c r="J12" s="187" t="s">
        <v>125</v>
      </c>
    </row>
    <row r="13" spans="3:10">
      <c r="C13" s="186" t="s">
        <v>120</v>
      </c>
      <c r="D13" s="186" t="s">
        <v>0</v>
      </c>
      <c r="E13" s="186">
        <v>2</v>
      </c>
      <c r="F13" s="186">
        <v>5</v>
      </c>
      <c r="G13" s="186"/>
      <c r="H13" s="186">
        <v>1</v>
      </c>
      <c r="I13" s="186">
        <v>1</v>
      </c>
      <c r="J13" s="186">
        <v>1.5</v>
      </c>
    </row>
    <row r="14" spans="3:10">
      <c r="C14" s="186"/>
      <c r="D14" s="186" t="s">
        <v>121</v>
      </c>
      <c r="E14" s="186">
        <v>2</v>
      </c>
      <c r="F14" s="186">
        <v>20</v>
      </c>
      <c r="G14" s="186"/>
      <c r="H14" s="186">
        <v>2</v>
      </c>
      <c r="I14" s="186"/>
      <c r="J14" s="186">
        <v>2</v>
      </c>
    </row>
    <row r="15" spans="3:10">
      <c r="C15" s="186"/>
      <c r="D15" s="186"/>
      <c r="E15" s="186"/>
      <c r="F15" s="186"/>
      <c r="G15" s="186"/>
      <c r="H15" s="186"/>
      <c r="I15" s="186"/>
      <c r="J15" s="186"/>
    </row>
  </sheetData>
  <mergeCells count="2">
    <mergeCell ref="D4:F4"/>
    <mergeCell ref="G4:I4"/>
  </mergeCells>
  <phoneticPr fontId="8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84B72-669C-45E3-B00C-A73BEABADCA8}">
  <dimension ref="B6:C20"/>
  <sheetViews>
    <sheetView workbookViewId="0">
      <selection activeCell="B10" activeCellId="1" sqref="B8:D8 B10:D10"/>
    </sheetView>
  </sheetViews>
  <sheetFormatPr defaultRowHeight="13.8"/>
  <cols>
    <col min="2" max="2" width="25.109375" customWidth="1"/>
    <col min="3" max="3" width="20.109375" customWidth="1"/>
  </cols>
  <sheetData>
    <row r="6" spans="2:3">
      <c r="B6" t="s">
        <v>1</v>
      </c>
    </row>
    <row r="7" spans="2:3" ht="15.6">
      <c r="B7" t="s">
        <v>65</v>
      </c>
      <c r="C7" s="134">
        <v>106898259.98</v>
      </c>
    </row>
    <row r="8" spans="2:3">
      <c r="B8" t="s">
        <v>66</v>
      </c>
      <c r="C8" s="7">
        <f>C7/222</f>
        <v>481523.69360360363</v>
      </c>
    </row>
    <row r="9" spans="2:3">
      <c r="B9" t="s">
        <v>67</v>
      </c>
      <c r="C9">
        <f>250-222</f>
        <v>28</v>
      </c>
    </row>
    <row r="10" spans="2:3">
      <c r="B10" t="s">
        <v>68</v>
      </c>
      <c r="C10" s="1">
        <f>C9*C8</f>
        <v>13482663.420900902</v>
      </c>
    </row>
    <row r="12" spans="2:3">
      <c r="B12" t="s">
        <v>69</v>
      </c>
      <c r="C12">
        <v>35</v>
      </c>
    </row>
    <row r="13" spans="2:3">
      <c r="B13" t="s">
        <v>73</v>
      </c>
      <c r="C13" s="135">
        <v>29599874.98</v>
      </c>
    </row>
    <row r="14" spans="2:3">
      <c r="B14" t="s">
        <v>74</v>
      </c>
      <c r="C14" s="135">
        <f>C13/C12</f>
        <v>845710.71371428575</v>
      </c>
    </row>
    <row r="15" spans="2:3">
      <c r="B15" t="s">
        <v>70</v>
      </c>
      <c r="C15">
        <v>222</v>
      </c>
    </row>
    <row r="16" spans="2:3">
      <c r="B16" t="s">
        <v>71</v>
      </c>
      <c r="C16">
        <f>C15/C12</f>
        <v>6.3428571428571425</v>
      </c>
    </row>
    <row r="17" spans="2:3">
      <c r="B17" t="s">
        <v>72</v>
      </c>
      <c r="C17">
        <f>ROUNDDOWN(C9/C16,0)</f>
        <v>4</v>
      </c>
    </row>
    <row r="18" spans="2:3">
      <c r="B18" t="s">
        <v>68</v>
      </c>
      <c r="C18">
        <f>C17*C14</f>
        <v>3382842.854857143</v>
      </c>
    </row>
    <row r="20" spans="2:3">
      <c r="B20" t="s">
        <v>75</v>
      </c>
      <c r="C20" s="6">
        <f>(C18+C10)/10^6</f>
        <v>16.865506275758044</v>
      </c>
    </row>
  </sheetData>
  <phoneticPr fontId="8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828F1-BFDB-4CF7-BA12-55A51AD8EA78}">
  <dimension ref="C2:N21"/>
  <sheetViews>
    <sheetView workbookViewId="0">
      <selection activeCell="B10" activeCellId="1" sqref="B8:D8 B10:D10"/>
    </sheetView>
  </sheetViews>
  <sheetFormatPr defaultRowHeight="13.8"/>
  <cols>
    <col min="3" max="3" width="14.109375" bestFit="1" customWidth="1"/>
  </cols>
  <sheetData>
    <row r="2" spans="3:14" ht="14.4" thickBot="1"/>
    <row r="3" spans="3:14">
      <c r="C3" s="20" t="s">
        <v>42</v>
      </c>
      <c r="D3" s="21">
        <v>2025</v>
      </c>
      <c r="E3" s="21">
        <v>2026</v>
      </c>
      <c r="F3" s="22" t="s">
        <v>36</v>
      </c>
      <c r="G3" s="34" t="s">
        <v>38</v>
      </c>
      <c r="H3" s="20" t="s">
        <v>43</v>
      </c>
      <c r="I3" s="23" t="s">
        <v>44</v>
      </c>
      <c r="J3" s="4"/>
      <c r="L3">
        <v>2026</v>
      </c>
      <c r="M3" t="s">
        <v>30</v>
      </c>
      <c r="N3" t="s">
        <v>31</v>
      </c>
    </row>
    <row r="4" spans="3:14">
      <c r="C4" s="15" t="s">
        <v>4</v>
      </c>
      <c r="D4" s="11"/>
      <c r="E4" s="40">
        <v>104</v>
      </c>
      <c r="F4" s="11">
        <f>E4-D4</f>
        <v>104</v>
      </c>
      <c r="G4" s="35" t="str">
        <f>IFERROR(F4/D4,"")</f>
        <v/>
      </c>
      <c r="H4" s="15"/>
      <c r="I4" s="37"/>
      <c r="K4" t="s">
        <v>29</v>
      </c>
      <c r="L4">
        <v>4.42</v>
      </c>
      <c r="M4" s="8">
        <v>0.7</v>
      </c>
      <c r="N4">
        <f>M4*L4</f>
        <v>3.0939999999999999</v>
      </c>
    </row>
    <row r="5" spans="3:14">
      <c r="C5" s="15"/>
      <c r="D5" s="11"/>
      <c r="E5" s="11"/>
      <c r="F5" s="11"/>
      <c r="G5" s="35"/>
      <c r="H5" s="15"/>
      <c r="I5" s="37"/>
      <c r="M5" s="8"/>
    </row>
    <row r="6" spans="3:14">
      <c r="C6" s="15" t="s">
        <v>27</v>
      </c>
      <c r="D6" s="11"/>
      <c r="E6" s="11">
        <v>54</v>
      </c>
      <c r="F6" s="11">
        <f t="shared" ref="F6:F11" si="0">E6-D6</f>
        <v>54</v>
      </c>
      <c r="G6" s="35" t="str">
        <f t="shared" ref="G6:G11" si="1">IFERROR(F6/D6,"")</f>
        <v/>
      </c>
      <c r="H6" s="15"/>
      <c r="I6" s="37"/>
      <c r="K6" t="s">
        <v>32</v>
      </c>
      <c r="L6">
        <v>0.84</v>
      </c>
      <c r="M6" s="8">
        <v>0.7</v>
      </c>
      <c r="N6">
        <f>M6*L6</f>
        <v>0.58799999999999997</v>
      </c>
    </row>
    <row r="7" spans="3:14">
      <c r="C7" s="15" t="s">
        <v>2</v>
      </c>
      <c r="D7" s="11"/>
      <c r="E7" s="11">
        <v>14.62</v>
      </c>
      <c r="F7" s="11">
        <f t="shared" si="0"/>
        <v>14.62</v>
      </c>
      <c r="G7" s="35" t="str">
        <f t="shared" si="1"/>
        <v/>
      </c>
      <c r="H7" s="15"/>
      <c r="I7" s="37"/>
      <c r="K7" t="s">
        <v>33</v>
      </c>
      <c r="L7">
        <v>5.81</v>
      </c>
      <c r="M7" s="8">
        <v>0.7</v>
      </c>
      <c r="N7">
        <f>M7*L7</f>
        <v>4.0669999999999993</v>
      </c>
    </row>
    <row r="8" spans="3:14">
      <c r="C8" s="15" t="s">
        <v>0</v>
      </c>
      <c r="D8" s="11"/>
      <c r="E8" s="11">
        <v>18</v>
      </c>
      <c r="F8" s="11">
        <f t="shared" si="0"/>
        <v>18</v>
      </c>
      <c r="G8" s="35" t="str">
        <f t="shared" si="1"/>
        <v/>
      </c>
      <c r="H8" s="15"/>
      <c r="I8" s="37"/>
      <c r="K8" t="s">
        <v>34</v>
      </c>
      <c r="L8">
        <v>1.9139999999999999</v>
      </c>
      <c r="M8" s="8">
        <v>0.7</v>
      </c>
      <c r="N8">
        <f>M8*L8</f>
        <v>1.3397999999999999</v>
      </c>
    </row>
    <row r="9" spans="3:14">
      <c r="C9" s="15" t="s">
        <v>28</v>
      </c>
      <c r="D9" s="11"/>
      <c r="E9" s="11"/>
      <c r="F9" s="11">
        <f t="shared" si="0"/>
        <v>0</v>
      </c>
      <c r="G9" s="35" t="str">
        <f t="shared" si="1"/>
        <v/>
      </c>
      <c r="H9" s="15"/>
      <c r="I9" s="37"/>
    </row>
    <row r="10" spans="3:14">
      <c r="C10" s="15" t="s">
        <v>3</v>
      </c>
      <c r="D10" s="11"/>
      <c r="E10" s="11">
        <v>0.3</v>
      </c>
      <c r="F10" s="11">
        <f t="shared" si="0"/>
        <v>0.3</v>
      </c>
      <c r="G10" s="35" t="str">
        <f t="shared" si="1"/>
        <v/>
      </c>
      <c r="H10" s="15"/>
      <c r="I10" s="37"/>
    </row>
    <row r="11" spans="3:14" ht="14.4" thickBot="1">
      <c r="C11" s="17" t="s">
        <v>39</v>
      </c>
      <c r="D11" s="18">
        <f>SUM(D4:D10)</f>
        <v>0</v>
      </c>
      <c r="E11" s="18">
        <f>SUM(E4:E10)</f>
        <v>190.92000000000002</v>
      </c>
      <c r="F11" s="18">
        <f t="shared" si="0"/>
        <v>190.92000000000002</v>
      </c>
      <c r="G11" s="36" t="str">
        <f t="shared" si="1"/>
        <v/>
      </c>
      <c r="H11" s="38"/>
      <c r="I11" s="39"/>
    </row>
    <row r="12" spans="3:14" ht="14.4" thickBot="1">
      <c r="E12" s="3"/>
    </row>
    <row r="13" spans="3:14" ht="15" customHeight="1" thickBot="1">
      <c r="C13" s="29" t="s">
        <v>26</v>
      </c>
      <c r="D13" s="30"/>
      <c r="E13" s="31">
        <v>80</v>
      </c>
      <c r="F13" s="32">
        <f>E13-D13</f>
        <v>80</v>
      </c>
      <c r="G13" s="33" t="str">
        <f>IFERROR(F13/D13,"")</f>
        <v/>
      </c>
    </row>
    <row r="14" spans="3:14" ht="15" customHeight="1" thickBot="1">
      <c r="E14" s="3"/>
    </row>
    <row r="15" spans="3:14">
      <c r="C15" s="14" t="s">
        <v>41</v>
      </c>
      <c r="D15" s="24">
        <v>1.68</v>
      </c>
      <c r="E15" s="25">
        <v>3.0939999999999999</v>
      </c>
      <c r="F15" s="26">
        <f t="shared" ref="F15:F19" si="2">E15-D15</f>
        <v>1.4139999999999999</v>
      </c>
      <c r="G15" s="27">
        <f t="shared" ref="G15:G19" si="3">IFERROR(F15/D15,"")</f>
        <v>0.84166666666666667</v>
      </c>
    </row>
    <row r="16" spans="3:14">
      <c r="C16" s="15" t="s">
        <v>32</v>
      </c>
      <c r="D16" s="10">
        <v>0.47</v>
      </c>
      <c r="E16" s="11">
        <v>0.58799999999999997</v>
      </c>
      <c r="F16" s="12">
        <f t="shared" si="2"/>
        <v>0.11799999999999999</v>
      </c>
      <c r="G16" s="16">
        <f t="shared" si="3"/>
        <v>0.25106382978723402</v>
      </c>
    </row>
    <row r="17" spans="3:7">
      <c r="C17" s="15" t="s">
        <v>33</v>
      </c>
      <c r="D17" s="10">
        <v>2.5</v>
      </c>
      <c r="E17" s="11">
        <v>4.0669999999999993</v>
      </c>
      <c r="F17" s="12">
        <f t="shared" si="2"/>
        <v>1.5669999999999993</v>
      </c>
      <c r="G17" s="16">
        <f t="shared" si="3"/>
        <v>0.62679999999999969</v>
      </c>
    </row>
    <row r="18" spans="3:7">
      <c r="C18" s="15" t="s">
        <v>34</v>
      </c>
      <c r="D18" s="10">
        <v>1.68</v>
      </c>
      <c r="E18" s="11">
        <v>1.3397999999999999</v>
      </c>
      <c r="F18" s="12">
        <f t="shared" si="2"/>
        <v>-0.34020000000000006</v>
      </c>
      <c r="G18" s="16">
        <f t="shared" si="3"/>
        <v>-0.20250000000000004</v>
      </c>
    </row>
    <row r="19" spans="3:7" ht="14.4" thickBot="1">
      <c r="C19" s="17" t="s">
        <v>40</v>
      </c>
      <c r="D19" s="28">
        <f>SUM(D15:D18)</f>
        <v>6.33</v>
      </c>
      <c r="E19" s="28">
        <f>SUM(E15:E18)</f>
        <v>9.0887999999999991</v>
      </c>
      <c r="F19" s="18">
        <f t="shared" si="2"/>
        <v>2.758799999999999</v>
      </c>
      <c r="G19" s="19">
        <f t="shared" si="3"/>
        <v>0.43582938388625575</v>
      </c>
    </row>
    <row r="20" spans="3:7" ht="14.4" thickBot="1">
      <c r="E20" s="3"/>
    </row>
    <row r="21" spans="3:7" ht="14.4" thickBot="1">
      <c r="C21" s="29" t="s">
        <v>35</v>
      </c>
      <c r="D21" s="31">
        <f>SUM(D11,D13,D19)</f>
        <v>6.33</v>
      </c>
      <c r="E21" s="31">
        <f>SUM(E11,E13,E19)</f>
        <v>280.00880000000001</v>
      </c>
      <c r="F21" s="32">
        <f t="shared" ref="F21" si="4">E21-D21</f>
        <v>273.67880000000002</v>
      </c>
      <c r="G21" s="33">
        <f t="shared" ref="G21" si="5">IFERROR(F21/D21,"")</f>
        <v>43.235197472353875</v>
      </c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0"/>
  <sheetViews>
    <sheetView workbookViewId="0">
      <selection activeCell="B10" activeCellId="1" sqref="B8:D8 B10:D10"/>
    </sheetView>
  </sheetViews>
  <sheetFormatPr defaultRowHeight="13.8"/>
  <cols>
    <col min="3" max="3" width="9.109375" bestFit="1" customWidth="1"/>
    <col min="4" max="4" width="12.5546875" bestFit="1" customWidth="1"/>
    <col min="5" max="5" width="13.6640625" bestFit="1" customWidth="1"/>
  </cols>
  <sheetData>
    <row r="2" spans="1:5">
      <c r="D2" t="s">
        <v>6</v>
      </c>
    </row>
    <row r="3" spans="1:5">
      <c r="A3" t="s">
        <v>1</v>
      </c>
      <c r="B3" t="s">
        <v>0</v>
      </c>
      <c r="C3">
        <v>49000000</v>
      </c>
      <c r="D3" s="1">
        <v>4912</v>
      </c>
      <c r="E3" s="7">
        <f>D3*10000/10^6</f>
        <v>49.12</v>
      </c>
    </row>
    <row r="4" spans="1:5">
      <c r="B4" t="s">
        <v>2</v>
      </c>
      <c r="C4">
        <v>35200000</v>
      </c>
      <c r="D4" s="1">
        <v>3520</v>
      </c>
      <c r="E4" s="7">
        <f>D4*10000/10^6</f>
        <v>35.200000000000003</v>
      </c>
    </row>
    <row r="5" spans="1:5">
      <c r="B5" t="s">
        <v>3</v>
      </c>
      <c r="D5" s="1">
        <v>3300</v>
      </c>
      <c r="E5" s="7">
        <f>D5*10000/10^6</f>
        <v>33</v>
      </c>
    </row>
    <row r="6" spans="1:5">
      <c r="B6" t="s">
        <v>4</v>
      </c>
      <c r="D6" s="1">
        <v>19010</v>
      </c>
      <c r="E6" s="7">
        <f>D6*10000/10^6</f>
        <v>190.1</v>
      </c>
    </row>
    <row r="8" spans="1:5">
      <c r="B8" t="s">
        <v>5</v>
      </c>
      <c r="D8" s="1">
        <v>420000</v>
      </c>
      <c r="E8" s="6">
        <f>D8*3950</f>
        <v>1659000000</v>
      </c>
    </row>
    <row r="10" spans="1:5">
      <c r="B10" t="s">
        <v>7</v>
      </c>
      <c r="D10" s="1">
        <v>600000</v>
      </c>
    </row>
  </sheetData>
  <phoneticPr fontId="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FD0DDD6DFC1145A05C29F03A5EE56C" ma:contentTypeVersion="19" ma:contentTypeDescription="Create a new document." ma:contentTypeScope="" ma:versionID="e92ec80c0228f2ae0a167edf3fdd05fe">
  <xsd:schema xmlns:xsd="http://www.w3.org/2001/XMLSchema" xmlns:xs="http://www.w3.org/2001/XMLSchema" xmlns:p="http://schemas.microsoft.com/office/2006/metadata/properties" xmlns:ns2="a6473529-9843-49f2-88d6-fc3f0d05cb76" xmlns:ns3="4a6f4aed-62ac-4e3f-a5b0-e9a66c803615" targetNamespace="http://schemas.microsoft.com/office/2006/metadata/properties" ma:root="true" ma:fieldsID="7258a55953895de73cbdab4042f7a15c" ns2:_="" ns3:_="">
    <xsd:import namespace="a6473529-9843-49f2-88d6-fc3f0d05cb76"/>
    <xsd:import namespace="4a6f4aed-62ac-4e3f-a5b0-e9a66c8036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473529-9843-49f2-88d6-fc3f0d05cb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b1e4b5f-5e8f-45fc-89cd-8d6be45f4e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6f4aed-62ac-4e3f-a5b0-e9a66c8036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e9834be-79e8-49e1-87b4-cda3b1e6b17c}" ma:internalName="TaxCatchAll" ma:showField="CatchAllData" ma:web="4a6f4aed-62ac-4e3f-a5b0-e9a66c8036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6f4aed-62ac-4e3f-a5b0-e9a66c803615" xsi:nil="true"/>
    <lcf76f155ced4ddcb4097134ff3c332f xmlns="a6473529-9843-49f2-88d6-fc3f0d05cb7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EBF41C-5A03-4873-8EF4-E6FA23F3FA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473529-9843-49f2-88d6-fc3f0d05cb76"/>
    <ds:schemaRef ds:uri="4a6f4aed-62ac-4e3f-a5b0-e9a66c8036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21A7A0-B8D8-40C2-8274-E6C25D38DCFC}">
  <ds:schemaRefs>
    <ds:schemaRef ds:uri="http://schemas.microsoft.com/office/2006/metadata/properties"/>
    <ds:schemaRef ds:uri="http://schemas.microsoft.com/office/infopath/2007/PartnerControls"/>
    <ds:schemaRef ds:uri="4a6f4aed-62ac-4e3f-a5b0-e9a66c803615"/>
    <ds:schemaRef ds:uri="a6473529-9843-49f2-88d6-fc3f0d05cb76"/>
  </ds:schemaRefs>
</ds:datastoreItem>
</file>

<file path=customXml/itemProps3.xml><?xml version="1.0" encoding="utf-8"?>
<ds:datastoreItem xmlns:ds="http://schemas.openxmlformats.org/officeDocument/2006/customXml" ds:itemID="{FFBA1509-4EC0-4B54-942E-CFADA13DC64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T&amp;E_</vt:lpstr>
      <vt:lpstr>Sales HC by Dept &amp; T&amp;E Segment</vt:lpstr>
      <vt:lpstr>Velsipity Sales - 费用 Phasing</vt:lpstr>
      <vt:lpstr>Sales T&amp;E &amp; 科室会WP</vt:lpstr>
      <vt:lpstr>1. Velsipity Summary</vt:lpstr>
      <vt:lpstr>3. HC &amp; T&amp;E Calculation</vt:lpstr>
      <vt:lpstr>To-MKT Phasing-Mainland</vt:lpstr>
      <vt:lpstr>IN-MKT WP</vt:lpstr>
      <vt:lpstr>Nef CSO Target Draft</vt:lpstr>
      <vt:lpstr>S&amp;OP Template (2)</vt:lpstr>
      <vt:lpstr>S&amp;OP Template</vt:lpstr>
      <vt:lpstr>Brand P&amp;L-In-MKT</vt:lpstr>
      <vt:lpstr>Brand P&amp;L-To-MKT</vt:lpstr>
      <vt:lpstr>Sheet7</vt:lpstr>
      <vt:lpstr>Royalty&amp;Milestone</vt:lpstr>
      <vt:lpstr>Royalty &amp; Milestone Ref</vt:lpstr>
      <vt:lpstr>Nefecon A&amp;P</vt:lpstr>
      <vt:lpstr>Xerava A&amp;P</vt:lpstr>
      <vt:lpstr>Etrasimod A&amp;P</vt:lpstr>
      <vt:lpstr>2026 A&amp;P + T&amp;E Consol</vt:lpstr>
      <vt:lpstr>Sheet2</vt:lpstr>
      <vt:lpstr>HC</vt:lpstr>
      <vt:lpstr>Sheet5</vt:lpstr>
      <vt:lpstr>Xerava A&amp;P-Draft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Nicolai Liu 刘森</dc:creator>
  <cp:lastModifiedBy>Jessie Zhang 张婕</cp:lastModifiedBy>
  <cp:lastPrinted>2025-10-24T03:07:09Z</cp:lastPrinted>
  <dcterms:created xsi:type="dcterms:W3CDTF">2015-06-05T18:19:34Z</dcterms:created>
  <dcterms:modified xsi:type="dcterms:W3CDTF">2026-01-26T11:18:27Z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0x010100CCFD0DDD6DFC1145A05C29F03A5EE56C</vt:lpwstr>
  </property>
  <property fmtid="{D5CDD505-2E9C-101B-9397-08002B2CF9AE}" pid="3" name="MediaServiceImageTags">
    <vt:lpwstr/>
  </property>
</Properties>
</file>