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8"/>
  <workbookPr/>
  <mc:AlternateContent xmlns:mc="http://schemas.openxmlformats.org/markup-compatibility/2006">
    <mc:Choice Requires="x15">
      <x15ac:absPath xmlns:x15ac="http://schemas.microsoft.com/office/spreadsheetml/2010/11/ac" url="/Users/ariel/Desktop/"/>
    </mc:Choice>
  </mc:AlternateContent>
  <xr:revisionPtr revIDLastSave="0" documentId="8_{3E5B4E96-674B-8744-BA93-671EB61F2A4B}" xr6:coauthVersionLast="47" xr6:coauthVersionMax="47" xr10:uidLastSave="{00000000-0000-0000-0000-000000000000}"/>
  <bookViews>
    <workbookView xWindow="0" yWindow="680" windowWidth="25600" windowHeight="12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G2" i="1"/>
  <c r="D9" i="1"/>
  <c r="G3" i="1"/>
  <c r="G4" i="1"/>
  <c r="G5" i="1"/>
  <c r="G6" i="1"/>
  <c r="G7" i="1"/>
  <c r="G8" i="1"/>
  <c r="D10" i="1" l="1"/>
</calcChain>
</file>

<file path=xl/sharedStrings.xml><?xml version="1.0" encoding="utf-8"?>
<sst xmlns="http://schemas.openxmlformats.org/spreadsheetml/2006/main" count="24" uniqueCount="24">
  <si>
    <t>需求模块</t>
  </si>
  <si>
    <t>需求描述/解决方案</t>
  </si>
  <si>
    <t>产品/项目管理</t>
  </si>
  <si>
    <t>开发</t>
  </si>
  <si>
    <t>测试</t>
  </si>
  <si>
    <t>序号</t>
    <phoneticPr fontId="5" type="noConversion"/>
  </si>
  <si>
    <t>合规积分卡的框架设计</t>
    <phoneticPr fontId="5" type="noConversion"/>
  </si>
  <si>
    <t>创建合规积分卡框架PDCA的模型</t>
    <phoneticPr fontId="5" type="noConversion"/>
  </si>
  <si>
    <t>行为分类和加分/减分的配置细节</t>
    <phoneticPr fontId="5" type="noConversion"/>
  </si>
  <si>
    <t>针对目前合规和财务等各方面的管控要求，梳理和判断各个Action的加分项 减分项，归类和值</t>
    <phoneticPr fontId="5" type="noConversion"/>
  </si>
  <si>
    <t>个人积分管理</t>
    <phoneticPr fontId="5" type="noConversion"/>
  </si>
  <si>
    <t>结合业务各方面的行为记录，自动计算分值</t>
    <phoneticPr fontId="5" type="noConversion"/>
  </si>
  <si>
    <t>部门积分管理</t>
    <phoneticPr fontId="5" type="noConversion"/>
  </si>
  <si>
    <t>结合部门的情况，判断1个周期里面的业务合规水平是否增长</t>
    <phoneticPr fontId="5" type="noConversion"/>
  </si>
  <si>
    <t>合规积分申诉和变更流程</t>
    <phoneticPr fontId="5" type="noConversion"/>
  </si>
  <si>
    <t>允许业务部门自己申诉，以及合规审批后，手动修改积分，</t>
    <phoneticPr fontId="5" type="noConversion"/>
  </si>
  <si>
    <t>定期的报表统计</t>
    <phoneticPr fontId="5" type="noConversion"/>
  </si>
  <si>
    <t>按月度 季度等维度下拉报表分析</t>
    <phoneticPr fontId="5" type="noConversion"/>
  </si>
  <si>
    <t>合规内容培训和优胜评比</t>
    <phoneticPr fontId="5" type="noConversion"/>
  </si>
  <si>
    <t>针对差的自动要求培训考试；优秀的可以成为合规大使</t>
    <phoneticPr fontId="5" type="noConversion"/>
  </si>
  <si>
    <t>含税总金额 VAT 6%</t>
    <phoneticPr fontId="5" type="noConversion"/>
  </si>
  <si>
    <t>总计人天</t>
    <phoneticPr fontId="5" type="noConversion"/>
  </si>
  <si>
    <t>小计</t>
    <phoneticPr fontId="3" type="noConversion"/>
  </si>
  <si>
    <t>折扣后总金额 VAT 6%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</si>
</sst>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79" formatCode="_(* #,##0_);_(* \(#,##0\);_(* &quot;-&quot;??_);_(@_)"/>
  </numFmts>
  <fonts count="7">
    <font>
      <sz val="11"/>
      <color theme="1"/>
      <name val="宋体"/>
      <charset val="134"/>
      <scheme val="minor"/>
    </font>
    <font>
      <b/>
      <sz val="14"/>
      <color theme="0"/>
      <name val="微软雅黑"/>
      <family val="2"/>
      <charset val="134"/>
    </font>
    <font>
      <sz val="14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9" fontId="2" fillId="0" borderId="2" xfId="1" applyNumberFormat="1" applyFont="1" applyBorder="1" applyAlignment="1">
      <alignment horizontal="center" vertical="center"/>
    </xf>
    <xf numFmtId="179" fontId="2" fillId="0" borderId="3" xfId="1" applyNumberFormat="1" applyFont="1" applyBorder="1" applyAlignment="1">
      <alignment horizontal="center" vertical="center"/>
    </xf>
    <xf numFmtId="179" fontId="2" fillId="0" borderId="4" xfId="1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9" fontId="6" fillId="0" borderId="2" xfId="1" applyNumberFormat="1" applyFont="1" applyBorder="1" applyAlignment="1">
      <alignment horizontal="left" vertical="center" indent="1"/>
    </xf>
    <xf numFmtId="179" fontId="6" fillId="0" borderId="3" xfId="1" applyNumberFormat="1" applyFont="1" applyBorder="1" applyAlignment="1">
      <alignment horizontal="left" vertical="center" indent="1"/>
    </xf>
    <xf numFmtId="179" fontId="6" fillId="0" borderId="4" xfId="1" applyNumberFormat="1" applyFont="1" applyBorder="1" applyAlignment="1">
      <alignment horizontal="left" vertical="center" indent="1"/>
    </xf>
  </cellXfs>
  <cellStyles count="2">
    <cellStyle name="常规" xfId="0" builtinId="0"/>
    <cellStyle name="千位分隔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70" zoomScaleNormal="70" workbookViewId="0">
      <selection activeCell="D12" sqref="D12"/>
    </sheetView>
  </sheetViews>
  <sheetFormatPr baseColWidth="10" defaultColWidth="9" defaultRowHeight="21"/>
  <cols>
    <col min="1" max="1" width="6.6640625" style="3" customWidth="1"/>
    <col min="2" max="2" width="27.5" style="3" customWidth="1"/>
    <col min="3" max="3" width="91.5" style="3" customWidth="1"/>
    <col min="4" max="4" width="18.6640625" style="3" customWidth="1"/>
    <col min="5" max="5" width="22" style="3" customWidth="1"/>
    <col min="6" max="6" width="17.6640625" style="3" customWidth="1"/>
    <col min="7" max="7" width="19" style="3" customWidth="1"/>
    <col min="8" max="8" width="21.6640625" style="3" customWidth="1"/>
    <col min="9" max="16384" width="9" style="3"/>
  </cols>
  <sheetData>
    <row r="1" spans="1:7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</row>
    <row r="2" spans="1:7" ht="22">
      <c r="A2" s="4">
        <v>1</v>
      </c>
      <c r="B2" s="4" t="s">
        <v>6</v>
      </c>
      <c r="C2" s="5" t="s">
        <v>7</v>
      </c>
      <c r="D2" s="4">
        <v>2</v>
      </c>
      <c r="E2" s="4">
        <v>4</v>
      </c>
      <c r="F2" s="4">
        <v>2</v>
      </c>
      <c r="G2" s="2">
        <f>D2+E2+F2</f>
        <v>8</v>
      </c>
    </row>
    <row r="3" spans="1:7" ht="44">
      <c r="A3" s="4">
        <v>2</v>
      </c>
      <c r="B3" s="4" t="s">
        <v>8</v>
      </c>
      <c r="C3" s="5" t="s">
        <v>9</v>
      </c>
      <c r="D3" s="4">
        <v>2</v>
      </c>
      <c r="E3" s="4">
        <v>6</v>
      </c>
      <c r="F3" s="4">
        <v>2</v>
      </c>
      <c r="G3" s="2">
        <f t="shared" ref="G3:G8" si="0">D3+E3+F3</f>
        <v>10</v>
      </c>
    </row>
    <row r="4" spans="1:7" ht="22">
      <c r="A4" s="4">
        <v>3</v>
      </c>
      <c r="B4" s="4" t="s">
        <v>10</v>
      </c>
      <c r="C4" s="5" t="s">
        <v>11</v>
      </c>
      <c r="D4" s="4">
        <v>2</v>
      </c>
      <c r="E4" s="4">
        <v>4</v>
      </c>
      <c r="F4" s="4">
        <v>1</v>
      </c>
      <c r="G4" s="2">
        <f t="shared" si="0"/>
        <v>7</v>
      </c>
    </row>
    <row r="5" spans="1:7" ht="22">
      <c r="A5" s="4">
        <v>4</v>
      </c>
      <c r="B5" s="4" t="s">
        <v>12</v>
      </c>
      <c r="C5" s="5" t="s">
        <v>13</v>
      </c>
      <c r="D5" s="4">
        <v>1</v>
      </c>
      <c r="E5" s="4">
        <v>2</v>
      </c>
      <c r="F5" s="4">
        <v>1</v>
      </c>
      <c r="G5" s="2">
        <f t="shared" si="0"/>
        <v>4</v>
      </c>
    </row>
    <row r="6" spans="1:7" ht="22">
      <c r="A6" s="4">
        <v>5</v>
      </c>
      <c r="B6" s="4" t="s">
        <v>14</v>
      </c>
      <c r="C6" s="5" t="s">
        <v>15</v>
      </c>
      <c r="D6" s="4">
        <v>1</v>
      </c>
      <c r="E6" s="4">
        <v>4</v>
      </c>
      <c r="F6" s="4">
        <v>2</v>
      </c>
      <c r="G6" s="2">
        <f t="shared" si="0"/>
        <v>7</v>
      </c>
    </row>
    <row r="7" spans="1:7">
      <c r="A7" s="4">
        <v>6</v>
      </c>
      <c r="B7" s="4" t="s">
        <v>16</v>
      </c>
      <c r="C7" s="4" t="s">
        <v>17</v>
      </c>
      <c r="D7" s="4">
        <v>1</v>
      </c>
      <c r="E7" s="4">
        <v>2</v>
      </c>
      <c r="F7" s="4">
        <v>1</v>
      </c>
      <c r="G7" s="2">
        <f t="shared" si="0"/>
        <v>4</v>
      </c>
    </row>
    <row r="8" spans="1:7">
      <c r="A8" s="4">
        <v>7</v>
      </c>
      <c r="B8" s="4" t="s">
        <v>18</v>
      </c>
      <c r="C8" s="4" t="s">
        <v>19</v>
      </c>
      <c r="D8" s="4">
        <v>1</v>
      </c>
      <c r="E8" s="4">
        <v>2</v>
      </c>
      <c r="F8" s="4">
        <v>1</v>
      </c>
      <c r="G8" s="2">
        <f t="shared" si="0"/>
        <v>4</v>
      </c>
    </row>
    <row r="9" spans="1:7">
      <c r="A9" s="7" t="s">
        <v>21</v>
      </c>
      <c r="B9" s="8"/>
      <c r="C9" s="9"/>
      <c r="D9" s="6">
        <f>SUM(G2:G8)</f>
        <v>44</v>
      </c>
      <c r="E9" s="6"/>
      <c r="F9" s="6"/>
      <c r="G9" s="6"/>
    </row>
    <row r="10" spans="1:7">
      <c r="A10" s="10" t="s">
        <v>20</v>
      </c>
      <c r="B10" s="11"/>
      <c r="C10" s="12"/>
      <c r="D10" s="13">
        <f>D9*2300*1.06</f>
        <v>107272</v>
      </c>
      <c r="E10" s="14"/>
      <c r="F10" s="14"/>
      <c r="G10" s="15"/>
    </row>
    <row r="11" spans="1:7">
      <c r="A11" s="16" t="s">
        <v>23</v>
      </c>
      <c r="B11" s="17"/>
      <c r="C11" s="18"/>
      <c r="D11" s="19">
        <f>D10*0.9</f>
        <v>96544.8</v>
      </c>
      <c r="E11" s="20"/>
      <c r="F11" s="20"/>
      <c r="G11" s="21"/>
    </row>
  </sheetData>
  <mergeCells count="6">
    <mergeCell ref="D9:G9"/>
    <mergeCell ref="A9:C9"/>
    <mergeCell ref="A10:C10"/>
    <mergeCell ref="D10:G10"/>
    <mergeCell ref="A11:C11"/>
    <mergeCell ref="D11:G1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e31524</cp:lastModifiedBy>
  <dcterms:created xsi:type="dcterms:W3CDTF">2025-05-27T07:07:00Z</dcterms:created>
  <dcterms:modified xsi:type="dcterms:W3CDTF">2025-12-25T05:52:08Z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9F0A606BAD27F592B3AF4469F005496D_43</vt:lpwstr>
  </property>
  <property fmtid="{D5CDD505-2E9C-101B-9397-08002B2CF9AE}" pid="3" name="KSOProductBuildVer">
    <vt:lpwstr>2052-7.5.1.8994</vt:lpwstr>
  </property>
</Properties>
</file>