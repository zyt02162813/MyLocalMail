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Meeting\"/>
    </mc:Choice>
  </mc:AlternateContent>
  <xr:revisionPtr revIDLastSave="0" documentId="13_ncr:1_{1635A750-8E6B-404D-99D8-A98ECEC5AB79}" xr6:coauthVersionLast="47" xr6:coauthVersionMax="47" xr10:uidLastSave="{00000000-0000-0000-0000-000000000000}"/>
  <bookViews>
    <workbookView xWindow="-108" yWindow="-108" windowWidth="20376" windowHeight="12216" tabRatio="691" xr2:uid="{00000000-000D-0000-FFFF-FFFF00000000}"/>
  </bookViews>
  <sheets>
    <sheet name="1. 精细商业运营event全模块" sheetId="12" r:id="rId1"/>
    <sheet name="Pivot" sheetId="13" r:id="rId2"/>
    <sheet name="1. 精细商业运营- event全模块待选" sheetId="2" r:id="rId3"/>
    <sheet name="报价单Summary-全Scope" sheetId="11" r:id="rId4"/>
    <sheet name="系统运维" sheetId="7" r:id="rId5"/>
  </sheets>
  <definedNames>
    <definedName name="_xlnm._FilterDatabase" localSheetId="2" hidden="1">'1. 精细商业运营- event全模块待选'!$A$1:$H$33</definedName>
    <definedName name="_xlnm._FilterDatabase" localSheetId="0" hidden="1">'1. 精细商业运营event全模块'!$A$1:$I$31</definedName>
  </definedNames>
  <calcPr calcId="191029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2" l="1"/>
  <c r="G2" i="12" s="1"/>
  <c r="F3" i="12"/>
  <c r="G3" i="12" s="1"/>
  <c r="F4" i="12"/>
  <c r="G4" i="12" s="1"/>
  <c r="F5" i="12"/>
  <c r="G5" i="12" s="1"/>
  <c r="F6" i="12"/>
  <c r="G6" i="12" s="1"/>
  <c r="F7" i="12"/>
  <c r="G7" i="12" s="1"/>
  <c r="F8" i="12"/>
  <c r="G8" i="12" s="1"/>
  <c r="F9" i="12"/>
  <c r="G9" i="12" s="1"/>
  <c r="F10" i="12"/>
  <c r="G10" i="12" s="1"/>
  <c r="F11" i="12"/>
  <c r="G11" i="12" s="1"/>
  <c r="F12" i="12"/>
  <c r="G12" i="12" s="1"/>
  <c r="F13" i="12"/>
  <c r="G13" i="12" s="1"/>
  <c r="F14" i="12"/>
  <c r="G14" i="12" s="1"/>
  <c r="F15" i="12"/>
  <c r="G15" i="12" s="1"/>
  <c r="F16" i="12"/>
  <c r="G16" i="12" s="1"/>
  <c r="F17" i="12"/>
  <c r="G17" i="12" s="1"/>
  <c r="F18" i="12"/>
  <c r="G18" i="12" s="1"/>
  <c r="F19" i="12"/>
  <c r="G19" i="12" s="1"/>
  <c r="F20" i="12"/>
  <c r="G20" i="12" s="1"/>
  <c r="F21" i="12"/>
  <c r="G21" i="12" s="1"/>
  <c r="F22" i="12"/>
  <c r="G22" i="12"/>
  <c r="F23" i="12"/>
  <c r="G23" i="12" s="1"/>
  <c r="G24" i="12"/>
  <c r="F25" i="12"/>
  <c r="G25" i="12" s="1"/>
  <c r="F26" i="12"/>
  <c r="G26" i="12" s="1"/>
  <c r="F27" i="12"/>
  <c r="G27" i="12" s="1"/>
  <c r="F28" i="12"/>
  <c r="G28" i="12" s="1"/>
  <c r="F29" i="12"/>
  <c r="G29" i="12" s="1"/>
  <c r="D30" i="12"/>
  <c r="D24" i="2"/>
  <c r="F14" i="2"/>
  <c r="G30" i="12" l="1"/>
  <c r="F30" i="12"/>
  <c r="F31" i="12" s="1"/>
  <c r="J15" i="11"/>
  <c r="J16" i="11" s="1"/>
  <c r="J17" i="11" s="1"/>
  <c r="F29" i="2"/>
  <c r="F12" i="2"/>
  <c r="D31" i="2" l="1"/>
  <c r="F30" i="2"/>
  <c r="F28" i="2"/>
  <c r="F27" i="2"/>
  <c r="F26" i="2"/>
  <c r="F23" i="2"/>
  <c r="F22" i="2"/>
  <c r="F21" i="2"/>
  <c r="F20" i="2"/>
  <c r="F19" i="2"/>
  <c r="F18" i="2"/>
  <c r="F17" i="2"/>
  <c r="F16" i="2"/>
  <c r="F15" i="2"/>
  <c r="F13" i="2"/>
  <c r="F11" i="2"/>
  <c r="F10" i="2"/>
  <c r="F9" i="2"/>
  <c r="F8" i="2"/>
  <c r="F7" i="2"/>
  <c r="F6" i="2"/>
  <c r="F5" i="2"/>
  <c r="F4" i="2"/>
  <c r="F3" i="2"/>
  <c r="F2" i="2"/>
  <c r="F31" i="2" l="1"/>
  <c r="G11" i="11"/>
  <c r="J11" i="11" s="1"/>
  <c r="F24" i="2"/>
  <c r="J10" i="11"/>
  <c r="D32" i="2"/>
  <c r="F32" i="2" l="1"/>
  <c r="F33" i="2" s="1"/>
  <c r="J12" i="11"/>
  <c r="J13" i="11" s="1"/>
  <c r="J20" i="11" s="1"/>
</calcChain>
</file>

<file path=xl/sharedStrings.xml><?xml version="1.0" encoding="utf-8"?>
<sst xmlns="http://schemas.openxmlformats.org/spreadsheetml/2006/main" count="264" uniqueCount="142">
  <si>
    <t>产品名称和描述</t>
  </si>
  <si>
    <t>单位</t>
  </si>
  <si>
    <t>总数</t>
  </si>
  <si>
    <t>单价 RMB</t>
  </si>
  <si>
    <t>备注</t>
  </si>
  <si>
    <t>项目实施费用</t>
  </si>
  <si>
    <t>One-time Cost</t>
  </si>
  <si>
    <t>人天</t>
  </si>
  <si>
    <t>根据初步规划的建设方案，需和周边相关系统完成对接</t>
  </si>
  <si>
    <t>Grand TOTAL</t>
  </si>
  <si>
    <t>running cost</t>
  </si>
  <si>
    <t>年</t>
  </si>
  <si>
    <t>基础运维费</t>
  </si>
  <si>
    <t>软件使用费/账号费</t>
  </si>
  <si>
    <t>人年</t>
  </si>
  <si>
    <t>假设400代表</t>
  </si>
  <si>
    <t>GRAND TOTAL 含税</t>
  </si>
  <si>
    <t>序号</t>
  </si>
  <si>
    <t>主体功能模块</t>
  </si>
  <si>
    <t>核心需求说明</t>
  </si>
  <si>
    <t>实施人天预估</t>
  </si>
  <si>
    <t>人天单价</t>
  </si>
  <si>
    <t>讲者管理</t>
  </si>
  <si>
    <t>合规引擎/规则中心</t>
  </si>
  <si>
    <t>自办会申请审批和变更管理</t>
  </si>
  <si>
    <t>（纸质签+电子签兼容）</t>
  </si>
  <si>
    <t>会中执行管理-签到和参会人质量管理</t>
  </si>
  <si>
    <t>会中执行-证据链(打卡定位/拍照)</t>
  </si>
  <si>
    <t>会后结算-关会证据链管理</t>
  </si>
  <si>
    <t>针对自办会和三方活动均有1个关键步骤，就是对比PLAN有没有正确的执行，包括实际的一些数据，形成完整证据链方便推送至费控系统</t>
  </si>
  <si>
    <t>飞检管理</t>
  </si>
  <si>
    <t>确保业务内容相关的数据都有1个报表可以根据多维度去筛选和查看以及高权限账号的下载</t>
  </si>
  <si>
    <t>系统上线后MeetingBest运维中心会提供的服务内容包括但不限于：</t>
  </si>
  <si>
    <t>备注说明</t>
  </si>
  <si>
    <t>维护系统服务器稳定运行，保证系统底座的正常运行 (服务器、数据库等硬件费用)</t>
  </si>
  <si>
    <t>云服务器的安全保护购买，以及每年1次的三级等保认证及相关优化，提供预防性定期安全检查服务，提供缺陷修复的补丁程序</t>
  </si>
  <si>
    <t>保证系统稳定处于工作、可操作状态以及页面响应速度（页面打开速度&lt;5秒），可用性达到99.9%，会议并发数300、用户并发数3000</t>
  </si>
  <si>
    <t>对于软件在运行中发现的技术故障予以及时修复</t>
  </si>
  <si>
    <t>协助排查上下游对接系统的问题（非本系统原因）</t>
  </si>
  <si>
    <t>因客户或对接方要求而配合完成的证书更新、接口秘钥更换测试等工作</t>
  </si>
  <si>
    <t>已使用模块的一些产品优化更新和大版本迭代(知会且同意后)</t>
  </si>
  <si>
    <t>提供Helpdesk专员, 对系统的使用中产生的业务问题和技术问题提供400电话或EMAIL的咨询/回复</t>
  </si>
  <si>
    <t>Level 1的运维服务</t>
  </si>
  <si>
    <t>因客户日常的需求变化，而协助完成系统配置</t>
  </si>
  <si>
    <t>例如审批流变更，合规管控点的规则变化等，配置更新不收费</t>
  </si>
  <si>
    <t>提供新销售人员的系统使用培训工作</t>
  </si>
  <si>
    <t>提供一些ad-hoc的报表支持工作</t>
  </si>
  <si>
    <t>根据康诺亚的业务需求和流程，针对URS相关内容进行需求调研和确认，以及后续的配置开发及相关的测试和培训等工作</t>
    <phoneticPr fontId="9" type="noConversion"/>
  </si>
  <si>
    <t>模块单价</t>
  </si>
  <si>
    <t>活动材料管理</t>
  </si>
  <si>
    <t>按照甲方合规的SOP规则配置到系统内，完成事前事中事后的多维度合规管控</t>
  </si>
  <si>
    <t>按照成本中心 产品 预算科目 市场部子项目做精细管理</t>
    <phoneticPr fontId="12" type="noConversion"/>
  </si>
  <si>
    <t>基于不同的活动类型，配置不同字段和管理规则，包括线上会形式的直播平台选择和链接；审批通过后的各种变更规则以及触发的各种审批流。</t>
  </si>
  <si>
    <t>会议资源采购管理</t>
  </si>
  <si>
    <t>含申请前ESI生成采购意向单，和审批后按照X万的额度，进入P2P流程，包含了酒店和Agency的寻源报价中标以及会后的结算确认等。</t>
  </si>
  <si>
    <t>会后结算-讲者核销和付款申请</t>
  </si>
  <si>
    <t>基于活动正确执行前提，当讲者相关的劳务协议完整，且讲者照片有效的情况下，业务代表可以发起讲课费的提交；审批完成后，生成待付款单据。</t>
  </si>
  <si>
    <t>HCO三方活动情况下，基于合同的约定，需要业务代表自己提交付款申请单，审批通过后进入ERP自动生成凭证。</t>
  </si>
  <si>
    <t>包括飞检的抽样，飞检的执行，底稿，签入签出，飞检报告，禁用和申诉等流程</t>
  </si>
  <si>
    <t>TPO/HCO第三方组织入库DD管理</t>
  </si>
  <si>
    <t>支持不同类型的HCO入库申请和审批，第三方参与审核，以及发起尽调和完成风险评估表等。</t>
  </si>
  <si>
    <t>三方活动管理-GDS资助赞助捐赠患教等项目</t>
  </si>
  <si>
    <t>小计</t>
    <phoneticPr fontId="12" type="noConversion"/>
  </si>
  <si>
    <t>序号</t>
    <phoneticPr fontId="12" type="noConversion"/>
  </si>
  <si>
    <t>系统集成相关的需求和说明</t>
    <phoneticPr fontId="12" type="noConversion"/>
  </si>
  <si>
    <t>实施人天预估</t>
    <phoneticPr fontId="12" type="noConversion"/>
  </si>
  <si>
    <t>人天单价</t>
    <phoneticPr fontId="12" type="noConversion"/>
  </si>
  <si>
    <t>小计：</t>
    <phoneticPr fontId="12" type="noConversion"/>
  </si>
  <si>
    <t>总计未税6%</t>
    <phoneticPr fontId="12" type="noConversion"/>
  </si>
  <si>
    <t>总计含税6%</t>
    <phoneticPr fontId="9" type="noConversion"/>
  </si>
  <si>
    <t>费用类型- 技术服务费用</t>
  </si>
  <si>
    <t>TTL Cost/总计费用</t>
  </si>
  <si>
    <t>New Event Platform - 主体功能</t>
  </si>
  <si>
    <t>New Event Platform - 系统集成</t>
  </si>
  <si>
    <t>一次性项目实施总费用合计（RMB，不含税）</t>
  </si>
  <si>
    <t>Grand TOTAL 含税</t>
  </si>
  <si>
    <t>账号使用费
（Liscence Fee）</t>
  </si>
  <si>
    <t>年度运维和账号，资源费合计（RMB 不含税)</t>
    <phoneticPr fontId="9" type="noConversion"/>
  </si>
  <si>
    <t>会前讲者协议电子签</t>
    <phoneticPr fontId="9" type="noConversion"/>
  </si>
  <si>
    <t>AI智能审核助理</t>
    <phoneticPr fontId="12" type="noConversion"/>
  </si>
  <si>
    <t>合规积分卡和申诉管理</t>
    <phoneticPr fontId="12" type="noConversion"/>
  </si>
  <si>
    <t>CRM-HCP 医院数据</t>
    <phoneticPr fontId="9" type="noConversion"/>
  </si>
  <si>
    <t>SSO和企微的集成</t>
    <phoneticPr fontId="12" type="noConversion"/>
  </si>
  <si>
    <t>与汇联易的对接接口</t>
    <phoneticPr fontId="12" type="noConversion"/>
  </si>
  <si>
    <t>美团/滴滴/腾讯会议/e签宝集成</t>
    <phoneticPr fontId="9" type="noConversion"/>
  </si>
  <si>
    <t>智能合同管理 - HCO相关</t>
    <phoneticPr fontId="9" type="noConversion"/>
  </si>
  <si>
    <t>主要是 三方活动，涉及到标准和非标模版的合同创建审批和履约，以及合同关联的付款计划；包括合同增补，合同挂起；以及用印申请，合同归档等；</t>
    <phoneticPr fontId="9" type="noConversion"/>
  </si>
  <si>
    <t>会议照片查重和验真，帮助审单和审会</t>
    <phoneticPr fontId="12" type="noConversion"/>
  </si>
  <si>
    <t>含手机端和PC的安全集成和ID验证</t>
    <phoneticPr fontId="9" type="noConversion"/>
  </si>
  <si>
    <t>人员组织架构主数据</t>
    <phoneticPr fontId="12" type="noConversion"/>
  </si>
  <si>
    <t>北森，SuccessFactor，EHR等</t>
    <phoneticPr fontId="9" type="noConversion"/>
  </si>
  <si>
    <t>计划参会人，实际参会人场景；HCP讲者申请时候需要从HCP库里面选择；</t>
    <phoneticPr fontId="9" type="noConversion"/>
  </si>
  <si>
    <t>4个标准使用场景的配置集成和测试，预计各2.5人天</t>
    <phoneticPr fontId="9" type="noConversion"/>
  </si>
  <si>
    <t>预算维度；单活动的立项阶段；单活动的关会阶段；三个主要的对接场景</t>
    <phoneticPr fontId="9" type="noConversion"/>
  </si>
  <si>
    <t>三方共管会议项目下，可按照多HCO维度来设置，同步EM里面的项目基本信息，允许基金会和志愿者身份登录和执行，监督落实整体的系列会子项目的真实发生，包括结束后的结算材料系统自动归纳和下载；满足药企和基金会的管理要求</t>
    <phoneticPr fontId="12" type="noConversion"/>
  </si>
  <si>
    <t>基础运维费, 400HelpDesk
Annual Maintenance Fee</t>
    <phoneticPr fontId="9" type="noConversion"/>
  </si>
  <si>
    <t>2026年H2</t>
    <phoneticPr fontId="9" type="noConversion"/>
  </si>
  <si>
    <t>Quotation 报价单: 康诺亚营销活动精细管理平台 All-in-One Event Management Platform</t>
    <phoneticPr fontId="9" type="noConversion"/>
  </si>
  <si>
    <t>一次性 Grand TOTAL</t>
    <phoneticPr fontId="9" type="noConversion"/>
  </si>
  <si>
    <t>GRAND TOTAL  2026年支出 含税</t>
    <phoneticPr fontId="9" type="noConversion"/>
  </si>
  <si>
    <t>会后结算-对公费用结算确认和付款申请</t>
    <phoneticPr fontId="9" type="noConversion"/>
  </si>
  <si>
    <t>数据和报表管理（基础报表）</t>
    <phoneticPr fontId="9" type="noConversion"/>
  </si>
  <si>
    <t>预算分配管理</t>
    <phoneticPr fontId="12" type="noConversion"/>
  </si>
  <si>
    <t>分期</t>
    <phoneticPr fontId="9" type="noConversion"/>
  </si>
  <si>
    <t>创建/审核/三要素验真和入库；信息变更，禁用，启用；升级，限额限次等 【基于CRM传过来的HCP数据】</t>
    <phoneticPr fontId="9" type="noConversion"/>
  </si>
  <si>
    <t>申请审批入库，推广/非推广，形成版本号，可在各活动里面关联，会后查看使用记录；如果是SEM类会议，材料需要单独审批。</t>
    <phoneticPr fontId="9" type="noConversion"/>
  </si>
  <si>
    <t>区分计划内HCP 计划外HCP的签到，以及内部员工签到；支持微信扫码签到和线下纸质签到，包括二要素的校对</t>
    <phoneticPr fontId="9" type="noConversion"/>
  </si>
  <si>
    <t>包括GPS定位电子围栏，按照会议要求包含会议现场的照片，讲者的照片等</t>
    <phoneticPr fontId="9" type="noConversion"/>
  </si>
  <si>
    <t>会中执行 - 会议场景的美团用餐管控</t>
    <phoneticPr fontId="9" type="noConversion"/>
  </si>
  <si>
    <t>结合会议场景，在预算允许的情况下，推送单据到美团，完成预订和支付；且回传相关数据到EM，同时要求美团的餐费数据可以推送给汇联易；
增加1个预订单的审核流程，类似诺华模式</t>
    <phoneticPr fontId="9" type="noConversion"/>
  </si>
  <si>
    <t>Y</t>
    <phoneticPr fontId="9" type="noConversion"/>
  </si>
  <si>
    <t>针对活动的有效性，在会前向参会HCP推送产品关联的问答，以及会后随机推送，判断活动的有效性</t>
    <phoneticPr fontId="9" type="noConversion"/>
  </si>
  <si>
    <t>会中执行-问卷调研和投票管理</t>
    <phoneticPr fontId="9" type="noConversion"/>
  </si>
  <si>
    <t>接口对接的成本</t>
    <phoneticPr fontId="12" type="noConversion"/>
  </si>
  <si>
    <t>支持从申请审批，项目执行 以及关会权益证明; 以及项目关闭的流程管理。</t>
    <phoneticPr fontId="9" type="noConversion"/>
  </si>
  <si>
    <t>TPEM 三方共管项目的独立部署系统</t>
    <phoneticPr fontId="12" type="noConversion"/>
  </si>
  <si>
    <t>含TPEM和event系统的底层数据穿透和集成</t>
    <phoneticPr fontId="9" type="noConversion"/>
  </si>
  <si>
    <t>系统的运维，确保各种功能的稳定性和数据安全存储，具体可参考附件3，按照L1L2L3的全服务标准；1个坐席</t>
    <phoneticPr fontId="9" type="noConversion"/>
  </si>
  <si>
    <t>对接汇联易的预算管理模组</t>
    <phoneticPr fontId="9" type="noConversion"/>
  </si>
  <si>
    <t>结合业务代表的各方面行为数据，参考合规积分的增减规则，每月或者季度系统判断风险情况；以及合规大使评选；包括单个情况的申诉流程</t>
    <phoneticPr fontId="9" type="noConversion"/>
  </si>
  <si>
    <t>保持线下模式，采购继续走OA申请合同以及费控提交付款</t>
    <phoneticPr fontId="9" type="noConversion"/>
  </si>
  <si>
    <t>备注：报价单有效期60天，按PaaS+SaaS的部署模式</t>
    <phoneticPr fontId="12" type="noConversion"/>
  </si>
  <si>
    <t>满足合规要求以及减少off label风险</t>
    <phoneticPr fontId="9" type="noConversion"/>
  </si>
  <si>
    <t>帮助市场活动的有效性分析，例如是否A类客户参加了3次相同主题的会议后，仍然没有升级为B类客户</t>
    <phoneticPr fontId="9" type="noConversion"/>
  </si>
  <si>
    <t>备注</t>
    <phoneticPr fontId="9" type="noConversion"/>
  </si>
  <si>
    <t>帮助公司找出哪些业务代表执行力非常好，哪些人的营销行为是会给公司带去显性的风险</t>
    <phoneticPr fontId="9" type="noConversion"/>
  </si>
  <si>
    <t>假设全模块采纳</t>
    <phoneticPr fontId="12" type="noConversion"/>
  </si>
  <si>
    <t>8个系统的对接</t>
    <phoneticPr fontId="12" type="noConversion"/>
  </si>
  <si>
    <t>年度运维和账号，资源费合计（RMB 不含税)</t>
    <phoneticPr fontId="9" type="noConversion"/>
  </si>
  <si>
    <t>税后价格</t>
    <phoneticPr fontId="9" type="noConversion"/>
  </si>
  <si>
    <t>总计</t>
  </si>
  <si>
    <t>税前总价</t>
  </si>
  <si>
    <t>分期</t>
  </si>
  <si>
    <t>税后总价</t>
  </si>
  <si>
    <t>系统集成</t>
  </si>
  <si>
    <t>系统集成</t>
    <phoneticPr fontId="12" type="noConversion"/>
  </si>
  <si>
    <t>运维</t>
  </si>
  <si>
    <t>运维</t>
    <phoneticPr fontId="12" type="noConversion"/>
  </si>
  <si>
    <t>一期</t>
  </si>
  <si>
    <t>一期</t>
    <phoneticPr fontId="12" type="noConversion"/>
  </si>
  <si>
    <t>二期</t>
  </si>
  <si>
    <t>二期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</si>
</sst>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_(* #,##0.00_);_(* \(#,##0.00\);_(* &quot;-&quot;??_);_(@_)"/>
    <numFmt numFmtId="177" formatCode="_(* #,##0_);_(* \(#,##0\);_(* &quot;-&quot;??_);_(@_)"/>
    <numFmt numFmtId="178" formatCode="&quot; &quot;* #,##0&quot; &quot;;&quot; &quot;* &quot;-&quot;#,##0&quot; &quot;;&quot; &quot;* &quot;-&quot;??&quot; &quot;"/>
    <numFmt numFmtId="179" formatCode="\¥#,##0&quot; &quot;;&quot;(¥&quot;#,##0\)"/>
    <numFmt numFmtId="180" formatCode="&quot; &quot;[$CNY]* #,##0.00&quot; &quot;;&quot; &quot;[$CNY]* \(#,##0.00&quot;) &quot;;&quot; &quot;[$CNY]* &quot;-&quot;??"/>
    <numFmt numFmtId="181" formatCode="[$CNY]#,##0.00"/>
    <numFmt numFmtId="182" formatCode="[$CNY]\ #,##0.00;[$CNY]\ \-#,##0.00"/>
    <numFmt numFmtId="183" formatCode="_ * #,##0_ ;_ * \-#,##0_ ;_ * &quot;-&quot;??_ ;_ @_ "/>
    <numFmt numFmtId="184" formatCode="[$CNY]#,##0"/>
  </numFmts>
  <fonts count="38">
    <font>
      <sz val="11"/>
      <color theme="1"/>
      <name val="等线"/>
      <charset val="134"/>
      <scheme val="minor"/>
    </font>
    <font>
      <b/>
      <sz val="10"/>
      <color theme="1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sz val="10"/>
      <color indexed="8"/>
      <name val="Helvetica Neue"/>
      <family val="2"/>
    </font>
    <font>
      <sz val="11"/>
      <color indexed="8"/>
      <name val="等线"/>
      <family val="4"/>
      <charset val="134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rgb="FF0000FF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indexed="9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i/>
      <sz val="11"/>
      <color theme="0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i/>
      <sz val="11"/>
      <color indexed="8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C000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sz val="12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4"/>
      <color indexed="8"/>
      <name val="微软雅黑"/>
      <family val="2"/>
      <charset val="134"/>
    </font>
    <font>
      <sz val="9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trike/>
      <sz val="12"/>
      <name val="微软雅黑"/>
      <family val="2"/>
      <charset val="134"/>
    </font>
    <font>
      <strike/>
      <sz val="12"/>
      <color rgb="FFFF000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2879FF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9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76" fontId="8" fillId="0" borderId="0" applyFont="0" applyFill="0" applyBorder="0" applyAlignment="0" applyProtection="0"/>
    <xf numFmtId="0" fontId="8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0" borderId="0" applyNumberFormat="0" applyFill="0" applyBorder="0" applyProtection="0">
      <alignment vertical="top" wrapText="1"/>
    </xf>
    <xf numFmtId="0" fontId="8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4" fillId="0" borderId="0"/>
  </cellStyleXfs>
  <cellXfs count="254">
    <xf numFmtId="0" fontId="0" fillId="0" borderId="0" xfId="0"/>
    <xf numFmtId="0" fontId="1" fillId="2" borderId="1" xfId="4" applyFont="1" applyFill="1" applyBorder="1">
      <alignment vertical="center"/>
    </xf>
    <xf numFmtId="0" fontId="2" fillId="0" borderId="1" xfId="4" applyFont="1" applyBorder="1">
      <alignment vertical="center"/>
    </xf>
    <xf numFmtId="0" fontId="2" fillId="0" borderId="1" xfId="4" applyFont="1" applyBorder="1" applyAlignment="1">
      <alignment vertical="center" wrapText="1"/>
    </xf>
    <xf numFmtId="0" fontId="2" fillId="2" borderId="1" xfId="4" applyFont="1" applyFill="1" applyBorder="1">
      <alignment vertical="center"/>
    </xf>
    <xf numFmtId="0" fontId="2" fillId="2" borderId="1" xfId="4" applyFont="1" applyFill="1" applyBorder="1" applyAlignment="1">
      <alignment vertical="center" wrapText="1"/>
    </xf>
    <xf numFmtId="0" fontId="10" fillId="2" borderId="1" xfId="4" applyFont="1" applyFill="1" applyBorder="1" applyAlignment="1">
      <alignment horizontal="center" vertical="center"/>
    </xf>
    <xf numFmtId="177" fontId="10" fillId="2" borderId="1" xfId="9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1" xfId="4" applyFont="1" applyBorder="1" applyAlignment="1">
      <alignment horizontal="left"/>
    </xf>
    <xf numFmtId="0" fontId="11" fillId="0" borderId="1" xfId="4" applyFont="1" applyBorder="1" applyAlignment="1">
      <alignment wrapText="1"/>
    </xf>
    <xf numFmtId="177" fontId="11" fillId="0" borderId="1" xfId="9" applyNumberFormat="1" applyFont="1" applyFill="1" applyBorder="1" applyAlignment="1"/>
    <xf numFmtId="0" fontId="11" fillId="0" borderId="1" xfId="4" applyFont="1" applyBorder="1" applyAlignment="1"/>
    <xf numFmtId="0" fontId="13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183" fontId="11" fillId="0" borderId="1" xfId="1" applyNumberFormat="1" applyFont="1" applyBorder="1" applyAlignment="1">
      <alignment horizontal="center" vertical="center"/>
    </xf>
    <xf numFmtId="0" fontId="11" fillId="9" borderId="1" xfId="0" applyFont="1" applyFill="1" applyBorder="1" applyAlignment="1">
      <alignment vertical="center" wrapText="1"/>
    </xf>
    <xf numFmtId="183" fontId="11" fillId="8" borderId="1" xfId="1" applyNumberFormat="1" applyFont="1" applyFill="1" applyBorder="1" applyAlignment="1">
      <alignment horizontal="center" vertical="center"/>
    </xf>
    <xf numFmtId="0" fontId="13" fillId="0" borderId="19" xfId="4" applyFont="1" applyBorder="1" applyAlignment="1"/>
    <xf numFmtId="0" fontId="14" fillId="0" borderId="0" xfId="6" applyFont="1">
      <alignment vertical="center"/>
    </xf>
    <xf numFmtId="49" fontId="15" fillId="5" borderId="5" xfId="5" applyNumberFormat="1" applyFont="1" applyFill="1" applyBorder="1" applyAlignment="1">
      <alignment horizontal="left" vertical="center"/>
    </xf>
    <xf numFmtId="0" fontId="15" fillId="5" borderId="6" xfId="5" applyFont="1" applyFill="1" applyBorder="1" applyAlignment="1">
      <alignment vertical="center"/>
    </xf>
    <xf numFmtId="49" fontId="15" fillId="5" borderId="6" xfId="5" applyNumberFormat="1" applyFont="1" applyFill="1" applyBorder="1" applyAlignment="1">
      <alignment vertical="center"/>
    </xf>
    <xf numFmtId="49" fontId="15" fillId="5" borderId="6" xfId="5" applyNumberFormat="1" applyFont="1" applyFill="1" applyBorder="1" applyAlignment="1">
      <alignment horizontal="center" vertical="center"/>
    </xf>
    <xf numFmtId="177" fontId="15" fillId="5" borderId="6" xfId="1" applyNumberFormat="1" applyFont="1" applyFill="1" applyBorder="1" applyAlignment="1">
      <alignment horizontal="center" vertical="center"/>
    </xf>
    <xf numFmtId="49" fontId="15" fillId="5" borderId="14" xfId="5" applyNumberFormat="1" applyFont="1" applyFill="1" applyBorder="1" applyAlignment="1">
      <alignment horizontal="right" vertical="center"/>
    </xf>
    <xf numFmtId="0" fontId="14" fillId="0" borderId="15" xfId="6" applyFont="1" applyBorder="1">
      <alignment vertical="center"/>
    </xf>
    <xf numFmtId="177" fontId="14" fillId="0" borderId="0" xfId="1" applyNumberFormat="1" applyFont="1" applyAlignment="1">
      <alignment vertical="center"/>
    </xf>
    <xf numFmtId="0" fontId="18" fillId="4" borderId="2" xfId="5" applyFont="1" applyFill="1" applyBorder="1" applyAlignment="1">
      <alignment vertical="center"/>
    </xf>
    <xf numFmtId="0" fontId="18" fillId="0" borderId="3" xfId="5" applyFont="1" applyBorder="1">
      <alignment vertical="top" wrapText="1"/>
    </xf>
    <xf numFmtId="177" fontId="18" fillId="0" borderId="3" xfId="1" applyNumberFormat="1" applyFont="1" applyBorder="1" applyAlignment="1">
      <alignment vertical="top" wrapText="1"/>
    </xf>
    <xf numFmtId="0" fontId="18" fillId="4" borderId="12" xfId="5" applyFont="1" applyFill="1" applyBorder="1" applyAlignment="1">
      <alignment vertical="center"/>
    </xf>
    <xf numFmtId="0" fontId="18" fillId="4" borderId="4" xfId="5" applyFont="1" applyFill="1" applyBorder="1" applyAlignment="1">
      <alignment vertical="center"/>
    </xf>
    <xf numFmtId="0" fontId="18" fillId="4" borderId="0" xfId="5" applyFont="1" applyFill="1" applyBorder="1" applyAlignment="1"/>
    <xf numFmtId="0" fontId="18" fillId="4" borderId="13" xfId="5" applyFont="1" applyFill="1" applyBorder="1" applyAlignment="1">
      <alignment vertical="center"/>
    </xf>
    <xf numFmtId="49" fontId="20" fillId="4" borderId="0" xfId="5" applyNumberFormat="1" applyFont="1" applyFill="1" applyBorder="1" applyAlignment="1">
      <alignment horizontal="left" vertical="center"/>
    </xf>
    <xf numFmtId="49" fontId="21" fillId="4" borderId="0" xfId="5" applyNumberFormat="1" applyFont="1" applyFill="1" applyBorder="1" applyAlignment="1">
      <alignment vertical="center"/>
    </xf>
    <xf numFmtId="0" fontId="18" fillId="4" borderId="0" xfId="5" applyFont="1" applyFill="1" applyBorder="1" applyAlignment="1">
      <alignment horizontal="center" vertical="center" wrapText="1"/>
    </xf>
    <xf numFmtId="0" fontId="18" fillId="4" borderId="0" xfId="5" applyFont="1" applyFill="1" applyBorder="1" applyAlignment="1">
      <alignment vertical="center"/>
    </xf>
    <xf numFmtId="177" fontId="18" fillId="4" borderId="0" xfId="1" applyNumberFormat="1" applyFont="1" applyFill="1" applyBorder="1" applyAlignment="1">
      <alignment vertical="center"/>
    </xf>
    <xf numFmtId="0" fontId="20" fillId="4" borderId="0" xfId="5" applyFont="1" applyFill="1" applyBorder="1" applyAlignment="1">
      <alignment horizontal="right" vertical="center"/>
    </xf>
    <xf numFmtId="0" fontId="18" fillId="4" borderId="0" xfId="5" applyFont="1" applyFill="1" applyBorder="1" applyAlignment="1">
      <alignment horizontal="left" vertical="center"/>
    </xf>
    <xf numFmtId="177" fontId="18" fillId="4" borderId="0" xfId="1" applyNumberFormat="1" applyFont="1" applyFill="1" applyBorder="1" applyAlignment="1">
      <alignment horizontal="left" vertical="center"/>
    </xf>
    <xf numFmtId="49" fontId="22" fillId="6" borderId="7" xfId="5" applyNumberFormat="1" applyFont="1" applyFill="1" applyBorder="1" applyAlignment="1">
      <alignment horizontal="left" vertical="center"/>
    </xf>
    <xf numFmtId="0" fontId="20" fillId="6" borderId="0" xfId="5" applyFont="1" applyFill="1" applyBorder="1" applyAlignment="1">
      <alignment horizontal="center" vertical="center"/>
    </xf>
    <xf numFmtId="0" fontId="20" fillId="6" borderId="0" xfId="5" applyFont="1" applyFill="1" applyBorder="1" applyAlignment="1">
      <alignment horizontal="left" vertical="center"/>
    </xf>
    <xf numFmtId="177" fontId="20" fillId="6" borderId="0" xfId="1" applyNumberFormat="1" applyFont="1" applyFill="1" applyBorder="1" applyAlignment="1">
      <alignment horizontal="center" vertical="center"/>
    </xf>
    <xf numFmtId="179" fontId="20" fillId="6" borderId="15" xfId="5" applyNumberFormat="1" applyFont="1" applyFill="1" applyBorder="1" applyAlignment="1">
      <alignment horizontal="right" vertical="center"/>
    </xf>
    <xf numFmtId="0" fontId="19" fillId="6" borderId="0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left"/>
    </xf>
    <xf numFmtId="177" fontId="18" fillId="4" borderId="0" xfId="1" applyNumberFormat="1" applyFont="1" applyFill="1" applyBorder="1" applyAlignment="1"/>
    <xf numFmtId="179" fontId="20" fillId="4" borderId="15" xfId="5" applyNumberFormat="1" applyFont="1" applyFill="1" applyBorder="1" applyAlignment="1">
      <alignment horizontal="right" vertical="center"/>
    </xf>
    <xf numFmtId="49" fontId="18" fillId="0" borderId="0" xfId="5" applyNumberFormat="1" applyFont="1" applyFill="1" applyBorder="1" applyAlignment="1">
      <alignment horizontal="left" vertical="center" wrapText="1"/>
    </xf>
    <xf numFmtId="49" fontId="21" fillId="0" borderId="0" xfId="5" applyNumberFormat="1" applyFont="1" applyFill="1" applyBorder="1" applyAlignment="1">
      <alignment vertical="center" wrapText="1"/>
    </xf>
    <xf numFmtId="49" fontId="21" fillId="0" borderId="0" xfId="5" applyNumberFormat="1" applyFont="1" applyFill="1" applyBorder="1" applyAlignment="1">
      <alignment horizontal="center" vertical="center"/>
    </xf>
    <xf numFmtId="0" fontId="18" fillId="0" borderId="0" xfId="5" applyNumberFormat="1" applyFont="1" applyFill="1" applyBorder="1" applyAlignment="1">
      <alignment horizontal="center" vertical="center"/>
    </xf>
    <xf numFmtId="177" fontId="18" fillId="0" borderId="0" xfId="1" applyNumberFormat="1" applyFont="1" applyFill="1" applyBorder="1" applyAlignment="1">
      <alignment vertical="center"/>
    </xf>
    <xf numFmtId="181" fontId="20" fillId="0" borderId="15" xfId="5" applyNumberFormat="1" applyFont="1" applyFill="1" applyBorder="1" applyAlignment="1">
      <alignment vertical="center"/>
    </xf>
    <xf numFmtId="182" fontId="18" fillId="0" borderId="0" xfId="5" applyNumberFormat="1" applyFont="1">
      <alignment vertical="top" wrapText="1"/>
    </xf>
    <xf numFmtId="0" fontId="17" fillId="7" borderId="0" xfId="5" applyNumberFormat="1" applyFont="1" applyFill="1" applyBorder="1" applyAlignment="1">
      <alignment horizontal="right" vertical="center" wrapText="1"/>
    </xf>
    <xf numFmtId="0" fontId="16" fillId="0" borderId="7" xfId="5" applyNumberFormat="1" applyFont="1" applyFill="1" applyBorder="1" applyAlignment="1">
      <alignment horizontal="center" vertical="center" wrapText="1"/>
    </xf>
    <xf numFmtId="0" fontId="16" fillId="0" borderId="0" xfId="5" applyNumberFormat="1" applyFont="1" applyFill="1" applyBorder="1" applyAlignment="1">
      <alignment horizontal="center" vertical="center" wrapText="1"/>
    </xf>
    <xf numFmtId="0" fontId="18" fillId="0" borderId="0" xfId="5" applyNumberFormat="1" applyFont="1" applyFill="1" applyBorder="1">
      <alignment vertical="top" wrapText="1"/>
    </xf>
    <xf numFmtId="177" fontId="18" fillId="0" borderId="0" xfId="1" applyNumberFormat="1" applyFont="1" applyFill="1" applyBorder="1" applyAlignment="1">
      <alignment vertical="top" wrapText="1"/>
    </xf>
    <xf numFmtId="0" fontId="14" fillId="0" borderId="7" xfId="5" applyFont="1" applyFill="1" applyBorder="1" applyAlignment="1">
      <alignment horizontal="left" vertical="center" wrapText="1"/>
    </xf>
    <xf numFmtId="0" fontId="18" fillId="0" borderId="0" xfId="5" applyFont="1" applyFill="1" applyBorder="1" applyAlignment="1">
      <alignment vertical="center" wrapText="1"/>
    </xf>
    <xf numFmtId="49" fontId="18" fillId="0" borderId="0" xfId="5" applyNumberFormat="1" applyFont="1" applyFill="1" applyBorder="1" applyAlignment="1">
      <alignment horizontal="center" vertical="center"/>
    </xf>
    <xf numFmtId="0" fontId="18" fillId="0" borderId="0" xfId="5" applyFont="1" applyFill="1" applyBorder="1" applyAlignment="1">
      <alignment horizontal="center" vertical="center"/>
    </xf>
    <xf numFmtId="0" fontId="18" fillId="0" borderId="0" xfId="5" applyFont="1" applyFill="1" applyBorder="1" applyAlignment="1">
      <alignment horizontal="center" vertical="center" wrapText="1"/>
    </xf>
    <xf numFmtId="0" fontId="18" fillId="0" borderId="0" xfId="5" applyFont="1">
      <alignment vertical="top" wrapText="1"/>
    </xf>
    <xf numFmtId="0" fontId="21" fillId="0" borderId="0" xfId="5" applyFont="1" applyFill="1" applyBorder="1" applyAlignment="1">
      <alignment horizontal="center" vertical="center" wrapText="1"/>
    </xf>
    <xf numFmtId="177" fontId="15" fillId="4" borderId="0" xfId="1" applyNumberFormat="1" applyFont="1" applyFill="1" applyBorder="1" applyAlignment="1">
      <alignment horizontal="right" vertical="center"/>
    </xf>
    <xf numFmtId="177" fontId="18" fillId="0" borderId="0" xfId="1" applyNumberFormat="1" applyFont="1" applyBorder="1" applyAlignment="1">
      <alignment vertical="top" wrapText="1"/>
    </xf>
    <xf numFmtId="0" fontId="24" fillId="4" borderId="13" xfId="5" applyFont="1" applyFill="1" applyBorder="1" applyAlignment="1">
      <alignment vertical="center"/>
    </xf>
    <xf numFmtId="49" fontId="21" fillId="4" borderId="0" xfId="5" applyNumberFormat="1" applyFont="1" applyFill="1" applyBorder="1" applyAlignment="1">
      <alignment horizontal="left" vertical="center"/>
    </xf>
    <xf numFmtId="0" fontId="18" fillId="4" borderId="15" xfId="5" applyFont="1" applyFill="1" applyBorder="1" applyAlignment="1">
      <alignment horizontal="left" vertical="center"/>
    </xf>
    <xf numFmtId="177" fontId="18" fillId="4" borderId="9" xfId="1" applyNumberFormat="1" applyFont="1" applyFill="1" applyBorder="1" applyAlignment="1">
      <alignment vertical="center"/>
    </xf>
    <xf numFmtId="49" fontId="21" fillId="4" borderId="9" xfId="5" applyNumberFormat="1" applyFont="1" applyFill="1" applyBorder="1" applyAlignment="1">
      <alignment horizontal="left" vertical="center"/>
    </xf>
    <xf numFmtId="14" fontId="18" fillId="4" borderId="17" xfId="5" applyNumberFormat="1" applyFont="1" applyFill="1" applyBorder="1" applyAlignment="1">
      <alignment horizontal="left" vertical="center"/>
    </xf>
    <xf numFmtId="0" fontId="18" fillId="4" borderId="10" xfId="5" applyFont="1" applyFill="1" applyBorder="1" applyAlignment="1">
      <alignment vertical="center"/>
    </xf>
    <xf numFmtId="0" fontId="18" fillId="0" borderId="11" xfId="5" applyNumberFormat="1" applyFont="1" applyBorder="1">
      <alignment vertical="top" wrapText="1"/>
    </xf>
    <xf numFmtId="177" fontId="18" fillId="0" borderId="11" xfId="1" applyNumberFormat="1" applyFont="1" applyBorder="1" applyAlignment="1">
      <alignment vertical="top" wrapText="1"/>
    </xf>
    <xf numFmtId="0" fontId="18" fillId="4" borderId="18" xfId="5" applyFont="1" applyFill="1" applyBorder="1" applyAlignment="1">
      <alignment vertical="center"/>
    </xf>
    <xf numFmtId="49" fontId="14" fillId="0" borderId="7" xfId="5" applyNumberFormat="1" applyFont="1" applyFill="1" applyBorder="1" applyAlignment="1">
      <alignment vertical="center" wrapText="1"/>
    </xf>
    <xf numFmtId="0" fontId="25" fillId="7" borderId="0" xfId="5" applyNumberFormat="1" applyFont="1" applyFill="1" applyBorder="1">
      <alignment vertical="top" wrapText="1"/>
    </xf>
    <xf numFmtId="177" fontId="25" fillId="7" borderId="0" xfId="1" applyNumberFormat="1" applyFont="1" applyFill="1" applyBorder="1" applyAlignment="1">
      <alignment vertical="top" wrapText="1"/>
    </xf>
    <xf numFmtId="177" fontId="18" fillId="0" borderId="0" xfId="1" applyNumberFormat="1" applyFont="1" applyFill="1" applyBorder="1" applyAlignment="1">
      <alignment horizontal="center" vertical="center"/>
    </xf>
    <xf numFmtId="181" fontId="23" fillId="0" borderId="15" xfId="5" applyNumberFormat="1" applyFont="1" applyFill="1" applyBorder="1" applyAlignment="1">
      <alignment vertical="center"/>
    </xf>
    <xf numFmtId="184" fontId="16" fillId="7" borderId="16" xfId="5" applyNumberFormat="1" applyFont="1" applyFill="1" applyBorder="1" applyAlignment="1">
      <alignment horizontal="right" vertical="center" wrapText="1"/>
    </xf>
    <xf numFmtId="177" fontId="10" fillId="3" borderId="1" xfId="1" applyNumberFormat="1" applyFont="1" applyFill="1" applyBorder="1" applyAlignment="1">
      <alignment vertical="center"/>
    </xf>
    <xf numFmtId="177" fontId="10" fillId="3" borderId="1" xfId="0" applyNumberFormat="1" applyFont="1" applyFill="1" applyBorder="1" applyAlignment="1">
      <alignment horizontal="center" vertical="center"/>
    </xf>
    <xf numFmtId="0" fontId="11" fillId="10" borderId="1" xfId="4" applyFont="1" applyFill="1" applyBorder="1" applyAlignment="1">
      <alignment horizontal="left"/>
    </xf>
    <xf numFmtId="0" fontId="11" fillId="10" borderId="1" xfId="4" applyFont="1" applyFill="1" applyBorder="1" applyAlignment="1"/>
    <xf numFmtId="0" fontId="11" fillId="10" borderId="1" xfId="4" applyFont="1" applyFill="1" applyBorder="1" applyAlignment="1">
      <alignment wrapText="1"/>
    </xf>
    <xf numFmtId="177" fontId="11" fillId="10" borderId="1" xfId="9" applyNumberFormat="1" applyFont="1" applyFill="1" applyBorder="1" applyAlignment="1"/>
    <xf numFmtId="0" fontId="10" fillId="2" borderId="1" xfId="4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19" xfId="0" applyFont="1" applyBorder="1" applyAlignment="1">
      <alignment vertical="center" wrapText="1"/>
    </xf>
    <xf numFmtId="0" fontId="11" fillId="0" borderId="1" xfId="4" applyFont="1" applyBorder="1" applyAlignment="1">
      <alignment horizontal="center"/>
    </xf>
    <xf numFmtId="0" fontId="11" fillId="10" borderId="1" xfId="4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/>
    <xf numFmtId="0" fontId="11" fillId="0" borderId="0" xfId="0" applyFont="1"/>
    <xf numFmtId="0" fontId="11" fillId="0" borderId="20" xfId="4" applyFont="1" applyBorder="1" applyAlignment="1">
      <alignment horizontal="left"/>
    </xf>
    <xf numFmtId="0" fontId="11" fillId="0" borderId="20" xfId="4" applyFont="1" applyBorder="1" applyAlignment="1"/>
    <xf numFmtId="0" fontId="11" fillId="0" borderId="20" xfId="4" applyFont="1" applyBorder="1" applyAlignment="1">
      <alignment horizontal="center"/>
    </xf>
    <xf numFmtId="177" fontId="11" fillId="0" borderId="20" xfId="9" applyNumberFormat="1" applyFont="1" applyFill="1" applyBorder="1" applyAlignment="1"/>
    <xf numFmtId="0" fontId="11" fillId="9" borderId="20" xfId="0" applyFont="1" applyFill="1" applyBorder="1" applyAlignment="1">
      <alignment horizontal="center"/>
    </xf>
    <xf numFmtId="183" fontId="11" fillId="0" borderId="20" xfId="1" applyNumberFormat="1" applyFont="1" applyBorder="1" applyAlignment="1">
      <alignment horizontal="center" vertical="center"/>
    </xf>
    <xf numFmtId="0" fontId="11" fillId="9" borderId="20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wrapText="1"/>
    </xf>
    <xf numFmtId="0" fontId="11" fillId="9" borderId="20" xfId="0" applyFont="1" applyFill="1" applyBorder="1" applyAlignment="1">
      <alignment horizontal="left" wrapText="1"/>
    </xf>
    <xf numFmtId="49" fontId="23" fillId="4" borderId="7" xfId="5" applyNumberFormat="1" applyFont="1" applyFill="1" applyBorder="1" applyAlignment="1">
      <alignment vertical="center" wrapText="1"/>
    </xf>
    <xf numFmtId="49" fontId="23" fillId="4" borderId="0" xfId="5" applyNumberFormat="1" applyFont="1" applyFill="1" applyBorder="1" applyAlignment="1">
      <alignment vertical="center" wrapText="1"/>
    </xf>
    <xf numFmtId="49" fontId="23" fillId="4" borderId="8" xfId="5" applyNumberFormat="1" applyFont="1" applyFill="1" applyBorder="1" applyAlignment="1">
      <alignment vertical="center" wrapText="1"/>
    </xf>
    <xf numFmtId="49" fontId="23" fillId="4" borderId="9" xfId="5" applyNumberFormat="1" applyFont="1" applyFill="1" applyBorder="1" applyAlignment="1">
      <alignment vertical="center" wrapText="1"/>
    </xf>
    <xf numFmtId="49" fontId="23" fillId="11" borderId="7" xfId="5" applyNumberFormat="1" applyFont="1" applyFill="1" applyBorder="1" applyAlignment="1">
      <alignment vertical="center" wrapText="1"/>
    </xf>
    <xf numFmtId="49" fontId="23" fillId="11" borderId="0" xfId="5" applyNumberFormat="1" applyFont="1" applyFill="1" applyBorder="1" applyAlignment="1">
      <alignment vertical="center" wrapText="1"/>
    </xf>
    <xf numFmtId="177" fontId="10" fillId="2" borderId="1" xfId="1" applyNumberFormat="1" applyFont="1" applyFill="1" applyBorder="1" applyAlignment="1">
      <alignment horizontal="center"/>
    </xf>
    <xf numFmtId="177" fontId="11" fillId="0" borderId="1" xfId="1" applyNumberFormat="1" applyFont="1" applyFill="1" applyBorder="1" applyAlignment="1"/>
    <xf numFmtId="177" fontId="11" fillId="10" borderId="1" xfId="1" applyNumberFormat="1" applyFont="1" applyFill="1" applyBorder="1" applyAlignment="1"/>
    <xf numFmtId="177" fontId="11" fillId="0" borderId="20" xfId="1" applyNumberFormat="1" applyFont="1" applyFill="1" applyBorder="1" applyAlignment="1"/>
    <xf numFmtId="177" fontId="11" fillId="9" borderId="1" xfId="1" applyNumberFormat="1" applyFont="1" applyFill="1" applyBorder="1" applyAlignment="1">
      <alignment horizontal="center" wrapText="1"/>
    </xf>
    <xf numFmtId="177" fontId="11" fillId="9" borderId="20" xfId="1" applyNumberFormat="1" applyFont="1" applyFill="1" applyBorder="1" applyAlignment="1">
      <alignment horizontal="center" wrapText="1"/>
    </xf>
    <xf numFmtId="177" fontId="11" fillId="8" borderId="1" xfId="1" applyNumberFormat="1" applyFont="1" applyFill="1" applyBorder="1" applyAlignment="1">
      <alignment horizontal="center"/>
    </xf>
    <xf numFmtId="177" fontId="10" fillId="3" borderId="1" xfId="1" applyNumberFormat="1" applyFont="1" applyFill="1" applyBorder="1" applyAlignment="1">
      <alignment horizontal="center"/>
    </xf>
    <xf numFmtId="177" fontId="10" fillId="3" borderId="1" xfId="1" applyNumberFormat="1" applyFont="1" applyFill="1" applyBorder="1" applyAlignment="1"/>
    <xf numFmtId="177" fontId="11" fillId="0" borderId="0" xfId="1" applyNumberFormat="1" applyFont="1" applyAlignment="1"/>
    <xf numFmtId="177" fontId="16" fillId="11" borderId="15" xfId="5" applyNumberFormat="1" applyFont="1" applyFill="1" applyBorder="1" applyAlignment="1">
      <alignment horizontal="left" vertical="center"/>
    </xf>
    <xf numFmtId="178" fontId="16" fillId="12" borderId="9" xfId="5" applyNumberFormat="1" applyFont="1" applyFill="1" applyBorder="1" applyAlignment="1">
      <alignment horizontal="right" vertical="center"/>
    </xf>
    <xf numFmtId="177" fontId="16" fillId="12" borderId="9" xfId="1" applyNumberFormat="1" applyFont="1" applyFill="1" applyBorder="1" applyAlignment="1">
      <alignment horizontal="right" vertical="center"/>
    </xf>
    <xf numFmtId="178" fontId="17" fillId="12" borderId="0" xfId="5" applyNumberFormat="1" applyFont="1" applyFill="1" applyBorder="1" applyAlignment="1">
      <alignment horizontal="right" vertical="center"/>
    </xf>
    <xf numFmtId="177" fontId="16" fillId="12" borderId="0" xfId="1" applyNumberFormat="1" applyFont="1" applyFill="1" applyBorder="1" applyAlignment="1">
      <alignment horizontal="right" vertical="center" wrapText="1"/>
    </xf>
    <xf numFmtId="0" fontId="17" fillId="3" borderId="0" xfId="5" applyNumberFormat="1" applyFont="1" applyFill="1" applyBorder="1" applyAlignment="1">
      <alignment horizontal="right" vertical="center" wrapText="1"/>
    </xf>
    <xf numFmtId="184" fontId="16" fillId="3" borderId="15" xfId="5" applyNumberFormat="1" applyFont="1" applyFill="1" applyBorder="1" applyAlignment="1">
      <alignment horizontal="right" vertical="center" wrapText="1"/>
    </xf>
    <xf numFmtId="178" fontId="17" fillId="13" borderId="0" xfId="5" applyNumberFormat="1" applyFont="1" applyFill="1" applyBorder="1" applyAlignment="1">
      <alignment horizontal="right" vertical="center"/>
    </xf>
    <xf numFmtId="177" fontId="16" fillId="13" borderId="0" xfId="1" applyNumberFormat="1" applyFont="1" applyFill="1" applyBorder="1" applyAlignment="1">
      <alignment horizontal="right" vertical="center" wrapText="1"/>
    </xf>
    <xf numFmtId="58" fontId="26" fillId="4" borderId="13" xfId="5" applyNumberFormat="1" applyFont="1" applyFill="1" applyBorder="1" applyAlignment="1">
      <alignment vertical="center"/>
    </xf>
    <xf numFmtId="0" fontId="26" fillId="0" borderId="0" xfId="5" applyNumberFormat="1" applyFont="1" applyFill="1" applyBorder="1" applyAlignment="1">
      <alignment horizontal="center" vertical="center"/>
    </xf>
    <xf numFmtId="181" fontId="27" fillId="0" borderId="15" xfId="5" applyNumberFormat="1" applyFont="1" applyFill="1" applyBorder="1" applyAlignment="1">
      <alignment vertical="center"/>
    </xf>
    <xf numFmtId="0" fontId="28" fillId="0" borderId="1" xfId="4" applyFont="1" applyBorder="1" applyAlignment="1">
      <alignment horizontal="left"/>
    </xf>
    <xf numFmtId="0" fontId="28" fillId="0" borderId="1" xfId="4" applyFont="1" applyBorder="1" applyAlignment="1"/>
    <xf numFmtId="0" fontId="28" fillId="0" borderId="1" xfId="4" applyFont="1" applyBorder="1" applyAlignment="1">
      <alignment wrapText="1"/>
    </xf>
    <xf numFmtId="0" fontId="28" fillId="0" borderId="1" xfId="4" applyFont="1" applyBorder="1" applyAlignment="1">
      <alignment horizontal="center"/>
    </xf>
    <xf numFmtId="177" fontId="28" fillId="0" borderId="1" xfId="1" applyNumberFormat="1" applyFont="1" applyFill="1" applyBorder="1" applyAlignment="1"/>
    <xf numFmtId="177" fontId="28" fillId="0" borderId="1" xfId="9" applyNumberFormat="1" applyFont="1" applyFill="1" applyBorder="1" applyAlignment="1"/>
    <xf numFmtId="0" fontId="11" fillId="0" borderId="20" xfId="4" applyFont="1" applyBorder="1" applyAlignment="1">
      <alignment wrapText="1"/>
    </xf>
    <xf numFmtId="0" fontId="28" fillId="0" borderId="19" xfId="0" applyFont="1" applyBorder="1" applyAlignment="1">
      <alignment horizontal="left"/>
    </xf>
    <xf numFmtId="0" fontId="28" fillId="0" borderId="19" xfId="4" applyFont="1" applyBorder="1" applyAlignment="1">
      <alignment horizontal="center"/>
    </xf>
    <xf numFmtId="177" fontId="28" fillId="0" borderId="19" xfId="1" applyNumberFormat="1" applyFont="1" applyFill="1" applyBorder="1" applyAlignment="1"/>
    <xf numFmtId="177" fontId="28" fillId="0" borderId="19" xfId="9" applyNumberFormat="1" applyFont="1" applyFill="1" applyBorder="1" applyAlignment="1"/>
    <xf numFmtId="0" fontId="28" fillId="0" borderId="0" xfId="0" applyFont="1"/>
    <xf numFmtId="0" fontId="10" fillId="8" borderId="1" xfId="4" applyFont="1" applyFill="1" applyBorder="1" applyAlignment="1">
      <alignment horizontal="center"/>
    </xf>
    <xf numFmtId="177" fontId="10" fillId="8" borderId="1" xfId="1" applyNumberFormat="1" applyFont="1" applyFill="1" applyBorder="1" applyAlignment="1"/>
    <xf numFmtId="177" fontId="10" fillId="8" borderId="1" xfId="9" applyNumberFormat="1" applyFont="1" applyFill="1" applyBorder="1" applyAlignment="1"/>
    <xf numFmtId="0" fontId="11" fillId="14" borderId="1" xfId="4" applyFont="1" applyFill="1" applyBorder="1" applyAlignment="1">
      <alignment horizontal="left"/>
    </xf>
    <xf numFmtId="0" fontId="11" fillId="14" borderId="1" xfId="4" applyFont="1" applyFill="1" applyBorder="1" applyAlignment="1"/>
    <xf numFmtId="0" fontId="11" fillId="14" borderId="1" xfId="4" applyFont="1" applyFill="1" applyBorder="1" applyAlignment="1">
      <alignment wrapText="1"/>
    </xf>
    <xf numFmtId="0" fontId="11" fillId="14" borderId="1" xfId="4" applyFont="1" applyFill="1" applyBorder="1" applyAlignment="1">
      <alignment horizontal="center"/>
    </xf>
    <xf numFmtId="177" fontId="11" fillId="14" borderId="1" xfId="1" applyNumberFormat="1" applyFont="1" applyFill="1" applyBorder="1" applyAlignment="1"/>
    <xf numFmtId="177" fontId="11" fillId="14" borderId="1" xfId="9" applyNumberFormat="1" applyFont="1" applyFill="1" applyBorder="1" applyAlignment="1"/>
    <xf numFmtId="0" fontId="11" fillId="14" borderId="0" xfId="0" applyFont="1" applyFill="1"/>
    <xf numFmtId="0" fontId="28" fillId="14" borderId="20" xfId="4" applyFont="1" applyFill="1" applyBorder="1" applyAlignment="1">
      <alignment horizontal="left"/>
    </xf>
    <xf numFmtId="0" fontId="28" fillId="14" borderId="1" xfId="4" applyFont="1" applyFill="1" applyBorder="1" applyAlignment="1"/>
    <xf numFmtId="0" fontId="28" fillId="14" borderId="1" xfId="4" applyFont="1" applyFill="1" applyBorder="1" applyAlignment="1">
      <alignment wrapText="1"/>
    </xf>
    <xf numFmtId="0" fontId="28" fillId="14" borderId="1" xfId="4" applyFont="1" applyFill="1" applyBorder="1" applyAlignment="1">
      <alignment horizontal="center"/>
    </xf>
    <xf numFmtId="177" fontId="28" fillId="14" borderId="1" xfId="1" applyNumberFormat="1" applyFont="1" applyFill="1" applyBorder="1" applyAlignment="1"/>
    <xf numFmtId="177" fontId="28" fillId="14" borderId="1" xfId="9" applyNumberFormat="1" applyFont="1" applyFill="1" applyBorder="1" applyAlignment="1"/>
    <xf numFmtId="180" fontId="33" fillId="0" borderId="0" xfId="5" applyNumberFormat="1" applyFont="1" applyFill="1" applyBorder="1" applyAlignment="1">
      <alignment horizontal="center" vertical="center"/>
    </xf>
    <xf numFmtId="177" fontId="11" fillId="0" borderId="0" xfId="0" applyNumberFormat="1" applyFont="1"/>
    <xf numFmtId="0" fontId="11" fillId="0" borderId="0" xfId="0" applyFont="1" applyAlignment="1">
      <alignment vertical="center" wrapText="1"/>
    </xf>
    <xf numFmtId="0" fontId="11" fillId="0" borderId="0" xfId="10" applyFont="1" applyAlignment="1">
      <alignment vertical="center"/>
    </xf>
    <xf numFmtId="0" fontId="11" fillId="0" borderId="0" xfId="10" applyFont="1"/>
    <xf numFmtId="0" fontId="11" fillId="0" borderId="0" xfId="10" applyFont="1" applyAlignment="1">
      <alignment horizontal="left"/>
    </xf>
    <xf numFmtId="177" fontId="11" fillId="0" borderId="0" xfId="10" applyNumberFormat="1" applyFont="1" applyAlignment="1">
      <alignment vertical="center"/>
    </xf>
    <xf numFmtId="177" fontId="10" fillId="3" borderId="20" xfId="1" applyNumberFormat="1" applyFont="1" applyFill="1" applyBorder="1" applyAlignment="1">
      <alignment vertical="center"/>
    </xf>
    <xf numFmtId="177" fontId="10" fillId="3" borderId="20" xfId="1" applyNumberFormat="1" applyFont="1" applyFill="1" applyBorder="1" applyAlignment="1"/>
    <xf numFmtId="0" fontId="10" fillId="3" borderId="20" xfId="10" applyFont="1" applyFill="1" applyBorder="1"/>
    <xf numFmtId="177" fontId="10" fillId="3" borderId="20" xfId="10" applyNumberFormat="1" applyFont="1" applyFill="1" applyBorder="1" applyAlignment="1">
      <alignment horizontal="center" vertical="center"/>
    </xf>
    <xf numFmtId="177" fontId="10" fillId="3" borderId="20" xfId="1" applyNumberFormat="1" applyFont="1" applyFill="1" applyBorder="1" applyAlignment="1">
      <alignment horizontal="center"/>
    </xf>
    <xf numFmtId="0" fontId="10" fillId="3" borderId="20" xfId="10" applyFont="1" applyFill="1" applyBorder="1" applyAlignment="1">
      <alignment horizontal="center"/>
    </xf>
    <xf numFmtId="0" fontId="11" fillId="9" borderId="20" xfId="10" applyFont="1" applyFill="1" applyBorder="1" applyAlignment="1">
      <alignment horizontal="center"/>
    </xf>
    <xf numFmtId="0" fontId="11" fillId="9" borderId="20" xfId="10" applyFont="1" applyFill="1" applyBorder="1" applyAlignment="1">
      <alignment horizontal="left" wrapText="1"/>
    </xf>
    <xf numFmtId="0" fontId="28" fillId="15" borderId="0" xfId="10" applyFont="1" applyFill="1" applyAlignment="1">
      <alignment vertical="center"/>
    </xf>
    <xf numFmtId="0" fontId="28" fillId="15" borderId="0" xfId="10" applyFont="1" applyFill="1"/>
    <xf numFmtId="177" fontId="28" fillId="15" borderId="19" xfId="9" applyNumberFormat="1" applyFont="1" applyFill="1" applyBorder="1" applyAlignment="1"/>
    <xf numFmtId="177" fontId="28" fillId="15" borderId="19" xfId="1" applyNumberFormat="1" applyFont="1" applyFill="1" applyBorder="1" applyAlignment="1"/>
    <xf numFmtId="0" fontId="28" fillId="15" borderId="19" xfId="4" applyFont="1" applyFill="1" applyBorder="1" applyAlignment="1">
      <alignment horizontal="center"/>
    </xf>
    <xf numFmtId="0" fontId="28" fillId="15" borderId="19" xfId="10" applyFont="1" applyFill="1" applyBorder="1" applyAlignment="1">
      <alignment horizontal="left"/>
    </xf>
    <xf numFmtId="177" fontId="28" fillId="0" borderId="20" xfId="9" applyNumberFormat="1" applyFont="1" applyFill="1" applyBorder="1" applyAlignment="1"/>
    <xf numFmtId="177" fontId="28" fillId="0" borderId="20" xfId="1" applyNumberFormat="1" applyFont="1" applyFill="1" applyBorder="1" applyAlignment="1"/>
    <xf numFmtId="0" fontId="28" fillId="0" borderId="20" xfId="4" applyFont="1" applyBorder="1" applyAlignment="1">
      <alignment horizontal="center"/>
    </xf>
    <xf numFmtId="0" fontId="28" fillId="0" borderId="20" xfId="4" applyFont="1" applyBorder="1" applyAlignment="1">
      <alignment horizontal="left"/>
    </xf>
    <xf numFmtId="0" fontId="11" fillId="0" borderId="0" xfId="10" applyFont="1" applyAlignment="1">
      <alignment vertical="center" wrapText="1"/>
    </xf>
    <xf numFmtId="0" fontId="11" fillId="15" borderId="0" xfId="10" applyFont="1" applyFill="1" applyAlignment="1">
      <alignment vertical="center"/>
    </xf>
    <xf numFmtId="0" fontId="11" fillId="15" borderId="0" xfId="10" applyFont="1" applyFill="1"/>
    <xf numFmtId="177" fontId="11" fillId="15" borderId="20" xfId="9" applyNumberFormat="1" applyFont="1" applyFill="1" applyBorder="1" applyAlignment="1"/>
    <xf numFmtId="177" fontId="11" fillId="15" borderId="20" xfId="1" applyNumberFormat="1" applyFont="1" applyFill="1" applyBorder="1" applyAlignment="1"/>
    <xf numFmtId="0" fontId="11" fillId="15" borderId="20" xfId="4" applyFont="1" applyFill="1" applyBorder="1" applyAlignment="1">
      <alignment horizontal="center"/>
    </xf>
    <xf numFmtId="0" fontId="11" fillId="15" borderId="20" xfId="4" applyFont="1" applyFill="1" applyBorder="1" applyAlignment="1">
      <alignment horizontal="left"/>
    </xf>
    <xf numFmtId="0" fontId="11" fillId="15" borderId="0" xfId="10" applyFont="1" applyFill="1" applyAlignment="1">
      <alignment vertical="center" wrapText="1"/>
    </xf>
    <xf numFmtId="177" fontId="11" fillId="10" borderId="20" xfId="9" applyNumberFormat="1" applyFont="1" applyFill="1" applyBorder="1" applyAlignment="1"/>
    <xf numFmtId="177" fontId="11" fillId="10" borderId="20" xfId="1" applyNumberFormat="1" applyFont="1" applyFill="1" applyBorder="1" applyAlignment="1"/>
    <xf numFmtId="0" fontId="11" fillId="10" borderId="20" xfId="4" applyFont="1" applyFill="1" applyBorder="1" applyAlignment="1">
      <alignment horizontal="center"/>
    </xf>
    <xf numFmtId="0" fontId="11" fillId="10" borderId="20" xfId="4" applyFont="1" applyFill="1" applyBorder="1" applyAlignment="1">
      <alignment wrapText="1"/>
    </xf>
    <xf numFmtId="0" fontId="11" fillId="10" borderId="20" xfId="4" applyFont="1" applyFill="1" applyBorder="1" applyAlignment="1"/>
    <xf numFmtId="0" fontId="11" fillId="10" borderId="20" xfId="4" applyFont="1" applyFill="1" applyBorder="1" applyAlignment="1">
      <alignment horizontal="left"/>
    </xf>
    <xf numFmtId="177" fontId="10" fillId="2" borderId="20" xfId="9" applyNumberFormat="1" applyFont="1" applyFill="1" applyBorder="1" applyAlignment="1">
      <alignment horizontal="center" vertical="center"/>
    </xf>
    <xf numFmtId="177" fontId="10" fillId="2" borderId="20" xfId="1" applyNumberFormat="1" applyFont="1" applyFill="1" applyBorder="1" applyAlignment="1">
      <alignment horizontal="center"/>
    </xf>
    <xf numFmtId="0" fontId="10" fillId="2" borderId="20" xfId="4" applyFont="1" applyFill="1" applyBorder="1" applyAlignment="1">
      <alignment horizontal="center"/>
    </xf>
    <xf numFmtId="0" fontId="34" fillId="0" borderId="0" xfId="10"/>
    <xf numFmtId="0" fontId="35" fillId="0" borderId="0" xfId="0" pivotButton="1" applyFont="1"/>
    <xf numFmtId="0" fontId="35" fillId="0" borderId="0" xfId="0" applyFont="1"/>
    <xf numFmtId="0" fontId="35" fillId="0" borderId="0" xfId="0" applyFont="1" applyAlignment="1">
      <alignment horizontal="left"/>
    </xf>
    <xf numFmtId="177" fontId="35" fillId="0" borderId="0" xfId="0" applyNumberFormat="1" applyFont="1"/>
    <xf numFmtId="0" fontId="10" fillId="3" borderId="20" xfId="1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9" fontId="29" fillId="4" borderId="0" xfId="5" applyNumberFormat="1" applyFont="1" applyFill="1" applyBorder="1" applyAlignment="1">
      <alignment horizontal="left" vertical="center"/>
    </xf>
    <xf numFmtId="0" fontId="30" fillId="4" borderId="0" xfId="5" applyFont="1" applyFill="1" applyBorder="1" applyAlignment="1">
      <alignment horizontal="left" vertical="center"/>
    </xf>
    <xf numFmtId="0" fontId="31" fillId="4" borderId="0" xfId="5" applyFont="1" applyFill="1" applyBorder="1" applyAlignment="1"/>
    <xf numFmtId="0" fontId="16" fillId="7" borderId="7" xfId="5" applyNumberFormat="1" applyFont="1" applyFill="1" applyBorder="1" applyAlignment="1">
      <alignment horizontal="center" vertical="center" wrapText="1"/>
    </xf>
    <xf numFmtId="0" fontId="16" fillId="7" borderId="0" xfId="5" applyNumberFormat="1" applyFont="1" applyFill="1" applyBorder="1" applyAlignment="1">
      <alignment horizontal="center" vertical="center" wrapText="1"/>
    </xf>
    <xf numFmtId="0" fontId="16" fillId="12" borderId="7" xfId="5" applyNumberFormat="1" applyFont="1" applyFill="1" applyBorder="1" applyAlignment="1">
      <alignment horizontal="center" vertical="center" wrapText="1"/>
    </xf>
    <xf numFmtId="0" fontId="16" fillId="12" borderId="0" xfId="5" applyNumberFormat="1" applyFont="1" applyFill="1" applyBorder="1" applyAlignment="1">
      <alignment horizontal="center" vertical="center" wrapText="1"/>
    </xf>
    <xf numFmtId="49" fontId="16" fillId="11" borderId="0" xfId="5" applyNumberFormat="1" applyFont="1" applyFill="1" applyBorder="1" applyAlignment="1">
      <alignment horizontal="center" vertical="center"/>
    </xf>
    <xf numFmtId="49" fontId="32" fillId="4" borderId="7" xfId="5" applyNumberFormat="1" applyFont="1" applyFill="1" applyBorder="1" applyAlignment="1">
      <alignment horizontal="left" vertical="center" wrapText="1"/>
    </xf>
    <xf numFmtId="49" fontId="32" fillId="4" borderId="0" xfId="5" applyNumberFormat="1" applyFont="1" applyFill="1" applyBorder="1" applyAlignment="1">
      <alignment horizontal="left" vertical="center" wrapText="1"/>
    </xf>
    <xf numFmtId="0" fontId="11" fillId="0" borderId="20" xfId="4" applyFont="1" applyFill="1" applyBorder="1" applyAlignment="1">
      <alignment horizontal="left"/>
    </xf>
    <xf numFmtId="0" fontId="11" fillId="0" borderId="0" xfId="10" applyFont="1" applyFill="1"/>
    <xf numFmtId="0" fontId="11" fillId="0" borderId="0" xfId="10" applyFont="1" applyFill="1" applyAlignment="1">
      <alignment vertical="center"/>
    </xf>
    <xf numFmtId="0" fontId="11" fillId="9" borderId="20" xfId="10" applyFont="1" applyFill="1" applyBorder="1" applyAlignment="1">
      <alignment horizontal="left" vertical="top" wrapText="1"/>
    </xf>
    <xf numFmtId="0" fontId="10" fillId="2" borderId="20" xfId="4" applyFont="1" applyFill="1" applyBorder="1" applyAlignment="1">
      <alignment horizontal="left" vertical="top" wrapText="1"/>
    </xf>
    <xf numFmtId="0" fontId="11" fillId="15" borderId="20" xfId="4" applyFont="1" applyFill="1" applyBorder="1" applyAlignment="1">
      <alignment horizontal="left" vertical="top" wrapText="1"/>
    </xf>
    <xf numFmtId="0" fontId="28" fillId="0" borderId="20" xfId="4" applyFont="1" applyBorder="1" applyAlignment="1">
      <alignment horizontal="left" vertical="top" wrapText="1"/>
    </xf>
    <xf numFmtId="0" fontId="28" fillId="15" borderId="19" xfId="4" applyFont="1" applyFill="1" applyBorder="1" applyAlignment="1">
      <alignment horizontal="left" vertical="top" wrapText="1"/>
    </xf>
    <xf numFmtId="0" fontId="11" fillId="0" borderId="0" xfId="10" applyFont="1" applyAlignment="1">
      <alignment horizontal="left" vertical="top" wrapText="1"/>
    </xf>
    <xf numFmtId="0" fontId="10" fillId="2" borderId="20" xfId="4" applyFont="1" applyFill="1" applyBorder="1" applyAlignment="1">
      <alignment horizontal="left" vertical="top"/>
    </xf>
    <xf numFmtId="0" fontId="11" fillId="15" borderId="20" xfId="4" applyFont="1" applyFill="1" applyBorder="1" applyAlignment="1">
      <alignment horizontal="left" vertical="top"/>
    </xf>
    <xf numFmtId="0" fontId="28" fillId="15" borderId="19" xfId="10" applyFont="1" applyFill="1" applyBorder="1" applyAlignment="1">
      <alignment horizontal="left" vertical="top" wrapText="1"/>
    </xf>
    <xf numFmtId="0" fontId="11" fillId="0" borderId="0" xfId="10" applyFont="1" applyAlignment="1">
      <alignment horizontal="left" vertical="top"/>
    </xf>
    <xf numFmtId="0" fontId="36" fillId="15" borderId="19" xfId="10" applyFont="1" applyFill="1" applyBorder="1" applyAlignment="1">
      <alignment horizontal="left"/>
    </xf>
    <xf numFmtId="0" fontId="36" fillId="15" borderId="19" xfId="10" applyFont="1" applyFill="1" applyBorder="1" applyAlignment="1">
      <alignment horizontal="left" vertical="top" wrapText="1"/>
    </xf>
    <xf numFmtId="0" fontId="36" fillId="15" borderId="19" xfId="4" applyFont="1" applyFill="1" applyBorder="1" applyAlignment="1">
      <alignment horizontal="center"/>
    </xf>
    <xf numFmtId="177" fontId="36" fillId="15" borderId="19" xfId="1" applyNumberFormat="1" applyFont="1" applyFill="1" applyBorder="1" applyAlignment="1"/>
    <xf numFmtId="177" fontId="36" fillId="15" borderId="19" xfId="9" applyNumberFormat="1" applyFont="1" applyFill="1" applyBorder="1" applyAlignment="1"/>
    <xf numFmtId="0" fontId="36" fillId="15" borderId="0" xfId="10" applyFont="1" applyFill="1"/>
    <xf numFmtId="0" fontId="36" fillId="15" borderId="0" xfId="10" applyFont="1" applyFill="1" applyAlignment="1">
      <alignment vertical="center"/>
    </xf>
    <xf numFmtId="0" fontId="37" fillId="15" borderId="19" xfId="4" applyFont="1" applyFill="1" applyBorder="1" applyAlignment="1">
      <alignment horizontal="left" vertical="top" wrapText="1"/>
    </xf>
    <xf numFmtId="0" fontId="28" fillId="0" borderId="20" xfId="4" applyFont="1" applyFill="1" applyBorder="1" applyAlignment="1">
      <alignment horizontal="left" vertical="top" wrapText="1"/>
    </xf>
    <xf numFmtId="0" fontId="28" fillId="0" borderId="20" xfId="4" applyFont="1" applyFill="1" applyBorder="1" applyAlignment="1">
      <alignment horizontal="center"/>
    </xf>
  </cellXfs>
  <cellStyles count="11">
    <cellStyle name="Normal 2" xfId="2" xr:uid="{00000000-0005-0000-0000-000031000000}"/>
    <cellStyle name="Normal 3" xfId="3" xr:uid="{00000000-0005-0000-0000-000032000000}"/>
    <cellStyle name="常规" xfId="0" builtinId="0"/>
    <cellStyle name="常规 2" xfId="4" xr:uid="{00000000-0005-0000-0000-000033000000}"/>
    <cellStyle name="常规 2 2" xfId="5" xr:uid="{00000000-0005-0000-0000-000034000000}"/>
    <cellStyle name="常规 3" xfId="6" xr:uid="{00000000-0005-0000-0000-000035000000}"/>
    <cellStyle name="常规 4" xfId="10" xr:uid="{599FD2FC-1EB1-4B80-AC31-F56D6349498F}"/>
    <cellStyle name="超链接 2" xfId="7" xr:uid="{00000000-0005-0000-0000-000036000000}"/>
    <cellStyle name="超链接 3" xfId="8" xr:uid="{00000000-0005-0000-0000-000037000000}"/>
    <cellStyle name="千位分隔" xfId="1" builtinId="3"/>
    <cellStyle name="千位分隔 2" xfId="9" xr:uid="{00000000-0005-0000-0000-000038000000}"/>
  </cellStyles>
  <dxfs count="18"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www.wps.cn/officeDocument/2023/relationships/customStorage" Target="customStorage/customStorage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802021</xdr:colOff>
      <xdr:row>0</xdr:row>
      <xdr:rowOff>0</xdr:rowOff>
    </xdr:from>
    <xdr:to>
      <xdr:col>9</xdr:col>
      <xdr:colOff>1218034</xdr:colOff>
      <xdr:row>4</xdr:row>
      <xdr:rowOff>102019</xdr:rowOff>
    </xdr:to>
    <xdr:pic>
      <xdr:nvPicPr>
        <xdr:cNvPr id="2" name="meetingbest-logo.png" descr="meetingbest-logo.png">
          <a:extLst>
            <a:ext uri="{FF2B5EF4-FFF2-40B4-BE49-F238E27FC236}">
              <a16:creationId xmlns:a16="http://schemas.microsoft.com/office/drawing/2014/main" id="{1246DF1E-8BA1-4E9C-9B3E-D6EC4E0A3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47921" y="0"/>
          <a:ext cx="2206713" cy="1040005"/>
        </a:xfrm>
        <a:prstGeom prst="rect">
          <a:avLst/>
        </a:prstGeom>
        <a:ln w="12700">
          <a:miter lim="400000"/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孔祥勇" refreshedDate="46035.643450000003" createdVersion="8" refreshedVersion="8" minRefreshableVersion="3" recordCount="28" xr:uid="{1159BB6C-0C06-46E4-9CA2-FC88A88BE3F7}">
  <cacheSource type="worksheet">
    <worksheetSource ref="A1:H29" sheet="1. 精细商业运营event全模块"/>
  </cacheSource>
  <cacheFields count="8">
    <cacheField name="序号" numFmtId="0">
      <sharedItems containsString="0" containsBlank="1" containsNumber="1" containsInteger="1" minValue="1" maxValue="22"/>
    </cacheField>
    <cacheField name="主体功能模块" numFmtId="0">
      <sharedItems/>
    </cacheField>
    <cacheField name="核心需求说明" numFmtId="0">
      <sharedItems containsBlank="1"/>
    </cacheField>
    <cacheField name="实施人天预估" numFmtId="0">
      <sharedItems containsString="0" containsBlank="1" containsNumber="1" containsInteger="1" minValue="0" maxValue="20"/>
    </cacheField>
    <cacheField name="人天单价" numFmtId="177">
      <sharedItems containsString="0" containsBlank="1" containsNumber="1" containsInteger="1" minValue="2300" maxValue="2300"/>
    </cacheField>
    <cacheField name="模块单价" numFmtId="0">
      <sharedItems containsSemiMixedTypes="0" containsString="0" containsNumber="1" containsInteger="1" minValue="0" maxValue="110000"/>
    </cacheField>
    <cacheField name="税后价格" numFmtId="0">
      <sharedItems containsSemiMixedTypes="0" containsString="0" containsNumber="1" containsInteger="1" minValue="0" maxValue="116600"/>
    </cacheField>
    <cacheField name="分期" numFmtId="0">
      <sharedItems containsMixedTypes="1" containsNumber="1" containsInteger="1" minValue="0" maxValue="4" count="9">
        <s v="一期"/>
        <n v="0"/>
        <s v="二期"/>
        <s v="运维"/>
        <s v="系统集成"/>
        <n v="2" u="1"/>
        <n v="1" u="1"/>
        <n v="4" u="1"/>
        <n v="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s v="讲者管理"/>
    <s v="创建/审核/三要素验真和入库；信息变更，禁用，启用；升级，限额限次等 【基于CRM传过来的HCP数据】"/>
    <n v="20"/>
    <n v="2300"/>
    <n v="46000"/>
    <n v="48760"/>
    <x v="0"/>
  </r>
  <r>
    <n v="2"/>
    <s v="活动材料管理"/>
    <s v="申请审批入库，推广/非推广，形成版本号，可在各活动里面关联，会后查看使用记录；如果是SEM类会议，材料需要单独审批。"/>
    <n v="10"/>
    <n v="2300"/>
    <n v="23000"/>
    <n v="24380"/>
    <x v="0"/>
  </r>
  <r>
    <n v="3"/>
    <s v="合规引擎/规则中心"/>
    <s v="按照甲方合规的SOP规则配置到系统内，完成事前事中事后的多维度合规管控"/>
    <n v="15"/>
    <n v="2300"/>
    <n v="34500"/>
    <n v="36570"/>
    <x v="0"/>
  </r>
  <r>
    <n v="4"/>
    <s v="预算分配管理"/>
    <s v="按照成本中心 产品 预算科目 市场部子项目做精细管理"/>
    <m/>
    <m/>
    <n v="0"/>
    <n v="0"/>
    <x v="1"/>
  </r>
  <r>
    <n v="5"/>
    <s v="自办会申请审批和变更管理"/>
    <s v="基于不同的活动类型，配置不同字段和管理规则，包括线上会形式的直播平台选择和链接；审批通过后的各种变更规则以及触发的各种审批流。"/>
    <n v="20"/>
    <n v="2300"/>
    <n v="46000"/>
    <n v="48760"/>
    <x v="0"/>
  </r>
  <r>
    <n v="6"/>
    <s v="会前讲者协议电子签"/>
    <s v="（纸质签+电子签兼容）"/>
    <n v="10"/>
    <n v="2300"/>
    <n v="23000"/>
    <n v="24380"/>
    <x v="0"/>
  </r>
  <r>
    <n v="7"/>
    <s v="会议资源采购管理"/>
    <s v="含申请前ESI生成采购意向单，和审批后按照X万的额度，进入P2P流程，包含了酒店和Agency的寻源报价中标以及会后的结算确认等。"/>
    <m/>
    <n v="2300"/>
    <n v="0"/>
    <n v="0"/>
    <x v="1"/>
  </r>
  <r>
    <n v="8"/>
    <s v="智能合同管理 - HCO相关"/>
    <s v="主要是 三方活动，涉及到标准和非标模版的合同创建审批和履约，以及合同关联的付款计划；包括合同增补，合同挂起；以及用印申请，合同归档等；"/>
    <n v="15"/>
    <n v="2300"/>
    <n v="34500"/>
    <n v="36570"/>
    <x v="2"/>
  </r>
  <r>
    <n v="9"/>
    <s v="会中执行管理-签到和参会人质量管理"/>
    <s v="区分计划内HCP 计划外HCP的签到，以及内部员工签到；支持微信扫码签到和线下纸质签到，包括二要素的校对"/>
    <n v="10"/>
    <n v="2300"/>
    <n v="23000"/>
    <n v="24380"/>
    <x v="0"/>
  </r>
  <r>
    <n v="10"/>
    <s v="会中执行-证据链(打卡定位/拍照)"/>
    <s v="包括GPS定位电子围栏，按照会议要求包含会议现场的照片，讲者的照片等"/>
    <n v="10"/>
    <n v="2300"/>
    <n v="23000"/>
    <n v="24380"/>
    <x v="0"/>
  </r>
  <r>
    <n v="11"/>
    <s v="会中执行 - 会议场景的美团用餐管控"/>
    <s v="结合会议场景，在预算允许的情况下，推送单据到美团，完成预订和支付；且回传相关数据到EM，同时要求美团的餐费数据可以推送给汇联易；_x000a_增加1个预订单的审核流程，类似诺华模式"/>
    <n v="10"/>
    <n v="2300"/>
    <n v="23000"/>
    <n v="24380"/>
    <x v="0"/>
  </r>
  <r>
    <n v="12"/>
    <s v="会中执行-问卷调研和投票管理"/>
    <s v="针对活动的有效性，在会前向参会HCP推送产品关联的问答，以及会后随机推送，判断活动的有效性"/>
    <n v="10"/>
    <n v="2300"/>
    <n v="23000"/>
    <n v="24380"/>
    <x v="0"/>
  </r>
  <r>
    <n v="13"/>
    <s v="会后结算-关会证据链管理"/>
    <s v="针对自办会和三方活动均有1个关键步骤，就是对比PLAN有没有正确的执行，包括实际的一些数据，形成完整证据链方便推送至费控系统"/>
    <n v="10"/>
    <n v="2300"/>
    <n v="23000"/>
    <n v="24380"/>
    <x v="0"/>
  </r>
  <r>
    <n v="14"/>
    <s v="会后结算-讲者核销和付款申请"/>
    <s v="基于活动正确执行前提，当讲者相关的劳务协议完整，且讲者照片有效的情况下，业务代表可以发起讲课费的提交；审批完成后，生成待付款单据。"/>
    <n v="10"/>
    <n v="2300"/>
    <n v="23000"/>
    <n v="24380"/>
    <x v="0"/>
  </r>
  <r>
    <n v="15"/>
    <s v="会后结算-对公费用结算确认和付款申请"/>
    <s v="HCO三方活动情况下，基于合同的约定，需要业务代表自己提交付款申请单，审批通过后进入ERP自动生成凭证。"/>
    <n v="15"/>
    <n v="2300"/>
    <n v="34500"/>
    <n v="36570"/>
    <x v="2"/>
  </r>
  <r>
    <n v="16"/>
    <s v="飞检管理"/>
    <s v="包括飞检的抽样，飞检的执行，底稿，签入签出，飞检报告，禁用和申诉等流程"/>
    <n v="20"/>
    <n v="2300"/>
    <n v="46000"/>
    <n v="48760"/>
    <x v="0"/>
  </r>
  <r>
    <n v="17"/>
    <s v="AI智能审核助理"/>
    <s v="会议照片查重和验真，帮助审单和审会"/>
    <n v="10"/>
    <n v="2300"/>
    <n v="23000"/>
    <n v="24380"/>
    <x v="0"/>
  </r>
  <r>
    <n v="18"/>
    <s v="TPO/HCO第三方组织入库DD管理"/>
    <s v="支持不同类型的HCO入库申请和审批，第三方参与审核，以及发起尽调和完成风险评估表等。"/>
    <n v="15"/>
    <n v="2300"/>
    <n v="34500"/>
    <n v="36570"/>
    <x v="0"/>
  </r>
  <r>
    <n v="19"/>
    <s v="三方活动管理-GDS资助赞助捐赠患教等项目"/>
    <s v="支持从申请审批，项目执行 以及关会权益证明; 以及项目关闭的流程管理。"/>
    <n v="20"/>
    <n v="2300"/>
    <n v="46000"/>
    <n v="48760"/>
    <x v="0"/>
  </r>
  <r>
    <n v="20"/>
    <s v="合规积分卡和申诉管理"/>
    <s v="结合业务代表的各方面行为数据，参考合规积分的增减规则，每月或者季度系统判断风险情况；以及合规大使评选；包括单个情况的申诉流程"/>
    <n v="20"/>
    <n v="2300"/>
    <n v="46000"/>
    <n v="48760"/>
    <x v="2"/>
  </r>
  <r>
    <n v="21"/>
    <s v="数据和报表管理（基础报表）"/>
    <s v="确保业务内容相关的数据都有1个报表可以根据多维度去筛选和查看以及高权限账号的下载"/>
    <n v="10"/>
    <n v="2300"/>
    <n v="23000"/>
    <n v="24380"/>
    <x v="2"/>
  </r>
  <r>
    <n v="22"/>
    <s v="TPEM 三方共管项目的独立部署系统"/>
    <s v="三方共管会议项目下，可按照多HCO维度来设置，同步EM里面的项目基本信息，允许基金会和志愿者身份登录和执行，监督落实整体的系列会子项目的真实发生，包括结束后的结算材料系统自动归纳和下载；满足药企和基金会的管理要求"/>
    <n v="0"/>
    <n v="2300"/>
    <n v="0"/>
    <n v="0"/>
    <x v="0"/>
  </r>
  <r>
    <m/>
    <s v="年度运维和账号，资源费合计（RMB 不含税)"/>
    <m/>
    <m/>
    <m/>
    <n v="110000"/>
    <n v="116600"/>
    <x v="3"/>
  </r>
  <r>
    <n v="1"/>
    <s v="SSO和企微的集成"/>
    <s v="含手机端和PC的安全集成和ID验证"/>
    <n v="5"/>
    <n v="2300"/>
    <n v="11500"/>
    <n v="12190"/>
    <x v="4"/>
  </r>
  <r>
    <n v="2"/>
    <s v="人员组织架构主数据"/>
    <s v="北森，SuccessFactor，EHR等"/>
    <n v="8"/>
    <n v="2300"/>
    <n v="18400"/>
    <n v="19504"/>
    <x v="4"/>
  </r>
  <r>
    <n v="3"/>
    <s v="CRM-HCP 医院数据"/>
    <s v="计划参会人，实际参会人场景；HCP讲者申请时候需要从HCP库里面选择；"/>
    <n v="10"/>
    <n v="2300"/>
    <n v="23000"/>
    <n v="24380"/>
    <x v="4"/>
  </r>
  <r>
    <n v="4"/>
    <s v="美团/滴滴/腾讯会议/e签宝集成"/>
    <s v="4个标准使用场景的配置集成和测试，预计各2.5人天"/>
    <n v="15"/>
    <n v="2300"/>
    <n v="34500"/>
    <n v="36570"/>
    <x v="4"/>
  </r>
  <r>
    <n v="5"/>
    <s v="与汇联易的对接接口"/>
    <s v="预算维度；单活动的立项阶段；单活动的关会阶段；三个主要的对接场景"/>
    <n v="15"/>
    <n v="2300"/>
    <n v="34500"/>
    <n v="3657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5138D-F0A8-4E3F-A7C9-A5AA2920AF17}" name="数据透视表1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rowHeaderCaption="分期">
  <location ref="A1:C6" firstHeaderRow="0" firstDataRow="1" firstDataCol="1"/>
  <pivotFields count="8">
    <pivotField showAll="0"/>
    <pivotField showAll="0"/>
    <pivotField showAll="0"/>
    <pivotField showAll="0"/>
    <pivotField showAll="0"/>
    <pivotField dataField="1" numFmtId="177" showAll="0"/>
    <pivotField dataField="1" numFmtId="177" showAll="0"/>
    <pivotField axis="axisRow" showAll="0">
      <items count="10">
        <item h="1" x="1"/>
        <item m="1" x="6"/>
        <item m="1" x="5"/>
        <item m="1" x="8"/>
        <item m="1" x="7"/>
        <item x="0"/>
        <item x="2"/>
        <item x="4"/>
        <item x="3"/>
        <item t="default"/>
      </items>
    </pivotField>
  </pivotFields>
  <rowFields count="1">
    <field x="7"/>
  </rowFields>
  <rowItems count="5"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税前总价" fld="5" baseField="6" baseItem="1" numFmtId="177"/>
    <dataField name="税后总价" fld="6" baseField="0" baseItem="0" numFmtId="177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7" type="button" dataOnly="0" labelOnly="1" outline="0" axis="axisRow" fieldPosition="0"/>
    </format>
    <format dxfId="14">
      <pivotArea dataOnly="0" labelOnly="1" fieldPosition="0">
        <references count="1">
          <reference field="7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CA34F-FCFB-47BD-AD0F-0BA205A27A26}">
  <sheetPr filterMode="1">
    <tabColor rgb="FF0070C0"/>
  </sheetPr>
  <dimension ref="A1:I33"/>
  <sheetViews>
    <sheetView tabSelected="1" zoomScale="85" zoomScaleNormal="85" workbookViewId="0">
      <pane ySplit="1" topLeftCell="A2" activePane="bottomLeft" state="frozen"/>
      <selection activeCell="H24" sqref="H24"/>
      <selection pane="bottomLeft" activeCell="A3" sqref="A3"/>
    </sheetView>
  </sheetViews>
  <sheetFormatPr defaultColWidth="9.109375" defaultRowHeight="17.399999999999999"/>
  <cols>
    <col min="1" max="1" width="11.44140625" style="176" bestFit="1" customWidth="1"/>
    <col min="2" max="2" width="33.6640625" style="239" customWidth="1"/>
    <col min="3" max="3" width="97" style="243" customWidth="1"/>
    <col min="4" max="4" width="11.5546875" style="175" customWidth="1"/>
    <col min="5" max="5" width="9.21875" style="130" customWidth="1"/>
    <col min="6" max="6" width="7.33203125" style="174" customWidth="1"/>
    <col min="7" max="7" width="11.21875" style="174" customWidth="1"/>
    <col min="8" max="8" width="9.88671875" style="175" customWidth="1"/>
    <col min="9" max="9" width="50.109375" style="174" customWidth="1"/>
    <col min="10" max="16384" width="9.109375" style="174"/>
  </cols>
  <sheetData>
    <row r="1" spans="1:9">
      <c r="A1" s="212" t="s">
        <v>17</v>
      </c>
      <c r="B1" s="235" t="s">
        <v>18</v>
      </c>
      <c r="C1" s="240" t="s">
        <v>19</v>
      </c>
      <c r="D1" s="212" t="s">
        <v>20</v>
      </c>
      <c r="E1" s="211" t="s">
        <v>21</v>
      </c>
      <c r="F1" s="210" t="s">
        <v>48</v>
      </c>
      <c r="G1" s="210" t="s">
        <v>129</v>
      </c>
      <c r="H1" s="210" t="s">
        <v>103</v>
      </c>
      <c r="I1" s="174" t="s">
        <v>124</v>
      </c>
    </row>
    <row r="2" spans="1:9" s="197" customFormat="1" ht="34.799999999999997">
      <c r="A2" s="202">
        <v>1</v>
      </c>
      <c r="B2" s="236" t="s">
        <v>22</v>
      </c>
      <c r="C2" s="236" t="s">
        <v>104</v>
      </c>
      <c r="D2" s="201">
        <v>20</v>
      </c>
      <c r="E2" s="200">
        <v>2300</v>
      </c>
      <c r="F2" s="199">
        <f t="shared" ref="F2:F23" si="0">D2*E2</f>
        <v>46000</v>
      </c>
      <c r="G2" s="199">
        <f t="shared" ref="G2:G29" si="1">F2*1.06</f>
        <v>48760</v>
      </c>
      <c r="H2" s="198" t="s">
        <v>139</v>
      </c>
    </row>
    <row r="3" spans="1:9" s="197" customFormat="1" ht="34.799999999999997">
      <c r="A3" s="202">
        <v>2</v>
      </c>
      <c r="B3" s="236" t="s">
        <v>49</v>
      </c>
      <c r="C3" s="236" t="s">
        <v>105</v>
      </c>
      <c r="D3" s="201">
        <v>10</v>
      </c>
      <c r="E3" s="200">
        <v>2300</v>
      </c>
      <c r="F3" s="199">
        <f t="shared" si="0"/>
        <v>23000</v>
      </c>
      <c r="G3" s="199">
        <f t="shared" si="1"/>
        <v>24380</v>
      </c>
      <c r="H3" s="198" t="s">
        <v>139</v>
      </c>
      <c r="I3" s="197" t="s">
        <v>122</v>
      </c>
    </row>
    <row r="4" spans="1:9" s="197" customFormat="1">
      <c r="A4" s="202">
        <v>3</v>
      </c>
      <c r="B4" s="236" t="s">
        <v>23</v>
      </c>
      <c r="C4" s="236" t="s">
        <v>50</v>
      </c>
      <c r="D4" s="201">
        <v>15</v>
      </c>
      <c r="E4" s="200">
        <v>2300</v>
      </c>
      <c r="F4" s="199">
        <f t="shared" si="0"/>
        <v>34500</v>
      </c>
      <c r="G4" s="199">
        <f t="shared" si="1"/>
        <v>36570</v>
      </c>
      <c r="H4" s="198" t="s">
        <v>138</v>
      </c>
    </row>
    <row r="5" spans="1:9" hidden="1">
      <c r="A5" s="209">
        <v>4</v>
      </c>
      <c r="B5" s="208" t="s">
        <v>102</v>
      </c>
      <c r="C5" s="207" t="s">
        <v>51</v>
      </c>
      <c r="D5" s="206"/>
      <c r="E5" s="205"/>
      <c r="F5" s="204">
        <f t="shared" si="0"/>
        <v>0</v>
      </c>
      <c r="G5" s="204">
        <f t="shared" si="1"/>
        <v>0</v>
      </c>
      <c r="H5" s="176">
        <v>0</v>
      </c>
      <c r="I5" s="176" t="s">
        <v>118</v>
      </c>
    </row>
    <row r="6" spans="1:9" s="197" customFormat="1" ht="34.799999999999997">
      <c r="A6" s="202">
        <v>5</v>
      </c>
      <c r="B6" s="236" t="s">
        <v>24</v>
      </c>
      <c r="C6" s="236" t="s">
        <v>52</v>
      </c>
      <c r="D6" s="201">
        <v>20</v>
      </c>
      <c r="E6" s="200">
        <v>2300</v>
      </c>
      <c r="F6" s="199">
        <f t="shared" si="0"/>
        <v>46000</v>
      </c>
      <c r="G6" s="199">
        <f t="shared" si="1"/>
        <v>48760</v>
      </c>
      <c r="H6" s="198" t="s">
        <v>138</v>
      </c>
    </row>
    <row r="7" spans="1:9" s="197" customFormat="1">
      <c r="A7" s="202">
        <v>6</v>
      </c>
      <c r="B7" s="236" t="s">
        <v>78</v>
      </c>
      <c r="C7" s="241" t="s">
        <v>25</v>
      </c>
      <c r="D7" s="201">
        <v>10</v>
      </c>
      <c r="E7" s="200">
        <v>2300</v>
      </c>
      <c r="F7" s="199">
        <f t="shared" si="0"/>
        <v>23000</v>
      </c>
      <c r="G7" s="199">
        <f t="shared" si="1"/>
        <v>24380</v>
      </c>
      <c r="H7" s="198" t="s">
        <v>138</v>
      </c>
    </row>
    <row r="8" spans="1:9" ht="34.799999999999997" hidden="1">
      <c r="A8" s="209">
        <v>7</v>
      </c>
      <c r="B8" s="208" t="s">
        <v>53</v>
      </c>
      <c r="C8" s="207" t="s">
        <v>54</v>
      </c>
      <c r="D8" s="206"/>
      <c r="E8" s="205">
        <v>2300</v>
      </c>
      <c r="F8" s="204">
        <f t="shared" si="0"/>
        <v>0</v>
      </c>
      <c r="G8" s="204">
        <f t="shared" si="1"/>
        <v>0</v>
      </c>
      <c r="H8" s="176">
        <v>0</v>
      </c>
      <c r="I8" s="176" t="s">
        <v>120</v>
      </c>
    </row>
    <row r="9" spans="1:9" ht="34.799999999999997">
      <c r="A9" s="195">
        <v>8</v>
      </c>
      <c r="B9" s="237" t="s">
        <v>85</v>
      </c>
      <c r="C9" s="237" t="s">
        <v>86</v>
      </c>
      <c r="D9" s="194">
        <v>15</v>
      </c>
      <c r="E9" s="193">
        <v>2300</v>
      </c>
      <c r="F9" s="192">
        <f t="shared" si="0"/>
        <v>34500</v>
      </c>
      <c r="G9" s="192">
        <f t="shared" si="1"/>
        <v>36570</v>
      </c>
      <c r="H9" s="175" t="s">
        <v>140</v>
      </c>
    </row>
    <row r="10" spans="1:9" s="197" customFormat="1" ht="34.799999999999997">
      <c r="A10" s="202">
        <v>9</v>
      </c>
      <c r="B10" s="236" t="s">
        <v>26</v>
      </c>
      <c r="C10" s="236" t="s">
        <v>106</v>
      </c>
      <c r="D10" s="201">
        <v>10</v>
      </c>
      <c r="E10" s="200">
        <v>2300</v>
      </c>
      <c r="F10" s="199">
        <f t="shared" si="0"/>
        <v>23000</v>
      </c>
      <c r="G10" s="199">
        <f t="shared" si="1"/>
        <v>24380</v>
      </c>
      <c r="H10" s="198" t="s">
        <v>138</v>
      </c>
    </row>
    <row r="11" spans="1:9" s="197" customFormat="1">
      <c r="A11" s="202">
        <v>10</v>
      </c>
      <c r="B11" s="236" t="s">
        <v>27</v>
      </c>
      <c r="C11" s="236" t="s">
        <v>107</v>
      </c>
      <c r="D11" s="201">
        <v>10</v>
      </c>
      <c r="E11" s="200">
        <v>2300</v>
      </c>
      <c r="F11" s="199">
        <f t="shared" si="0"/>
        <v>23000</v>
      </c>
      <c r="G11" s="199">
        <f t="shared" si="1"/>
        <v>24380</v>
      </c>
      <c r="H11" s="198" t="s">
        <v>138</v>
      </c>
    </row>
    <row r="12" spans="1:9" s="197" customFormat="1" ht="52.2">
      <c r="A12" s="202">
        <v>11</v>
      </c>
      <c r="B12" s="236" t="s">
        <v>108</v>
      </c>
      <c r="C12" s="236" t="s">
        <v>109</v>
      </c>
      <c r="D12" s="201">
        <v>10</v>
      </c>
      <c r="E12" s="200">
        <v>2300</v>
      </c>
      <c r="F12" s="199">
        <f t="shared" si="0"/>
        <v>23000</v>
      </c>
      <c r="G12" s="199">
        <f t="shared" si="1"/>
        <v>24380</v>
      </c>
      <c r="H12" s="198" t="s">
        <v>138</v>
      </c>
    </row>
    <row r="13" spans="1:9" s="197" customFormat="1" ht="52.2">
      <c r="A13" s="202">
        <v>12</v>
      </c>
      <c r="B13" s="236" t="s">
        <v>112</v>
      </c>
      <c r="C13" s="236" t="s">
        <v>111</v>
      </c>
      <c r="D13" s="201">
        <v>10</v>
      </c>
      <c r="E13" s="200">
        <v>2300</v>
      </c>
      <c r="F13" s="199">
        <f t="shared" si="0"/>
        <v>23000</v>
      </c>
      <c r="G13" s="199">
        <f t="shared" si="1"/>
        <v>24380</v>
      </c>
      <c r="H13" s="198" t="s">
        <v>138</v>
      </c>
      <c r="I13" s="203" t="s">
        <v>123</v>
      </c>
    </row>
    <row r="14" spans="1:9" s="197" customFormat="1" ht="34.799999999999997">
      <c r="A14" s="202">
        <v>13</v>
      </c>
      <c r="B14" s="236" t="s">
        <v>28</v>
      </c>
      <c r="C14" s="236" t="s">
        <v>29</v>
      </c>
      <c r="D14" s="201">
        <v>10</v>
      </c>
      <c r="E14" s="200">
        <v>2300</v>
      </c>
      <c r="F14" s="199">
        <f t="shared" si="0"/>
        <v>23000</v>
      </c>
      <c r="G14" s="199">
        <f t="shared" si="1"/>
        <v>24380</v>
      </c>
      <c r="H14" s="198" t="s">
        <v>138</v>
      </c>
    </row>
    <row r="15" spans="1:9" s="197" customFormat="1" ht="34.799999999999997">
      <c r="A15" s="202">
        <v>14</v>
      </c>
      <c r="B15" s="236" t="s">
        <v>55</v>
      </c>
      <c r="C15" s="236" t="s">
        <v>56</v>
      </c>
      <c r="D15" s="201">
        <v>10</v>
      </c>
      <c r="E15" s="200">
        <v>2300</v>
      </c>
      <c r="F15" s="199">
        <f t="shared" si="0"/>
        <v>23000</v>
      </c>
      <c r="G15" s="199">
        <f t="shared" si="1"/>
        <v>24380</v>
      </c>
      <c r="H15" s="198" t="s">
        <v>138</v>
      </c>
    </row>
    <row r="16" spans="1:9" s="233" customFormat="1" ht="34.799999999999997">
      <c r="A16" s="231">
        <v>15</v>
      </c>
      <c r="B16" s="252" t="s">
        <v>100</v>
      </c>
      <c r="C16" s="252" t="s">
        <v>57</v>
      </c>
      <c r="D16" s="253">
        <v>15</v>
      </c>
      <c r="E16" s="193">
        <v>2300</v>
      </c>
      <c r="F16" s="192">
        <f t="shared" si="0"/>
        <v>34500</v>
      </c>
      <c r="G16" s="192">
        <f t="shared" si="1"/>
        <v>36570</v>
      </c>
      <c r="H16" s="232" t="s">
        <v>141</v>
      </c>
    </row>
    <row r="17" spans="1:9" s="197" customFormat="1">
      <c r="A17" s="202">
        <v>16</v>
      </c>
      <c r="B17" s="236" t="s">
        <v>30</v>
      </c>
      <c r="C17" s="241" t="s">
        <v>58</v>
      </c>
      <c r="D17" s="201">
        <v>20</v>
      </c>
      <c r="E17" s="200">
        <v>2300</v>
      </c>
      <c r="F17" s="199">
        <f t="shared" si="0"/>
        <v>46000</v>
      </c>
      <c r="G17" s="199">
        <f t="shared" si="1"/>
        <v>48760</v>
      </c>
      <c r="H17" s="198" t="s">
        <v>138</v>
      </c>
    </row>
    <row r="18" spans="1:9" s="197" customFormat="1">
      <c r="A18" s="202">
        <v>17</v>
      </c>
      <c r="B18" s="236" t="s">
        <v>79</v>
      </c>
      <c r="C18" s="241" t="s">
        <v>87</v>
      </c>
      <c r="D18" s="201">
        <v>10</v>
      </c>
      <c r="E18" s="200">
        <v>2300</v>
      </c>
      <c r="F18" s="199">
        <f t="shared" si="0"/>
        <v>23000</v>
      </c>
      <c r="G18" s="199">
        <f t="shared" si="1"/>
        <v>24380</v>
      </c>
      <c r="H18" s="198" t="s">
        <v>138</v>
      </c>
    </row>
    <row r="19" spans="1:9" s="197" customFormat="1" ht="34.799999999999997">
      <c r="A19" s="202">
        <v>18</v>
      </c>
      <c r="B19" s="236" t="s">
        <v>59</v>
      </c>
      <c r="C19" s="236" t="s">
        <v>60</v>
      </c>
      <c r="D19" s="201">
        <v>15</v>
      </c>
      <c r="E19" s="200">
        <v>2300</v>
      </c>
      <c r="F19" s="199">
        <f t="shared" si="0"/>
        <v>34500</v>
      </c>
      <c r="G19" s="199">
        <f t="shared" si="1"/>
        <v>36570</v>
      </c>
      <c r="H19" s="198" t="s">
        <v>138</v>
      </c>
    </row>
    <row r="20" spans="1:9" s="197" customFormat="1" ht="34.799999999999997">
      <c r="A20" s="202">
        <v>19</v>
      </c>
      <c r="B20" s="236" t="s">
        <v>61</v>
      </c>
      <c r="C20" s="241" t="s">
        <v>114</v>
      </c>
      <c r="D20" s="201">
        <v>20</v>
      </c>
      <c r="E20" s="200">
        <v>2300</v>
      </c>
      <c r="F20" s="199">
        <f t="shared" si="0"/>
        <v>46000</v>
      </c>
      <c r="G20" s="199">
        <f t="shared" si="1"/>
        <v>48760</v>
      </c>
      <c r="H20" s="198" t="s">
        <v>138</v>
      </c>
    </row>
    <row r="21" spans="1:9" ht="34.799999999999997">
      <c r="A21" s="195">
        <v>20</v>
      </c>
      <c r="B21" s="237" t="s">
        <v>80</v>
      </c>
      <c r="C21" s="237" t="s">
        <v>119</v>
      </c>
      <c r="D21" s="194">
        <v>20</v>
      </c>
      <c r="E21" s="193">
        <v>2300</v>
      </c>
      <c r="F21" s="192">
        <f t="shared" si="0"/>
        <v>46000</v>
      </c>
      <c r="G21" s="192">
        <f t="shared" si="1"/>
        <v>48760</v>
      </c>
      <c r="H21" s="175" t="s">
        <v>140</v>
      </c>
      <c r="I21" s="196" t="s">
        <v>125</v>
      </c>
    </row>
    <row r="22" spans="1:9">
      <c r="A22" s="195">
        <v>21</v>
      </c>
      <c r="B22" s="237" t="s">
        <v>101</v>
      </c>
      <c r="C22" s="237" t="s">
        <v>31</v>
      </c>
      <c r="D22" s="194">
        <v>10</v>
      </c>
      <c r="E22" s="193">
        <v>2300</v>
      </c>
      <c r="F22" s="192">
        <f t="shared" si="0"/>
        <v>23000</v>
      </c>
      <c r="G22" s="192">
        <f t="shared" si="1"/>
        <v>24380</v>
      </c>
      <c r="H22" s="175" t="s">
        <v>140</v>
      </c>
    </row>
    <row r="23" spans="1:9" s="250" customFormat="1" ht="52.2">
      <c r="A23" s="244">
        <v>22</v>
      </c>
      <c r="B23" s="251" t="s">
        <v>115</v>
      </c>
      <c r="C23" s="245" t="s">
        <v>94</v>
      </c>
      <c r="D23" s="246">
        <v>0</v>
      </c>
      <c r="E23" s="247">
        <v>2300</v>
      </c>
      <c r="F23" s="248">
        <f t="shared" si="0"/>
        <v>0</v>
      </c>
      <c r="G23" s="248">
        <f t="shared" si="1"/>
        <v>0</v>
      </c>
      <c r="H23" s="249" t="s">
        <v>138</v>
      </c>
      <c r="I23" s="250" t="s">
        <v>116</v>
      </c>
    </row>
    <row r="24" spans="1:9" s="186" customFormat="1" ht="34.799999999999997" hidden="1">
      <c r="A24" s="191"/>
      <c r="B24" s="238" t="s">
        <v>128</v>
      </c>
      <c r="C24" s="242"/>
      <c r="D24" s="190"/>
      <c r="E24" s="189"/>
      <c r="F24" s="188">
        <v>110000</v>
      </c>
      <c r="G24" s="188">
        <f t="shared" si="1"/>
        <v>116600</v>
      </c>
      <c r="H24" s="187" t="s">
        <v>137</v>
      </c>
    </row>
    <row r="25" spans="1:9" hidden="1">
      <c r="A25" s="185">
        <v>1</v>
      </c>
      <c r="B25" s="234" t="s">
        <v>82</v>
      </c>
      <c r="C25" s="234" t="s">
        <v>88</v>
      </c>
      <c r="D25" s="184">
        <v>5</v>
      </c>
      <c r="E25" s="126">
        <v>2300</v>
      </c>
      <c r="F25" s="111">
        <f>D25*E25</f>
        <v>11500</v>
      </c>
      <c r="G25" s="111">
        <f t="shared" si="1"/>
        <v>12190</v>
      </c>
      <c r="H25" s="175" t="s">
        <v>135</v>
      </c>
    </row>
    <row r="26" spans="1:9" hidden="1">
      <c r="A26" s="185">
        <v>2</v>
      </c>
      <c r="B26" s="234" t="s">
        <v>89</v>
      </c>
      <c r="C26" s="234" t="s">
        <v>90</v>
      </c>
      <c r="D26" s="184">
        <v>8</v>
      </c>
      <c r="E26" s="126">
        <v>2300</v>
      </c>
      <c r="F26" s="111">
        <f>D26*E26</f>
        <v>18400</v>
      </c>
      <c r="G26" s="111">
        <f t="shared" si="1"/>
        <v>19504</v>
      </c>
      <c r="H26" s="175" t="s">
        <v>135</v>
      </c>
    </row>
    <row r="27" spans="1:9" hidden="1">
      <c r="A27" s="185">
        <v>3</v>
      </c>
      <c r="B27" s="234" t="s">
        <v>81</v>
      </c>
      <c r="C27" s="234" t="s">
        <v>91</v>
      </c>
      <c r="D27" s="184">
        <v>10</v>
      </c>
      <c r="E27" s="126">
        <v>2300</v>
      </c>
      <c r="F27" s="111">
        <f>D27*E27</f>
        <v>23000</v>
      </c>
      <c r="G27" s="111">
        <f t="shared" si="1"/>
        <v>24380</v>
      </c>
      <c r="H27" s="175" t="s">
        <v>135</v>
      </c>
    </row>
    <row r="28" spans="1:9" hidden="1">
      <c r="A28" s="185">
        <v>4</v>
      </c>
      <c r="B28" s="234" t="s">
        <v>84</v>
      </c>
      <c r="C28" s="234" t="s">
        <v>92</v>
      </c>
      <c r="D28" s="184">
        <v>15</v>
      </c>
      <c r="E28" s="126">
        <v>2300</v>
      </c>
      <c r="F28" s="111">
        <f>D28*E28</f>
        <v>34500</v>
      </c>
      <c r="G28" s="111">
        <f t="shared" si="1"/>
        <v>36570</v>
      </c>
      <c r="H28" s="175" t="s">
        <v>135</v>
      </c>
    </row>
    <row r="29" spans="1:9" hidden="1">
      <c r="A29" s="185">
        <v>5</v>
      </c>
      <c r="B29" s="234" t="s">
        <v>83</v>
      </c>
      <c r="C29" s="234" t="s">
        <v>93</v>
      </c>
      <c r="D29" s="184">
        <v>15</v>
      </c>
      <c r="E29" s="126">
        <v>2300</v>
      </c>
      <c r="F29" s="111">
        <f>D29*E29</f>
        <v>34500</v>
      </c>
      <c r="G29" s="111">
        <f t="shared" si="1"/>
        <v>36570</v>
      </c>
      <c r="H29" s="175" t="s">
        <v>135</v>
      </c>
    </row>
    <row r="30" spans="1:9" hidden="1">
      <c r="A30" s="218" t="s">
        <v>68</v>
      </c>
      <c r="B30" s="218"/>
      <c r="C30" s="218"/>
      <c r="D30" s="183">
        <f>SUM(D2:D29)</f>
        <v>313</v>
      </c>
      <c r="E30" s="182">
        <v>2300</v>
      </c>
      <c r="F30" s="181">
        <f>SUM(F2:F29)</f>
        <v>829900</v>
      </c>
      <c r="G30" s="181">
        <f>SUM(G2:G29)</f>
        <v>879694</v>
      </c>
    </row>
    <row r="31" spans="1:9" hidden="1">
      <c r="A31" s="218" t="s">
        <v>69</v>
      </c>
      <c r="B31" s="218"/>
      <c r="C31" s="218"/>
      <c r="D31" s="180"/>
      <c r="E31" s="179"/>
      <c r="F31" s="178">
        <f>F30*1.06</f>
        <v>879694</v>
      </c>
      <c r="G31" s="178"/>
    </row>
    <row r="33" spans="6:7">
      <c r="F33" s="177"/>
      <c r="G33" s="177"/>
    </row>
  </sheetData>
  <autoFilter ref="A1:I31" xr:uid="{00000000-0001-0000-0100-000000000000}">
    <filterColumn colId="7">
      <filters>
        <filter val="二期"/>
        <filter val="一期"/>
      </filters>
    </filterColumn>
  </autoFilter>
  <mergeCells count="2">
    <mergeCell ref="A30:C30"/>
    <mergeCell ref="A31:C31"/>
  </mergeCells>
  <phoneticPr fontId="1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A1A8-E696-44B8-B5FD-70DAA63E7804}">
  <dimension ref="A1:C6"/>
  <sheetViews>
    <sheetView zoomScaleNormal="100" workbookViewId="0">
      <selection activeCell="B4" sqref="B4"/>
    </sheetView>
  </sheetViews>
  <sheetFormatPr defaultRowHeight="13.8"/>
  <cols>
    <col min="1" max="1" width="15.5546875" style="213" bestFit="1" customWidth="1"/>
    <col min="2" max="3" width="16.88671875" style="213" bestFit="1" customWidth="1"/>
    <col min="4" max="16384" width="8.88671875" style="213"/>
  </cols>
  <sheetData>
    <row r="1" spans="1:3" ht="22.8">
      <c r="A1" s="214" t="s">
        <v>132</v>
      </c>
      <c r="B1" s="215" t="s">
        <v>131</v>
      </c>
      <c r="C1" s="215" t="s">
        <v>133</v>
      </c>
    </row>
    <row r="2" spans="1:3" ht="22.8">
      <c r="A2" s="216" t="s">
        <v>138</v>
      </c>
      <c r="B2" s="217">
        <v>460000</v>
      </c>
      <c r="C2" s="217">
        <v>487600</v>
      </c>
    </row>
    <row r="3" spans="1:3" ht="22.8">
      <c r="A3" s="216" t="s">
        <v>140</v>
      </c>
      <c r="B3" s="217">
        <v>138000</v>
      </c>
      <c r="C3" s="217">
        <v>146280</v>
      </c>
    </row>
    <row r="4" spans="1:3" ht="22.8">
      <c r="A4" s="216" t="s">
        <v>134</v>
      </c>
      <c r="B4" s="217">
        <v>121900</v>
      </c>
      <c r="C4" s="217">
        <v>129214</v>
      </c>
    </row>
    <row r="5" spans="1:3" ht="22.8">
      <c r="A5" s="216" t="s">
        <v>136</v>
      </c>
      <c r="B5" s="217">
        <v>110000</v>
      </c>
      <c r="C5" s="217">
        <v>116600</v>
      </c>
    </row>
    <row r="6" spans="1:3" ht="22.8">
      <c r="A6" s="216" t="s">
        <v>130</v>
      </c>
      <c r="B6" s="217">
        <v>829900</v>
      </c>
      <c r="C6" s="217">
        <v>879694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H33"/>
  <sheetViews>
    <sheetView zoomScale="70" zoomScaleNormal="70" workbookViewId="0">
      <pane ySplit="1" topLeftCell="A2" activePane="bottomLeft" state="frozen"/>
      <selection pane="bottomLeft" activeCell="B12" sqref="B12"/>
    </sheetView>
  </sheetViews>
  <sheetFormatPr defaultColWidth="9.109375" defaultRowHeight="17.399999999999999"/>
  <cols>
    <col min="1" max="1" width="8.6640625" style="97" customWidth="1"/>
    <col min="2" max="2" width="41.88671875" style="8" customWidth="1"/>
    <col min="3" max="3" width="134" style="8" customWidth="1"/>
    <col min="4" max="4" width="15.109375" style="105" customWidth="1"/>
    <col min="5" max="5" width="11.44140625" style="130" customWidth="1"/>
    <col min="6" max="6" width="18.5546875" style="8" customWidth="1"/>
    <col min="7" max="7" width="29.88671875" style="105" customWidth="1"/>
    <col min="8" max="8" width="50.109375" style="8" customWidth="1"/>
    <col min="9" max="16384" width="9.109375" style="8"/>
  </cols>
  <sheetData>
    <row r="1" spans="1:8">
      <c r="A1" s="95" t="s">
        <v>17</v>
      </c>
      <c r="B1" s="6" t="s">
        <v>18</v>
      </c>
      <c r="C1" s="6" t="s">
        <v>19</v>
      </c>
      <c r="D1" s="95" t="s">
        <v>20</v>
      </c>
      <c r="E1" s="121" t="s">
        <v>21</v>
      </c>
      <c r="F1" s="7" t="s">
        <v>48</v>
      </c>
      <c r="G1" s="7" t="s">
        <v>103</v>
      </c>
      <c r="H1" s="8" t="s">
        <v>124</v>
      </c>
    </row>
    <row r="2" spans="1:8" ht="39" customHeight="1">
      <c r="A2" s="9">
        <v>1</v>
      </c>
      <c r="B2" s="10" t="s">
        <v>22</v>
      </c>
      <c r="C2" s="10" t="s">
        <v>104</v>
      </c>
      <c r="D2" s="99">
        <v>20</v>
      </c>
      <c r="E2" s="122">
        <v>2300</v>
      </c>
      <c r="F2" s="11">
        <f>D2*E2</f>
        <v>46000</v>
      </c>
      <c r="G2" s="105" t="s">
        <v>110</v>
      </c>
    </row>
    <row r="3" spans="1:8" ht="27.45" customHeight="1">
      <c r="A3" s="158">
        <v>2</v>
      </c>
      <c r="B3" s="159" t="s">
        <v>49</v>
      </c>
      <c r="C3" s="160" t="s">
        <v>105</v>
      </c>
      <c r="D3" s="161">
        <v>10</v>
      </c>
      <c r="E3" s="162">
        <v>2300</v>
      </c>
      <c r="F3" s="163">
        <f t="shared" ref="F3:F23" si="0">D3*E3</f>
        <v>23000</v>
      </c>
      <c r="G3" s="164" t="s">
        <v>110</v>
      </c>
      <c r="H3" s="8" t="s">
        <v>122</v>
      </c>
    </row>
    <row r="4" spans="1:8" ht="22.95" customHeight="1">
      <c r="A4" s="9">
        <v>3</v>
      </c>
      <c r="B4" s="12" t="s">
        <v>23</v>
      </c>
      <c r="C4" s="10" t="s">
        <v>50</v>
      </c>
      <c r="D4" s="99">
        <v>15</v>
      </c>
      <c r="E4" s="122">
        <v>2300</v>
      </c>
      <c r="F4" s="11">
        <f t="shared" si="0"/>
        <v>34500</v>
      </c>
      <c r="G4" s="105" t="s">
        <v>110</v>
      </c>
    </row>
    <row r="5" spans="1:8" ht="37.950000000000003" customHeight="1">
      <c r="A5" s="91">
        <v>4</v>
      </c>
      <c r="B5" s="92" t="s">
        <v>102</v>
      </c>
      <c r="C5" s="93" t="s">
        <v>51</v>
      </c>
      <c r="D5" s="100"/>
      <c r="E5" s="123"/>
      <c r="F5" s="94">
        <f t="shared" si="0"/>
        <v>0</v>
      </c>
      <c r="G5" s="97" t="s">
        <v>118</v>
      </c>
    </row>
    <row r="6" spans="1:8" ht="22.05" customHeight="1">
      <c r="A6" s="9">
        <v>5</v>
      </c>
      <c r="B6" s="12" t="s">
        <v>24</v>
      </c>
      <c r="C6" s="10" t="s">
        <v>52</v>
      </c>
      <c r="D6" s="99">
        <v>20</v>
      </c>
      <c r="E6" s="122">
        <v>2300</v>
      </c>
      <c r="F6" s="11">
        <f t="shared" si="0"/>
        <v>46000</v>
      </c>
      <c r="G6" s="105" t="s">
        <v>110</v>
      </c>
    </row>
    <row r="7" spans="1:8" ht="24.45" customHeight="1">
      <c r="A7" s="9">
        <v>6</v>
      </c>
      <c r="B7" s="12" t="s">
        <v>78</v>
      </c>
      <c r="C7" s="12" t="s">
        <v>25</v>
      </c>
      <c r="D7" s="99">
        <v>10</v>
      </c>
      <c r="E7" s="122">
        <v>2300</v>
      </c>
      <c r="F7" s="11">
        <f t="shared" si="0"/>
        <v>23000</v>
      </c>
      <c r="G7" s="105" t="s">
        <v>110</v>
      </c>
    </row>
    <row r="8" spans="1:8" ht="30" customHeight="1">
      <c r="A8" s="91">
        <v>7</v>
      </c>
      <c r="B8" s="92" t="s">
        <v>53</v>
      </c>
      <c r="C8" s="93" t="s">
        <v>54</v>
      </c>
      <c r="D8" s="100"/>
      <c r="E8" s="123">
        <v>2300</v>
      </c>
      <c r="F8" s="94">
        <f t="shared" si="0"/>
        <v>0</v>
      </c>
      <c r="G8" s="97" t="s">
        <v>120</v>
      </c>
    </row>
    <row r="9" spans="1:8" ht="27.45" customHeight="1">
      <c r="A9" s="143">
        <v>8</v>
      </c>
      <c r="B9" s="144" t="s">
        <v>85</v>
      </c>
      <c r="C9" s="145" t="s">
        <v>86</v>
      </c>
      <c r="D9" s="146">
        <v>15</v>
      </c>
      <c r="E9" s="147">
        <v>2300</v>
      </c>
      <c r="F9" s="148">
        <f t="shared" si="0"/>
        <v>34500</v>
      </c>
      <c r="G9" s="105" t="s">
        <v>110</v>
      </c>
    </row>
    <row r="10" spans="1:8">
      <c r="A10" s="9">
        <v>9</v>
      </c>
      <c r="B10" s="12" t="s">
        <v>26</v>
      </c>
      <c r="C10" s="10" t="s">
        <v>106</v>
      </c>
      <c r="D10" s="99">
        <v>10</v>
      </c>
      <c r="E10" s="122">
        <v>2300</v>
      </c>
      <c r="F10" s="11">
        <f t="shared" si="0"/>
        <v>23000</v>
      </c>
      <c r="G10" s="105" t="s">
        <v>110</v>
      </c>
    </row>
    <row r="11" spans="1:8" ht="24.45" customHeight="1">
      <c r="A11" s="9">
        <v>10</v>
      </c>
      <c r="B11" s="12" t="s">
        <v>27</v>
      </c>
      <c r="C11" s="12" t="s">
        <v>107</v>
      </c>
      <c r="D11" s="99">
        <v>10</v>
      </c>
      <c r="E11" s="122">
        <v>2300</v>
      </c>
      <c r="F11" s="11">
        <f t="shared" si="0"/>
        <v>23000</v>
      </c>
      <c r="G11" s="105" t="s">
        <v>110</v>
      </c>
    </row>
    <row r="12" spans="1:8" ht="34.950000000000003" customHeight="1">
      <c r="A12" s="106">
        <v>11</v>
      </c>
      <c r="B12" s="107" t="s">
        <v>108</v>
      </c>
      <c r="C12" s="149" t="s">
        <v>109</v>
      </c>
      <c r="D12" s="108">
        <v>10</v>
      </c>
      <c r="E12" s="124">
        <v>2300</v>
      </c>
      <c r="F12" s="109">
        <f t="shared" si="0"/>
        <v>23000</v>
      </c>
      <c r="G12" s="105" t="s">
        <v>110</v>
      </c>
    </row>
    <row r="13" spans="1:8" ht="36.450000000000003" customHeight="1">
      <c r="A13" s="158">
        <v>12</v>
      </c>
      <c r="B13" s="159" t="s">
        <v>112</v>
      </c>
      <c r="C13" s="160" t="s">
        <v>111</v>
      </c>
      <c r="D13" s="161">
        <v>10</v>
      </c>
      <c r="E13" s="162">
        <v>2300</v>
      </c>
      <c r="F13" s="163">
        <f t="shared" si="0"/>
        <v>23000</v>
      </c>
      <c r="G13" s="164" t="s">
        <v>110</v>
      </c>
      <c r="H13" s="173" t="s">
        <v>123</v>
      </c>
    </row>
    <row r="14" spans="1:8" ht="24.45" customHeight="1">
      <c r="A14" s="9">
        <v>13</v>
      </c>
      <c r="B14" s="12" t="s">
        <v>28</v>
      </c>
      <c r="C14" s="10" t="s">
        <v>29</v>
      </c>
      <c r="D14" s="99">
        <v>10</v>
      </c>
      <c r="E14" s="122">
        <v>2300</v>
      </c>
      <c r="F14" s="11">
        <f t="shared" ref="F14" si="1">D14*E14</f>
        <v>23000</v>
      </c>
      <c r="G14" s="105" t="s">
        <v>110</v>
      </c>
    </row>
    <row r="15" spans="1:8" ht="34.799999999999997">
      <c r="A15" s="106">
        <v>14</v>
      </c>
      <c r="B15" s="10" t="s">
        <v>55</v>
      </c>
      <c r="C15" s="10" t="s">
        <v>56</v>
      </c>
      <c r="D15" s="99">
        <v>10</v>
      </c>
      <c r="E15" s="122">
        <v>2300</v>
      </c>
      <c r="F15" s="11">
        <f t="shared" si="0"/>
        <v>23000</v>
      </c>
      <c r="G15" s="105" t="s">
        <v>110</v>
      </c>
    </row>
    <row r="16" spans="1:8" ht="33.450000000000003" customHeight="1">
      <c r="A16" s="9">
        <v>15</v>
      </c>
      <c r="B16" s="145" t="s">
        <v>100</v>
      </c>
      <c r="C16" s="145" t="s">
        <v>57</v>
      </c>
      <c r="D16" s="146">
        <v>15</v>
      </c>
      <c r="E16" s="147">
        <v>2300</v>
      </c>
      <c r="F16" s="148">
        <f t="shared" si="0"/>
        <v>34500</v>
      </c>
      <c r="G16" s="105" t="s">
        <v>110</v>
      </c>
    </row>
    <row r="17" spans="1:8" ht="28.5" customHeight="1">
      <c r="A17" s="106">
        <v>16</v>
      </c>
      <c r="B17" s="12" t="s">
        <v>30</v>
      </c>
      <c r="C17" s="12" t="s">
        <v>58</v>
      </c>
      <c r="D17" s="99">
        <v>20</v>
      </c>
      <c r="E17" s="122">
        <v>2300</v>
      </c>
      <c r="F17" s="11">
        <f t="shared" si="0"/>
        <v>46000</v>
      </c>
      <c r="G17" s="105" t="s">
        <v>110</v>
      </c>
    </row>
    <row r="18" spans="1:8" ht="37.049999999999997" customHeight="1">
      <c r="A18" s="9">
        <v>17</v>
      </c>
      <c r="B18" s="12" t="s">
        <v>79</v>
      </c>
      <c r="C18" s="12" t="s">
        <v>87</v>
      </c>
      <c r="D18" s="99">
        <v>10</v>
      </c>
      <c r="E18" s="122">
        <v>2300</v>
      </c>
      <c r="F18" s="11">
        <f t="shared" si="0"/>
        <v>23000</v>
      </c>
      <c r="G18" s="105" t="s">
        <v>110</v>
      </c>
    </row>
    <row r="19" spans="1:8" ht="31.05" customHeight="1">
      <c r="A19" s="106">
        <v>18</v>
      </c>
      <c r="B19" s="12" t="s">
        <v>59</v>
      </c>
      <c r="C19" s="10" t="s">
        <v>60</v>
      </c>
      <c r="D19" s="99">
        <v>15</v>
      </c>
      <c r="E19" s="122">
        <v>2300</v>
      </c>
      <c r="F19" s="11">
        <f t="shared" si="0"/>
        <v>34500</v>
      </c>
      <c r="G19" s="105" t="s">
        <v>110</v>
      </c>
    </row>
    <row r="20" spans="1:8" ht="35.549999999999997" customHeight="1">
      <c r="A20" s="9">
        <v>19</v>
      </c>
      <c r="B20" s="10" t="s">
        <v>61</v>
      </c>
      <c r="C20" s="12" t="s">
        <v>114</v>
      </c>
      <c r="D20" s="99">
        <v>20</v>
      </c>
      <c r="E20" s="122">
        <v>2300</v>
      </c>
      <c r="F20" s="11">
        <f t="shared" si="0"/>
        <v>46000</v>
      </c>
      <c r="G20" s="105" t="s">
        <v>110</v>
      </c>
    </row>
    <row r="21" spans="1:8" ht="44.55" customHeight="1">
      <c r="A21" s="165">
        <v>20</v>
      </c>
      <c r="B21" s="166" t="s">
        <v>80</v>
      </c>
      <c r="C21" s="167" t="s">
        <v>119</v>
      </c>
      <c r="D21" s="168">
        <v>20</v>
      </c>
      <c r="E21" s="169">
        <v>2300</v>
      </c>
      <c r="F21" s="170">
        <f t="shared" si="0"/>
        <v>46000</v>
      </c>
      <c r="G21" s="164" t="s">
        <v>110</v>
      </c>
      <c r="H21" s="173" t="s">
        <v>125</v>
      </c>
    </row>
    <row r="22" spans="1:8" ht="31.05" customHeight="1">
      <c r="A22" s="143">
        <v>21</v>
      </c>
      <c r="B22" s="144" t="s">
        <v>101</v>
      </c>
      <c r="C22" s="145" t="s">
        <v>31</v>
      </c>
      <c r="D22" s="146">
        <v>10</v>
      </c>
      <c r="E22" s="147">
        <v>2300</v>
      </c>
      <c r="F22" s="148">
        <f t="shared" si="0"/>
        <v>23000</v>
      </c>
      <c r="G22" s="105" t="s">
        <v>110</v>
      </c>
    </row>
    <row r="23" spans="1:8" s="13" customFormat="1" ht="42" customHeight="1">
      <c r="A23" s="150">
        <v>22</v>
      </c>
      <c r="B23" s="18" t="s">
        <v>115</v>
      </c>
      <c r="C23" s="98" t="s">
        <v>94</v>
      </c>
      <c r="D23" s="151">
        <v>60</v>
      </c>
      <c r="E23" s="152">
        <v>2300</v>
      </c>
      <c r="F23" s="153">
        <f t="shared" si="0"/>
        <v>138000</v>
      </c>
      <c r="G23" s="154" t="s">
        <v>110</v>
      </c>
      <c r="H23" s="13" t="s">
        <v>116</v>
      </c>
    </row>
    <row r="24" spans="1:8">
      <c r="A24" s="219" t="s">
        <v>62</v>
      </c>
      <c r="B24" s="219"/>
      <c r="C24" s="219"/>
      <c r="D24" s="155">
        <f>SUM(D2:D23)</f>
        <v>320</v>
      </c>
      <c r="E24" s="156">
        <v>2300</v>
      </c>
      <c r="F24" s="157">
        <f>D24*E24</f>
        <v>736000</v>
      </c>
      <c r="G24" s="172"/>
    </row>
    <row r="25" spans="1:8" ht="18" customHeight="1">
      <c r="A25" s="96" t="s">
        <v>63</v>
      </c>
      <c r="B25" s="14" t="s">
        <v>63</v>
      </c>
      <c r="C25" s="14" t="s">
        <v>64</v>
      </c>
      <c r="D25" s="96" t="s">
        <v>65</v>
      </c>
      <c r="E25" s="121" t="s">
        <v>66</v>
      </c>
      <c r="F25" s="14" t="s">
        <v>113</v>
      </c>
    </row>
    <row r="26" spans="1:8" ht="29.55" customHeight="1">
      <c r="A26" s="113">
        <v>1</v>
      </c>
      <c r="B26" s="16" t="s">
        <v>82</v>
      </c>
      <c r="C26" s="16" t="s">
        <v>88</v>
      </c>
      <c r="D26" s="101">
        <v>5</v>
      </c>
      <c r="E26" s="125">
        <v>2300</v>
      </c>
      <c r="F26" s="15">
        <f>D26*E26</f>
        <v>11500</v>
      </c>
      <c r="G26" s="105" t="s">
        <v>110</v>
      </c>
    </row>
    <row r="27" spans="1:8" ht="29.55" customHeight="1">
      <c r="A27" s="113">
        <v>2</v>
      </c>
      <c r="B27" s="16" t="s">
        <v>89</v>
      </c>
      <c r="C27" s="16" t="s">
        <v>90</v>
      </c>
      <c r="D27" s="101">
        <v>8</v>
      </c>
      <c r="E27" s="125">
        <v>2300</v>
      </c>
      <c r="F27" s="15">
        <f t="shared" ref="F27:F30" si="2">D27*E27</f>
        <v>18400</v>
      </c>
      <c r="G27" s="105" t="s">
        <v>110</v>
      </c>
    </row>
    <row r="28" spans="1:8" ht="29.55" customHeight="1">
      <c r="A28" s="113">
        <v>3</v>
      </c>
      <c r="B28" s="16" t="s">
        <v>81</v>
      </c>
      <c r="C28" s="16" t="s">
        <v>91</v>
      </c>
      <c r="D28" s="101">
        <v>10</v>
      </c>
      <c r="E28" s="125">
        <v>2300</v>
      </c>
      <c r="F28" s="15">
        <f t="shared" si="2"/>
        <v>23000</v>
      </c>
      <c r="G28" s="105" t="s">
        <v>110</v>
      </c>
    </row>
    <row r="29" spans="1:8" ht="29.55" customHeight="1">
      <c r="A29" s="114">
        <v>4</v>
      </c>
      <c r="B29" s="112" t="s">
        <v>84</v>
      </c>
      <c r="C29" s="112" t="s">
        <v>92</v>
      </c>
      <c r="D29" s="110">
        <v>15</v>
      </c>
      <c r="E29" s="126">
        <v>2300</v>
      </c>
      <c r="F29" s="111">
        <f t="shared" si="2"/>
        <v>34500</v>
      </c>
      <c r="G29" s="105" t="s">
        <v>110</v>
      </c>
    </row>
    <row r="30" spans="1:8" ht="29.55" customHeight="1">
      <c r="A30" s="113">
        <v>5</v>
      </c>
      <c r="B30" s="16" t="s">
        <v>83</v>
      </c>
      <c r="C30" s="16" t="s">
        <v>93</v>
      </c>
      <c r="D30" s="101">
        <v>15</v>
      </c>
      <c r="E30" s="125">
        <v>2300</v>
      </c>
      <c r="F30" s="15">
        <f t="shared" si="2"/>
        <v>34500</v>
      </c>
      <c r="G30" s="105" t="s">
        <v>110</v>
      </c>
    </row>
    <row r="31" spans="1:8">
      <c r="A31" s="219" t="s">
        <v>67</v>
      </c>
      <c r="B31" s="219"/>
      <c r="C31" s="219"/>
      <c r="D31" s="102">
        <f>SUM(D26:D30)</f>
        <v>53</v>
      </c>
      <c r="E31" s="127">
        <v>2300</v>
      </c>
      <c r="F31" s="17">
        <f>D31*E31</f>
        <v>121900</v>
      </c>
    </row>
    <row r="32" spans="1:8">
      <c r="A32" s="220" t="s">
        <v>68</v>
      </c>
      <c r="B32" s="220"/>
      <c r="C32" s="220"/>
      <c r="D32" s="103">
        <f>D24+D31</f>
        <v>373</v>
      </c>
      <c r="E32" s="128">
        <v>2300</v>
      </c>
      <c r="F32" s="90">
        <f>F24+F31</f>
        <v>857900</v>
      </c>
    </row>
    <row r="33" spans="1:6">
      <c r="A33" s="220" t="s">
        <v>69</v>
      </c>
      <c r="B33" s="220"/>
      <c r="C33" s="220"/>
      <c r="D33" s="104"/>
      <c r="E33" s="129"/>
      <c r="F33" s="89">
        <f>F32*1.06</f>
        <v>909374</v>
      </c>
    </row>
  </sheetData>
  <autoFilter ref="A1:H33" xr:uid="{00000000-0001-0000-0100-000000000000}"/>
  <mergeCells count="4">
    <mergeCell ref="A24:C24"/>
    <mergeCell ref="A31:C31"/>
    <mergeCell ref="A32:C32"/>
    <mergeCell ref="A33:C33"/>
  </mergeCells>
  <phoneticPr fontId="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5570-C325-4C73-8438-1C44F6FFC848}">
  <sheetPr>
    <tabColor rgb="FF00B050"/>
    <pageSetUpPr fitToPage="1"/>
  </sheetPr>
  <dimension ref="B1:L23"/>
  <sheetViews>
    <sheetView showGridLines="0" zoomScale="70" zoomScaleNormal="70" zoomScalePageLayoutView="85" workbookViewId="0">
      <selection activeCell="G11" sqref="G11"/>
    </sheetView>
  </sheetViews>
  <sheetFormatPr defaultColWidth="8.6640625" defaultRowHeight="15.6"/>
  <cols>
    <col min="1" max="1" width="2.33203125" style="19" customWidth="1"/>
    <col min="2" max="2" width="5.109375" style="19" customWidth="1"/>
    <col min="3" max="3" width="28.6640625" style="19" customWidth="1"/>
    <col min="4" max="4" width="20.6640625" style="19" customWidth="1"/>
    <col min="5" max="5" width="55.33203125" style="19" customWidth="1"/>
    <col min="6" max="6" width="16.33203125" style="19" customWidth="1"/>
    <col min="7" max="7" width="12.44140625" style="19" customWidth="1"/>
    <col min="8" max="8" width="11.77734375" style="27" customWidth="1"/>
    <col min="9" max="9" width="23.44140625" style="19" customWidth="1"/>
    <col min="10" max="10" width="18.77734375" style="19" bestFit="1" customWidth="1"/>
    <col min="11" max="11" width="12.6640625" style="19" customWidth="1"/>
    <col min="12" max="12" width="15.77734375" style="19" bestFit="1" customWidth="1"/>
    <col min="13" max="16384" width="8.6640625" style="19"/>
  </cols>
  <sheetData>
    <row r="1" spans="2:12">
      <c r="B1" s="28"/>
      <c r="C1" s="29"/>
      <c r="D1" s="29"/>
      <c r="E1" s="29"/>
      <c r="F1" s="29"/>
      <c r="G1" s="29"/>
      <c r="H1" s="30"/>
      <c r="I1" s="29"/>
      <c r="J1" s="29"/>
      <c r="K1" s="31"/>
    </row>
    <row r="2" spans="2:12" ht="24.45" customHeight="1">
      <c r="B2" s="32"/>
      <c r="C2" s="221" t="s">
        <v>97</v>
      </c>
      <c r="D2" s="222"/>
      <c r="E2" s="222"/>
      <c r="F2" s="222"/>
      <c r="G2" s="222"/>
      <c r="H2" s="222"/>
      <c r="I2" s="223"/>
      <c r="J2" s="222"/>
      <c r="K2" s="34"/>
    </row>
    <row r="3" spans="2:12" ht="16.2">
      <c r="B3" s="32"/>
      <c r="C3" s="35"/>
      <c r="D3" s="36"/>
      <c r="E3" s="37"/>
      <c r="F3" s="38"/>
      <c r="G3" s="38"/>
      <c r="H3" s="39"/>
      <c r="I3" s="38"/>
      <c r="J3" s="40"/>
      <c r="K3" s="34"/>
    </row>
    <row r="4" spans="2:12" ht="16.2">
      <c r="B4" s="32"/>
      <c r="C4" s="35"/>
      <c r="D4" s="36"/>
      <c r="E4" s="37"/>
      <c r="F4" s="38"/>
      <c r="G4" s="38"/>
      <c r="H4" s="39"/>
      <c r="I4" s="38"/>
      <c r="J4" s="40"/>
      <c r="K4" s="34"/>
    </row>
    <row r="5" spans="2:12">
      <c r="B5" s="32"/>
      <c r="C5" s="38"/>
      <c r="D5" s="41"/>
      <c r="E5" s="41"/>
      <c r="F5" s="41"/>
      <c r="G5" s="41"/>
      <c r="H5" s="42"/>
      <c r="I5" s="41"/>
      <c r="J5" s="38"/>
      <c r="K5" s="34"/>
    </row>
    <row r="6" spans="2:12" ht="21" customHeight="1">
      <c r="B6" s="32"/>
      <c r="C6" s="20" t="s">
        <v>70</v>
      </c>
      <c r="D6" s="21"/>
      <c r="E6" s="22" t="s">
        <v>0</v>
      </c>
      <c r="F6" s="23" t="s">
        <v>1</v>
      </c>
      <c r="G6" s="23" t="s">
        <v>2</v>
      </c>
      <c r="H6" s="24" t="s">
        <v>3</v>
      </c>
      <c r="I6" s="23" t="s">
        <v>4</v>
      </c>
      <c r="J6" s="25" t="s">
        <v>71</v>
      </c>
      <c r="K6" s="34"/>
    </row>
    <row r="7" spans="2:12" ht="16.2">
      <c r="B7" s="32"/>
      <c r="C7" s="43"/>
      <c r="D7" s="44"/>
      <c r="E7" s="45"/>
      <c r="F7" s="44"/>
      <c r="G7" s="44"/>
      <c r="H7" s="46"/>
      <c r="I7" s="44"/>
      <c r="J7" s="47"/>
      <c r="K7" s="34"/>
    </row>
    <row r="8" spans="2:12" ht="16.2">
      <c r="B8" s="32"/>
      <c r="C8" s="43" t="s">
        <v>5</v>
      </c>
      <c r="D8" s="48"/>
      <c r="E8" s="45"/>
      <c r="F8" s="44"/>
      <c r="G8" s="44"/>
      <c r="H8" s="46"/>
      <c r="I8" s="44"/>
      <c r="J8" s="47"/>
      <c r="K8" s="34"/>
    </row>
    <row r="9" spans="2:12" ht="16.2">
      <c r="B9" s="32"/>
      <c r="C9" s="49"/>
      <c r="D9" s="33"/>
      <c r="E9" s="33"/>
      <c r="F9" s="33"/>
      <c r="G9" s="33"/>
      <c r="H9" s="50"/>
      <c r="I9" s="33"/>
      <c r="J9" s="51"/>
      <c r="K9" s="34"/>
    </row>
    <row r="10" spans="2:12" ht="43.95" customHeight="1">
      <c r="B10" s="32"/>
      <c r="C10" s="83" t="s">
        <v>72</v>
      </c>
      <c r="D10" s="52" t="s">
        <v>6</v>
      </c>
      <c r="E10" s="53" t="s">
        <v>47</v>
      </c>
      <c r="F10" s="54" t="s">
        <v>7</v>
      </c>
      <c r="G10" s="141">
        <v>320</v>
      </c>
      <c r="H10" s="56">
        <v>2300</v>
      </c>
      <c r="I10" s="171" t="s">
        <v>126</v>
      </c>
      <c r="J10" s="142">
        <f>H10*G10</f>
        <v>736000</v>
      </c>
      <c r="K10" s="34"/>
      <c r="L10" s="58"/>
    </row>
    <row r="11" spans="2:12" ht="39.450000000000003" customHeight="1">
      <c r="B11" s="32"/>
      <c r="C11" s="83" t="s">
        <v>73</v>
      </c>
      <c r="D11" s="52" t="s">
        <v>6</v>
      </c>
      <c r="E11" s="53" t="s">
        <v>8</v>
      </c>
      <c r="F11" s="54" t="s">
        <v>7</v>
      </c>
      <c r="G11" s="55">
        <f>'1. 精细商业运营- event全模块待选'!D31</f>
        <v>53</v>
      </c>
      <c r="H11" s="56">
        <v>2300</v>
      </c>
      <c r="I11" s="171" t="s">
        <v>127</v>
      </c>
      <c r="J11" s="57">
        <f>H11*G11</f>
        <v>121900</v>
      </c>
      <c r="K11" s="34"/>
      <c r="L11" s="58"/>
    </row>
    <row r="12" spans="2:12" ht="22.05" customHeight="1">
      <c r="B12" s="32"/>
      <c r="C12" s="224" t="s">
        <v>74</v>
      </c>
      <c r="D12" s="225"/>
      <c r="E12" s="84"/>
      <c r="F12" s="84"/>
      <c r="G12" s="84"/>
      <c r="H12" s="85"/>
      <c r="I12" s="59" t="s">
        <v>98</v>
      </c>
      <c r="J12" s="88">
        <f>J10+J11</f>
        <v>857900</v>
      </c>
      <c r="K12" s="34"/>
      <c r="L12" s="58"/>
    </row>
    <row r="13" spans="2:12" ht="22.05" customHeight="1">
      <c r="B13" s="32"/>
      <c r="C13" s="60"/>
      <c r="D13" s="61"/>
      <c r="E13" s="62"/>
      <c r="F13" s="62"/>
      <c r="G13" s="62"/>
      <c r="H13" s="63"/>
      <c r="I13" s="136" t="s">
        <v>75</v>
      </c>
      <c r="J13" s="137">
        <f>J12*1.06</f>
        <v>909374</v>
      </c>
      <c r="K13" s="34"/>
      <c r="L13" s="58"/>
    </row>
    <row r="14" spans="2:12" ht="44.55" customHeight="1">
      <c r="B14" s="32"/>
      <c r="C14" s="64" t="s">
        <v>95</v>
      </c>
      <c r="D14" s="65" t="s">
        <v>10</v>
      </c>
      <c r="E14" s="53" t="s">
        <v>117</v>
      </c>
      <c r="F14" s="66" t="s">
        <v>11</v>
      </c>
      <c r="G14" s="67">
        <v>1</v>
      </c>
      <c r="H14" s="56">
        <v>100000</v>
      </c>
      <c r="I14" s="68" t="s">
        <v>12</v>
      </c>
      <c r="J14" s="87">
        <v>50000</v>
      </c>
      <c r="K14" s="140" t="s">
        <v>96</v>
      </c>
      <c r="L14" s="69"/>
    </row>
    <row r="15" spans="2:12" ht="44.55" customHeight="1">
      <c r="B15" s="32"/>
      <c r="C15" s="64" t="s">
        <v>76</v>
      </c>
      <c r="D15" s="65" t="s">
        <v>10</v>
      </c>
      <c r="E15" s="53" t="s">
        <v>13</v>
      </c>
      <c r="F15" s="66" t="s">
        <v>14</v>
      </c>
      <c r="G15" s="67">
        <v>400</v>
      </c>
      <c r="H15" s="86">
        <v>300</v>
      </c>
      <c r="I15" s="70" t="s">
        <v>15</v>
      </c>
      <c r="J15" s="87">
        <f>H15*G15*0.5</f>
        <v>60000</v>
      </c>
      <c r="K15" s="140" t="s">
        <v>96</v>
      </c>
      <c r="L15" s="69"/>
    </row>
    <row r="16" spans="2:12" ht="22.95" customHeight="1">
      <c r="B16" s="32"/>
      <c r="C16" s="226" t="s">
        <v>77</v>
      </c>
      <c r="D16" s="227"/>
      <c r="E16" s="132"/>
      <c r="F16" s="132"/>
      <c r="G16" s="132"/>
      <c r="H16" s="133"/>
      <c r="I16" s="134" t="s">
        <v>9</v>
      </c>
      <c r="J16" s="135">
        <f>SUM(J14:J15)</f>
        <v>110000</v>
      </c>
      <c r="K16" s="34"/>
      <c r="L16" s="69"/>
    </row>
    <row r="17" spans="2:12" ht="24" customHeight="1">
      <c r="B17" s="32"/>
      <c r="C17" s="115"/>
      <c r="D17" s="116"/>
      <c r="E17" s="116"/>
      <c r="F17" s="116"/>
      <c r="G17" s="116"/>
      <c r="H17" s="71"/>
      <c r="I17" s="138" t="s">
        <v>16</v>
      </c>
      <c r="J17" s="139">
        <f>J16*1.06</f>
        <v>116600</v>
      </c>
      <c r="K17" s="34"/>
      <c r="L17" s="69"/>
    </row>
    <row r="18" spans="2:12" ht="16.2">
      <c r="B18" s="32"/>
      <c r="C18" s="115"/>
      <c r="D18" s="116"/>
      <c r="E18" s="116"/>
      <c r="F18" s="116"/>
      <c r="G18" s="116"/>
      <c r="H18" s="72"/>
      <c r="J18" s="26"/>
      <c r="K18" s="73"/>
      <c r="L18" s="69"/>
    </row>
    <row r="19" spans="2:12" ht="16.2">
      <c r="B19" s="32"/>
      <c r="C19" s="115"/>
      <c r="D19" s="116"/>
      <c r="E19" s="116"/>
      <c r="F19" s="116"/>
      <c r="G19" s="116"/>
      <c r="H19" s="72"/>
      <c r="J19" s="26"/>
      <c r="K19" s="73"/>
      <c r="L19" s="69"/>
    </row>
    <row r="20" spans="2:12" ht="21" customHeight="1">
      <c r="B20" s="32"/>
      <c r="C20" s="119"/>
      <c r="D20" s="120"/>
      <c r="E20" s="120"/>
      <c r="F20" s="120"/>
      <c r="G20" s="120"/>
      <c r="H20" s="228" t="s">
        <v>99</v>
      </c>
      <c r="I20" s="228"/>
      <c r="J20" s="131">
        <f>J17+J13</f>
        <v>1025974</v>
      </c>
      <c r="K20" s="73"/>
      <c r="L20" s="69"/>
    </row>
    <row r="21" spans="2:12" ht="33" customHeight="1">
      <c r="B21" s="32"/>
      <c r="C21" s="229" t="s">
        <v>121</v>
      </c>
      <c r="D21" s="230"/>
      <c r="E21" s="230"/>
      <c r="F21" s="116"/>
      <c r="G21" s="116"/>
      <c r="H21" s="72"/>
      <c r="I21" s="74"/>
      <c r="J21" s="75"/>
      <c r="K21" s="73"/>
      <c r="L21" s="69"/>
    </row>
    <row r="22" spans="2:12" ht="16.2">
      <c r="B22" s="32"/>
      <c r="C22" s="117"/>
      <c r="D22" s="118"/>
      <c r="E22" s="118"/>
      <c r="F22" s="118"/>
      <c r="G22" s="118"/>
      <c r="H22" s="76"/>
      <c r="I22" s="77"/>
      <c r="J22" s="78"/>
      <c r="K22" s="34"/>
      <c r="L22" s="69"/>
    </row>
    <row r="23" spans="2:12" ht="41.25" customHeight="1" thickBot="1">
      <c r="B23" s="79"/>
      <c r="C23" s="80"/>
      <c r="D23" s="80"/>
      <c r="E23" s="80"/>
      <c r="F23" s="80"/>
      <c r="G23" s="80"/>
      <c r="H23" s="81"/>
      <c r="I23" s="80"/>
      <c r="J23" s="80"/>
      <c r="K23" s="82"/>
      <c r="L23" s="69"/>
    </row>
  </sheetData>
  <mergeCells count="5">
    <mergeCell ref="C2:J2"/>
    <mergeCell ref="C12:D12"/>
    <mergeCell ref="C16:D16"/>
    <mergeCell ref="H20:I20"/>
    <mergeCell ref="C21:E21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77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13"/>
  <sheetViews>
    <sheetView zoomScale="115" zoomScaleNormal="115" workbookViewId="0">
      <selection activeCell="B16" sqref="B16"/>
    </sheetView>
  </sheetViews>
  <sheetFormatPr defaultColWidth="9" defaultRowHeight="13.8"/>
  <cols>
    <col min="1" max="1" width="4.6640625" customWidth="1"/>
    <col min="2" max="2" width="74.6640625" customWidth="1"/>
    <col min="3" max="3" width="29.44140625" customWidth="1"/>
  </cols>
  <sheetData>
    <row r="1" spans="1:3" ht="15.6">
      <c r="A1" s="1" t="s">
        <v>17</v>
      </c>
      <c r="B1" s="1" t="s">
        <v>32</v>
      </c>
      <c r="C1" s="1" t="s">
        <v>33</v>
      </c>
    </row>
    <row r="2" spans="1:3" ht="15">
      <c r="A2" s="2">
        <v>1</v>
      </c>
      <c r="B2" s="3" t="s">
        <v>34</v>
      </c>
      <c r="C2" s="2"/>
    </row>
    <row r="3" spans="1:3" ht="30">
      <c r="A3" s="2">
        <v>2</v>
      </c>
      <c r="B3" s="3" t="s">
        <v>35</v>
      </c>
      <c r="C3" s="2"/>
    </row>
    <row r="4" spans="1:3" ht="30">
      <c r="A4" s="2">
        <v>3</v>
      </c>
      <c r="B4" s="3" t="s">
        <v>36</v>
      </c>
      <c r="C4" s="2"/>
    </row>
    <row r="5" spans="1:3" ht="15">
      <c r="A5" s="2">
        <v>4</v>
      </c>
      <c r="B5" s="3" t="s">
        <v>37</v>
      </c>
      <c r="C5" s="2"/>
    </row>
    <row r="6" spans="1:3" ht="15">
      <c r="A6" s="2">
        <v>5</v>
      </c>
      <c r="B6" s="3" t="s">
        <v>38</v>
      </c>
      <c r="C6" s="2"/>
    </row>
    <row r="7" spans="1:3" ht="15">
      <c r="A7" s="2">
        <v>6</v>
      </c>
      <c r="B7" s="3" t="s">
        <v>39</v>
      </c>
      <c r="C7" s="2"/>
    </row>
    <row r="8" spans="1:3" ht="15">
      <c r="A8" s="2">
        <v>7</v>
      </c>
      <c r="B8" s="3" t="s">
        <v>40</v>
      </c>
      <c r="C8" s="2"/>
    </row>
    <row r="9" spans="1:3" ht="30">
      <c r="A9" s="4">
        <v>8</v>
      </c>
      <c r="B9" s="5" t="s">
        <v>41</v>
      </c>
      <c r="C9" s="3" t="s">
        <v>42</v>
      </c>
    </row>
    <row r="10" spans="1:3" ht="30">
      <c r="A10" s="2">
        <v>9</v>
      </c>
      <c r="B10" s="3" t="s">
        <v>43</v>
      </c>
      <c r="C10" s="3" t="s">
        <v>44</v>
      </c>
    </row>
    <row r="11" spans="1:3" ht="15">
      <c r="A11" s="2">
        <v>10</v>
      </c>
      <c r="B11" s="3" t="s">
        <v>45</v>
      </c>
      <c r="C11" s="3"/>
    </row>
    <row r="12" spans="1:3" ht="15">
      <c r="A12" s="2">
        <v>11</v>
      </c>
      <c r="B12" s="3" t="s">
        <v>46</v>
      </c>
      <c r="C12" s="3"/>
    </row>
    <row r="13" spans="1:3" ht="15">
      <c r="A13" s="2"/>
      <c r="B13" s="3"/>
      <c r="C13" s="3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 精细商业运营event全模块</vt:lpstr>
      <vt:lpstr>Pivot</vt:lpstr>
      <vt:lpstr>1. 精细商业运营- event全模块待选</vt:lpstr>
      <vt:lpstr>报价单Summary-全Scope</vt:lpstr>
      <vt:lpstr>系统运维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TANG</dc:creator>
  <cp:lastModifiedBy>孔祥勇</cp:lastModifiedBy>
  <dcterms:created xsi:type="dcterms:W3CDTF">2015-06-06T02:17:00Z</dcterms:created>
  <dcterms:modified xsi:type="dcterms:W3CDTF">2026-01-13T07:26:37Z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A4170D76258096785B7A3669AC29D73F_43</vt:lpwstr>
  </property>
  <property fmtid="{D5CDD505-2E9C-101B-9397-08002B2CF9AE}" pid="3" name="KSOProductBuildVer">
    <vt:lpwstr>2052-7.5.1.8994</vt:lpwstr>
  </property>
</Properties>
</file>