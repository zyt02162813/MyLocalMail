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李阿敏\Desktop\项目文件夹\神基制药\规划阶段\"/>
    </mc:Choice>
  </mc:AlternateContent>
  <xr:revisionPtr revIDLastSave="0" documentId="13_ncr:1_{58AFCF36-6D9C-4F3B-BB99-C62200DED7F1}" xr6:coauthVersionLast="47" xr6:coauthVersionMax="47" xr10:uidLastSave="{00000000-0000-0000-0000-000000000000}"/>
  <bookViews>
    <workbookView xWindow="-110" yWindow="-110" windowWidth="22780" windowHeight="14660" xr2:uid="{00000000-000D-0000-FFFF-FFFF00000000}"/>
  </bookViews>
  <sheets>
    <sheet name="项目里程碑计划" sheetId="6" r:id="rId1"/>
    <sheet name="项目实施工作分解（WBS)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" i="8" l="1"/>
  <c r="F6" i="6"/>
  <c r="F7" i="6"/>
  <c r="F8" i="6"/>
  <c r="F9" i="6"/>
  <c r="F10" i="6"/>
  <c r="F11" i="6"/>
  <c r="D4" i="6"/>
  <c r="F19" i="8"/>
  <c r="F23" i="8" l="1"/>
  <c r="F22" i="8"/>
  <c r="F21" i="8"/>
  <c r="F20" i="8"/>
  <c r="F18" i="8"/>
  <c r="F30" i="8"/>
  <c r="F26" i="8"/>
  <c r="F27" i="8"/>
  <c r="F28" i="8"/>
  <c r="F25" i="8"/>
  <c r="F24" i="8"/>
  <c r="F16" i="8"/>
  <c r="F12" i="8"/>
  <c r="F13" i="8"/>
  <c r="F14" i="8"/>
  <c r="F11" i="8"/>
  <c r="F8" i="8"/>
  <c r="F9" i="8"/>
  <c r="F6" i="8"/>
  <c r="F15" i="8"/>
  <c r="F10" i="8"/>
  <c r="F7" i="8" l="1"/>
</calcChain>
</file>

<file path=xl/sharedStrings.xml><?xml version="1.0" encoding="utf-8"?>
<sst xmlns="http://schemas.openxmlformats.org/spreadsheetml/2006/main" count="98" uniqueCount="78">
  <si>
    <t>开始时间</t>
    <phoneticPr fontId="1" type="noConversion"/>
  </si>
  <si>
    <t>结束时间</t>
    <phoneticPr fontId="1" type="noConversion"/>
  </si>
  <si>
    <t>持续天数</t>
    <phoneticPr fontId="1" type="noConversion"/>
  </si>
  <si>
    <t>结束时间</t>
  </si>
  <si>
    <t>项目阶段</t>
    <phoneticPr fontId="1" type="noConversion"/>
  </si>
  <si>
    <t>任务（活动）</t>
    <phoneticPr fontId="1" type="noConversion"/>
  </si>
  <si>
    <t>跟进人</t>
    <phoneticPr fontId="1" type="noConversion"/>
  </si>
  <si>
    <t xml:space="preserve">1、项目准备 </t>
    <phoneticPr fontId="1" type="noConversion"/>
  </si>
  <si>
    <t>美团</t>
    <phoneticPr fontId="1" type="noConversion"/>
  </si>
  <si>
    <t>项目准备</t>
    <phoneticPr fontId="3" type="noConversion"/>
  </si>
  <si>
    <t>1、双方组建项目团队：指定项目经理及关键干系人
2、确认里程碑计划、项目范围（涉及的主体及人员）、相关资源保障、沟通计划
3、启动会相关文件准备</t>
    <rPh sb="2" eb="3">
      <t>que'ren</t>
    </rPh>
    <rPh sb="4" eb="5">
      <t>xiang'mu</t>
    </rPh>
    <rPh sb="6" eb="7">
      <t>tuan'dui</t>
    </rPh>
    <rPh sb="9" eb="10">
      <t>zhi'dign</t>
    </rPh>
    <rPh sb="11" eb="12">
      <t>xiang'mu</t>
    </rPh>
    <rPh sb="13" eb="14">
      <t>jue'se</t>
    </rPh>
    <rPh sb="15" eb="16">
      <t>ji</t>
    </rPh>
    <rPh sb="16" eb="17">
      <t>can'yu</t>
    </rPh>
    <rPh sb="18" eb="19">
      <t>ren'yuan</t>
    </rPh>
    <rPh sb="23" eb="24">
      <t>que'ren</t>
    </rPh>
    <rPh sb="25" eb="26">
      <t>li'cheng'bei</t>
    </rPh>
    <rPh sb="28" eb="29">
      <t>ji'hua</t>
    </rPh>
    <rPh sb="31" eb="32">
      <t>shi'shi</t>
    </rPh>
    <rPh sb="33" eb="34">
      <t>fan'wei</t>
    </rPh>
    <rPh sb="36" eb="37">
      <t>jiao'fu</t>
    </rPh>
    <rPh sb="38" eb="39">
      <t>biao'zhun</t>
    </rPh>
    <rPh sb="43" eb="44">
      <t>que'ren</t>
    </rPh>
    <rPh sb="45" eb="46">
      <t>diao'yan</t>
    </rPh>
    <rPh sb="47" eb="48">
      <t>ji'hua</t>
    </rPh>
    <rPh sb="50" eb="51">
      <t>zu'zhi</t>
    </rPh>
    <rPh sb="52" eb="53">
      <t>diao'yan</t>
    </rPh>
    <rPh sb="54" eb="55">
      <t>can'hui</t>
    </rPh>
    <rPh sb="56" eb="57">
      <t>ren'yuan</t>
    </rPh>
    <rPh sb="59" eb="60">
      <t>shou'ji</t>
    </rPh>
    <rPh sb="61" eb="62">
      <t>liu'cheng</t>
    </rPh>
    <rPh sb="63" eb="64">
      <t>wen'jian</t>
    </rPh>
    <phoneticPr fontId="3" type="noConversion"/>
  </si>
  <si>
    <t>项目启动会</t>
    <phoneticPr fontId="3" type="noConversion"/>
  </si>
  <si>
    <t>需求设计研讨会，充分调研业务需求、结算对账需求、集成需求等</t>
    <rPh sb="2" eb="3">
      <t>guan'li'ceng</t>
    </rPh>
    <rPh sb="6" eb="7">
      <t>ye'wu</t>
    </rPh>
    <rPh sb="8" eb="9">
      <t>shi'yong</t>
    </rPh>
    <rPh sb="10" eb="11">
      <t>bu'men</t>
    </rPh>
    <rPh sb="12" eb="13">
      <t>que'ren</t>
    </rPh>
    <rPh sb="14" eb="15">
      <t>xu'qiu</t>
    </rPh>
    <rPh sb="16" eb="17">
      <t>fan'wei</t>
    </rPh>
    <rPh sb="21" eb="22">
      <t>ye'wu</t>
    </rPh>
    <rPh sb="23" eb="24">
      <t>mo'kuai</t>
    </rPh>
    <rPh sb="25" eb="26">
      <t>ji</t>
    </rPh>
    <rPh sb="26" eb="27">
      <t>liu'cheng</t>
    </rPh>
    <rPh sb="28" eb="29">
      <t>diao'yanquan'xiandiao'yanzi'duancai'ji</t>
    </rPh>
    <phoneticPr fontId="3" type="noConversion"/>
  </si>
  <si>
    <t>需求偏离评估，整体可行性评估（POC）与Gap分析</t>
    <rPh sb="2" eb="3">
      <t>guan'li'ceng</t>
    </rPh>
    <rPh sb="6" eb="7">
      <t>ye'wu</t>
    </rPh>
    <rPh sb="8" eb="9">
      <t>shi'yong</t>
    </rPh>
    <rPh sb="10" eb="11">
      <t>bu'men</t>
    </rPh>
    <rPh sb="12" eb="13">
      <t>que'ren</t>
    </rPh>
    <rPh sb="14" eb="15">
      <t>xu'qiu</t>
    </rPh>
    <rPh sb="16" eb="17">
      <t>fan'wei</t>
    </rPh>
    <rPh sb="21" eb="22">
      <t>ye'wu</t>
    </rPh>
    <rPh sb="23" eb="24">
      <t>mo'kuaijiliu'chengdiao'yanquan'xiandiao'yanzi'duancai'ji</t>
    </rPh>
    <phoneticPr fontId="3" type="noConversion"/>
  </si>
  <si>
    <t>实施方案确认</t>
    <phoneticPr fontId="3" type="noConversion"/>
  </si>
  <si>
    <t>根据已确认的需求范围进行实施方案制作与交付</t>
    <rPh sb="0" eb="1">
      <t>gen'ju</t>
    </rPh>
    <rPh sb="2" eb="3">
      <t>yi</t>
    </rPh>
    <rPh sb="3" eb="4">
      <t>que'ren</t>
    </rPh>
    <rPh sb="5" eb="6">
      <t>de</t>
    </rPh>
    <rPh sb="6" eb="7">
      <t>xu'qiu</t>
    </rPh>
    <rPh sb="8" eb="9">
      <t>jin'xign</t>
    </rPh>
    <rPh sb="10" eb="11">
      <t>xi'togn</t>
    </rPh>
    <rPh sb="12" eb="13">
      <t>jie'j</t>
    </rPh>
    <rPh sb="14" eb="15">
      <t>fang'an</t>
    </rPh>
    <rPh sb="16" eb="17">
      <t>she'ji</t>
    </rPh>
    <phoneticPr fontId="3" type="noConversion"/>
  </si>
  <si>
    <t>项目组确认实施方案</t>
    <rPh sb="2" eb="3">
      <t>zu'z</t>
    </rPh>
    <rPh sb="4" eb="5">
      <t>guan'li'ceng</t>
    </rPh>
    <rPh sb="8" eb="9">
      <t>guan'jianyong'huwan'chengjie'jeufang'anque'rengeng'xinli'chegn'beiji'huazi'yuanji'huabignshu'chuxiang'muzhu'ji'hua</t>
    </rPh>
    <phoneticPr fontId="3" type="noConversion"/>
  </si>
  <si>
    <t>实施计划确认</t>
    <phoneticPr fontId="3" type="noConversion"/>
  </si>
  <si>
    <t>根据已确认的实施方案进行实施计划制作与交付</t>
    <phoneticPr fontId="3" type="noConversion"/>
  </si>
  <si>
    <t>美团</t>
    <phoneticPr fontId="3" type="noConversion"/>
  </si>
  <si>
    <t>1、项目组确认实施计划
2、更新里程碑主计划</t>
    <phoneticPr fontId="3" type="noConversion"/>
  </si>
  <si>
    <t>双方技术人员正式入场，开启项目开发、对接、实施</t>
    <phoneticPr fontId="3" type="noConversion"/>
  </si>
  <si>
    <t>系统配置</t>
    <phoneticPr fontId="3" type="noConversion"/>
  </si>
  <si>
    <t>测试账号配置，开通企业后台，配置场景品类、管控规则、结算信息</t>
    <phoneticPr fontId="3" type="noConversion"/>
  </si>
  <si>
    <t>全流程系统集成测试</t>
    <phoneticPr fontId="3" type="noConversion"/>
  </si>
  <si>
    <t>制作测试用例，确认UAT计划</t>
    <rPh sb="2" eb="3">
      <t>shu'chu</t>
    </rPh>
    <rPh sb="7" eb="8">
      <t>ji'huaxie'zhushu'juchu'shi'hua</t>
    </rPh>
    <phoneticPr fontId="3" type="noConversion"/>
  </si>
  <si>
    <t>项目组UAT测试，进行UAT的答疑、指导及问题解决</t>
    <rPh sb="2" eb="3">
      <t>que'ren</t>
    </rPh>
    <rPh sb="7" eb="8">
      <t>ji'hua</t>
    </rPh>
    <rPh sb="12" eb="13">
      <t>an'pai</t>
    </rPh>
    <rPh sb="17" eb="18">
      <t>ren'yuanshu'juchu'shi'hua</t>
    </rPh>
    <phoneticPr fontId="3" type="noConversion"/>
  </si>
  <si>
    <t>UAT测试验收</t>
    <rPh sb="3" eb="4">
      <t>gen'zogn</t>
    </rPh>
    <rPh sb="5" eb="6">
      <t>ji</t>
    </rPh>
    <rPh sb="6" eb="7">
      <t>you'hua</t>
    </rPh>
    <phoneticPr fontId="3" type="noConversion"/>
  </si>
  <si>
    <t>系统正式交付上线</t>
    <phoneticPr fontId="3" type="noConversion"/>
  </si>
  <si>
    <t>制定培训计划，确认培训时间、参会人员、组织上线培训安排工作</t>
    <rPh sb="0" eb="1">
      <t>que'ren</t>
    </rPh>
    <rPh sb="2" eb="3">
      <t>pei'xun</t>
    </rPh>
    <rPh sb="4" eb="5">
      <t>shi'jian</t>
    </rPh>
    <rPh sb="7" eb="8">
      <t>can'hui</t>
    </rPh>
    <rPh sb="9" eb="10">
      <t>ren'yuan</t>
    </rPh>
    <rPh sb="12" eb="13">
      <t>zu'zhi</t>
    </rPh>
    <rPh sb="14" eb="15">
      <t>shagn'xian</t>
    </rPh>
    <rPh sb="16" eb="17">
      <t>pei'xun</t>
    </rPh>
    <rPh sb="18" eb="19">
      <t>an'pai</t>
    </rPh>
    <rPh sb="20" eb="21">
      <t>gogn'zuo</t>
    </rPh>
    <phoneticPr fontId="3" type="noConversion"/>
  </si>
  <si>
    <t>用户培训，完成用户使用流程培训</t>
    <rPh sb="0" eb="1">
      <t>wan'cheng</t>
    </rPh>
    <rPh sb="2" eb="3">
      <t>guan'li'ren'yuan</t>
    </rPh>
    <rPh sb="7" eb="8">
      <t>zui'zhogn</t>
    </rPh>
    <rPh sb="9" eb="10">
      <t>yong'hu</t>
    </rPh>
    <rPh sb="12" eb="13">
      <t>xi'togn</t>
    </rPh>
    <rPh sb="14" eb="15">
      <t>guan'li'yuanpei'xun</t>
    </rPh>
    <phoneticPr fontId="3" type="noConversion"/>
  </si>
  <si>
    <t>项目正式上线</t>
    <rPh sb="0" eb="1">
      <t>shagn'xian</t>
    </rPh>
    <rPh sb="2" eb="3">
      <t>sh'ju</t>
    </rPh>
    <rPh sb="4" eb="5">
      <t>chu'shi'hua</t>
    </rPh>
    <phoneticPr fontId="3" type="noConversion"/>
  </si>
  <si>
    <t>使用情况跟踪</t>
    <phoneticPr fontId="3" type="noConversion"/>
  </si>
  <si>
    <t>1、使用数据跟踪
2、用户日常问题响应，反馈收集
3、联合推广促活</t>
    <phoneticPr fontId="1" type="noConversion"/>
  </si>
  <si>
    <t>交付物/备注</t>
    <phoneticPr fontId="1" type="noConversion"/>
  </si>
  <si>
    <t xml:space="preserve">3、方案及计划确认 </t>
    <phoneticPr fontId="1" type="noConversion"/>
  </si>
  <si>
    <t>召开项目启动会</t>
    <phoneticPr fontId="3" type="noConversion"/>
  </si>
  <si>
    <t>-</t>
    <phoneticPr fontId="1" type="noConversion"/>
  </si>
  <si>
    <t>用户培训</t>
    <rPh sb="2" eb="3">
      <t>shagn'xian</t>
    </rPh>
    <phoneticPr fontId="3" type="noConversion"/>
  </si>
  <si>
    <t>全场景正式交付上线</t>
    <phoneticPr fontId="1" type="noConversion"/>
  </si>
  <si>
    <t>系统集成测试 SIT</t>
    <phoneticPr fontId="3" type="noConversion"/>
  </si>
  <si>
    <t>需求调研</t>
    <phoneticPr fontId="1" type="noConversion"/>
  </si>
  <si>
    <t>4、系统配置&amp;开发对接</t>
    <phoneticPr fontId="1" type="noConversion"/>
  </si>
  <si>
    <t>5、系统测试&amp;UAT验收</t>
    <phoneticPr fontId="1" type="noConversion"/>
  </si>
  <si>
    <t>UAT测试和验收</t>
    <rPh sb="3" eb="4">
      <t>ji'hua</t>
    </rPh>
    <phoneticPr fontId="3" type="noConversion"/>
  </si>
  <si>
    <t xml:space="preserve">2、需求调研 </t>
    <phoneticPr fontId="1" type="noConversion"/>
  </si>
  <si>
    <t>《项目实施方案》
《项目实施计划》</t>
    <phoneticPr fontId="1" type="noConversion"/>
  </si>
  <si>
    <t>《用户操作手册》</t>
    <phoneticPr fontId="1" type="noConversion"/>
  </si>
  <si>
    <t>《SIT测试报告》
《UAT测试方案》</t>
    <phoneticPr fontId="1" type="noConversion"/>
  </si>
  <si>
    <t>生产账号配置及检查、员工主数据全量同步完成初始化</t>
    <phoneticPr fontId="3" type="noConversion"/>
  </si>
  <si>
    <t>完成终版培训材料，确定培训内容</t>
    <rPh sb="0" eb="1">
      <t>zhegn'li</t>
    </rPh>
    <rPh sb="2" eb="3">
      <t>pei'xun</t>
    </rPh>
    <rPh sb="8" eb="9">
      <t>shou'ce</t>
    </rPh>
    <rPh sb="10" eb="11">
      <t>degn</t>
    </rPh>
    <phoneticPr fontId="3" type="noConversion"/>
  </si>
  <si>
    <t>开始时间</t>
  </si>
  <si>
    <t>项目整体周期</t>
  </si>
  <si>
    <t>编号</t>
  </si>
  <si>
    <t>任务</t>
  </si>
  <si>
    <t>时长（天）</t>
  </si>
  <si>
    <t>项目上线</t>
  </si>
  <si>
    <t>6、上线前准备</t>
    <phoneticPr fontId="1" type="noConversion"/>
  </si>
  <si>
    <t>备注</t>
    <phoneticPr fontId="3" type="noConversion"/>
  </si>
  <si>
    <t xml:space="preserve">神基用餐项目（一期）里程碑计划 </t>
    <rPh sb="0" eb="10">
      <t>li'chegn'bei</t>
    </rPh>
    <phoneticPr fontId="3" type="noConversion"/>
  </si>
  <si>
    <t>项目实施启动</t>
  </si>
  <si>
    <t>需求调研及确认</t>
  </si>
  <si>
    <t>方案确认与计划确认</t>
    <phoneticPr fontId="3" type="noConversion"/>
  </si>
  <si>
    <t>-</t>
    <phoneticPr fontId="3" type="noConversion"/>
  </si>
  <si>
    <t>系统已全链路跑通，无卡点问题，系统可交付正式上线使用</t>
    <phoneticPr fontId="3" type="noConversion"/>
  </si>
  <si>
    <t>神基用餐项目（一期）详细实施计划</t>
    <phoneticPr fontId="4" type="noConversion"/>
  </si>
  <si>
    <t>系统配置&amp;开发对接</t>
    <phoneticPr fontId="3" type="noConversion"/>
  </si>
  <si>
    <t>系统联调&amp;UAT</t>
    <phoneticPr fontId="3" type="noConversion"/>
  </si>
  <si>
    <t>上线前准备</t>
    <phoneticPr fontId="3" type="noConversion"/>
  </si>
  <si>
    <t>7、正式上线</t>
    <phoneticPr fontId="1" type="noConversion"/>
  </si>
  <si>
    <t>神基</t>
  </si>
  <si>
    <t>美团&amp;神基&amp;MB</t>
  </si>
  <si>
    <t>MB</t>
  </si>
  <si>
    <t>美团&amp;MB</t>
  </si>
  <si>
    <t>项目开工</t>
    <phoneticPr fontId="3" type="noConversion"/>
  </si>
  <si>
    <t>接口开发（员工数据、部门数据、申请单、订单相关接口）</t>
    <phoneticPr fontId="1" type="noConversion"/>
  </si>
  <si>
    <t>接口开发</t>
    <phoneticPr fontId="3" type="noConversion"/>
  </si>
  <si>
    <t>美团&amp;MB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</si>
</sst>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月&quot;d&quot;日&quot;;@"/>
    <numFmt numFmtId="177" formatCode="[$-F800]dddd\,\ mmmm\ dd\,\ yyyy"/>
    <numFmt numFmtId="178" formatCode="0_);[Red]\(0\)"/>
  </numFmts>
  <fonts count="18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DengXian"/>
      <family val="1"/>
    </font>
    <font>
      <b/>
      <sz val="16"/>
      <color theme="1"/>
      <name val="仿宋"/>
      <family val="3"/>
      <charset val="134"/>
    </font>
    <font>
      <sz val="16"/>
      <color theme="1"/>
      <name val="仿宋"/>
      <family val="3"/>
      <charset val="134"/>
    </font>
    <font>
      <sz val="16"/>
      <name val="仿宋"/>
      <family val="3"/>
      <charset val="134"/>
    </font>
    <font>
      <b/>
      <sz val="16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indexed="8"/>
      <name val="仿宋"/>
      <family val="3"/>
      <charset val="134"/>
    </font>
    <font>
      <sz val="11"/>
      <color theme="1"/>
      <name val="宋体"/>
      <family val="2"/>
      <charset val="134"/>
      <scheme val="minor"/>
    </font>
    <font>
      <sz val="12"/>
      <color theme="1"/>
      <name val="仿宋"/>
      <family val="3"/>
      <charset val="134"/>
    </font>
    <font>
      <b/>
      <sz val="10.5"/>
      <color theme="1"/>
      <name val="仿宋"/>
      <family val="3"/>
      <charset val="134"/>
    </font>
    <font>
      <sz val="10.5"/>
      <color theme="1"/>
      <name val="仿宋"/>
      <family val="3"/>
      <charset val="134"/>
    </font>
    <font>
      <b/>
      <sz val="10.5"/>
      <color rgb="FF000000"/>
      <name val="仿宋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F2F2F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13" fillId="0" borderId="0">
      <alignment vertical="center"/>
    </xf>
  </cellStyleXfs>
  <cellXfs count="73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0" fillId="0" borderId="1" xfId="1" applyFont="1" applyBorder="1" applyAlignment="1">
      <alignment vertical="center" wrapText="1"/>
    </xf>
    <xf numFmtId="0" fontId="12" fillId="0" borderId="1" xfId="1" applyFont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2" fillId="0" borderId="2" xfId="1" applyFont="1" applyBorder="1" applyAlignment="1">
      <alignment vertical="center" wrapText="1"/>
    </xf>
    <xf numFmtId="0" fontId="12" fillId="0" borderId="20" xfId="1" applyFont="1" applyBorder="1" applyAlignment="1">
      <alignment vertical="center" wrapText="1"/>
    </xf>
    <xf numFmtId="0" fontId="12" fillId="0" borderId="21" xfId="1" applyFont="1" applyBorder="1" applyAlignment="1">
      <alignment vertical="center" wrapText="1"/>
    </xf>
    <xf numFmtId="0" fontId="12" fillId="0" borderId="22" xfId="1" applyFont="1" applyBorder="1" applyAlignment="1">
      <alignment vertical="center" wrapText="1"/>
    </xf>
    <xf numFmtId="0" fontId="10" fillId="0" borderId="22" xfId="1" applyFont="1" applyBorder="1" applyAlignment="1">
      <alignment vertical="center" wrapText="1"/>
    </xf>
    <xf numFmtId="0" fontId="10" fillId="0" borderId="20" xfId="1" applyFont="1" applyBorder="1" applyAlignment="1">
      <alignment vertical="center" wrapText="1"/>
    </xf>
    <xf numFmtId="9" fontId="9" fillId="2" borderId="15" xfId="0" applyNumberFormat="1" applyFont="1" applyFill="1" applyBorder="1" applyAlignment="1">
      <alignment horizontal="center" vertical="center" wrapText="1"/>
    </xf>
    <xf numFmtId="0" fontId="9" fillId="3" borderId="12" xfId="1" applyFont="1" applyFill="1" applyBorder="1" applyAlignment="1">
      <alignment horizontal="center" vertical="center" wrapText="1"/>
    </xf>
    <xf numFmtId="0" fontId="9" fillId="3" borderId="5" xfId="1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9" fontId="9" fillId="2" borderId="17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0" fillId="0" borderId="23" xfId="1" applyFont="1" applyBorder="1" applyAlignment="1">
      <alignment vertical="center" wrapText="1"/>
    </xf>
    <xf numFmtId="9" fontId="9" fillId="2" borderId="1" xfId="0" applyNumberFormat="1" applyFont="1" applyFill="1" applyBorder="1" applyAlignment="1">
      <alignment horizontal="center" vertical="center" wrapText="1"/>
    </xf>
    <xf numFmtId="0" fontId="11" fillId="0" borderId="22" xfId="1" applyFont="1" applyFill="1" applyBorder="1" applyAlignment="1">
      <alignment horizontal="left" vertical="center" wrapText="1"/>
    </xf>
    <xf numFmtId="0" fontId="10" fillId="0" borderId="2" xfId="1" applyFont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20" xfId="1" applyFont="1" applyBorder="1" applyAlignment="1">
      <alignment vertical="center" wrapText="1"/>
    </xf>
    <xf numFmtId="31" fontId="16" fillId="0" borderId="1" xfId="0" applyNumberFormat="1" applyFont="1" applyBorder="1" applyAlignment="1">
      <alignment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58" fontId="11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177" fontId="16" fillId="0" borderId="24" xfId="0" applyNumberFormat="1" applyFont="1" applyBorder="1" applyAlignment="1">
      <alignment vertical="center" wrapText="1"/>
    </xf>
    <xf numFmtId="177" fontId="16" fillId="0" borderId="2" xfId="0" applyNumberFormat="1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58" fontId="11" fillId="2" borderId="1" xfId="0" applyNumberFormat="1" applyFont="1" applyFill="1" applyBorder="1" applyAlignment="1">
      <alignment vertical="center" wrapText="1"/>
    </xf>
    <xf numFmtId="176" fontId="9" fillId="2" borderId="4" xfId="0" applyNumberFormat="1" applyFont="1" applyFill="1" applyBorder="1" applyAlignment="1">
      <alignment horizontal="left" vertical="center" wrapText="1"/>
    </xf>
    <xf numFmtId="176" fontId="10" fillId="0" borderId="4" xfId="0" quotePrefix="1" applyNumberFormat="1" applyFont="1" applyFill="1" applyBorder="1" applyAlignment="1">
      <alignment vertical="center" wrapText="1"/>
    </xf>
    <xf numFmtId="0" fontId="5" fillId="0" borderId="24" xfId="0" applyFont="1" applyBorder="1" applyAlignment="1" applyProtection="1">
      <alignment horizontal="left" vertical="center"/>
      <protection locked="0"/>
    </xf>
    <xf numFmtId="0" fontId="5" fillId="0" borderId="25" xfId="0" applyFont="1" applyBorder="1" applyAlignment="1" applyProtection="1">
      <alignment horizontal="left" vertical="center"/>
      <protection locked="0"/>
    </xf>
    <xf numFmtId="0" fontId="5" fillId="0" borderId="2" xfId="0" applyFont="1" applyBorder="1" applyAlignment="1" applyProtection="1">
      <alignment horizontal="left" vertical="center"/>
      <protection locked="0"/>
    </xf>
    <xf numFmtId="0" fontId="15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178" fontId="16" fillId="0" borderId="24" xfId="0" applyNumberFormat="1" applyFont="1" applyBorder="1" applyAlignment="1">
      <alignment horizontal="center" vertical="center" wrapText="1"/>
    </xf>
    <xf numFmtId="178" fontId="16" fillId="0" borderId="25" xfId="0" applyNumberFormat="1" applyFont="1" applyBorder="1" applyAlignment="1">
      <alignment horizontal="center" vertical="center" wrapText="1"/>
    </xf>
    <xf numFmtId="178" fontId="16" fillId="0" borderId="2" xfId="0" applyNumberFormat="1" applyFont="1" applyBorder="1" applyAlignment="1">
      <alignment horizontal="center" vertical="center" wrapText="1"/>
    </xf>
    <xf numFmtId="9" fontId="11" fillId="0" borderId="15" xfId="0" applyNumberFormat="1" applyFont="1" applyBorder="1" applyAlignment="1">
      <alignment vertical="center" wrapText="1"/>
    </xf>
    <xf numFmtId="9" fontId="11" fillId="0" borderId="15" xfId="0" applyNumberFormat="1" applyFont="1" applyBorder="1" applyAlignment="1">
      <alignment horizontal="left" vertical="center" wrapText="1"/>
    </xf>
    <xf numFmtId="0" fontId="12" fillId="0" borderId="20" xfId="1" applyFont="1" applyBorder="1" applyAlignment="1">
      <alignment vertical="center" wrapText="1"/>
    </xf>
    <xf numFmtId="0" fontId="12" fillId="0" borderId="18" xfId="1" applyFont="1" applyBorder="1" applyAlignment="1">
      <alignment vertical="center" wrapText="1"/>
    </xf>
    <xf numFmtId="9" fontId="11" fillId="0" borderId="17" xfId="0" applyNumberFormat="1" applyFont="1" applyBorder="1" applyAlignment="1">
      <alignment horizontal="left" vertical="center" wrapText="1"/>
    </xf>
    <xf numFmtId="9" fontId="11" fillId="0" borderId="19" xfId="0" applyNumberFormat="1" applyFont="1" applyBorder="1" applyAlignment="1">
      <alignment horizontal="left" vertical="center" wrapText="1"/>
    </xf>
    <xf numFmtId="0" fontId="9" fillId="2" borderId="14" xfId="1" applyFont="1" applyFill="1" applyBorder="1" applyAlignment="1">
      <alignment horizontal="left" vertical="center" wrapText="1"/>
    </xf>
    <xf numFmtId="0" fontId="9" fillId="2" borderId="6" xfId="1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9" fontId="11" fillId="0" borderId="1" xfId="0" applyNumberFormat="1" applyFont="1" applyBorder="1" applyAlignment="1">
      <alignment horizontal="center" vertical="center" wrapText="1"/>
    </xf>
    <xf numFmtId="9" fontId="11" fillId="0" borderId="13" xfId="0" applyNumberFormat="1" applyFont="1" applyBorder="1" applyAlignment="1">
      <alignment horizontal="left" vertical="center" wrapText="1"/>
    </xf>
    <xf numFmtId="0" fontId="10" fillId="0" borderId="20" xfId="1" applyFont="1" applyBorder="1" applyAlignment="1">
      <alignment vertical="center" wrapText="1"/>
    </xf>
    <xf numFmtId="0" fontId="10" fillId="0" borderId="16" xfId="1" applyFont="1" applyBorder="1" applyAlignment="1">
      <alignment vertical="center" wrapText="1"/>
    </xf>
    <xf numFmtId="0" fontId="12" fillId="0" borderId="19" xfId="1" applyFont="1" applyBorder="1" applyAlignment="1">
      <alignment horizontal="left" vertical="center" wrapText="1"/>
    </xf>
    <xf numFmtId="0" fontId="12" fillId="0" borderId="13" xfId="1" applyFont="1" applyBorder="1" applyAlignment="1">
      <alignment horizontal="left" vertical="center" wrapText="1"/>
    </xf>
    <xf numFmtId="0" fontId="8" fillId="0" borderId="9" xfId="1" applyFont="1" applyBorder="1" applyAlignment="1">
      <alignment horizontal="left" vertical="center" wrapText="1"/>
    </xf>
    <xf numFmtId="0" fontId="8" fillId="0" borderId="10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12" fillId="0" borderId="16" xfId="1" applyFont="1" applyBorder="1" applyAlignment="1">
      <alignment vertical="center" wrapText="1"/>
    </xf>
  </cellXfs>
  <cellStyles count="3">
    <cellStyle name="常规" xfId="0" builtinId="0"/>
    <cellStyle name="常规 2" xfId="1" xr:uid="{281A6AD4-A635-E348-914E-A1DFBEFECABF}"/>
    <cellStyle name="常规 3" xfId="2" xr:uid="{FF867DD7-1CAA-4E33-B057-6317D2F79E68}"/>
  </cellStyles>
  <dxfs count="0"/>
  <tableStyles count="0" defaultTableStyle="TableStyleMedium2" defaultPivotStyle="PivotStyleLight16"/>
  <colors>
    <mruColors>
      <color rgb="FFFFD100"/>
      <color rgb="FFFDF5D4"/>
      <color rgb="FF6DC5FF"/>
      <color rgb="FFF8F7C5"/>
      <color rgb="FFFFFFAD"/>
      <color rgb="FF05B7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818566</xdr:colOff>
      <xdr:row>1</xdr:row>
      <xdr:rowOff>112621</xdr:rowOff>
    </xdr:from>
    <xdr:ext cx="1495469" cy="261470"/>
    <xdr:pic>
      <xdr:nvPicPr>
        <xdr:cNvPr id="2" name="图片 1">
          <a:extLst>
            <a:ext uri="{FF2B5EF4-FFF2-40B4-BE49-F238E27FC236}">
              <a16:creationId xmlns:a16="http://schemas.microsoft.com/office/drawing/2014/main" id="{3514EF1C-88B0-2E45-A9BD-A20AA4431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2243" y="382252"/>
          <a:ext cx="1495469" cy="26147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300790</xdr:colOff>
      <xdr:row>1</xdr:row>
      <xdr:rowOff>144825</xdr:rowOff>
    </xdr:from>
    <xdr:ext cx="1495469" cy="261470"/>
    <xdr:pic>
      <xdr:nvPicPr>
        <xdr:cNvPr id="3" name="图片 2">
          <a:extLst>
            <a:ext uri="{FF2B5EF4-FFF2-40B4-BE49-F238E27FC236}">
              <a16:creationId xmlns:a16="http://schemas.microsoft.com/office/drawing/2014/main" id="{E284414C-484D-6040-90CB-51E4EED90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54386" y="389913"/>
          <a:ext cx="1495469" cy="261470"/>
        </a:xfrm>
        <a:prstGeom prst="rect">
          <a:avLst/>
        </a:prstGeom>
      </xdr:spPr>
    </xdr:pic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离子会议室">
  <a:themeElements>
    <a:clrScheme name="离子会议室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离子会议室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离子会议室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A83C-0F2B-484B-8E65-F4E96721B85B}">
  <sheetPr codeName="Sheet2"/>
  <dimension ref="B2:G12"/>
  <sheetViews>
    <sheetView showGridLines="0" tabSelected="1" zoomScale="130" zoomScaleNormal="130" workbookViewId="0">
      <selection activeCell="F14" sqref="F14"/>
    </sheetView>
  </sheetViews>
  <sheetFormatPr defaultColWidth="8" defaultRowHeight="21"/>
  <cols>
    <col min="1" max="1" width="3.453125" style="1" customWidth="1"/>
    <col min="2" max="2" width="16.54296875" style="1" customWidth="1"/>
    <col min="3" max="3" width="23.90625" style="1" customWidth="1"/>
    <col min="4" max="4" width="16.08984375" style="1" customWidth="1"/>
    <col min="5" max="5" width="12.7265625" style="1" customWidth="1"/>
    <col min="6" max="6" width="28.54296875" style="1" customWidth="1"/>
    <col min="7" max="7" width="18.7265625" style="1" customWidth="1"/>
    <col min="8" max="16384" width="8" style="1"/>
  </cols>
  <sheetData>
    <row r="2" spans="2:7" ht="38" customHeight="1">
      <c r="B2" s="45" t="s">
        <v>59</v>
      </c>
      <c r="C2" s="46"/>
      <c r="D2" s="46"/>
      <c r="E2" s="46"/>
      <c r="F2" s="46"/>
      <c r="G2" s="47"/>
    </row>
    <row r="3" spans="2:7">
      <c r="B3" s="48" t="s">
        <v>51</v>
      </c>
      <c r="C3" s="48"/>
      <c r="D3" s="33">
        <v>45967</v>
      </c>
      <c r="E3" s="34" t="s">
        <v>3</v>
      </c>
      <c r="F3" s="39">
        <v>46055</v>
      </c>
      <c r="G3" s="40"/>
    </row>
    <row r="4" spans="2:7">
      <c r="B4" s="49" t="s">
        <v>52</v>
      </c>
      <c r="C4" s="49"/>
      <c r="D4" s="50">
        <f>F3-D3</f>
        <v>88</v>
      </c>
      <c r="E4" s="51"/>
      <c r="F4" s="51"/>
      <c r="G4" s="52"/>
    </row>
    <row r="5" spans="2:7" s="4" customFormat="1" ht="13.5">
      <c r="B5" s="34" t="s">
        <v>53</v>
      </c>
      <c r="C5" s="34" t="s">
        <v>54</v>
      </c>
      <c r="D5" s="34" t="s">
        <v>51</v>
      </c>
      <c r="E5" s="34" t="s">
        <v>3</v>
      </c>
      <c r="F5" s="34" t="s">
        <v>55</v>
      </c>
      <c r="G5" s="34" t="s">
        <v>58</v>
      </c>
    </row>
    <row r="6" spans="2:7" s="4" customFormat="1" ht="13.5">
      <c r="B6" s="35">
        <v>1</v>
      </c>
      <c r="C6" s="36" t="s">
        <v>60</v>
      </c>
      <c r="D6" s="37">
        <v>45967</v>
      </c>
      <c r="E6" s="37">
        <v>45973</v>
      </c>
      <c r="F6" s="35">
        <f t="shared" ref="F6:F11" si="0">E6-D6+1</f>
        <v>7</v>
      </c>
      <c r="G6" s="38"/>
    </row>
    <row r="7" spans="2:7" s="4" customFormat="1" ht="13.5" customHeight="1">
      <c r="B7" s="35">
        <v>2</v>
      </c>
      <c r="C7" s="41" t="s">
        <v>61</v>
      </c>
      <c r="D7" s="37">
        <v>45972</v>
      </c>
      <c r="E7" s="37">
        <v>46006</v>
      </c>
      <c r="F7" s="35">
        <f t="shared" si="0"/>
        <v>35</v>
      </c>
      <c r="G7" s="38"/>
    </row>
    <row r="8" spans="2:7" s="4" customFormat="1" ht="13.5" customHeight="1">
      <c r="B8" s="35">
        <v>3</v>
      </c>
      <c r="C8" s="36" t="s">
        <v>62</v>
      </c>
      <c r="D8" s="37">
        <v>45999</v>
      </c>
      <c r="E8" s="37">
        <v>46007</v>
      </c>
      <c r="F8" s="35">
        <f t="shared" si="0"/>
        <v>9</v>
      </c>
      <c r="G8" s="36"/>
    </row>
    <row r="9" spans="2:7" s="4" customFormat="1" ht="13.5" customHeight="1">
      <c r="B9" s="35">
        <v>4</v>
      </c>
      <c r="C9" s="36" t="s">
        <v>66</v>
      </c>
      <c r="D9" s="37">
        <v>46009</v>
      </c>
      <c r="E9" s="37">
        <v>46038</v>
      </c>
      <c r="F9" s="35">
        <f t="shared" si="0"/>
        <v>30</v>
      </c>
      <c r="G9" s="36"/>
    </row>
    <row r="10" spans="2:7" s="4" customFormat="1" ht="39">
      <c r="B10" s="35">
        <v>5</v>
      </c>
      <c r="C10" s="36" t="s">
        <v>67</v>
      </c>
      <c r="D10" s="37">
        <v>46041</v>
      </c>
      <c r="E10" s="37">
        <v>46052</v>
      </c>
      <c r="F10" s="35">
        <f t="shared" si="0"/>
        <v>12</v>
      </c>
      <c r="G10" s="36" t="s">
        <v>64</v>
      </c>
    </row>
    <row r="11" spans="2:7" s="4" customFormat="1" ht="13.5">
      <c r="B11" s="35">
        <v>6</v>
      </c>
      <c r="C11" s="36" t="s">
        <v>68</v>
      </c>
      <c r="D11" s="37">
        <v>46051</v>
      </c>
      <c r="E11" s="37">
        <v>46052</v>
      </c>
      <c r="F11" s="35">
        <f t="shared" si="0"/>
        <v>2</v>
      </c>
      <c r="G11" s="36"/>
    </row>
    <row r="12" spans="2:7" s="25" customFormat="1" ht="15" customHeight="1">
      <c r="B12" s="35">
        <v>7</v>
      </c>
      <c r="C12" s="36" t="s">
        <v>56</v>
      </c>
      <c r="D12" s="37">
        <v>46055</v>
      </c>
      <c r="E12" s="37" t="s">
        <v>63</v>
      </c>
      <c r="F12" s="35" t="s">
        <v>63</v>
      </c>
      <c r="G12" s="36"/>
    </row>
  </sheetData>
  <mergeCells count="4">
    <mergeCell ref="B2:G2"/>
    <mergeCell ref="B3:C3"/>
    <mergeCell ref="B4:C4"/>
    <mergeCell ref="D4:G4"/>
  </mergeCells>
  <phoneticPr fontId="3" type="noConversion"/>
  <pageMargins left="0.7" right="0.7" top="0.75" bottom="0.75" header="0.3" footer="0.3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18D5-EFB9-9747-8734-EE5F00CE1A43}">
  <sheetPr codeName="Sheet3"/>
  <dimension ref="A1:H31"/>
  <sheetViews>
    <sheetView showGridLines="0" zoomScaleNormal="100" workbookViewId="0">
      <selection activeCell="B2" sqref="B2:H2"/>
    </sheetView>
  </sheetViews>
  <sheetFormatPr defaultColWidth="8" defaultRowHeight="21"/>
  <cols>
    <col min="1" max="1" width="5.1796875" style="2" customWidth="1"/>
    <col min="2" max="2" width="25.08984375" style="3" customWidth="1"/>
    <col min="3" max="3" width="64.54296875" style="3" customWidth="1"/>
    <col min="4" max="4" width="13.54296875" style="23" customWidth="1"/>
    <col min="5" max="5" width="11.08984375" style="23" customWidth="1"/>
    <col min="6" max="6" width="9.81640625" style="2" customWidth="1"/>
    <col min="7" max="7" width="18.1796875" style="3" customWidth="1"/>
    <col min="8" max="8" width="26.81640625" style="2" bestFit="1" customWidth="1"/>
    <col min="9" max="16384" width="8" style="2"/>
  </cols>
  <sheetData>
    <row r="1" spans="1:8" ht="21.5" thickBot="1"/>
    <row r="2" spans="1:8" ht="41" customHeight="1">
      <c r="B2" s="69" t="s">
        <v>65</v>
      </c>
      <c r="C2" s="70"/>
      <c r="D2" s="70"/>
      <c r="E2" s="70"/>
      <c r="F2" s="70"/>
      <c r="G2" s="70"/>
      <c r="H2" s="71"/>
    </row>
    <row r="3" spans="1:8" s="7" customFormat="1" ht="24" customHeight="1">
      <c r="B3" s="19" t="s">
        <v>4</v>
      </c>
      <c r="C3" s="20" t="s">
        <v>5</v>
      </c>
      <c r="D3" s="20" t="s">
        <v>0</v>
      </c>
      <c r="E3" s="20" t="s">
        <v>1</v>
      </c>
      <c r="F3" s="21" t="s">
        <v>2</v>
      </c>
      <c r="G3" s="20" t="s">
        <v>6</v>
      </c>
      <c r="H3" s="22" t="s">
        <v>34</v>
      </c>
    </row>
    <row r="4" spans="1:8" s="8" customFormat="1" ht="23" customHeight="1" thickBot="1">
      <c r="B4" s="59" t="s">
        <v>7</v>
      </c>
      <c r="C4" s="60"/>
      <c r="D4" s="42">
        <v>45967</v>
      </c>
      <c r="E4" s="42">
        <v>45972</v>
      </c>
      <c r="F4" s="61" t="s">
        <v>37</v>
      </c>
      <c r="G4" s="62"/>
      <c r="H4" s="18">
        <v>1</v>
      </c>
    </row>
    <row r="5" spans="1:8" s="9" customFormat="1" ht="52.5" thickBot="1">
      <c r="A5" s="7"/>
      <c r="B5" s="13" t="s">
        <v>9</v>
      </c>
      <c r="C5" s="6" t="s">
        <v>10</v>
      </c>
      <c r="D5" s="37">
        <v>45967</v>
      </c>
      <c r="E5" s="37">
        <v>45972</v>
      </c>
      <c r="F5" s="10" t="s">
        <v>37</v>
      </c>
      <c r="G5" s="6" t="s">
        <v>71</v>
      </c>
      <c r="H5" s="67"/>
    </row>
    <row r="6" spans="1:8" s="9" customFormat="1" ht="13.5" thickBot="1">
      <c r="A6" s="7"/>
      <c r="B6" s="14" t="s">
        <v>11</v>
      </c>
      <c r="C6" s="12" t="s">
        <v>36</v>
      </c>
      <c r="D6" s="37">
        <v>45967</v>
      </c>
      <c r="E6" s="37">
        <v>45967</v>
      </c>
      <c r="F6" s="10">
        <f t="shared" ref="F6:F23" si="0">E6-D6+1</f>
        <v>1</v>
      </c>
      <c r="G6" s="6" t="s">
        <v>71</v>
      </c>
      <c r="H6" s="68"/>
    </row>
    <row r="7" spans="1:8" s="8" customFormat="1" ht="23" customHeight="1" thickBot="1">
      <c r="B7" s="59" t="s">
        <v>45</v>
      </c>
      <c r="C7" s="60"/>
      <c r="D7" s="42">
        <v>45972</v>
      </c>
      <c r="E7" s="42">
        <v>46006</v>
      </c>
      <c r="F7" s="61">
        <f>E7-D7+1</f>
        <v>35</v>
      </c>
      <c r="G7" s="62"/>
      <c r="H7" s="18">
        <v>1</v>
      </c>
    </row>
    <row r="8" spans="1:8" s="9" customFormat="1" ht="13.5" thickBot="1">
      <c r="A8" s="7"/>
      <c r="B8" s="72" t="s">
        <v>41</v>
      </c>
      <c r="C8" s="6" t="s">
        <v>12</v>
      </c>
      <c r="D8" s="37">
        <v>45972</v>
      </c>
      <c r="E8" s="37">
        <v>46006</v>
      </c>
      <c r="F8" s="10">
        <f t="shared" si="0"/>
        <v>35</v>
      </c>
      <c r="G8" s="6" t="s">
        <v>71</v>
      </c>
      <c r="H8" s="54"/>
    </row>
    <row r="9" spans="1:8" s="9" customFormat="1" ht="13.5" thickBot="1">
      <c r="A9" s="7"/>
      <c r="B9" s="56"/>
      <c r="C9" s="6" t="s">
        <v>13</v>
      </c>
      <c r="D9" s="37">
        <v>45972</v>
      </c>
      <c r="E9" s="37">
        <v>46006</v>
      </c>
      <c r="F9" s="10">
        <f t="shared" si="0"/>
        <v>35</v>
      </c>
      <c r="G9" s="6" t="s">
        <v>8</v>
      </c>
      <c r="H9" s="54"/>
    </row>
    <row r="10" spans="1:8" s="8" customFormat="1" ht="23" customHeight="1">
      <c r="B10" s="59" t="s">
        <v>35</v>
      </c>
      <c r="C10" s="60"/>
      <c r="D10" s="42">
        <v>45999</v>
      </c>
      <c r="E10" s="42">
        <v>46007</v>
      </c>
      <c r="F10" s="61">
        <f>E10-D10+1</f>
        <v>9</v>
      </c>
      <c r="G10" s="62"/>
      <c r="H10" s="18">
        <v>0.9</v>
      </c>
    </row>
    <row r="11" spans="1:8" s="7" customFormat="1" ht="13">
      <c r="B11" s="55" t="s">
        <v>14</v>
      </c>
      <c r="C11" s="6" t="s">
        <v>15</v>
      </c>
      <c r="D11" s="37">
        <v>45999</v>
      </c>
      <c r="E11" s="37">
        <v>46006</v>
      </c>
      <c r="F11" s="10">
        <f t="shared" si="0"/>
        <v>8</v>
      </c>
      <c r="G11" s="6" t="s">
        <v>8</v>
      </c>
      <c r="H11" s="54" t="s">
        <v>46</v>
      </c>
    </row>
    <row r="12" spans="1:8" s="7" customFormat="1" ht="13">
      <c r="B12" s="56"/>
      <c r="C12" s="6" t="s">
        <v>16</v>
      </c>
      <c r="D12" s="37">
        <v>46007</v>
      </c>
      <c r="E12" s="37">
        <v>46007</v>
      </c>
      <c r="F12" s="10">
        <f t="shared" si="0"/>
        <v>1</v>
      </c>
      <c r="G12" s="6" t="s">
        <v>70</v>
      </c>
      <c r="H12" s="54"/>
    </row>
    <row r="13" spans="1:8" s="7" customFormat="1" ht="13">
      <c r="B13" s="55" t="s">
        <v>17</v>
      </c>
      <c r="C13" s="6" t="s">
        <v>18</v>
      </c>
      <c r="D13" s="37">
        <v>46007</v>
      </c>
      <c r="E13" s="37">
        <v>46007</v>
      </c>
      <c r="F13" s="10">
        <f t="shared" si="0"/>
        <v>1</v>
      </c>
      <c r="G13" s="6" t="s">
        <v>19</v>
      </c>
      <c r="H13" s="54"/>
    </row>
    <row r="14" spans="1:8" s="7" customFormat="1" ht="26">
      <c r="B14" s="56"/>
      <c r="C14" s="6" t="s">
        <v>20</v>
      </c>
      <c r="D14" s="37">
        <v>46007</v>
      </c>
      <c r="E14" s="37">
        <v>46007</v>
      </c>
      <c r="F14" s="10">
        <f t="shared" si="0"/>
        <v>1</v>
      </c>
      <c r="G14" s="6" t="s">
        <v>70</v>
      </c>
      <c r="H14" s="54"/>
    </row>
    <row r="15" spans="1:8" s="8" customFormat="1" ht="23" customHeight="1">
      <c r="B15" s="59" t="s">
        <v>42</v>
      </c>
      <c r="C15" s="60"/>
      <c r="D15" s="42">
        <v>46009</v>
      </c>
      <c r="E15" s="42">
        <v>46038</v>
      </c>
      <c r="F15" s="61">
        <f>E15-D15+1</f>
        <v>30</v>
      </c>
      <c r="G15" s="62"/>
      <c r="H15" s="24">
        <v>0</v>
      </c>
    </row>
    <row r="16" spans="1:8" s="7" customFormat="1" ht="13">
      <c r="B16" s="16" t="s">
        <v>74</v>
      </c>
      <c r="C16" s="5" t="s">
        <v>21</v>
      </c>
      <c r="D16" s="37">
        <v>46009</v>
      </c>
      <c r="E16" s="37">
        <v>46009</v>
      </c>
      <c r="F16" s="10">
        <f t="shared" si="0"/>
        <v>1</v>
      </c>
      <c r="G16" s="6" t="s">
        <v>77</v>
      </c>
      <c r="H16" s="63"/>
    </row>
    <row r="17" spans="2:8" s="7" customFormat="1" ht="13">
      <c r="B17" s="17" t="s">
        <v>22</v>
      </c>
      <c r="C17" s="26" t="s">
        <v>23</v>
      </c>
      <c r="D17" s="37">
        <v>46009</v>
      </c>
      <c r="E17" s="37">
        <v>46014</v>
      </c>
      <c r="F17" s="10">
        <f t="shared" si="0"/>
        <v>6</v>
      </c>
      <c r="G17" s="6" t="s">
        <v>19</v>
      </c>
      <c r="H17" s="63"/>
    </row>
    <row r="18" spans="2:8" s="7" customFormat="1" ht="26">
      <c r="B18" s="28" t="s">
        <v>75</v>
      </c>
      <c r="C18" s="29" t="s">
        <v>76</v>
      </c>
      <c r="D18" s="37">
        <v>46009</v>
      </c>
      <c r="E18" s="37">
        <v>46038</v>
      </c>
      <c r="F18" s="10">
        <f t="shared" si="0"/>
        <v>30</v>
      </c>
      <c r="G18" s="6" t="s">
        <v>72</v>
      </c>
      <c r="H18" s="63"/>
    </row>
    <row r="19" spans="2:8" s="7" customFormat="1" ht="23" customHeight="1">
      <c r="B19" s="59" t="s">
        <v>43</v>
      </c>
      <c r="C19" s="60"/>
      <c r="D19" s="42">
        <v>46041</v>
      </c>
      <c r="E19" s="42">
        <v>46052</v>
      </c>
      <c r="F19" s="61">
        <f>E19-D19</f>
        <v>11</v>
      </c>
      <c r="G19" s="62"/>
      <c r="H19" s="27">
        <v>0</v>
      </c>
    </row>
    <row r="20" spans="2:8" s="7" customFormat="1" ht="13" customHeight="1">
      <c r="B20" s="16" t="s">
        <v>40</v>
      </c>
      <c r="C20" s="5" t="s">
        <v>24</v>
      </c>
      <c r="D20" s="37">
        <v>46041</v>
      </c>
      <c r="E20" s="37">
        <v>46045</v>
      </c>
      <c r="F20" s="10">
        <f t="shared" si="0"/>
        <v>5</v>
      </c>
      <c r="G20" s="6" t="s">
        <v>73</v>
      </c>
      <c r="H20" s="58" t="s">
        <v>48</v>
      </c>
    </row>
    <row r="21" spans="2:8" s="7" customFormat="1" ht="13">
      <c r="B21" s="55" t="s">
        <v>44</v>
      </c>
      <c r="C21" s="6" t="s">
        <v>25</v>
      </c>
      <c r="D21" s="37">
        <v>46045</v>
      </c>
      <c r="E21" s="37">
        <v>46045</v>
      </c>
      <c r="F21" s="10">
        <f t="shared" si="0"/>
        <v>1</v>
      </c>
      <c r="G21" s="6" t="s">
        <v>19</v>
      </c>
      <c r="H21" s="58"/>
    </row>
    <row r="22" spans="2:8" s="7" customFormat="1" ht="13">
      <c r="B22" s="72"/>
      <c r="C22" s="6" t="s">
        <v>26</v>
      </c>
      <c r="D22" s="37">
        <v>46048</v>
      </c>
      <c r="E22" s="37">
        <v>46052</v>
      </c>
      <c r="F22" s="10">
        <f t="shared" si="0"/>
        <v>5</v>
      </c>
      <c r="G22" s="6" t="s">
        <v>70</v>
      </c>
      <c r="H22" s="58"/>
    </row>
    <row r="23" spans="2:8" s="7" customFormat="1" ht="13">
      <c r="B23" s="56"/>
      <c r="C23" s="6" t="s">
        <v>27</v>
      </c>
      <c r="D23" s="37">
        <v>46052</v>
      </c>
      <c r="E23" s="37">
        <v>46052</v>
      </c>
      <c r="F23" s="10">
        <f t="shared" si="0"/>
        <v>1</v>
      </c>
      <c r="G23" s="6" t="s">
        <v>70</v>
      </c>
      <c r="H23" s="64"/>
    </row>
    <row r="24" spans="2:8" s="8" customFormat="1" ht="23" customHeight="1">
      <c r="B24" s="59" t="s">
        <v>57</v>
      </c>
      <c r="C24" s="60"/>
      <c r="D24" s="42">
        <v>46049</v>
      </c>
      <c r="E24" s="42">
        <v>46052</v>
      </c>
      <c r="F24" s="61">
        <f>E24-D24+1</f>
        <v>4</v>
      </c>
      <c r="G24" s="62"/>
      <c r="H24" s="18">
        <v>0</v>
      </c>
    </row>
    <row r="25" spans="2:8" s="7" customFormat="1" ht="13" customHeight="1">
      <c r="B25" s="32" t="s">
        <v>28</v>
      </c>
      <c r="C25" s="5" t="s">
        <v>49</v>
      </c>
      <c r="D25" s="37">
        <v>46052</v>
      </c>
      <c r="E25" s="37">
        <v>46052</v>
      </c>
      <c r="F25" s="10">
        <f t="shared" ref="F25:F30" si="1">E25-D25+1</f>
        <v>1</v>
      </c>
      <c r="G25" s="6" t="s">
        <v>73</v>
      </c>
      <c r="H25" s="57" t="s">
        <v>47</v>
      </c>
    </row>
    <row r="26" spans="2:8" s="30" customFormat="1" ht="13">
      <c r="B26" s="65" t="s">
        <v>38</v>
      </c>
      <c r="C26" s="5" t="s">
        <v>29</v>
      </c>
      <c r="D26" s="37">
        <v>46049</v>
      </c>
      <c r="E26" s="37">
        <v>46050</v>
      </c>
      <c r="F26" s="31">
        <f t="shared" si="1"/>
        <v>2</v>
      </c>
      <c r="G26" s="5" t="s">
        <v>70</v>
      </c>
      <c r="H26" s="58"/>
    </row>
    <row r="27" spans="2:8" s="30" customFormat="1" ht="13">
      <c r="B27" s="66"/>
      <c r="C27" s="5" t="s">
        <v>50</v>
      </c>
      <c r="D27" s="37">
        <v>46050</v>
      </c>
      <c r="E27" s="37">
        <v>46050</v>
      </c>
      <c r="F27" s="31">
        <f t="shared" si="1"/>
        <v>1</v>
      </c>
      <c r="G27" s="5" t="s">
        <v>19</v>
      </c>
      <c r="H27" s="58"/>
    </row>
    <row r="28" spans="2:8" s="30" customFormat="1" ht="13">
      <c r="B28" s="66"/>
      <c r="C28" s="5" t="s">
        <v>30</v>
      </c>
      <c r="D28" s="37">
        <v>46051</v>
      </c>
      <c r="E28" s="37">
        <v>46052</v>
      </c>
      <c r="F28" s="31">
        <f t="shared" si="1"/>
        <v>2</v>
      </c>
      <c r="G28" s="5" t="s">
        <v>71</v>
      </c>
      <c r="H28" s="58"/>
    </row>
    <row r="29" spans="2:8" s="8" customFormat="1" ht="23" customHeight="1">
      <c r="B29" s="59" t="s">
        <v>69</v>
      </c>
      <c r="C29" s="60"/>
      <c r="D29" s="42">
        <v>46055</v>
      </c>
      <c r="E29" s="43" t="s">
        <v>37</v>
      </c>
      <c r="F29" s="61"/>
      <c r="G29" s="62"/>
      <c r="H29" s="18">
        <v>0</v>
      </c>
    </row>
    <row r="30" spans="2:8" s="7" customFormat="1" ht="14" customHeight="1">
      <c r="B30" s="15" t="s">
        <v>31</v>
      </c>
      <c r="C30" s="6" t="s">
        <v>39</v>
      </c>
      <c r="D30" s="37">
        <v>46055</v>
      </c>
      <c r="E30" s="37">
        <v>46055</v>
      </c>
      <c r="F30" s="10">
        <f t="shared" si="1"/>
        <v>1</v>
      </c>
      <c r="G30" s="6" t="s">
        <v>71</v>
      </c>
      <c r="H30" s="53"/>
    </row>
    <row r="31" spans="2:8" s="7" customFormat="1" ht="39">
      <c r="B31" s="15" t="s">
        <v>32</v>
      </c>
      <c r="C31" s="6" t="s">
        <v>33</v>
      </c>
      <c r="D31" s="37">
        <v>46055</v>
      </c>
      <c r="E31" s="44" t="s">
        <v>37</v>
      </c>
      <c r="F31" s="11"/>
      <c r="G31" s="6" t="s">
        <v>71</v>
      </c>
      <c r="H31" s="53"/>
    </row>
  </sheetData>
  <mergeCells count="27">
    <mergeCell ref="B10:C10"/>
    <mergeCell ref="F24:G24"/>
    <mergeCell ref="F10:G10"/>
    <mergeCell ref="B15:C15"/>
    <mergeCell ref="F15:G15"/>
    <mergeCell ref="B21:B23"/>
    <mergeCell ref="B24:C24"/>
    <mergeCell ref="B19:C19"/>
    <mergeCell ref="H5:H6"/>
    <mergeCell ref="H8:H9"/>
    <mergeCell ref="B2:H2"/>
    <mergeCell ref="F7:G7"/>
    <mergeCell ref="B8:B9"/>
    <mergeCell ref="B7:C7"/>
    <mergeCell ref="B4:C4"/>
    <mergeCell ref="F4:G4"/>
    <mergeCell ref="H30:H31"/>
    <mergeCell ref="H11:H14"/>
    <mergeCell ref="B11:B12"/>
    <mergeCell ref="B13:B14"/>
    <mergeCell ref="H25:H28"/>
    <mergeCell ref="B29:C29"/>
    <mergeCell ref="F29:G29"/>
    <mergeCell ref="F19:G19"/>
    <mergeCell ref="H16:H18"/>
    <mergeCell ref="H20:H23"/>
    <mergeCell ref="B26:B28"/>
  </mergeCells>
  <phoneticPr fontId="1" type="noConversion"/>
  <conditionalFormatting sqref="H10:H11 H30 H15:H16 H24:H25 H7 H4">
    <cfRule type="dataBar" priority="251">
      <dataBar>
        <cfvo type="min"/>
        <cfvo type="max"/>
        <color rgb="FFFFD100"/>
      </dataBar>
      <extLst>
        <ext xmlns:x14="http://schemas.microsoft.com/office/spreadsheetml/2009/9/main" uri="{B025F937-C7B1-47D3-B67F-A62EFF666E3E}">
          <x14:id>{3E33CB36-504D-854A-80E9-DE16C12762DC}</x14:id>
        </ext>
      </extLst>
    </cfRule>
    <cfRule type="dataBar" priority="252">
      <dataBar>
        <cfvo type="min"/>
        <cfvo type="max"/>
        <color rgb="FFFFD100"/>
      </dataBar>
      <extLst>
        <ext xmlns:x14="http://schemas.microsoft.com/office/spreadsheetml/2009/9/main" uri="{B025F937-C7B1-47D3-B67F-A62EFF666E3E}">
          <x14:id>{C11E0A6D-C633-4C4C-996E-E9699672D88B}</x14:id>
        </ext>
      </extLst>
    </cfRule>
  </conditionalFormatting>
  <conditionalFormatting sqref="H19">
    <cfRule type="dataBar" priority="1">
      <dataBar>
        <cfvo type="min"/>
        <cfvo type="max"/>
        <color rgb="FFFFD100"/>
      </dataBar>
      <extLst>
        <ext xmlns:x14="http://schemas.microsoft.com/office/spreadsheetml/2009/9/main" uri="{B025F937-C7B1-47D3-B67F-A62EFF666E3E}">
          <x14:id>{A405AAD0-759C-4760-A805-283F8B0B3F52}</x14:id>
        </ext>
      </extLst>
    </cfRule>
    <cfRule type="dataBar" priority="2">
      <dataBar>
        <cfvo type="min"/>
        <cfvo type="max"/>
        <color rgb="FFFFD100"/>
      </dataBar>
      <extLst>
        <ext xmlns:x14="http://schemas.microsoft.com/office/spreadsheetml/2009/9/main" uri="{B025F937-C7B1-47D3-B67F-A62EFF666E3E}">
          <x14:id>{4C1D72CD-8033-4A59-AD64-527A3AD98EF5}</x14:id>
        </ext>
      </extLst>
    </cfRule>
  </conditionalFormatting>
  <conditionalFormatting sqref="H29">
    <cfRule type="dataBar" priority="281">
      <dataBar>
        <cfvo type="min"/>
        <cfvo type="max"/>
        <color rgb="FFFFD100"/>
      </dataBar>
      <extLst>
        <ext xmlns:x14="http://schemas.microsoft.com/office/spreadsheetml/2009/9/main" uri="{B025F937-C7B1-47D3-B67F-A62EFF666E3E}">
          <x14:id>{B3F28599-64B0-4839-BE40-38DD0CCB7F1D}</x14:id>
        </ext>
      </extLst>
    </cfRule>
    <cfRule type="dataBar" priority="282">
      <dataBar>
        <cfvo type="min"/>
        <cfvo type="max"/>
        <color rgb="FFFFD100"/>
      </dataBar>
      <extLst>
        <ext xmlns:x14="http://schemas.microsoft.com/office/spreadsheetml/2009/9/main" uri="{B025F937-C7B1-47D3-B67F-A62EFF666E3E}">
          <x14:id>{FBF53899-4B3E-49E4-A7EC-86CF9E438CBD}</x14:id>
        </ext>
      </extLst>
    </cfRule>
  </conditionalFormatting>
  <pageMargins left="0.7" right="0.7" top="0.75" bottom="0.75" header="0.3" footer="0.3"/>
  <pageSetup paperSize="9" orientation="portrait" horizontalDpi="4294967294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33CB36-504D-854A-80E9-DE16C12762DC}">
            <x14:dataBar minLength="0" maxLength="100" gradient="0">
              <x14:cfvo type="autoMin"/>
              <x14:cfvo type="autoMax"/>
              <x14:negativeFillColor rgb="FF00B0F0"/>
              <x14:axisColor rgb="FF000000"/>
            </x14:dataBar>
          </x14:cfRule>
          <x14:cfRule type="dataBar" id="{C11E0A6D-C633-4C4C-996E-E9699672D88B}">
            <x14:dataBar minLength="0" maxLength="100" gradient="0">
              <x14:cfvo type="autoMin"/>
              <x14:cfvo type="autoMax"/>
              <x14:negativeFillColor rgb="FF6DC5FF"/>
              <x14:axisColor rgb="FF000000"/>
            </x14:dataBar>
          </x14:cfRule>
          <xm:sqref>H10:H11 H30 H15:H16 H24:H25 H7 H4</xm:sqref>
        </x14:conditionalFormatting>
        <x14:conditionalFormatting xmlns:xm="http://schemas.microsoft.com/office/excel/2006/main">
          <x14:cfRule type="dataBar" id="{A405AAD0-759C-4760-A805-283F8B0B3F52}">
            <x14:dataBar minLength="0" maxLength="100" gradient="0">
              <x14:cfvo type="autoMin"/>
              <x14:cfvo type="autoMax"/>
              <x14:negativeFillColor rgb="FF00B0F0"/>
              <x14:axisColor rgb="FF000000"/>
            </x14:dataBar>
          </x14:cfRule>
          <x14:cfRule type="dataBar" id="{4C1D72CD-8033-4A59-AD64-527A3AD98EF5}">
            <x14:dataBar minLength="0" maxLength="100" gradient="0">
              <x14:cfvo type="autoMin"/>
              <x14:cfvo type="autoMax"/>
              <x14:negativeFillColor rgb="FF6DC5FF"/>
              <x14:axisColor rgb="FF000000"/>
            </x14:dataBar>
          </x14:cfRule>
          <xm:sqref>H19</xm:sqref>
        </x14:conditionalFormatting>
        <x14:conditionalFormatting xmlns:xm="http://schemas.microsoft.com/office/excel/2006/main">
          <x14:cfRule type="dataBar" id="{B3F28599-64B0-4839-BE40-38DD0CCB7F1D}">
            <x14:dataBar minLength="0" maxLength="100" gradient="0">
              <x14:cfvo type="autoMin"/>
              <x14:cfvo type="autoMax"/>
              <x14:negativeFillColor rgb="FF00B0F0"/>
              <x14:axisColor rgb="FF000000"/>
            </x14:dataBar>
          </x14:cfRule>
          <x14:cfRule type="dataBar" id="{FBF53899-4B3E-49E4-A7EC-86CF9E438CBD}">
            <x14:dataBar minLength="0" maxLength="100" gradient="0">
              <x14:cfvo type="autoMin"/>
              <x14:cfvo type="autoMax"/>
              <x14:negativeFillColor rgb="FF6DC5FF"/>
              <x14:axisColor rgb="FF000000"/>
            </x14:dataBar>
          </x14:cfRule>
          <xm:sqref>H29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项目里程碑计划</vt:lpstr>
      <vt:lpstr>项目实施工作分解（WBS)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李阿敏</cp:lastModifiedBy>
  <dcterms:created xsi:type="dcterms:W3CDTF">2018-09-04T06:08:58Z</dcterms:created>
  <dcterms:modified xsi:type="dcterms:W3CDTF">2025-12-16T03:49:27Z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  <property fmtid="{D5CDD505-2E9C-101B-9397-08002B2CF9AE}" pid="3" name="f">
    <vt:lpwstr>【波科用餐项目】实施计划V1.0批注版本.xlsx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  <property fmtid="{D5CDD505-2E9C-101B-9397-08002B2CF9AE}" pid="7" name="s">
    <vt:lpwstr>65aa43263af1632ccd454e29fdaaf27d0615045b</vt:lpwstr>
  </property>
</Properties>
</file>